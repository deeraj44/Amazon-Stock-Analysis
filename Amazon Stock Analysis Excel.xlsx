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ra\Desktop\Amazon (AMZN) Stock Analysis\"/>
    </mc:Choice>
  </mc:AlternateContent>
  <xr:revisionPtr revIDLastSave="0" documentId="8_{40A63ECA-865C-43A4-AB60-6CDA536D2D12}" xr6:coauthVersionLast="47" xr6:coauthVersionMax="47" xr10:uidLastSave="{00000000-0000-0000-0000-000000000000}"/>
  <bookViews>
    <workbookView xWindow="-110" yWindow="-110" windowWidth="19420" windowHeight="11500" xr2:uid="{B1D5A963-B2A7-45A9-9E5E-3F4B35DF3E1B}"/>
  </bookViews>
  <sheets>
    <sheet name="Amazon Dataset" sheetId="1" r:id="rId1"/>
    <sheet name="Calc" sheetId="2" r:id="rId2"/>
    <sheet name="Dashboard" sheetId="3" r:id="rId3"/>
  </sheets>
  <calcPr calcId="0"/>
</workbook>
</file>

<file path=xl/calcChain.xml><?xml version="1.0" encoding="utf-8"?>
<calcChain xmlns="http://schemas.openxmlformats.org/spreadsheetml/2006/main">
  <c r="B23" i="2" l="1" a="1"/>
  <c r="B17" i="2"/>
  <c r="B16" i="2"/>
  <c r="B15" i="2"/>
  <c r="B22" i="2"/>
  <c r="B21" i="2"/>
  <c r="B20" i="2"/>
  <c r="B19" i="2"/>
  <c r="B18" i="2"/>
  <c r="B14" i="2"/>
  <c r="B13" i="2"/>
  <c r="B12" i="2"/>
  <c r="B11" i="2"/>
  <c r="B10" i="2"/>
  <c r="W3" i="2"/>
  <c r="W4" i="2"/>
  <c r="W5" i="2"/>
  <c r="W6" i="2"/>
  <c r="W7" i="2"/>
  <c r="W8" i="2"/>
  <c r="W9" i="2"/>
  <c r="W10" i="2"/>
  <c r="W11" i="2"/>
  <c r="W12" i="2"/>
  <c r="W13" i="2"/>
  <c r="S3" i="2"/>
  <c r="S4" i="2"/>
  <c r="S5" i="2"/>
  <c r="S6" i="2"/>
  <c r="P3" i="2"/>
  <c r="P4" i="2"/>
  <c r="P5" i="2"/>
  <c r="P6" i="2"/>
  <c r="W2" i="2"/>
  <c r="S2" i="2"/>
  <c r="P2" i="2"/>
  <c r="M5" i="3"/>
  <c r="I5" i="3"/>
  <c r="E5" i="3"/>
  <c r="A5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2" i="2"/>
  <c r="I3" i="2"/>
  <c r="J3" i="2"/>
  <c r="X3" i="2" s="1"/>
  <c r="I4" i="2"/>
  <c r="J4" i="2"/>
  <c r="X4" i="2" s="1"/>
  <c r="I5" i="2"/>
  <c r="J5" i="2"/>
  <c r="X5" i="2" s="1"/>
  <c r="I6" i="2"/>
  <c r="J6" i="2"/>
  <c r="X6" i="2" s="1"/>
  <c r="I7" i="2"/>
  <c r="J7" i="2"/>
  <c r="X7" i="2" s="1"/>
  <c r="I8" i="2"/>
  <c r="J8" i="2"/>
  <c r="X8" i="2" s="1"/>
  <c r="I9" i="2"/>
  <c r="J9" i="2"/>
  <c r="X9" i="2" s="1"/>
  <c r="I10" i="2"/>
  <c r="J10" i="2"/>
  <c r="X10" i="2" s="1"/>
  <c r="I11" i="2"/>
  <c r="J11" i="2"/>
  <c r="X11" i="2" s="1"/>
  <c r="I12" i="2"/>
  <c r="J12" i="2"/>
  <c r="X12" i="2" s="1"/>
  <c r="I13" i="2"/>
  <c r="J13" i="2"/>
  <c r="X13" i="2" s="1"/>
  <c r="I2" i="2"/>
  <c r="J2" i="2"/>
  <c r="X2" i="2" s="1"/>
  <c r="B3" i="2"/>
  <c r="C3" i="2"/>
  <c r="D3" i="2"/>
  <c r="T3" i="2" s="1"/>
  <c r="E3" i="2"/>
  <c r="U3" i="2" s="1"/>
  <c r="F3" i="2"/>
  <c r="Q3" i="2" s="1"/>
  <c r="B4" i="2"/>
  <c r="C4" i="2"/>
  <c r="D4" i="2"/>
  <c r="T4" i="2" s="1"/>
  <c r="E4" i="2"/>
  <c r="U4" i="2" s="1"/>
  <c r="F4" i="2"/>
  <c r="Q4" i="2" s="1"/>
  <c r="B5" i="2"/>
  <c r="C5" i="2"/>
  <c r="D5" i="2"/>
  <c r="T5" i="2" s="1"/>
  <c r="E5" i="2"/>
  <c r="U5" i="2" s="1"/>
  <c r="F5" i="2"/>
  <c r="Q5" i="2" s="1"/>
  <c r="B6" i="2"/>
  <c r="C6" i="2"/>
  <c r="D6" i="2"/>
  <c r="T6" i="2" s="1"/>
  <c r="E6" i="2"/>
  <c r="U6" i="2" s="1"/>
  <c r="F6" i="2"/>
  <c r="Q6" i="2" s="1"/>
  <c r="B2" i="2"/>
  <c r="C2" i="2"/>
  <c r="D2" i="2"/>
  <c r="T2" i="2" s="1"/>
  <c r="E2" i="2"/>
  <c r="U2" i="2" s="1"/>
  <c r="F2" i="2"/>
  <c r="Q2" i="2" s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H522" i="1"/>
  <c r="I522" i="1"/>
  <c r="J522" i="1"/>
  <c r="K522" i="1"/>
  <c r="H523" i="1"/>
  <c r="I523" i="1"/>
  <c r="J523" i="1"/>
  <c r="K523" i="1"/>
  <c r="H524" i="1"/>
  <c r="I524" i="1"/>
  <c r="J524" i="1"/>
  <c r="K524" i="1"/>
  <c r="H525" i="1"/>
  <c r="I525" i="1"/>
  <c r="J525" i="1"/>
  <c r="K525" i="1"/>
  <c r="H526" i="1"/>
  <c r="I526" i="1"/>
  <c r="J526" i="1"/>
  <c r="K526" i="1"/>
  <c r="H527" i="1"/>
  <c r="I527" i="1"/>
  <c r="J527" i="1"/>
  <c r="K527" i="1"/>
  <c r="H528" i="1"/>
  <c r="I528" i="1"/>
  <c r="J528" i="1"/>
  <c r="K528" i="1"/>
  <c r="H529" i="1"/>
  <c r="I529" i="1"/>
  <c r="J529" i="1"/>
  <c r="K529" i="1"/>
  <c r="H530" i="1"/>
  <c r="I530" i="1"/>
  <c r="J530" i="1"/>
  <c r="K530" i="1"/>
  <c r="H531" i="1"/>
  <c r="I531" i="1"/>
  <c r="J531" i="1"/>
  <c r="K531" i="1"/>
  <c r="H532" i="1"/>
  <c r="I532" i="1"/>
  <c r="J532" i="1"/>
  <c r="K532" i="1"/>
  <c r="H533" i="1"/>
  <c r="I533" i="1"/>
  <c r="J533" i="1"/>
  <c r="K533" i="1"/>
  <c r="H534" i="1"/>
  <c r="I534" i="1"/>
  <c r="J534" i="1"/>
  <c r="K534" i="1"/>
  <c r="H535" i="1"/>
  <c r="I535" i="1"/>
  <c r="J535" i="1"/>
  <c r="K535" i="1"/>
  <c r="H536" i="1"/>
  <c r="I536" i="1"/>
  <c r="J536" i="1"/>
  <c r="K536" i="1"/>
  <c r="H537" i="1"/>
  <c r="I537" i="1"/>
  <c r="J537" i="1"/>
  <c r="K537" i="1"/>
  <c r="H538" i="1"/>
  <c r="I538" i="1"/>
  <c r="J538" i="1"/>
  <c r="K538" i="1"/>
  <c r="H539" i="1"/>
  <c r="I539" i="1"/>
  <c r="J539" i="1"/>
  <c r="K539" i="1"/>
  <c r="H540" i="1"/>
  <c r="I540" i="1"/>
  <c r="J540" i="1"/>
  <c r="K540" i="1"/>
  <c r="H541" i="1"/>
  <c r="I541" i="1"/>
  <c r="J541" i="1"/>
  <c r="K541" i="1"/>
  <c r="H542" i="1"/>
  <c r="I542" i="1"/>
  <c r="J542" i="1"/>
  <c r="K542" i="1"/>
  <c r="H543" i="1"/>
  <c r="I543" i="1"/>
  <c r="J543" i="1"/>
  <c r="K543" i="1"/>
  <c r="H544" i="1"/>
  <c r="I544" i="1"/>
  <c r="J544" i="1"/>
  <c r="K544" i="1"/>
  <c r="H545" i="1"/>
  <c r="I545" i="1"/>
  <c r="J545" i="1"/>
  <c r="K545" i="1"/>
  <c r="H546" i="1"/>
  <c r="I546" i="1"/>
  <c r="J546" i="1"/>
  <c r="K546" i="1"/>
  <c r="H547" i="1"/>
  <c r="I547" i="1"/>
  <c r="J547" i="1"/>
  <c r="K547" i="1"/>
  <c r="H548" i="1"/>
  <c r="I548" i="1"/>
  <c r="J548" i="1"/>
  <c r="K548" i="1"/>
  <c r="H549" i="1"/>
  <c r="I549" i="1"/>
  <c r="J549" i="1"/>
  <c r="K549" i="1"/>
  <c r="H550" i="1"/>
  <c r="I550" i="1"/>
  <c r="J550" i="1"/>
  <c r="K550" i="1"/>
  <c r="H551" i="1"/>
  <c r="I551" i="1"/>
  <c r="J551" i="1"/>
  <c r="K551" i="1"/>
  <c r="H552" i="1"/>
  <c r="I552" i="1"/>
  <c r="J552" i="1"/>
  <c r="K552" i="1"/>
  <c r="H553" i="1"/>
  <c r="I553" i="1"/>
  <c r="J553" i="1"/>
  <c r="K553" i="1"/>
  <c r="H554" i="1"/>
  <c r="I554" i="1"/>
  <c r="J554" i="1"/>
  <c r="K554" i="1"/>
  <c r="H555" i="1"/>
  <c r="I555" i="1"/>
  <c r="J555" i="1"/>
  <c r="K555" i="1"/>
  <c r="H556" i="1"/>
  <c r="I556" i="1"/>
  <c r="J556" i="1"/>
  <c r="K556" i="1"/>
  <c r="H557" i="1"/>
  <c r="I557" i="1"/>
  <c r="J557" i="1"/>
  <c r="K557" i="1"/>
  <c r="H558" i="1"/>
  <c r="I558" i="1"/>
  <c r="J558" i="1"/>
  <c r="K558" i="1"/>
  <c r="H559" i="1"/>
  <c r="I559" i="1"/>
  <c r="J559" i="1"/>
  <c r="K559" i="1"/>
  <c r="H560" i="1"/>
  <c r="I560" i="1"/>
  <c r="J560" i="1"/>
  <c r="K560" i="1"/>
  <c r="H561" i="1"/>
  <c r="I561" i="1"/>
  <c r="J561" i="1"/>
  <c r="K561" i="1"/>
  <c r="H562" i="1"/>
  <c r="I562" i="1"/>
  <c r="J562" i="1"/>
  <c r="K562" i="1"/>
  <c r="H563" i="1"/>
  <c r="I563" i="1"/>
  <c r="J563" i="1"/>
  <c r="K563" i="1"/>
  <c r="H564" i="1"/>
  <c r="I564" i="1"/>
  <c r="J564" i="1"/>
  <c r="K564" i="1"/>
  <c r="H565" i="1"/>
  <c r="I565" i="1"/>
  <c r="J565" i="1"/>
  <c r="K565" i="1"/>
  <c r="H566" i="1"/>
  <c r="I566" i="1"/>
  <c r="J566" i="1"/>
  <c r="K566" i="1"/>
  <c r="H567" i="1"/>
  <c r="I567" i="1"/>
  <c r="J567" i="1"/>
  <c r="K567" i="1"/>
  <c r="H568" i="1"/>
  <c r="I568" i="1"/>
  <c r="J568" i="1"/>
  <c r="K568" i="1"/>
  <c r="H569" i="1"/>
  <c r="I569" i="1"/>
  <c r="J569" i="1"/>
  <c r="K569" i="1"/>
  <c r="H570" i="1"/>
  <c r="I570" i="1"/>
  <c r="J570" i="1"/>
  <c r="K570" i="1"/>
  <c r="H571" i="1"/>
  <c r="I571" i="1"/>
  <c r="J571" i="1"/>
  <c r="K571" i="1"/>
  <c r="H572" i="1"/>
  <c r="I572" i="1"/>
  <c r="J572" i="1"/>
  <c r="K572" i="1"/>
  <c r="H573" i="1"/>
  <c r="I573" i="1"/>
  <c r="J573" i="1"/>
  <c r="K573" i="1"/>
  <c r="H574" i="1"/>
  <c r="I574" i="1"/>
  <c r="J574" i="1"/>
  <c r="K574" i="1"/>
  <c r="H575" i="1"/>
  <c r="I575" i="1"/>
  <c r="J575" i="1"/>
  <c r="K575" i="1"/>
  <c r="H576" i="1"/>
  <c r="I576" i="1"/>
  <c r="J576" i="1"/>
  <c r="K576" i="1"/>
  <c r="H577" i="1"/>
  <c r="I577" i="1"/>
  <c r="J577" i="1"/>
  <c r="K577" i="1"/>
  <c r="H578" i="1"/>
  <c r="I578" i="1"/>
  <c r="J578" i="1"/>
  <c r="K578" i="1"/>
  <c r="H579" i="1"/>
  <c r="I579" i="1"/>
  <c r="J579" i="1"/>
  <c r="K579" i="1"/>
  <c r="H580" i="1"/>
  <c r="I580" i="1"/>
  <c r="J580" i="1"/>
  <c r="K580" i="1"/>
  <c r="H581" i="1"/>
  <c r="I581" i="1"/>
  <c r="J581" i="1"/>
  <c r="K581" i="1"/>
  <c r="H582" i="1"/>
  <c r="I582" i="1"/>
  <c r="J582" i="1"/>
  <c r="K582" i="1"/>
  <c r="H583" i="1"/>
  <c r="I583" i="1"/>
  <c r="J583" i="1"/>
  <c r="K583" i="1"/>
  <c r="H584" i="1"/>
  <c r="I584" i="1"/>
  <c r="J584" i="1"/>
  <c r="K584" i="1"/>
  <c r="H585" i="1"/>
  <c r="I585" i="1"/>
  <c r="J585" i="1"/>
  <c r="K585" i="1"/>
  <c r="H586" i="1"/>
  <c r="I586" i="1"/>
  <c r="J586" i="1"/>
  <c r="K586" i="1"/>
  <c r="H587" i="1"/>
  <c r="I587" i="1"/>
  <c r="J587" i="1"/>
  <c r="K587" i="1"/>
  <c r="H588" i="1"/>
  <c r="I588" i="1"/>
  <c r="J588" i="1"/>
  <c r="K588" i="1"/>
  <c r="H589" i="1"/>
  <c r="I589" i="1"/>
  <c r="J589" i="1"/>
  <c r="K589" i="1"/>
  <c r="H590" i="1"/>
  <c r="I590" i="1"/>
  <c r="J590" i="1"/>
  <c r="K590" i="1"/>
  <c r="H591" i="1"/>
  <c r="I591" i="1"/>
  <c r="J591" i="1"/>
  <c r="K591" i="1"/>
  <c r="H592" i="1"/>
  <c r="I592" i="1"/>
  <c r="J592" i="1"/>
  <c r="K592" i="1"/>
  <c r="H593" i="1"/>
  <c r="I593" i="1"/>
  <c r="J593" i="1"/>
  <c r="K593" i="1"/>
  <c r="H594" i="1"/>
  <c r="I594" i="1"/>
  <c r="J594" i="1"/>
  <c r="K594" i="1"/>
  <c r="H595" i="1"/>
  <c r="I595" i="1"/>
  <c r="J595" i="1"/>
  <c r="K595" i="1"/>
  <c r="H596" i="1"/>
  <c r="I596" i="1"/>
  <c r="J596" i="1"/>
  <c r="K596" i="1"/>
  <c r="H597" i="1"/>
  <c r="I597" i="1"/>
  <c r="J597" i="1"/>
  <c r="K597" i="1"/>
  <c r="H598" i="1"/>
  <c r="I598" i="1"/>
  <c r="J598" i="1"/>
  <c r="K598" i="1"/>
  <c r="H599" i="1"/>
  <c r="I599" i="1"/>
  <c r="J599" i="1"/>
  <c r="K599" i="1"/>
  <c r="H600" i="1"/>
  <c r="I600" i="1"/>
  <c r="J600" i="1"/>
  <c r="K600" i="1"/>
  <c r="H601" i="1"/>
  <c r="I601" i="1"/>
  <c r="J601" i="1"/>
  <c r="K601" i="1"/>
  <c r="H602" i="1"/>
  <c r="I602" i="1"/>
  <c r="J602" i="1"/>
  <c r="K602" i="1"/>
  <c r="H603" i="1"/>
  <c r="I603" i="1"/>
  <c r="J603" i="1"/>
  <c r="K603" i="1"/>
  <c r="H604" i="1"/>
  <c r="I604" i="1"/>
  <c r="J604" i="1"/>
  <c r="K604" i="1"/>
  <c r="H605" i="1"/>
  <c r="I605" i="1"/>
  <c r="J605" i="1"/>
  <c r="K605" i="1"/>
  <c r="H606" i="1"/>
  <c r="I606" i="1"/>
  <c r="J606" i="1"/>
  <c r="K606" i="1"/>
  <c r="H607" i="1"/>
  <c r="I607" i="1"/>
  <c r="J607" i="1"/>
  <c r="K607" i="1"/>
  <c r="H608" i="1"/>
  <c r="I608" i="1"/>
  <c r="J608" i="1"/>
  <c r="K608" i="1"/>
  <c r="H609" i="1"/>
  <c r="I609" i="1"/>
  <c r="J609" i="1"/>
  <c r="K609" i="1"/>
  <c r="H610" i="1"/>
  <c r="I610" i="1"/>
  <c r="J610" i="1"/>
  <c r="K610" i="1"/>
  <c r="H611" i="1"/>
  <c r="I611" i="1"/>
  <c r="J611" i="1"/>
  <c r="K611" i="1"/>
  <c r="H612" i="1"/>
  <c r="I612" i="1"/>
  <c r="J612" i="1"/>
  <c r="K612" i="1"/>
  <c r="H613" i="1"/>
  <c r="I613" i="1"/>
  <c r="J613" i="1"/>
  <c r="K613" i="1"/>
  <c r="H614" i="1"/>
  <c r="I614" i="1"/>
  <c r="J614" i="1"/>
  <c r="K614" i="1"/>
  <c r="H615" i="1"/>
  <c r="I615" i="1"/>
  <c r="J615" i="1"/>
  <c r="K615" i="1"/>
  <c r="H616" i="1"/>
  <c r="I616" i="1"/>
  <c r="J616" i="1"/>
  <c r="K616" i="1"/>
  <c r="H617" i="1"/>
  <c r="I617" i="1"/>
  <c r="J617" i="1"/>
  <c r="K617" i="1"/>
  <c r="H618" i="1"/>
  <c r="I618" i="1"/>
  <c r="J618" i="1"/>
  <c r="K618" i="1"/>
  <c r="H619" i="1"/>
  <c r="I619" i="1"/>
  <c r="J619" i="1"/>
  <c r="K619" i="1"/>
  <c r="H620" i="1"/>
  <c r="I620" i="1"/>
  <c r="J620" i="1"/>
  <c r="K620" i="1"/>
  <c r="H621" i="1"/>
  <c r="I621" i="1"/>
  <c r="J621" i="1"/>
  <c r="K621" i="1"/>
  <c r="H622" i="1"/>
  <c r="I622" i="1"/>
  <c r="J622" i="1"/>
  <c r="K622" i="1"/>
  <c r="H623" i="1"/>
  <c r="I623" i="1"/>
  <c r="J623" i="1"/>
  <c r="K623" i="1"/>
  <c r="H624" i="1"/>
  <c r="I624" i="1"/>
  <c r="J624" i="1"/>
  <c r="K624" i="1"/>
  <c r="H625" i="1"/>
  <c r="I625" i="1"/>
  <c r="J625" i="1"/>
  <c r="K625" i="1"/>
  <c r="H626" i="1"/>
  <c r="I626" i="1"/>
  <c r="J626" i="1"/>
  <c r="K626" i="1"/>
  <c r="H627" i="1"/>
  <c r="I627" i="1"/>
  <c r="J627" i="1"/>
  <c r="K627" i="1"/>
  <c r="H628" i="1"/>
  <c r="I628" i="1"/>
  <c r="J628" i="1"/>
  <c r="K628" i="1"/>
  <c r="H629" i="1"/>
  <c r="I629" i="1"/>
  <c r="J629" i="1"/>
  <c r="K629" i="1"/>
  <c r="H630" i="1"/>
  <c r="I630" i="1"/>
  <c r="J630" i="1"/>
  <c r="K630" i="1"/>
  <c r="H631" i="1"/>
  <c r="I631" i="1"/>
  <c r="J631" i="1"/>
  <c r="K631" i="1"/>
  <c r="H632" i="1"/>
  <c r="I632" i="1"/>
  <c r="J632" i="1"/>
  <c r="K632" i="1"/>
  <c r="H633" i="1"/>
  <c r="I633" i="1"/>
  <c r="J633" i="1"/>
  <c r="K633" i="1"/>
  <c r="H634" i="1"/>
  <c r="I634" i="1"/>
  <c r="J634" i="1"/>
  <c r="K634" i="1"/>
  <c r="H635" i="1"/>
  <c r="I635" i="1"/>
  <c r="J635" i="1"/>
  <c r="K635" i="1"/>
  <c r="H636" i="1"/>
  <c r="I636" i="1"/>
  <c r="J636" i="1"/>
  <c r="K636" i="1"/>
  <c r="H637" i="1"/>
  <c r="I637" i="1"/>
  <c r="J637" i="1"/>
  <c r="K637" i="1"/>
  <c r="H638" i="1"/>
  <c r="I638" i="1"/>
  <c r="J638" i="1"/>
  <c r="K638" i="1"/>
  <c r="H639" i="1"/>
  <c r="I639" i="1"/>
  <c r="J639" i="1"/>
  <c r="K639" i="1"/>
  <c r="H640" i="1"/>
  <c r="I640" i="1"/>
  <c r="J640" i="1"/>
  <c r="K640" i="1"/>
  <c r="H641" i="1"/>
  <c r="I641" i="1"/>
  <c r="J641" i="1"/>
  <c r="K641" i="1"/>
  <c r="H642" i="1"/>
  <c r="I642" i="1"/>
  <c r="J642" i="1"/>
  <c r="K642" i="1"/>
  <c r="H643" i="1"/>
  <c r="I643" i="1"/>
  <c r="J643" i="1"/>
  <c r="K643" i="1"/>
  <c r="H644" i="1"/>
  <c r="I644" i="1"/>
  <c r="J644" i="1"/>
  <c r="K644" i="1"/>
  <c r="H645" i="1"/>
  <c r="I645" i="1"/>
  <c r="J645" i="1"/>
  <c r="K645" i="1"/>
  <c r="H646" i="1"/>
  <c r="I646" i="1"/>
  <c r="J646" i="1"/>
  <c r="K646" i="1"/>
  <c r="H647" i="1"/>
  <c r="I647" i="1"/>
  <c r="J647" i="1"/>
  <c r="K647" i="1"/>
  <c r="H648" i="1"/>
  <c r="I648" i="1"/>
  <c r="J648" i="1"/>
  <c r="K648" i="1"/>
  <c r="H649" i="1"/>
  <c r="I649" i="1"/>
  <c r="J649" i="1"/>
  <c r="K649" i="1"/>
  <c r="H650" i="1"/>
  <c r="I650" i="1"/>
  <c r="J650" i="1"/>
  <c r="K650" i="1"/>
  <c r="H651" i="1"/>
  <c r="I651" i="1"/>
  <c r="J651" i="1"/>
  <c r="K651" i="1"/>
  <c r="H652" i="1"/>
  <c r="I652" i="1"/>
  <c r="J652" i="1"/>
  <c r="K652" i="1"/>
  <c r="H653" i="1"/>
  <c r="I653" i="1"/>
  <c r="J653" i="1"/>
  <c r="K653" i="1"/>
  <c r="H654" i="1"/>
  <c r="I654" i="1"/>
  <c r="J654" i="1"/>
  <c r="K654" i="1"/>
  <c r="H655" i="1"/>
  <c r="I655" i="1"/>
  <c r="J655" i="1"/>
  <c r="K655" i="1"/>
  <c r="H656" i="1"/>
  <c r="I656" i="1"/>
  <c r="J656" i="1"/>
  <c r="K656" i="1"/>
  <c r="H657" i="1"/>
  <c r="I657" i="1"/>
  <c r="J657" i="1"/>
  <c r="K657" i="1"/>
  <c r="H658" i="1"/>
  <c r="I658" i="1"/>
  <c r="J658" i="1"/>
  <c r="K658" i="1"/>
  <c r="H659" i="1"/>
  <c r="I659" i="1"/>
  <c r="J659" i="1"/>
  <c r="K659" i="1"/>
  <c r="H660" i="1"/>
  <c r="I660" i="1"/>
  <c r="J660" i="1"/>
  <c r="K660" i="1"/>
  <c r="H661" i="1"/>
  <c r="I661" i="1"/>
  <c r="J661" i="1"/>
  <c r="K661" i="1"/>
  <c r="H662" i="1"/>
  <c r="I662" i="1"/>
  <c r="J662" i="1"/>
  <c r="K662" i="1"/>
  <c r="H663" i="1"/>
  <c r="I663" i="1"/>
  <c r="J663" i="1"/>
  <c r="K663" i="1"/>
  <c r="H664" i="1"/>
  <c r="I664" i="1"/>
  <c r="J664" i="1"/>
  <c r="K664" i="1"/>
  <c r="H665" i="1"/>
  <c r="I665" i="1"/>
  <c r="J665" i="1"/>
  <c r="K665" i="1"/>
  <c r="H666" i="1"/>
  <c r="I666" i="1"/>
  <c r="J666" i="1"/>
  <c r="K666" i="1"/>
  <c r="H667" i="1"/>
  <c r="I667" i="1"/>
  <c r="J667" i="1"/>
  <c r="K667" i="1"/>
  <c r="H668" i="1"/>
  <c r="I668" i="1"/>
  <c r="J668" i="1"/>
  <c r="K668" i="1"/>
  <c r="H669" i="1"/>
  <c r="I669" i="1"/>
  <c r="J669" i="1"/>
  <c r="K669" i="1"/>
  <c r="H670" i="1"/>
  <c r="I670" i="1"/>
  <c r="J670" i="1"/>
  <c r="K670" i="1"/>
  <c r="H671" i="1"/>
  <c r="I671" i="1"/>
  <c r="J671" i="1"/>
  <c r="K671" i="1"/>
  <c r="H672" i="1"/>
  <c r="I672" i="1"/>
  <c r="J672" i="1"/>
  <c r="K672" i="1"/>
  <c r="H673" i="1"/>
  <c r="I673" i="1"/>
  <c r="J673" i="1"/>
  <c r="K673" i="1"/>
  <c r="H674" i="1"/>
  <c r="I674" i="1"/>
  <c r="J674" i="1"/>
  <c r="K674" i="1"/>
  <c r="H675" i="1"/>
  <c r="I675" i="1"/>
  <c r="J675" i="1"/>
  <c r="K675" i="1"/>
  <c r="H676" i="1"/>
  <c r="I676" i="1"/>
  <c r="J676" i="1"/>
  <c r="K676" i="1"/>
  <c r="H677" i="1"/>
  <c r="I677" i="1"/>
  <c r="J677" i="1"/>
  <c r="K677" i="1"/>
  <c r="H678" i="1"/>
  <c r="I678" i="1"/>
  <c r="J678" i="1"/>
  <c r="K678" i="1"/>
  <c r="H679" i="1"/>
  <c r="I679" i="1"/>
  <c r="J679" i="1"/>
  <c r="K679" i="1"/>
  <c r="H680" i="1"/>
  <c r="I680" i="1"/>
  <c r="J680" i="1"/>
  <c r="K680" i="1"/>
  <c r="H681" i="1"/>
  <c r="I681" i="1"/>
  <c r="J681" i="1"/>
  <c r="K681" i="1"/>
  <c r="H682" i="1"/>
  <c r="I682" i="1"/>
  <c r="J682" i="1"/>
  <c r="K682" i="1"/>
  <c r="H683" i="1"/>
  <c r="I683" i="1"/>
  <c r="J683" i="1"/>
  <c r="K683" i="1"/>
  <c r="H684" i="1"/>
  <c r="I684" i="1"/>
  <c r="J684" i="1"/>
  <c r="K684" i="1"/>
  <c r="H685" i="1"/>
  <c r="I685" i="1"/>
  <c r="J685" i="1"/>
  <c r="K685" i="1"/>
  <c r="H686" i="1"/>
  <c r="I686" i="1"/>
  <c r="J686" i="1"/>
  <c r="K686" i="1"/>
  <c r="H687" i="1"/>
  <c r="I687" i="1"/>
  <c r="J687" i="1"/>
  <c r="K687" i="1"/>
  <c r="H688" i="1"/>
  <c r="I688" i="1"/>
  <c r="J688" i="1"/>
  <c r="K688" i="1"/>
  <c r="H689" i="1"/>
  <c r="I689" i="1"/>
  <c r="J689" i="1"/>
  <c r="K689" i="1"/>
  <c r="H690" i="1"/>
  <c r="I690" i="1"/>
  <c r="J690" i="1"/>
  <c r="K690" i="1"/>
  <c r="H691" i="1"/>
  <c r="I691" i="1"/>
  <c r="J691" i="1"/>
  <c r="K691" i="1"/>
  <c r="H692" i="1"/>
  <c r="I692" i="1"/>
  <c r="J692" i="1"/>
  <c r="K692" i="1"/>
  <c r="H693" i="1"/>
  <c r="I693" i="1"/>
  <c r="J693" i="1"/>
  <c r="K693" i="1"/>
  <c r="H694" i="1"/>
  <c r="I694" i="1"/>
  <c r="J694" i="1"/>
  <c r="K694" i="1"/>
  <c r="H695" i="1"/>
  <c r="I695" i="1"/>
  <c r="J695" i="1"/>
  <c r="K695" i="1"/>
  <c r="H696" i="1"/>
  <c r="I696" i="1"/>
  <c r="J696" i="1"/>
  <c r="K696" i="1"/>
  <c r="H697" i="1"/>
  <c r="I697" i="1"/>
  <c r="J697" i="1"/>
  <c r="K697" i="1"/>
  <c r="H698" i="1"/>
  <c r="I698" i="1"/>
  <c r="J698" i="1"/>
  <c r="K698" i="1"/>
  <c r="H699" i="1"/>
  <c r="I699" i="1"/>
  <c r="J699" i="1"/>
  <c r="K699" i="1"/>
  <c r="H700" i="1"/>
  <c r="I700" i="1"/>
  <c r="J700" i="1"/>
  <c r="K700" i="1"/>
  <c r="H701" i="1"/>
  <c r="I701" i="1"/>
  <c r="J701" i="1"/>
  <c r="K701" i="1"/>
  <c r="H702" i="1"/>
  <c r="I702" i="1"/>
  <c r="J702" i="1"/>
  <c r="K702" i="1"/>
  <c r="H703" i="1"/>
  <c r="I703" i="1"/>
  <c r="J703" i="1"/>
  <c r="K703" i="1"/>
  <c r="H704" i="1"/>
  <c r="I704" i="1"/>
  <c r="J704" i="1"/>
  <c r="K704" i="1"/>
  <c r="H705" i="1"/>
  <c r="I705" i="1"/>
  <c r="J705" i="1"/>
  <c r="K705" i="1"/>
  <c r="H706" i="1"/>
  <c r="I706" i="1"/>
  <c r="J706" i="1"/>
  <c r="K706" i="1"/>
  <c r="H707" i="1"/>
  <c r="I707" i="1"/>
  <c r="J707" i="1"/>
  <c r="K707" i="1"/>
  <c r="H708" i="1"/>
  <c r="I708" i="1"/>
  <c r="J708" i="1"/>
  <c r="K708" i="1"/>
  <c r="H709" i="1"/>
  <c r="I709" i="1"/>
  <c r="J709" i="1"/>
  <c r="K709" i="1"/>
  <c r="H710" i="1"/>
  <c r="I710" i="1"/>
  <c r="J710" i="1"/>
  <c r="K710" i="1"/>
  <c r="H711" i="1"/>
  <c r="I711" i="1"/>
  <c r="J711" i="1"/>
  <c r="K711" i="1"/>
  <c r="H712" i="1"/>
  <c r="I712" i="1"/>
  <c r="J712" i="1"/>
  <c r="K712" i="1"/>
  <c r="H713" i="1"/>
  <c r="I713" i="1"/>
  <c r="J713" i="1"/>
  <c r="K713" i="1"/>
  <c r="H714" i="1"/>
  <c r="I714" i="1"/>
  <c r="J714" i="1"/>
  <c r="K714" i="1"/>
  <c r="H715" i="1"/>
  <c r="I715" i="1"/>
  <c r="J715" i="1"/>
  <c r="K715" i="1"/>
  <c r="H716" i="1"/>
  <c r="I716" i="1"/>
  <c r="J716" i="1"/>
  <c r="K716" i="1"/>
  <c r="H717" i="1"/>
  <c r="I717" i="1"/>
  <c r="J717" i="1"/>
  <c r="K717" i="1"/>
  <c r="H718" i="1"/>
  <c r="I718" i="1"/>
  <c r="J718" i="1"/>
  <c r="K718" i="1"/>
  <c r="H719" i="1"/>
  <c r="I719" i="1"/>
  <c r="J719" i="1"/>
  <c r="K719" i="1"/>
  <c r="H720" i="1"/>
  <c r="I720" i="1"/>
  <c r="J720" i="1"/>
  <c r="K720" i="1"/>
  <c r="H721" i="1"/>
  <c r="I721" i="1"/>
  <c r="J721" i="1"/>
  <c r="K721" i="1"/>
  <c r="H722" i="1"/>
  <c r="I722" i="1"/>
  <c r="J722" i="1"/>
  <c r="K722" i="1"/>
  <c r="H723" i="1"/>
  <c r="I723" i="1"/>
  <c r="J723" i="1"/>
  <c r="K723" i="1"/>
  <c r="H724" i="1"/>
  <c r="I724" i="1"/>
  <c r="J724" i="1"/>
  <c r="K724" i="1"/>
  <c r="H725" i="1"/>
  <c r="I725" i="1"/>
  <c r="J725" i="1"/>
  <c r="K725" i="1"/>
  <c r="H726" i="1"/>
  <c r="I726" i="1"/>
  <c r="J726" i="1"/>
  <c r="K726" i="1"/>
  <c r="H727" i="1"/>
  <c r="I727" i="1"/>
  <c r="J727" i="1"/>
  <c r="K727" i="1"/>
  <c r="H728" i="1"/>
  <c r="I728" i="1"/>
  <c r="J728" i="1"/>
  <c r="K728" i="1"/>
  <c r="H729" i="1"/>
  <c r="I729" i="1"/>
  <c r="J729" i="1"/>
  <c r="K729" i="1"/>
  <c r="H730" i="1"/>
  <c r="I730" i="1"/>
  <c r="J730" i="1"/>
  <c r="K730" i="1"/>
  <c r="H731" i="1"/>
  <c r="I731" i="1"/>
  <c r="J731" i="1"/>
  <c r="K731" i="1"/>
  <c r="H732" i="1"/>
  <c r="I732" i="1"/>
  <c r="J732" i="1"/>
  <c r="K732" i="1"/>
  <c r="H733" i="1"/>
  <c r="I733" i="1"/>
  <c r="J733" i="1"/>
  <c r="K733" i="1"/>
  <c r="H734" i="1"/>
  <c r="I734" i="1"/>
  <c r="J734" i="1"/>
  <c r="K734" i="1"/>
  <c r="H735" i="1"/>
  <c r="I735" i="1"/>
  <c r="J735" i="1"/>
  <c r="K735" i="1"/>
  <c r="H736" i="1"/>
  <c r="I736" i="1"/>
  <c r="J736" i="1"/>
  <c r="K736" i="1"/>
  <c r="H737" i="1"/>
  <c r="I737" i="1"/>
  <c r="J737" i="1"/>
  <c r="K737" i="1"/>
  <c r="H738" i="1"/>
  <c r="I738" i="1"/>
  <c r="J738" i="1"/>
  <c r="K738" i="1"/>
  <c r="H739" i="1"/>
  <c r="I739" i="1"/>
  <c r="J739" i="1"/>
  <c r="K739" i="1"/>
  <c r="H740" i="1"/>
  <c r="I740" i="1"/>
  <c r="J740" i="1"/>
  <c r="K740" i="1"/>
  <c r="H741" i="1"/>
  <c r="I741" i="1"/>
  <c r="J741" i="1"/>
  <c r="K741" i="1"/>
  <c r="H742" i="1"/>
  <c r="I742" i="1"/>
  <c r="J742" i="1"/>
  <c r="K742" i="1"/>
  <c r="H743" i="1"/>
  <c r="I743" i="1"/>
  <c r="J743" i="1"/>
  <c r="K743" i="1"/>
  <c r="H744" i="1"/>
  <c r="I744" i="1"/>
  <c r="J744" i="1"/>
  <c r="K744" i="1"/>
  <c r="H745" i="1"/>
  <c r="I745" i="1"/>
  <c r="J745" i="1"/>
  <c r="K745" i="1"/>
  <c r="H746" i="1"/>
  <c r="I746" i="1"/>
  <c r="J746" i="1"/>
  <c r="K746" i="1"/>
  <c r="H747" i="1"/>
  <c r="I747" i="1"/>
  <c r="J747" i="1"/>
  <c r="K747" i="1"/>
  <c r="H748" i="1"/>
  <c r="I748" i="1"/>
  <c r="J748" i="1"/>
  <c r="K748" i="1"/>
  <c r="H749" i="1"/>
  <c r="I749" i="1"/>
  <c r="J749" i="1"/>
  <c r="K749" i="1"/>
  <c r="H750" i="1"/>
  <c r="I750" i="1"/>
  <c r="J750" i="1"/>
  <c r="K750" i="1"/>
  <c r="H751" i="1"/>
  <c r="I751" i="1"/>
  <c r="J751" i="1"/>
  <c r="K751" i="1"/>
  <c r="H752" i="1"/>
  <c r="I752" i="1"/>
  <c r="J752" i="1"/>
  <c r="K752" i="1"/>
  <c r="H753" i="1"/>
  <c r="I753" i="1"/>
  <c r="J753" i="1"/>
  <c r="K753" i="1"/>
  <c r="H754" i="1"/>
  <c r="I754" i="1"/>
  <c r="J754" i="1"/>
  <c r="K754" i="1"/>
  <c r="H755" i="1"/>
  <c r="I755" i="1"/>
  <c r="J755" i="1"/>
  <c r="K755" i="1"/>
  <c r="H756" i="1"/>
  <c r="I756" i="1"/>
  <c r="J756" i="1"/>
  <c r="K756" i="1"/>
  <c r="H757" i="1"/>
  <c r="I757" i="1"/>
  <c r="J757" i="1"/>
  <c r="K757" i="1"/>
  <c r="H758" i="1"/>
  <c r="I758" i="1"/>
  <c r="J758" i="1"/>
  <c r="K758" i="1"/>
  <c r="H759" i="1"/>
  <c r="I759" i="1"/>
  <c r="J759" i="1"/>
  <c r="K759" i="1"/>
  <c r="H760" i="1"/>
  <c r="I760" i="1"/>
  <c r="J760" i="1"/>
  <c r="K760" i="1"/>
  <c r="H761" i="1"/>
  <c r="I761" i="1"/>
  <c r="J761" i="1"/>
  <c r="K761" i="1"/>
  <c r="H762" i="1"/>
  <c r="I762" i="1"/>
  <c r="J762" i="1"/>
  <c r="K762" i="1"/>
  <c r="H763" i="1"/>
  <c r="I763" i="1"/>
  <c r="J763" i="1"/>
  <c r="K763" i="1"/>
  <c r="H764" i="1"/>
  <c r="I764" i="1"/>
  <c r="J764" i="1"/>
  <c r="K764" i="1"/>
  <c r="H765" i="1"/>
  <c r="I765" i="1"/>
  <c r="J765" i="1"/>
  <c r="K765" i="1"/>
  <c r="H766" i="1"/>
  <c r="I766" i="1"/>
  <c r="J766" i="1"/>
  <c r="K766" i="1"/>
  <c r="H767" i="1"/>
  <c r="I767" i="1"/>
  <c r="J767" i="1"/>
  <c r="K767" i="1"/>
  <c r="H768" i="1"/>
  <c r="I768" i="1"/>
  <c r="J768" i="1"/>
  <c r="K768" i="1"/>
  <c r="H769" i="1"/>
  <c r="I769" i="1"/>
  <c r="J769" i="1"/>
  <c r="K769" i="1"/>
  <c r="H770" i="1"/>
  <c r="I770" i="1"/>
  <c r="J770" i="1"/>
  <c r="K770" i="1"/>
  <c r="H771" i="1"/>
  <c r="I771" i="1"/>
  <c r="J771" i="1"/>
  <c r="K771" i="1"/>
  <c r="H772" i="1"/>
  <c r="I772" i="1"/>
  <c r="J772" i="1"/>
  <c r="K772" i="1"/>
  <c r="H773" i="1"/>
  <c r="I773" i="1"/>
  <c r="J773" i="1"/>
  <c r="K773" i="1"/>
  <c r="H774" i="1"/>
  <c r="I774" i="1"/>
  <c r="J774" i="1"/>
  <c r="K774" i="1"/>
  <c r="H775" i="1"/>
  <c r="I775" i="1"/>
  <c r="J775" i="1"/>
  <c r="K775" i="1"/>
  <c r="H776" i="1"/>
  <c r="I776" i="1"/>
  <c r="J776" i="1"/>
  <c r="K776" i="1"/>
  <c r="H777" i="1"/>
  <c r="I777" i="1"/>
  <c r="J777" i="1"/>
  <c r="K777" i="1"/>
  <c r="H778" i="1"/>
  <c r="I778" i="1"/>
  <c r="J778" i="1"/>
  <c r="K778" i="1"/>
  <c r="H779" i="1"/>
  <c r="I779" i="1"/>
  <c r="J779" i="1"/>
  <c r="K779" i="1"/>
  <c r="H780" i="1"/>
  <c r="I780" i="1"/>
  <c r="J780" i="1"/>
  <c r="K780" i="1"/>
  <c r="H781" i="1"/>
  <c r="I781" i="1"/>
  <c r="J781" i="1"/>
  <c r="K781" i="1"/>
  <c r="H782" i="1"/>
  <c r="I782" i="1"/>
  <c r="J782" i="1"/>
  <c r="K782" i="1"/>
  <c r="H783" i="1"/>
  <c r="I783" i="1"/>
  <c r="J783" i="1"/>
  <c r="K783" i="1"/>
  <c r="H784" i="1"/>
  <c r="I784" i="1"/>
  <c r="J784" i="1"/>
  <c r="K784" i="1"/>
  <c r="H785" i="1"/>
  <c r="I785" i="1"/>
  <c r="J785" i="1"/>
  <c r="K785" i="1"/>
  <c r="H786" i="1"/>
  <c r="I786" i="1"/>
  <c r="J786" i="1"/>
  <c r="K786" i="1"/>
  <c r="H787" i="1"/>
  <c r="I787" i="1"/>
  <c r="J787" i="1"/>
  <c r="K787" i="1"/>
  <c r="H788" i="1"/>
  <c r="I788" i="1"/>
  <c r="J788" i="1"/>
  <c r="K788" i="1"/>
  <c r="H789" i="1"/>
  <c r="I789" i="1"/>
  <c r="J789" i="1"/>
  <c r="K789" i="1"/>
  <c r="H790" i="1"/>
  <c r="I790" i="1"/>
  <c r="J790" i="1"/>
  <c r="K790" i="1"/>
  <c r="H791" i="1"/>
  <c r="I791" i="1"/>
  <c r="J791" i="1"/>
  <c r="K791" i="1"/>
  <c r="H792" i="1"/>
  <c r="I792" i="1"/>
  <c r="J792" i="1"/>
  <c r="K792" i="1"/>
  <c r="H793" i="1"/>
  <c r="I793" i="1"/>
  <c r="J793" i="1"/>
  <c r="K793" i="1"/>
  <c r="H794" i="1"/>
  <c r="I794" i="1"/>
  <c r="J794" i="1"/>
  <c r="K794" i="1"/>
  <c r="H795" i="1"/>
  <c r="I795" i="1"/>
  <c r="J795" i="1"/>
  <c r="K795" i="1"/>
  <c r="H796" i="1"/>
  <c r="I796" i="1"/>
  <c r="J796" i="1"/>
  <c r="K796" i="1"/>
  <c r="H797" i="1"/>
  <c r="I797" i="1"/>
  <c r="J797" i="1"/>
  <c r="K797" i="1"/>
  <c r="H798" i="1"/>
  <c r="I798" i="1"/>
  <c r="J798" i="1"/>
  <c r="K798" i="1"/>
  <c r="H799" i="1"/>
  <c r="I799" i="1"/>
  <c r="J799" i="1"/>
  <c r="K799" i="1"/>
  <c r="H800" i="1"/>
  <c r="I800" i="1"/>
  <c r="J800" i="1"/>
  <c r="K800" i="1"/>
  <c r="H801" i="1"/>
  <c r="I801" i="1"/>
  <c r="J801" i="1"/>
  <c r="K801" i="1"/>
  <c r="H802" i="1"/>
  <c r="I802" i="1"/>
  <c r="J802" i="1"/>
  <c r="K802" i="1"/>
  <c r="H803" i="1"/>
  <c r="I803" i="1"/>
  <c r="J803" i="1"/>
  <c r="K803" i="1"/>
  <c r="H804" i="1"/>
  <c r="I804" i="1"/>
  <c r="J804" i="1"/>
  <c r="K804" i="1"/>
  <c r="H805" i="1"/>
  <c r="I805" i="1"/>
  <c r="J805" i="1"/>
  <c r="K805" i="1"/>
  <c r="H806" i="1"/>
  <c r="I806" i="1"/>
  <c r="J806" i="1"/>
  <c r="K806" i="1"/>
  <c r="H807" i="1"/>
  <c r="I807" i="1"/>
  <c r="J807" i="1"/>
  <c r="K807" i="1"/>
  <c r="H808" i="1"/>
  <c r="I808" i="1"/>
  <c r="J808" i="1"/>
  <c r="K808" i="1"/>
  <c r="H809" i="1"/>
  <c r="I809" i="1"/>
  <c r="J809" i="1"/>
  <c r="K809" i="1"/>
  <c r="H810" i="1"/>
  <c r="I810" i="1"/>
  <c r="J810" i="1"/>
  <c r="K810" i="1"/>
  <c r="H811" i="1"/>
  <c r="I811" i="1"/>
  <c r="J811" i="1"/>
  <c r="K811" i="1"/>
  <c r="H812" i="1"/>
  <c r="I812" i="1"/>
  <c r="J812" i="1"/>
  <c r="K812" i="1"/>
  <c r="H813" i="1"/>
  <c r="I813" i="1"/>
  <c r="J813" i="1"/>
  <c r="K813" i="1"/>
  <c r="H814" i="1"/>
  <c r="I814" i="1"/>
  <c r="J814" i="1"/>
  <c r="K814" i="1"/>
  <c r="H815" i="1"/>
  <c r="I815" i="1"/>
  <c r="J815" i="1"/>
  <c r="K815" i="1"/>
  <c r="H816" i="1"/>
  <c r="I816" i="1"/>
  <c r="J816" i="1"/>
  <c r="K816" i="1"/>
  <c r="H817" i="1"/>
  <c r="I817" i="1"/>
  <c r="J817" i="1"/>
  <c r="K817" i="1"/>
  <c r="H818" i="1"/>
  <c r="I818" i="1"/>
  <c r="J818" i="1"/>
  <c r="K818" i="1"/>
  <c r="H819" i="1"/>
  <c r="I819" i="1"/>
  <c r="J819" i="1"/>
  <c r="K819" i="1"/>
  <c r="H820" i="1"/>
  <c r="I820" i="1"/>
  <c r="J820" i="1"/>
  <c r="K820" i="1"/>
  <c r="H821" i="1"/>
  <c r="I821" i="1"/>
  <c r="J821" i="1"/>
  <c r="K821" i="1"/>
  <c r="H822" i="1"/>
  <c r="I822" i="1"/>
  <c r="J822" i="1"/>
  <c r="K822" i="1"/>
  <c r="H823" i="1"/>
  <c r="I823" i="1"/>
  <c r="J823" i="1"/>
  <c r="K823" i="1"/>
  <c r="H824" i="1"/>
  <c r="I824" i="1"/>
  <c r="J824" i="1"/>
  <c r="K824" i="1"/>
  <c r="H825" i="1"/>
  <c r="I825" i="1"/>
  <c r="J825" i="1"/>
  <c r="K825" i="1"/>
  <c r="H826" i="1"/>
  <c r="I826" i="1"/>
  <c r="J826" i="1"/>
  <c r="K826" i="1"/>
  <c r="H827" i="1"/>
  <c r="I827" i="1"/>
  <c r="J827" i="1"/>
  <c r="K827" i="1"/>
  <c r="H828" i="1"/>
  <c r="I828" i="1"/>
  <c r="J828" i="1"/>
  <c r="K828" i="1"/>
  <c r="H829" i="1"/>
  <c r="I829" i="1"/>
  <c r="J829" i="1"/>
  <c r="K829" i="1"/>
  <c r="H830" i="1"/>
  <c r="I830" i="1"/>
  <c r="J830" i="1"/>
  <c r="K830" i="1"/>
  <c r="H831" i="1"/>
  <c r="I831" i="1"/>
  <c r="J831" i="1"/>
  <c r="K831" i="1"/>
  <c r="H832" i="1"/>
  <c r="I832" i="1"/>
  <c r="J832" i="1"/>
  <c r="K832" i="1"/>
  <c r="H833" i="1"/>
  <c r="I833" i="1"/>
  <c r="J833" i="1"/>
  <c r="K833" i="1"/>
  <c r="H834" i="1"/>
  <c r="I834" i="1"/>
  <c r="J834" i="1"/>
  <c r="K834" i="1"/>
  <c r="H835" i="1"/>
  <c r="I835" i="1"/>
  <c r="J835" i="1"/>
  <c r="K835" i="1"/>
  <c r="H836" i="1"/>
  <c r="I836" i="1"/>
  <c r="J836" i="1"/>
  <c r="K836" i="1"/>
  <c r="H837" i="1"/>
  <c r="I837" i="1"/>
  <c r="J837" i="1"/>
  <c r="K837" i="1"/>
  <c r="H838" i="1"/>
  <c r="I838" i="1"/>
  <c r="J838" i="1"/>
  <c r="K838" i="1"/>
  <c r="H839" i="1"/>
  <c r="I839" i="1"/>
  <c r="J839" i="1"/>
  <c r="K839" i="1"/>
  <c r="H840" i="1"/>
  <c r="I840" i="1"/>
  <c r="J840" i="1"/>
  <c r="K840" i="1"/>
  <c r="H841" i="1"/>
  <c r="I841" i="1"/>
  <c r="J841" i="1"/>
  <c r="K841" i="1"/>
  <c r="H842" i="1"/>
  <c r="I842" i="1"/>
  <c r="J842" i="1"/>
  <c r="K842" i="1"/>
  <c r="H843" i="1"/>
  <c r="I843" i="1"/>
  <c r="J843" i="1"/>
  <c r="K843" i="1"/>
  <c r="H844" i="1"/>
  <c r="I844" i="1"/>
  <c r="J844" i="1"/>
  <c r="K844" i="1"/>
  <c r="H845" i="1"/>
  <c r="I845" i="1"/>
  <c r="J845" i="1"/>
  <c r="K845" i="1"/>
  <c r="H846" i="1"/>
  <c r="I846" i="1"/>
  <c r="J846" i="1"/>
  <c r="K846" i="1"/>
  <c r="H847" i="1"/>
  <c r="I847" i="1"/>
  <c r="J847" i="1"/>
  <c r="K847" i="1"/>
  <c r="H848" i="1"/>
  <c r="I848" i="1"/>
  <c r="J848" i="1"/>
  <c r="K848" i="1"/>
  <c r="H849" i="1"/>
  <c r="I849" i="1"/>
  <c r="J849" i="1"/>
  <c r="K849" i="1"/>
  <c r="H850" i="1"/>
  <c r="I850" i="1"/>
  <c r="J850" i="1"/>
  <c r="K850" i="1"/>
  <c r="H851" i="1"/>
  <c r="I851" i="1"/>
  <c r="J851" i="1"/>
  <c r="K851" i="1"/>
  <c r="H852" i="1"/>
  <c r="I852" i="1"/>
  <c r="J852" i="1"/>
  <c r="K852" i="1"/>
  <c r="H853" i="1"/>
  <c r="I853" i="1"/>
  <c r="J853" i="1"/>
  <c r="K853" i="1"/>
  <c r="H854" i="1"/>
  <c r="I854" i="1"/>
  <c r="J854" i="1"/>
  <c r="K854" i="1"/>
  <c r="H855" i="1"/>
  <c r="I855" i="1"/>
  <c r="J855" i="1"/>
  <c r="K855" i="1"/>
  <c r="H856" i="1"/>
  <c r="I856" i="1"/>
  <c r="J856" i="1"/>
  <c r="K856" i="1"/>
  <c r="H857" i="1"/>
  <c r="I857" i="1"/>
  <c r="J857" i="1"/>
  <c r="K857" i="1"/>
  <c r="H858" i="1"/>
  <c r="I858" i="1"/>
  <c r="J858" i="1"/>
  <c r="K858" i="1"/>
  <c r="H859" i="1"/>
  <c r="I859" i="1"/>
  <c r="J859" i="1"/>
  <c r="K859" i="1"/>
  <c r="H860" i="1"/>
  <c r="I860" i="1"/>
  <c r="J860" i="1"/>
  <c r="K860" i="1"/>
  <c r="H861" i="1"/>
  <c r="I861" i="1"/>
  <c r="J861" i="1"/>
  <c r="K861" i="1"/>
  <c r="H862" i="1"/>
  <c r="I862" i="1"/>
  <c r="J862" i="1"/>
  <c r="K862" i="1"/>
  <c r="H863" i="1"/>
  <c r="I863" i="1"/>
  <c r="J863" i="1"/>
  <c r="K863" i="1"/>
  <c r="H864" i="1"/>
  <c r="I864" i="1"/>
  <c r="J864" i="1"/>
  <c r="K864" i="1"/>
  <c r="H865" i="1"/>
  <c r="I865" i="1"/>
  <c r="J865" i="1"/>
  <c r="K865" i="1"/>
  <c r="H866" i="1"/>
  <c r="I866" i="1"/>
  <c r="J866" i="1"/>
  <c r="K866" i="1"/>
  <c r="H867" i="1"/>
  <c r="I867" i="1"/>
  <c r="J867" i="1"/>
  <c r="K867" i="1"/>
  <c r="H868" i="1"/>
  <c r="I868" i="1"/>
  <c r="J868" i="1"/>
  <c r="K868" i="1"/>
  <c r="H869" i="1"/>
  <c r="I869" i="1"/>
  <c r="J869" i="1"/>
  <c r="K869" i="1"/>
  <c r="H870" i="1"/>
  <c r="I870" i="1"/>
  <c r="J870" i="1"/>
  <c r="K870" i="1"/>
  <c r="H871" i="1"/>
  <c r="I871" i="1"/>
  <c r="J871" i="1"/>
  <c r="K871" i="1"/>
  <c r="H872" i="1"/>
  <c r="I872" i="1"/>
  <c r="J872" i="1"/>
  <c r="K872" i="1"/>
  <c r="H873" i="1"/>
  <c r="I873" i="1"/>
  <c r="J873" i="1"/>
  <c r="K873" i="1"/>
  <c r="H874" i="1"/>
  <c r="I874" i="1"/>
  <c r="J874" i="1"/>
  <c r="K874" i="1"/>
  <c r="H875" i="1"/>
  <c r="I875" i="1"/>
  <c r="J875" i="1"/>
  <c r="K875" i="1"/>
  <c r="H876" i="1"/>
  <c r="I876" i="1"/>
  <c r="J876" i="1"/>
  <c r="K876" i="1"/>
  <c r="H877" i="1"/>
  <c r="I877" i="1"/>
  <c r="J877" i="1"/>
  <c r="K877" i="1"/>
  <c r="H878" i="1"/>
  <c r="I878" i="1"/>
  <c r="J878" i="1"/>
  <c r="K878" i="1"/>
  <c r="H879" i="1"/>
  <c r="I879" i="1"/>
  <c r="J879" i="1"/>
  <c r="K879" i="1"/>
  <c r="H880" i="1"/>
  <c r="I880" i="1"/>
  <c r="J880" i="1"/>
  <c r="K880" i="1"/>
  <c r="H881" i="1"/>
  <c r="I881" i="1"/>
  <c r="J881" i="1"/>
  <c r="K881" i="1"/>
  <c r="H882" i="1"/>
  <c r="I882" i="1"/>
  <c r="J882" i="1"/>
  <c r="K882" i="1"/>
  <c r="H883" i="1"/>
  <c r="I883" i="1"/>
  <c r="J883" i="1"/>
  <c r="K883" i="1"/>
  <c r="H884" i="1"/>
  <c r="I884" i="1"/>
  <c r="J884" i="1"/>
  <c r="K884" i="1"/>
  <c r="H885" i="1"/>
  <c r="I885" i="1"/>
  <c r="J885" i="1"/>
  <c r="K885" i="1"/>
  <c r="H886" i="1"/>
  <c r="I886" i="1"/>
  <c r="J886" i="1"/>
  <c r="K886" i="1"/>
  <c r="H887" i="1"/>
  <c r="I887" i="1"/>
  <c r="J887" i="1"/>
  <c r="K887" i="1"/>
  <c r="H888" i="1"/>
  <c r="I888" i="1"/>
  <c r="J888" i="1"/>
  <c r="K888" i="1"/>
  <c r="H889" i="1"/>
  <c r="I889" i="1"/>
  <c r="J889" i="1"/>
  <c r="K889" i="1"/>
  <c r="H890" i="1"/>
  <c r="I890" i="1"/>
  <c r="J890" i="1"/>
  <c r="K890" i="1"/>
  <c r="H891" i="1"/>
  <c r="I891" i="1"/>
  <c r="J891" i="1"/>
  <c r="K891" i="1"/>
  <c r="H892" i="1"/>
  <c r="I892" i="1"/>
  <c r="J892" i="1"/>
  <c r="K892" i="1"/>
  <c r="H893" i="1"/>
  <c r="I893" i="1"/>
  <c r="J893" i="1"/>
  <c r="K893" i="1"/>
  <c r="H894" i="1"/>
  <c r="I894" i="1"/>
  <c r="J894" i="1"/>
  <c r="K894" i="1"/>
  <c r="H895" i="1"/>
  <c r="I895" i="1"/>
  <c r="J895" i="1"/>
  <c r="K895" i="1"/>
  <c r="H896" i="1"/>
  <c r="I896" i="1"/>
  <c r="J896" i="1"/>
  <c r="K896" i="1"/>
  <c r="H897" i="1"/>
  <c r="I897" i="1"/>
  <c r="J897" i="1"/>
  <c r="K897" i="1"/>
  <c r="H898" i="1"/>
  <c r="I898" i="1"/>
  <c r="J898" i="1"/>
  <c r="K898" i="1"/>
  <c r="H899" i="1"/>
  <c r="I899" i="1"/>
  <c r="J899" i="1"/>
  <c r="K899" i="1"/>
  <c r="H900" i="1"/>
  <c r="I900" i="1"/>
  <c r="J900" i="1"/>
  <c r="K900" i="1"/>
  <c r="H901" i="1"/>
  <c r="I901" i="1"/>
  <c r="J901" i="1"/>
  <c r="K901" i="1"/>
  <c r="H902" i="1"/>
  <c r="I902" i="1"/>
  <c r="J902" i="1"/>
  <c r="K902" i="1"/>
  <c r="H903" i="1"/>
  <c r="I903" i="1"/>
  <c r="J903" i="1"/>
  <c r="K903" i="1"/>
  <c r="H904" i="1"/>
  <c r="I904" i="1"/>
  <c r="J904" i="1"/>
  <c r="K904" i="1"/>
  <c r="H905" i="1"/>
  <c r="I905" i="1"/>
  <c r="J905" i="1"/>
  <c r="K905" i="1"/>
  <c r="H906" i="1"/>
  <c r="I906" i="1"/>
  <c r="J906" i="1"/>
  <c r="K906" i="1"/>
  <c r="H907" i="1"/>
  <c r="I907" i="1"/>
  <c r="J907" i="1"/>
  <c r="K907" i="1"/>
  <c r="H908" i="1"/>
  <c r="I908" i="1"/>
  <c r="J908" i="1"/>
  <c r="K908" i="1"/>
  <c r="H909" i="1"/>
  <c r="I909" i="1"/>
  <c r="J909" i="1"/>
  <c r="K909" i="1"/>
  <c r="H910" i="1"/>
  <c r="I910" i="1"/>
  <c r="J910" i="1"/>
  <c r="K910" i="1"/>
  <c r="H911" i="1"/>
  <c r="I911" i="1"/>
  <c r="J911" i="1"/>
  <c r="K911" i="1"/>
  <c r="H912" i="1"/>
  <c r="I912" i="1"/>
  <c r="J912" i="1"/>
  <c r="K912" i="1"/>
  <c r="H913" i="1"/>
  <c r="I913" i="1"/>
  <c r="J913" i="1"/>
  <c r="K913" i="1"/>
  <c r="H914" i="1"/>
  <c r="I914" i="1"/>
  <c r="J914" i="1"/>
  <c r="K914" i="1"/>
  <c r="H915" i="1"/>
  <c r="I915" i="1"/>
  <c r="J915" i="1"/>
  <c r="K915" i="1"/>
  <c r="H916" i="1"/>
  <c r="I916" i="1"/>
  <c r="J916" i="1"/>
  <c r="K916" i="1"/>
  <c r="H917" i="1"/>
  <c r="I917" i="1"/>
  <c r="J917" i="1"/>
  <c r="K917" i="1"/>
  <c r="H918" i="1"/>
  <c r="I918" i="1"/>
  <c r="J918" i="1"/>
  <c r="K918" i="1"/>
  <c r="H919" i="1"/>
  <c r="I919" i="1"/>
  <c r="J919" i="1"/>
  <c r="K919" i="1"/>
  <c r="H920" i="1"/>
  <c r="I920" i="1"/>
  <c r="J920" i="1"/>
  <c r="K920" i="1"/>
  <c r="H921" i="1"/>
  <c r="I921" i="1"/>
  <c r="J921" i="1"/>
  <c r="K921" i="1"/>
  <c r="H922" i="1"/>
  <c r="I922" i="1"/>
  <c r="J922" i="1"/>
  <c r="K922" i="1"/>
  <c r="H923" i="1"/>
  <c r="I923" i="1"/>
  <c r="J923" i="1"/>
  <c r="K923" i="1"/>
  <c r="H924" i="1"/>
  <c r="I924" i="1"/>
  <c r="J924" i="1"/>
  <c r="K924" i="1"/>
  <c r="H925" i="1"/>
  <c r="I925" i="1"/>
  <c r="J925" i="1"/>
  <c r="K925" i="1"/>
  <c r="H926" i="1"/>
  <c r="I926" i="1"/>
  <c r="J926" i="1"/>
  <c r="K926" i="1"/>
  <c r="H927" i="1"/>
  <c r="I927" i="1"/>
  <c r="J927" i="1"/>
  <c r="K927" i="1"/>
  <c r="H928" i="1"/>
  <c r="I928" i="1"/>
  <c r="J928" i="1"/>
  <c r="K928" i="1"/>
  <c r="H929" i="1"/>
  <c r="I929" i="1"/>
  <c r="J929" i="1"/>
  <c r="K929" i="1"/>
  <c r="H930" i="1"/>
  <c r="I930" i="1"/>
  <c r="J930" i="1"/>
  <c r="K930" i="1"/>
  <c r="H931" i="1"/>
  <c r="I931" i="1"/>
  <c r="J931" i="1"/>
  <c r="K931" i="1"/>
  <c r="H932" i="1"/>
  <c r="I932" i="1"/>
  <c r="J932" i="1"/>
  <c r="K932" i="1"/>
  <c r="H933" i="1"/>
  <c r="I933" i="1"/>
  <c r="J933" i="1"/>
  <c r="K933" i="1"/>
  <c r="H934" i="1"/>
  <c r="I934" i="1"/>
  <c r="J934" i="1"/>
  <c r="K934" i="1"/>
  <c r="H935" i="1"/>
  <c r="I935" i="1"/>
  <c r="J935" i="1"/>
  <c r="K935" i="1"/>
  <c r="H936" i="1"/>
  <c r="I936" i="1"/>
  <c r="J936" i="1"/>
  <c r="K936" i="1"/>
  <c r="H937" i="1"/>
  <c r="I937" i="1"/>
  <c r="J937" i="1"/>
  <c r="K937" i="1"/>
  <c r="H938" i="1"/>
  <c r="I938" i="1"/>
  <c r="J938" i="1"/>
  <c r="K938" i="1"/>
  <c r="H939" i="1"/>
  <c r="I939" i="1"/>
  <c r="J939" i="1"/>
  <c r="K939" i="1"/>
  <c r="H940" i="1"/>
  <c r="I940" i="1"/>
  <c r="J940" i="1"/>
  <c r="K940" i="1"/>
  <c r="H941" i="1"/>
  <c r="I941" i="1"/>
  <c r="J941" i="1"/>
  <c r="K941" i="1"/>
  <c r="H942" i="1"/>
  <c r="I942" i="1"/>
  <c r="J942" i="1"/>
  <c r="K942" i="1"/>
  <c r="H943" i="1"/>
  <c r="I943" i="1"/>
  <c r="J943" i="1"/>
  <c r="K943" i="1"/>
  <c r="H944" i="1"/>
  <c r="I944" i="1"/>
  <c r="J944" i="1"/>
  <c r="K944" i="1"/>
  <c r="H945" i="1"/>
  <c r="I945" i="1"/>
  <c r="J945" i="1"/>
  <c r="K945" i="1"/>
  <c r="H946" i="1"/>
  <c r="I946" i="1"/>
  <c r="J946" i="1"/>
  <c r="K946" i="1"/>
  <c r="H947" i="1"/>
  <c r="I947" i="1"/>
  <c r="J947" i="1"/>
  <c r="K947" i="1"/>
  <c r="H948" i="1"/>
  <c r="I948" i="1"/>
  <c r="J948" i="1"/>
  <c r="K948" i="1"/>
  <c r="H949" i="1"/>
  <c r="I949" i="1"/>
  <c r="J949" i="1"/>
  <c r="K949" i="1"/>
  <c r="H950" i="1"/>
  <c r="I950" i="1"/>
  <c r="J950" i="1"/>
  <c r="K950" i="1"/>
  <c r="H951" i="1"/>
  <c r="I951" i="1"/>
  <c r="J951" i="1"/>
  <c r="K951" i="1"/>
  <c r="H952" i="1"/>
  <c r="I952" i="1"/>
  <c r="J952" i="1"/>
  <c r="K952" i="1"/>
  <c r="H953" i="1"/>
  <c r="I953" i="1"/>
  <c r="J953" i="1"/>
  <c r="K953" i="1"/>
  <c r="H954" i="1"/>
  <c r="I954" i="1"/>
  <c r="J954" i="1"/>
  <c r="K954" i="1"/>
  <c r="H955" i="1"/>
  <c r="I955" i="1"/>
  <c r="J955" i="1"/>
  <c r="K955" i="1"/>
  <c r="H956" i="1"/>
  <c r="I956" i="1"/>
  <c r="J956" i="1"/>
  <c r="K956" i="1"/>
  <c r="H957" i="1"/>
  <c r="I957" i="1"/>
  <c r="J957" i="1"/>
  <c r="K957" i="1"/>
  <c r="H958" i="1"/>
  <c r="I958" i="1"/>
  <c r="J958" i="1"/>
  <c r="K958" i="1"/>
  <c r="H959" i="1"/>
  <c r="I959" i="1"/>
  <c r="J959" i="1"/>
  <c r="K959" i="1"/>
  <c r="H960" i="1"/>
  <c r="I960" i="1"/>
  <c r="J960" i="1"/>
  <c r="K960" i="1"/>
  <c r="H961" i="1"/>
  <c r="I961" i="1"/>
  <c r="J961" i="1"/>
  <c r="K961" i="1"/>
  <c r="H962" i="1"/>
  <c r="I962" i="1"/>
  <c r="J962" i="1"/>
  <c r="K962" i="1"/>
  <c r="H963" i="1"/>
  <c r="I963" i="1"/>
  <c r="J963" i="1"/>
  <c r="K963" i="1"/>
  <c r="H964" i="1"/>
  <c r="I964" i="1"/>
  <c r="J964" i="1"/>
  <c r="K964" i="1"/>
  <c r="H965" i="1"/>
  <c r="I965" i="1"/>
  <c r="J965" i="1"/>
  <c r="K965" i="1"/>
  <c r="H966" i="1"/>
  <c r="I966" i="1"/>
  <c r="J966" i="1"/>
  <c r="K966" i="1"/>
  <c r="H967" i="1"/>
  <c r="I967" i="1"/>
  <c r="J967" i="1"/>
  <c r="K967" i="1"/>
  <c r="H968" i="1"/>
  <c r="I968" i="1"/>
  <c r="J968" i="1"/>
  <c r="K968" i="1"/>
  <c r="H969" i="1"/>
  <c r="I969" i="1"/>
  <c r="J969" i="1"/>
  <c r="K969" i="1"/>
  <c r="H970" i="1"/>
  <c r="I970" i="1"/>
  <c r="J970" i="1"/>
  <c r="K970" i="1"/>
  <c r="H971" i="1"/>
  <c r="I971" i="1"/>
  <c r="J971" i="1"/>
  <c r="K971" i="1"/>
  <c r="H972" i="1"/>
  <c r="I972" i="1"/>
  <c r="J972" i="1"/>
  <c r="K972" i="1"/>
  <c r="H973" i="1"/>
  <c r="I973" i="1"/>
  <c r="J973" i="1"/>
  <c r="K973" i="1"/>
  <c r="H974" i="1"/>
  <c r="I974" i="1"/>
  <c r="J974" i="1"/>
  <c r="K974" i="1"/>
  <c r="H975" i="1"/>
  <c r="I975" i="1"/>
  <c r="J975" i="1"/>
  <c r="K975" i="1"/>
  <c r="H976" i="1"/>
  <c r="I976" i="1"/>
  <c r="J976" i="1"/>
  <c r="K976" i="1"/>
  <c r="H977" i="1"/>
  <c r="I977" i="1"/>
  <c r="J977" i="1"/>
  <c r="K977" i="1"/>
  <c r="H978" i="1"/>
  <c r="I978" i="1"/>
  <c r="J978" i="1"/>
  <c r="K978" i="1"/>
  <c r="H979" i="1"/>
  <c r="I979" i="1"/>
  <c r="J979" i="1"/>
  <c r="K979" i="1"/>
  <c r="H980" i="1"/>
  <c r="I980" i="1"/>
  <c r="J980" i="1"/>
  <c r="K980" i="1"/>
  <c r="H981" i="1"/>
  <c r="I981" i="1"/>
  <c r="J981" i="1"/>
  <c r="K981" i="1"/>
  <c r="H982" i="1"/>
  <c r="I982" i="1"/>
  <c r="J982" i="1"/>
  <c r="K982" i="1"/>
  <c r="H983" i="1"/>
  <c r="I983" i="1"/>
  <c r="J983" i="1"/>
  <c r="K983" i="1"/>
  <c r="H984" i="1"/>
  <c r="I984" i="1"/>
  <c r="J984" i="1"/>
  <c r="K984" i="1"/>
  <c r="H985" i="1"/>
  <c r="I985" i="1"/>
  <c r="J985" i="1"/>
  <c r="K985" i="1"/>
  <c r="H986" i="1"/>
  <c r="I986" i="1"/>
  <c r="J986" i="1"/>
  <c r="K986" i="1"/>
  <c r="H987" i="1"/>
  <c r="I987" i="1"/>
  <c r="J987" i="1"/>
  <c r="K987" i="1"/>
  <c r="H988" i="1"/>
  <c r="I988" i="1"/>
  <c r="J988" i="1"/>
  <c r="K988" i="1"/>
  <c r="H989" i="1"/>
  <c r="I989" i="1"/>
  <c r="J989" i="1"/>
  <c r="K989" i="1"/>
  <c r="H990" i="1"/>
  <c r="I990" i="1"/>
  <c r="J990" i="1"/>
  <c r="K990" i="1"/>
  <c r="H991" i="1"/>
  <c r="I991" i="1"/>
  <c r="J991" i="1"/>
  <c r="K991" i="1"/>
  <c r="H992" i="1"/>
  <c r="I992" i="1"/>
  <c r="J992" i="1"/>
  <c r="K992" i="1"/>
  <c r="H993" i="1"/>
  <c r="I993" i="1"/>
  <c r="J993" i="1"/>
  <c r="K993" i="1"/>
  <c r="H994" i="1"/>
  <c r="I994" i="1"/>
  <c r="J994" i="1"/>
  <c r="K994" i="1"/>
  <c r="H995" i="1"/>
  <c r="I995" i="1"/>
  <c r="J995" i="1"/>
  <c r="K995" i="1"/>
  <c r="H996" i="1"/>
  <c r="I996" i="1"/>
  <c r="J996" i="1"/>
  <c r="K996" i="1"/>
  <c r="H997" i="1"/>
  <c r="I997" i="1"/>
  <c r="J997" i="1"/>
  <c r="K997" i="1"/>
  <c r="H998" i="1"/>
  <c r="I998" i="1"/>
  <c r="J998" i="1"/>
  <c r="K998" i="1"/>
  <c r="H999" i="1"/>
  <c r="I999" i="1"/>
  <c r="J999" i="1"/>
  <c r="K999" i="1"/>
  <c r="H1000" i="1"/>
  <c r="I1000" i="1"/>
  <c r="J1000" i="1"/>
  <c r="K1000" i="1"/>
  <c r="H1001" i="1"/>
  <c r="I1001" i="1"/>
  <c r="J1001" i="1"/>
  <c r="K1001" i="1"/>
  <c r="H1002" i="1"/>
  <c r="I1002" i="1"/>
  <c r="J1002" i="1"/>
  <c r="K1002" i="1"/>
  <c r="H1003" i="1"/>
  <c r="I1003" i="1"/>
  <c r="J1003" i="1"/>
  <c r="K1003" i="1"/>
  <c r="H1004" i="1"/>
  <c r="I1004" i="1"/>
  <c r="J1004" i="1"/>
  <c r="K1004" i="1"/>
  <c r="H1005" i="1"/>
  <c r="I1005" i="1"/>
  <c r="J1005" i="1"/>
  <c r="K1005" i="1"/>
  <c r="H1006" i="1"/>
  <c r="I1006" i="1"/>
  <c r="J1006" i="1"/>
  <c r="K1006" i="1"/>
  <c r="H1007" i="1"/>
  <c r="I1007" i="1"/>
  <c r="J1007" i="1"/>
  <c r="K1007" i="1"/>
  <c r="H1008" i="1"/>
  <c r="I1008" i="1"/>
  <c r="J1008" i="1"/>
  <c r="K1008" i="1"/>
  <c r="H1009" i="1"/>
  <c r="I1009" i="1"/>
  <c r="J1009" i="1"/>
  <c r="K1009" i="1"/>
  <c r="H1010" i="1"/>
  <c r="I1010" i="1"/>
  <c r="J1010" i="1"/>
  <c r="K1010" i="1"/>
  <c r="H1011" i="1"/>
  <c r="I1011" i="1"/>
  <c r="J1011" i="1"/>
  <c r="K1011" i="1"/>
  <c r="H1012" i="1"/>
  <c r="I1012" i="1"/>
  <c r="J1012" i="1"/>
  <c r="K1012" i="1"/>
  <c r="H1013" i="1"/>
  <c r="I1013" i="1"/>
  <c r="J1013" i="1"/>
  <c r="K1013" i="1"/>
  <c r="H1014" i="1"/>
  <c r="I1014" i="1"/>
  <c r="J1014" i="1"/>
  <c r="K1014" i="1"/>
  <c r="H1015" i="1"/>
  <c r="I1015" i="1"/>
  <c r="J1015" i="1"/>
  <c r="K1015" i="1"/>
  <c r="H1016" i="1"/>
  <c r="I1016" i="1"/>
  <c r="J1016" i="1"/>
  <c r="K1016" i="1"/>
  <c r="H1017" i="1"/>
  <c r="I1017" i="1"/>
  <c r="J1017" i="1"/>
  <c r="K1017" i="1"/>
  <c r="H1018" i="1"/>
  <c r="I1018" i="1"/>
  <c r="J1018" i="1"/>
  <c r="K1018" i="1"/>
  <c r="H1019" i="1"/>
  <c r="I1019" i="1"/>
  <c r="J1019" i="1"/>
  <c r="K1019" i="1"/>
  <c r="H1020" i="1"/>
  <c r="I1020" i="1"/>
  <c r="J1020" i="1"/>
  <c r="K1020" i="1"/>
  <c r="H1021" i="1"/>
  <c r="I1021" i="1"/>
  <c r="J1021" i="1"/>
  <c r="K1021" i="1"/>
  <c r="H1022" i="1"/>
  <c r="I1022" i="1"/>
  <c r="J1022" i="1"/>
  <c r="K1022" i="1"/>
  <c r="H1023" i="1"/>
  <c r="I1023" i="1"/>
  <c r="J1023" i="1"/>
  <c r="K1023" i="1"/>
  <c r="H1024" i="1"/>
  <c r="I1024" i="1"/>
  <c r="J1024" i="1"/>
  <c r="K1024" i="1"/>
  <c r="H1025" i="1"/>
  <c r="I1025" i="1"/>
  <c r="J1025" i="1"/>
  <c r="K1025" i="1"/>
  <c r="H1026" i="1"/>
  <c r="I1026" i="1"/>
  <c r="J1026" i="1"/>
  <c r="K1026" i="1"/>
  <c r="H1027" i="1"/>
  <c r="I1027" i="1"/>
  <c r="J1027" i="1"/>
  <c r="K1027" i="1"/>
  <c r="H1028" i="1"/>
  <c r="I1028" i="1"/>
  <c r="J1028" i="1"/>
  <c r="K1028" i="1"/>
  <c r="H1029" i="1"/>
  <c r="I1029" i="1"/>
  <c r="J1029" i="1"/>
  <c r="K1029" i="1"/>
  <c r="H1030" i="1"/>
  <c r="I1030" i="1"/>
  <c r="J1030" i="1"/>
  <c r="K1030" i="1"/>
  <c r="H1031" i="1"/>
  <c r="I1031" i="1"/>
  <c r="J1031" i="1"/>
  <c r="K1031" i="1"/>
  <c r="H1032" i="1"/>
  <c r="I1032" i="1"/>
  <c r="J1032" i="1"/>
  <c r="K1032" i="1"/>
  <c r="H1033" i="1"/>
  <c r="I1033" i="1"/>
  <c r="J1033" i="1"/>
  <c r="K1033" i="1"/>
  <c r="H1034" i="1"/>
  <c r="I1034" i="1"/>
  <c r="J1034" i="1"/>
  <c r="K1034" i="1"/>
  <c r="H1035" i="1"/>
  <c r="I1035" i="1"/>
  <c r="J1035" i="1"/>
  <c r="K1035" i="1"/>
  <c r="H1036" i="1"/>
  <c r="I1036" i="1"/>
  <c r="J1036" i="1"/>
  <c r="K1036" i="1"/>
  <c r="H1037" i="1"/>
  <c r="I1037" i="1"/>
  <c r="J1037" i="1"/>
  <c r="K1037" i="1"/>
  <c r="H1038" i="1"/>
  <c r="I1038" i="1"/>
  <c r="J1038" i="1"/>
  <c r="K1038" i="1"/>
  <c r="H1039" i="1"/>
  <c r="I1039" i="1"/>
  <c r="J1039" i="1"/>
  <c r="K1039" i="1"/>
  <c r="H1040" i="1"/>
  <c r="I1040" i="1"/>
  <c r="J1040" i="1"/>
  <c r="K1040" i="1"/>
  <c r="H1041" i="1"/>
  <c r="I1041" i="1"/>
  <c r="J1041" i="1"/>
  <c r="K1041" i="1"/>
  <c r="H1042" i="1"/>
  <c r="I1042" i="1"/>
  <c r="J1042" i="1"/>
  <c r="K1042" i="1"/>
  <c r="H1043" i="1"/>
  <c r="I1043" i="1"/>
  <c r="J1043" i="1"/>
  <c r="K1043" i="1"/>
  <c r="H1044" i="1"/>
  <c r="I1044" i="1"/>
  <c r="J1044" i="1"/>
  <c r="K1044" i="1"/>
  <c r="H1045" i="1"/>
  <c r="I1045" i="1"/>
  <c r="J1045" i="1"/>
  <c r="K1045" i="1"/>
  <c r="H1046" i="1"/>
  <c r="I1046" i="1"/>
  <c r="J1046" i="1"/>
  <c r="K1046" i="1"/>
  <c r="H1047" i="1"/>
  <c r="I1047" i="1"/>
  <c r="J1047" i="1"/>
  <c r="K1047" i="1"/>
  <c r="H1048" i="1"/>
  <c r="I1048" i="1"/>
  <c r="J1048" i="1"/>
  <c r="K1048" i="1"/>
  <c r="H1049" i="1"/>
  <c r="I1049" i="1"/>
  <c r="J1049" i="1"/>
  <c r="K1049" i="1"/>
  <c r="H1050" i="1"/>
  <c r="I1050" i="1"/>
  <c r="J1050" i="1"/>
  <c r="K1050" i="1"/>
  <c r="H1051" i="1"/>
  <c r="I1051" i="1"/>
  <c r="J1051" i="1"/>
  <c r="K1051" i="1"/>
  <c r="H1052" i="1"/>
  <c r="I1052" i="1"/>
  <c r="J1052" i="1"/>
  <c r="K1052" i="1"/>
  <c r="H1053" i="1"/>
  <c r="I1053" i="1"/>
  <c r="J1053" i="1"/>
  <c r="K1053" i="1"/>
  <c r="H1054" i="1"/>
  <c r="I1054" i="1"/>
  <c r="J1054" i="1"/>
  <c r="K1054" i="1"/>
  <c r="H1055" i="1"/>
  <c r="I1055" i="1"/>
  <c r="J1055" i="1"/>
  <c r="K1055" i="1"/>
  <c r="H1056" i="1"/>
  <c r="I1056" i="1"/>
  <c r="J1056" i="1"/>
  <c r="K1056" i="1"/>
  <c r="H1057" i="1"/>
  <c r="I1057" i="1"/>
  <c r="J1057" i="1"/>
  <c r="K1057" i="1"/>
  <c r="H1058" i="1"/>
  <c r="I1058" i="1"/>
  <c r="J1058" i="1"/>
  <c r="K1058" i="1"/>
  <c r="H1059" i="1"/>
  <c r="I1059" i="1"/>
  <c r="J1059" i="1"/>
  <c r="K1059" i="1"/>
  <c r="H1060" i="1"/>
  <c r="I1060" i="1"/>
  <c r="J1060" i="1"/>
  <c r="K1060" i="1"/>
  <c r="H1061" i="1"/>
  <c r="I1061" i="1"/>
  <c r="J1061" i="1"/>
  <c r="K1061" i="1"/>
  <c r="H1062" i="1"/>
  <c r="I1062" i="1"/>
  <c r="J1062" i="1"/>
  <c r="K1062" i="1"/>
  <c r="H1063" i="1"/>
  <c r="I1063" i="1"/>
  <c r="J1063" i="1"/>
  <c r="K1063" i="1"/>
  <c r="H1064" i="1"/>
  <c r="I1064" i="1"/>
  <c r="J1064" i="1"/>
  <c r="K1064" i="1"/>
  <c r="H1065" i="1"/>
  <c r="I1065" i="1"/>
  <c r="J1065" i="1"/>
  <c r="K1065" i="1"/>
  <c r="H1066" i="1"/>
  <c r="I1066" i="1"/>
  <c r="J1066" i="1"/>
  <c r="K1066" i="1"/>
  <c r="H1067" i="1"/>
  <c r="I1067" i="1"/>
  <c r="J1067" i="1"/>
  <c r="K1067" i="1"/>
  <c r="H1068" i="1"/>
  <c r="I1068" i="1"/>
  <c r="J1068" i="1"/>
  <c r="K1068" i="1"/>
  <c r="H1069" i="1"/>
  <c r="I1069" i="1"/>
  <c r="J1069" i="1"/>
  <c r="K1069" i="1"/>
  <c r="H1070" i="1"/>
  <c r="I1070" i="1"/>
  <c r="J1070" i="1"/>
  <c r="K1070" i="1"/>
  <c r="H1071" i="1"/>
  <c r="I1071" i="1"/>
  <c r="J1071" i="1"/>
  <c r="K1071" i="1"/>
  <c r="H1072" i="1"/>
  <c r="I1072" i="1"/>
  <c r="J1072" i="1"/>
  <c r="K1072" i="1"/>
  <c r="H1073" i="1"/>
  <c r="I1073" i="1"/>
  <c r="J1073" i="1"/>
  <c r="K1073" i="1"/>
  <c r="H1074" i="1"/>
  <c r="I1074" i="1"/>
  <c r="J1074" i="1"/>
  <c r="K1074" i="1"/>
  <c r="H1075" i="1"/>
  <c r="I1075" i="1"/>
  <c r="J1075" i="1"/>
  <c r="K1075" i="1"/>
  <c r="H1076" i="1"/>
  <c r="I1076" i="1"/>
  <c r="J1076" i="1"/>
  <c r="K1076" i="1"/>
  <c r="H1077" i="1"/>
  <c r="I1077" i="1"/>
  <c r="J1077" i="1"/>
  <c r="K1077" i="1"/>
  <c r="H1078" i="1"/>
  <c r="I1078" i="1"/>
  <c r="J1078" i="1"/>
  <c r="K1078" i="1"/>
  <c r="H1079" i="1"/>
  <c r="I1079" i="1"/>
  <c r="J1079" i="1"/>
  <c r="K1079" i="1"/>
  <c r="H1080" i="1"/>
  <c r="I1080" i="1"/>
  <c r="J1080" i="1"/>
  <c r="K1080" i="1"/>
  <c r="H1081" i="1"/>
  <c r="I1081" i="1"/>
  <c r="J1081" i="1"/>
  <c r="K1081" i="1"/>
  <c r="H1082" i="1"/>
  <c r="I1082" i="1"/>
  <c r="J1082" i="1"/>
  <c r="K1082" i="1"/>
  <c r="H1083" i="1"/>
  <c r="I1083" i="1"/>
  <c r="J1083" i="1"/>
  <c r="K1083" i="1"/>
  <c r="H1084" i="1"/>
  <c r="I1084" i="1"/>
  <c r="J1084" i="1"/>
  <c r="K1084" i="1"/>
  <c r="H1085" i="1"/>
  <c r="I1085" i="1"/>
  <c r="J1085" i="1"/>
  <c r="K1085" i="1"/>
  <c r="H1086" i="1"/>
  <c r="I1086" i="1"/>
  <c r="J1086" i="1"/>
  <c r="K1086" i="1"/>
  <c r="H1087" i="1"/>
  <c r="I1087" i="1"/>
  <c r="J1087" i="1"/>
  <c r="K1087" i="1"/>
  <c r="H1088" i="1"/>
  <c r="I1088" i="1"/>
  <c r="J1088" i="1"/>
  <c r="K1088" i="1"/>
  <c r="H1089" i="1"/>
  <c r="I1089" i="1"/>
  <c r="J1089" i="1"/>
  <c r="K1089" i="1"/>
  <c r="H1090" i="1"/>
  <c r="I1090" i="1"/>
  <c r="J1090" i="1"/>
  <c r="K1090" i="1"/>
  <c r="H1091" i="1"/>
  <c r="I1091" i="1"/>
  <c r="J1091" i="1"/>
  <c r="K1091" i="1"/>
  <c r="H1092" i="1"/>
  <c r="I1092" i="1"/>
  <c r="J1092" i="1"/>
  <c r="K1092" i="1"/>
  <c r="H1093" i="1"/>
  <c r="I1093" i="1"/>
  <c r="J1093" i="1"/>
  <c r="K1093" i="1"/>
  <c r="H1094" i="1"/>
  <c r="I1094" i="1"/>
  <c r="J1094" i="1"/>
  <c r="K1094" i="1"/>
  <c r="H1095" i="1"/>
  <c r="I1095" i="1"/>
  <c r="J1095" i="1"/>
  <c r="K1095" i="1"/>
  <c r="H1096" i="1"/>
  <c r="I1096" i="1"/>
  <c r="J1096" i="1"/>
  <c r="K1096" i="1"/>
  <c r="H1097" i="1"/>
  <c r="I1097" i="1"/>
  <c r="J1097" i="1"/>
  <c r="K1097" i="1"/>
  <c r="H1098" i="1"/>
  <c r="I1098" i="1"/>
  <c r="J1098" i="1"/>
  <c r="K1098" i="1"/>
  <c r="H1099" i="1"/>
  <c r="I1099" i="1"/>
  <c r="J1099" i="1"/>
  <c r="K1099" i="1"/>
  <c r="H1100" i="1"/>
  <c r="I1100" i="1"/>
  <c r="J1100" i="1"/>
  <c r="K1100" i="1"/>
  <c r="H1101" i="1"/>
  <c r="I1101" i="1"/>
  <c r="J1101" i="1"/>
  <c r="K1101" i="1"/>
  <c r="H1102" i="1"/>
  <c r="I1102" i="1"/>
  <c r="J1102" i="1"/>
  <c r="K1102" i="1"/>
  <c r="H1103" i="1"/>
  <c r="I1103" i="1"/>
  <c r="J1103" i="1"/>
  <c r="K1103" i="1"/>
  <c r="H1104" i="1"/>
  <c r="I1104" i="1"/>
  <c r="J1104" i="1"/>
  <c r="K1104" i="1"/>
  <c r="H1105" i="1"/>
  <c r="I1105" i="1"/>
  <c r="J1105" i="1"/>
  <c r="K1105" i="1"/>
  <c r="H1106" i="1"/>
  <c r="I1106" i="1"/>
  <c r="J1106" i="1"/>
  <c r="K1106" i="1"/>
  <c r="H1107" i="1"/>
  <c r="I1107" i="1"/>
  <c r="J1107" i="1"/>
  <c r="K1107" i="1"/>
  <c r="H1108" i="1"/>
  <c r="I1108" i="1"/>
  <c r="J1108" i="1"/>
  <c r="K1108" i="1"/>
  <c r="H1109" i="1"/>
  <c r="I1109" i="1"/>
  <c r="J1109" i="1"/>
  <c r="K1109" i="1"/>
  <c r="H1110" i="1"/>
  <c r="I1110" i="1"/>
  <c r="J1110" i="1"/>
  <c r="K1110" i="1"/>
  <c r="H1111" i="1"/>
  <c r="I1111" i="1"/>
  <c r="J1111" i="1"/>
  <c r="K1111" i="1"/>
  <c r="H1112" i="1"/>
  <c r="I1112" i="1"/>
  <c r="J1112" i="1"/>
  <c r="K1112" i="1"/>
  <c r="H1113" i="1"/>
  <c r="I1113" i="1"/>
  <c r="J1113" i="1"/>
  <c r="K1113" i="1"/>
  <c r="H1114" i="1"/>
  <c r="I1114" i="1"/>
  <c r="J1114" i="1"/>
  <c r="K1114" i="1"/>
  <c r="H1115" i="1"/>
  <c r="I1115" i="1"/>
  <c r="J1115" i="1"/>
  <c r="K1115" i="1"/>
  <c r="H1116" i="1"/>
  <c r="I1116" i="1"/>
  <c r="J1116" i="1"/>
  <c r="K1116" i="1"/>
  <c r="H1117" i="1"/>
  <c r="I1117" i="1"/>
  <c r="J1117" i="1"/>
  <c r="K1117" i="1"/>
  <c r="H1118" i="1"/>
  <c r="I1118" i="1"/>
  <c r="J1118" i="1"/>
  <c r="K1118" i="1"/>
  <c r="H1119" i="1"/>
  <c r="I1119" i="1"/>
  <c r="J1119" i="1"/>
  <c r="K1119" i="1"/>
  <c r="H1120" i="1"/>
  <c r="I1120" i="1"/>
  <c r="J1120" i="1"/>
  <c r="K1120" i="1"/>
  <c r="H1121" i="1"/>
  <c r="I1121" i="1"/>
  <c r="J1121" i="1"/>
  <c r="K1121" i="1"/>
  <c r="H1122" i="1"/>
  <c r="I1122" i="1"/>
  <c r="J1122" i="1"/>
  <c r="K1122" i="1"/>
  <c r="H1123" i="1"/>
  <c r="I1123" i="1"/>
  <c r="J1123" i="1"/>
  <c r="K1123" i="1"/>
  <c r="H1124" i="1"/>
  <c r="I1124" i="1"/>
  <c r="J1124" i="1"/>
  <c r="K1124" i="1"/>
  <c r="H1125" i="1"/>
  <c r="I1125" i="1"/>
  <c r="J1125" i="1"/>
  <c r="K1125" i="1"/>
  <c r="H1126" i="1"/>
  <c r="I1126" i="1"/>
  <c r="J1126" i="1"/>
  <c r="K1126" i="1"/>
  <c r="H1127" i="1"/>
  <c r="I1127" i="1"/>
  <c r="J1127" i="1"/>
  <c r="K1127" i="1"/>
  <c r="H1128" i="1"/>
  <c r="I1128" i="1"/>
  <c r="J1128" i="1"/>
  <c r="K1128" i="1"/>
  <c r="H1129" i="1"/>
  <c r="I1129" i="1"/>
  <c r="J1129" i="1"/>
  <c r="K1129" i="1"/>
  <c r="H1130" i="1"/>
  <c r="I1130" i="1"/>
  <c r="J1130" i="1"/>
  <c r="K1130" i="1"/>
  <c r="H1131" i="1"/>
  <c r="I1131" i="1"/>
  <c r="J1131" i="1"/>
  <c r="K1131" i="1"/>
  <c r="H1132" i="1"/>
  <c r="I1132" i="1"/>
  <c r="J1132" i="1"/>
  <c r="K1132" i="1"/>
  <c r="H1133" i="1"/>
  <c r="I1133" i="1"/>
  <c r="J1133" i="1"/>
  <c r="K1133" i="1"/>
  <c r="H1134" i="1"/>
  <c r="I1134" i="1"/>
  <c r="J1134" i="1"/>
  <c r="K1134" i="1"/>
  <c r="H1135" i="1"/>
  <c r="I1135" i="1"/>
  <c r="J1135" i="1"/>
  <c r="K1135" i="1"/>
  <c r="H1136" i="1"/>
  <c r="I1136" i="1"/>
  <c r="J1136" i="1"/>
  <c r="K1136" i="1"/>
  <c r="H1137" i="1"/>
  <c r="I1137" i="1"/>
  <c r="J1137" i="1"/>
  <c r="K1137" i="1"/>
  <c r="H1138" i="1"/>
  <c r="I1138" i="1"/>
  <c r="J1138" i="1"/>
  <c r="K1138" i="1"/>
  <c r="H1139" i="1"/>
  <c r="I1139" i="1"/>
  <c r="J1139" i="1"/>
  <c r="K1139" i="1"/>
  <c r="H1140" i="1"/>
  <c r="I1140" i="1"/>
  <c r="J1140" i="1"/>
  <c r="K1140" i="1"/>
  <c r="H1141" i="1"/>
  <c r="I1141" i="1"/>
  <c r="J1141" i="1"/>
  <c r="K1141" i="1"/>
  <c r="H1142" i="1"/>
  <c r="I1142" i="1"/>
  <c r="J1142" i="1"/>
  <c r="K1142" i="1"/>
  <c r="H1143" i="1"/>
  <c r="I1143" i="1"/>
  <c r="J1143" i="1"/>
  <c r="K1143" i="1"/>
  <c r="H1144" i="1"/>
  <c r="I1144" i="1"/>
  <c r="J1144" i="1"/>
  <c r="K1144" i="1"/>
  <c r="H1145" i="1"/>
  <c r="I1145" i="1"/>
  <c r="J1145" i="1"/>
  <c r="K1145" i="1"/>
  <c r="H1146" i="1"/>
  <c r="I1146" i="1"/>
  <c r="J1146" i="1"/>
  <c r="K1146" i="1"/>
  <c r="H1147" i="1"/>
  <c r="I1147" i="1"/>
  <c r="J1147" i="1"/>
  <c r="K1147" i="1"/>
  <c r="H1148" i="1"/>
  <c r="I1148" i="1"/>
  <c r="J1148" i="1"/>
  <c r="K1148" i="1"/>
  <c r="H1149" i="1"/>
  <c r="I1149" i="1"/>
  <c r="J1149" i="1"/>
  <c r="K1149" i="1"/>
  <c r="H1150" i="1"/>
  <c r="I1150" i="1"/>
  <c r="J1150" i="1"/>
  <c r="K1150" i="1"/>
  <c r="H1151" i="1"/>
  <c r="I1151" i="1"/>
  <c r="J1151" i="1"/>
  <c r="K1151" i="1"/>
  <c r="H1152" i="1"/>
  <c r="I1152" i="1"/>
  <c r="J1152" i="1"/>
  <c r="K1152" i="1"/>
  <c r="H1153" i="1"/>
  <c r="I1153" i="1"/>
  <c r="J1153" i="1"/>
  <c r="K1153" i="1"/>
  <c r="H1154" i="1"/>
  <c r="I1154" i="1"/>
  <c r="J1154" i="1"/>
  <c r="K1154" i="1"/>
  <c r="H1155" i="1"/>
  <c r="I1155" i="1"/>
  <c r="J1155" i="1"/>
  <c r="K1155" i="1"/>
  <c r="H1156" i="1"/>
  <c r="I1156" i="1"/>
  <c r="J1156" i="1"/>
  <c r="K1156" i="1"/>
  <c r="H1157" i="1"/>
  <c r="I1157" i="1"/>
  <c r="J1157" i="1"/>
  <c r="K1157" i="1"/>
  <c r="H1158" i="1"/>
  <c r="I1158" i="1"/>
  <c r="J1158" i="1"/>
  <c r="K1158" i="1"/>
  <c r="H1159" i="1"/>
  <c r="I1159" i="1"/>
  <c r="J1159" i="1"/>
  <c r="K1159" i="1"/>
  <c r="H1160" i="1"/>
  <c r="I1160" i="1"/>
  <c r="J1160" i="1"/>
  <c r="K1160" i="1"/>
  <c r="H1161" i="1"/>
  <c r="I1161" i="1"/>
  <c r="J1161" i="1"/>
  <c r="K1161" i="1"/>
  <c r="H1162" i="1"/>
  <c r="I1162" i="1"/>
  <c r="J1162" i="1"/>
  <c r="K1162" i="1"/>
  <c r="H1163" i="1"/>
  <c r="I1163" i="1"/>
  <c r="J1163" i="1"/>
  <c r="K1163" i="1"/>
  <c r="H1164" i="1"/>
  <c r="I1164" i="1"/>
  <c r="J1164" i="1"/>
  <c r="K1164" i="1"/>
  <c r="H1165" i="1"/>
  <c r="I1165" i="1"/>
  <c r="J1165" i="1"/>
  <c r="K1165" i="1"/>
  <c r="H1166" i="1"/>
  <c r="I1166" i="1"/>
  <c r="J1166" i="1"/>
  <c r="K1166" i="1"/>
  <c r="H1167" i="1"/>
  <c r="I1167" i="1"/>
  <c r="J1167" i="1"/>
  <c r="K1167" i="1"/>
  <c r="H1168" i="1"/>
  <c r="I1168" i="1"/>
  <c r="J1168" i="1"/>
  <c r="K1168" i="1"/>
  <c r="H1169" i="1"/>
  <c r="I1169" i="1"/>
  <c r="J1169" i="1"/>
  <c r="K1169" i="1"/>
  <c r="H1170" i="1"/>
  <c r="I1170" i="1"/>
  <c r="J1170" i="1"/>
  <c r="K1170" i="1"/>
  <c r="H1171" i="1"/>
  <c r="I1171" i="1"/>
  <c r="J1171" i="1"/>
  <c r="K1171" i="1"/>
  <c r="H1172" i="1"/>
  <c r="I1172" i="1"/>
  <c r="J1172" i="1"/>
  <c r="K1172" i="1"/>
  <c r="H1173" i="1"/>
  <c r="I1173" i="1"/>
  <c r="J1173" i="1"/>
  <c r="K1173" i="1"/>
  <c r="H1174" i="1"/>
  <c r="I1174" i="1"/>
  <c r="J1174" i="1"/>
  <c r="K1174" i="1"/>
  <c r="H1175" i="1"/>
  <c r="I1175" i="1"/>
  <c r="J1175" i="1"/>
  <c r="K1175" i="1"/>
  <c r="H1176" i="1"/>
  <c r="I1176" i="1"/>
  <c r="J1176" i="1"/>
  <c r="K1176" i="1"/>
  <c r="H1177" i="1"/>
  <c r="I1177" i="1"/>
  <c r="J1177" i="1"/>
  <c r="K1177" i="1"/>
  <c r="H1178" i="1"/>
  <c r="I1178" i="1"/>
  <c r="J1178" i="1"/>
  <c r="K1178" i="1"/>
  <c r="H1179" i="1"/>
  <c r="I1179" i="1"/>
  <c r="J1179" i="1"/>
  <c r="K1179" i="1"/>
  <c r="H1180" i="1"/>
  <c r="I1180" i="1"/>
  <c r="J1180" i="1"/>
  <c r="K1180" i="1"/>
  <c r="H1181" i="1"/>
  <c r="I1181" i="1"/>
  <c r="J1181" i="1"/>
  <c r="K1181" i="1"/>
  <c r="H1182" i="1"/>
  <c r="I1182" i="1"/>
  <c r="J1182" i="1"/>
  <c r="K1182" i="1"/>
  <c r="H1183" i="1"/>
  <c r="I1183" i="1"/>
  <c r="J1183" i="1"/>
  <c r="K1183" i="1"/>
  <c r="H1184" i="1"/>
  <c r="I1184" i="1"/>
  <c r="J1184" i="1"/>
  <c r="K1184" i="1"/>
  <c r="H1185" i="1"/>
  <c r="I1185" i="1"/>
  <c r="J1185" i="1"/>
  <c r="K1185" i="1"/>
  <c r="H1186" i="1"/>
  <c r="I1186" i="1"/>
  <c r="J1186" i="1"/>
  <c r="K1186" i="1"/>
  <c r="H1187" i="1"/>
  <c r="I1187" i="1"/>
  <c r="J1187" i="1"/>
  <c r="K1187" i="1"/>
  <c r="H1188" i="1"/>
  <c r="I1188" i="1"/>
  <c r="J1188" i="1"/>
  <c r="K1188" i="1"/>
  <c r="H1189" i="1"/>
  <c r="I1189" i="1"/>
  <c r="J1189" i="1"/>
  <c r="K1189" i="1"/>
  <c r="H1190" i="1"/>
  <c r="I1190" i="1"/>
  <c r="J1190" i="1"/>
  <c r="K1190" i="1"/>
  <c r="H1191" i="1"/>
  <c r="I1191" i="1"/>
  <c r="J1191" i="1"/>
  <c r="K1191" i="1"/>
  <c r="H1192" i="1"/>
  <c r="I1192" i="1"/>
  <c r="J1192" i="1"/>
  <c r="K1192" i="1"/>
  <c r="H1193" i="1"/>
  <c r="I1193" i="1"/>
  <c r="J1193" i="1"/>
  <c r="K1193" i="1"/>
  <c r="H1194" i="1"/>
  <c r="I1194" i="1"/>
  <c r="J1194" i="1"/>
  <c r="K1194" i="1"/>
  <c r="H1195" i="1"/>
  <c r="I1195" i="1"/>
  <c r="J1195" i="1"/>
  <c r="K1195" i="1"/>
  <c r="H1196" i="1"/>
  <c r="I1196" i="1"/>
  <c r="J1196" i="1"/>
  <c r="K1196" i="1"/>
  <c r="H1197" i="1"/>
  <c r="I1197" i="1"/>
  <c r="J1197" i="1"/>
  <c r="K1197" i="1"/>
  <c r="H1198" i="1"/>
  <c r="I1198" i="1"/>
  <c r="J1198" i="1"/>
  <c r="K1198" i="1"/>
  <c r="H1199" i="1"/>
  <c r="I1199" i="1"/>
  <c r="J1199" i="1"/>
  <c r="K1199" i="1"/>
  <c r="H1200" i="1"/>
  <c r="I1200" i="1"/>
  <c r="J1200" i="1"/>
  <c r="K1200" i="1"/>
  <c r="H1201" i="1"/>
  <c r="I1201" i="1"/>
  <c r="J1201" i="1"/>
  <c r="K1201" i="1"/>
  <c r="H1202" i="1"/>
  <c r="I1202" i="1"/>
  <c r="J1202" i="1"/>
  <c r="K1202" i="1"/>
  <c r="H1203" i="1"/>
  <c r="I1203" i="1"/>
  <c r="J1203" i="1"/>
  <c r="K1203" i="1"/>
  <c r="H1204" i="1"/>
  <c r="I1204" i="1"/>
  <c r="J1204" i="1"/>
  <c r="K1204" i="1"/>
  <c r="H1205" i="1"/>
  <c r="I1205" i="1"/>
  <c r="J1205" i="1"/>
  <c r="K1205" i="1"/>
  <c r="H1206" i="1"/>
  <c r="I1206" i="1"/>
  <c r="J1206" i="1"/>
  <c r="K1206" i="1"/>
  <c r="H1207" i="1"/>
  <c r="I1207" i="1"/>
  <c r="J1207" i="1"/>
  <c r="K1207" i="1"/>
  <c r="H1208" i="1"/>
  <c r="I1208" i="1"/>
  <c r="J1208" i="1"/>
  <c r="K1208" i="1"/>
  <c r="H1209" i="1"/>
  <c r="I1209" i="1"/>
  <c r="J1209" i="1"/>
  <c r="K1209" i="1"/>
  <c r="H1210" i="1"/>
  <c r="I1210" i="1"/>
  <c r="J1210" i="1"/>
  <c r="K1210" i="1"/>
  <c r="H1211" i="1"/>
  <c r="I1211" i="1"/>
  <c r="J1211" i="1"/>
  <c r="K1211" i="1"/>
  <c r="H1212" i="1"/>
  <c r="I1212" i="1"/>
  <c r="J1212" i="1"/>
  <c r="K1212" i="1"/>
  <c r="H1213" i="1"/>
  <c r="I1213" i="1"/>
  <c r="J1213" i="1"/>
  <c r="K1213" i="1"/>
  <c r="H1214" i="1"/>
  <c r="I1214" i="1"/>
  <c r="J1214" i="1"/>
  <c r="K1214" i="1"/>
  <c r="H1215" i="1"/>
  <c r="I1215" i="1"/>
  <c r="J1215" i="1"/>
  <c r="K1215" i="1"/>
  <c r="H1216" i="1"/>
  <c r="I1216" i="1"/>
  <c r="J1216" i="1"/>
  <c r="K1216" i="1"/>
  <c r="H1217" i="1"/>
  <c r="I1217" i="1"/>
  <c r="J1217" i="1"/>
  <c r="K1217" i="1"/>
  <c r="H1218" i="1"/>
  <c r="I1218" i="1"/>
  <c r="J1218" i="1"/>
  <c r="K1218" i="1"/>
  <c r="H1219" i="1"/>
  <c r="I1219" i="1"/>
  <c r="J1219" i="1"/>
  <c r="K1219" i="1"/>
  <c r="H1220" i="1"/>
  <c r="I1220" i="1"/>
  <c r="J1220" i="1"/>
  <c r="K1220" i="1"/>
  <c r="H1221" i="1"/>
  <c r="I1221" i="1"/>
  <c r="J1221" i="1"/>
  <c r="K1221" i="1"/>
  <c r="H1222" i="1"/>
  <c r="I1222" i="1"/>
  <c r="J1222" i="1"/>
  <c r="K1222" i="1"/>
  <c r="H1223" i="1"/>
  <c r="I1223" i="1"/>
  <c r="J1223" i="1"/>
  <c r="K1223" i="1"/>
  <c r="H1224" i="1"/>
  <c r="I1224" i="1"/>
  <c r="J1224" i="1"/>
  <c r="K1224" i="1"/>
  <c r="H1225" i="1"/>
  <c r="I1225" i="1"/>
  <c r="J1225" i="1"/>
  <c r="K1225" i="1"/>
  <c r="H1226" i="1"/>
  <c r="I1226" i="1"/>
  <c r="J1226" i="1"/>
  <c r="K1226" i="1"/>
  <c r="H1227" i="1"/>
  <c r="I1227" i="1"/>
  <c r="J1227" i="1"/>
  <c r="K1227" i="1"/>
  <c r="H1228" i="1"/>
  <c r="I1228" i="1"/>
  <c r="J1228" i="1"/>
  <c r="K1228" i="1"/>
  <c r="H1229" i="1"/>
  <c r="I1229" i="1"/>
  <c r="J1229" i="1"/>
  <c r="K1229" i="1"/>
  <c r="H1230" i="1"/>
  <c r="I1230" i="1"/>
  <c r="J1230" i="1"/>
  <c r="K1230" i="1"/>
  <c r="H1231" i="1"/>
  <c r="I1231" i="1"/>
  <c r="J1231" i="1"/>
  <c r="K1231" i="1"/>
  <c r="H1232" i="1"/>
  <c r="I1232" i="1"/>
  <c r="J1232" i="1"/>
  <c r="K1232" i="1"/>
  <c r="H1233" i="1"/>
  <c r="I1233" i="1"/>
  <c r="J1233" i="1"/>
  <c r="K1233" i="1"/>
  <c r="H1234" i="1"/>
  <c r="I1234" i="1"/>
  <c r="J1234" i="1"/>
  <c r="K1234" i="1"/>
  <c r="H1235" i="1"/>
  <c r="I1235" i="1"/>
  <c r="J1235" i="1"/>
  <c r="K1235" i="1"/>
  <c r="H1236" i="1"/>
  <c r="I1236" i="1"/>
  <c r="J1236" i="1"/>
  <c r="K1236" i="1"/>
  <c r="H1237" i="1"/>
  <c r="I1237" i="1"/>
  <c r="J1237" i="1"/>
  <c r="K1237" i="1"/>
  <c r="H1238" i="1"/>
  <c r="I1238" i="1"/>
  <c r="J1238" i="1"/>
  <c r="K1238" i="1"/>
  <c r="H1239" i="1"/>
  <c r="I1239" i="1"/>
  <c r="J1239" i="1"/>
  <c r="K1239" i="1"/>
  <c r="H1240" i="1"/>
  <c r="I1240" i="1"/>
  <c r="J1240" i="1"/>
  <c r="K1240" i="1"/>
  <c r="H1241" i="1"/>
  <c r="I1241" i="1"/>
  <c r="J1241" i="1"/>
  <c r="K1241" i="1"/>
  <c r="H1242" i="1"/>
  <c r="I1242" i="1"/>
  <c r="J1242" i="1"/>
  <c r="K1242" i="1"/>
  <c r="H1243" i="1"/>
  <c r="I1243" i="1"/>
  <c r="J1243" i="1"/>
  <c r="K1243" i="1"/>
  <c r="H1244" i="1"/>
  <c r="I1244" i="1"/>
  <c r="J1244" i="1"/>
  <c r="K1244" i="1"/>
  <c r="H1245" i="1"/>
  <c r="I1245" i="1"/>
  <c r="J1245" i="1"/>
  <c r="K1245" i="1"/>
  <c r="H1246" i="1"/>
  <c r="I1246" i="1"/>
  <c r="J1246" i="1"/>
  <c r="K1246" i="1"/>
  <c r="H1247" i="1"/>
  <c r="I1247" i="1"/>
  <c r="J1247" i="1"/>
  <c r="K1247" i="1"/>
  <c r="H1248" i="1"/>
  <c r="I1248" i="1"/>
  <c r="J1248" i="1"/>
  <c r="K1248" i="1"/>
  <c r="H1249" i="1"/>
  <c r="I1249" i="1"/>
  <c r="J1249" i="1"/>
  <c r="K1249" i="1"/>
  <c r="H1250" i="1"/>
  <c r="I1250" i="1"/>
  <c r="J1250" i="1"/>
  <c r="K1250" i="1"/>
  <c r="H1251" i="1"/>
  <c r="I1251" i="1"/>
  <c r="J1251" i="1"/>
  <c r="K1251" i="1"/>
  <c r="H1252" i="1"/>
  <c r="I1252" i="1"/>
  <c r="J1252" i="1"/>
  <c r="K1252" i="1"/>
  <c r="H1253" i="1"/>
  <c r="I1253" i="1"/>
  <c r="J1253" i="1"/>
  <c r="K1253" i="1"/>
  <c r="H1254" i="1"/>
  <c r="I1254" i="1"/>
  <c r="J1254" i="1"/>
  <c r="K1254" i="1"/>
  <c r="H1255" i="1"/>
  <c r="I1255" i="1"/>
  <c r="J1255" i="1"/>
  <c r="K1255" i="1"/>
  <c r="H1256" i="1"/>
  <c r="I1256" i="1"/>
  <c r="J1256" i="1"/>
  <c r="K1256" i="1"/>
  <c r="H1257" i="1"/>
  <c r="I1257" i="1"/>
  <c r="J1257" i="1"/>
  <c r="K1257" i="1"/>
  <c r="H1258" i="1"/>
  <c r="I1258" i="1"/>
  <c r="J1258" i="1"/>
  <c r="K1258" i="1"/>
  <c r="H1259" i="1"/>
  <c r="I1259" i="1"/>
  <c r="J1259" i="1"/>
  <c r="K1259" i="1"/>
  <c r="H1260" i="1"/>
  <c r="I1260" i="1"/>
  <c r="J1260" i="1"/>
  <c r="K1260" i="1"/>
  <c r="H1261" i="1"/>
  <c r="I1261" i="1"/>
  <c r="J1261" i="1"/>
  <c r="K1261" i="1"/>
  <c r="H1262" i="1"/>
  <c r="I1262" i="1"/>
  <c r="J1262" i="1"/>
  <c r="K1262" i="1"/>
  <c r="H1263" i="1"/>
  <c r="I1263" i="1"/>
  <c r="J1263" i="1"/>
  <c r="K1263" i="1"/>
  <c r="H1264" i="1"/>
  <c r="I1264" i="1"/>
  <c r="J1264" i="1"/>
  <c r="K1264" i="1"/>
  <c r="H1265" i="1"/>
  <c r="I1265" i="1"/>
  <c r="J1265" i="1"/>
  <c r="K1265" i="1"/>
  <c r="H1266" i="1"/>
  <c r="I1266" i="1"/>
  <c r="J1266" i="1"/>
  <c r="K1266" i="1"/>
  <c r="H1267" i="1"/>
  <c r="I1267" i="1"/>
  <c r="J1267" i="1"/>
  <c r="K1267" i="1"/>
  <c r="H1268" i="1"/>
  <c r="I1268" i="1"/>
  <c r="J1268" i="1"/>
  <c r="K1268" i="1"/>
  <c r="H1269" i="1"/>
  <c r="I1269" i="1"/>
  <c r="J1269" i="1"/>
  <c r="K1269" i="1"/>
  <c r="H1270" i="1"/>
  <c r="I1270" i="1"/>
  <c r="J1270" i="1"/>
  <c r="K1270" i="1"/>
  <c r="H1271" i="1"/>
  <c r="I1271" i="1"/>
  <c r="J1271" i="1"/>
  <c r="K1271" i="1"/>
  <c r="H1272" i="1"/>
  <c r="I1272" i="1"/>
  <c r="J1272" i="1"/>
  <c r="K1272" i="1"/>
  <c r="H1273" i="1"/>
  <c r="I1273" i="1"/>
  <c r="J1273" i="1"/>
  <c r="K1273" i="1"/>
  <c r="H1274" i="1"/>
  <c r="I1274" i="1"/>
  <c r="J1274" i="1"/>
  <c r="K1274" i="1"/>
  <c r="H1275" i="1"/>
  <c r="I1275" i="1"/>
  <c r="J1275" i="1"/>
  <c r="K1275" i="1"/>
  <c r="H1276" i="1"/>
  <c r="I1276" i="1"/>
  <c r="J1276" i="1"/>
  <c r="K1276" i="1"/>
  <c r="H1277" i="1"/>
  <c r="I1277" i="1"/>
  <c r="J1277" i="1"/>
  <c r="K1277" i="1"/>
  <c r="H1278" i="1"/>
  <c r="I1278" i="1"/>
  <c r="J1278" i="1"/>
  <c r="K1278" i="1"/>
  <c r="H1279" i="1"/>
  <c r="I1279" i="1"/>
  <c r="J1279" i="1"/>
  <c r="K1279" i="1"/>
  <c r="H1280" i="1"/>
  <c r="I1280" i="1"/>
  <c r="J1280" i="1"/>
  <c r="K1280" i="1"/>
  <c r="H1281" i="1"/>
  <c r="I1281" i="1"/>
  <c r="J1281" i="1"/>
  <c r="K1281" i="1"/>
  <c r="H1282" i="1"/>
  <c r="I1282" i="1"/>
  <c r="J1282" i="1"/>
  <c r="K1282" i="1"/>
  <c r="H1283" i="1"/>
  <c r="I1283" i="1"/>
  <c r="J1283" i="1"/>
  <c r="K1283" i="1"/>
  <c r="H1284" i="1"/>
  <c r="I1284" i="1"/>
  <c r="J1284" i="1"/>
  <c r="K1284" i="1"/>
  <c r="H1285" i="1"/>
  <c r="I1285" i="1"/>
  <c r="J1285" i="1"/>
  <c r="K1285" i="1"/>
  <c r="H1286" i="1"/>
  <c r="I1286" i="1"/>
  <c r="J1286" i="1"/>
  <c r="K1286" i="1"/>
  <c r="H1287" i="1"/>
  <c r="I1287" i="1"/>
  <c r="J1287" i="1"/>
  <c r="K1287" i="1"/>
  <c r="H1288" i="1"/>
  <c r="I1288" i="1"/>
  <c r="J1288" i="1"/>
  <c r="K1288" i="1"/>
  <c r="H1289" i="1"/>
  <c r="I1289" i="1"/>
  <c r="J1289" i="1"/>
  <c r="K1289" i="1"/>
  <c r="H1290" i="1"/>
  <c r="I1290" i="1"/>
  <c r="J1290" i="1"/>
  <c r="K1290" i="1"/>
  <c r="H1291" i="1"/>
  <c r="I1291" i="1"/>
  <c r="J1291" i="1"/>
  <c r="K1291" i="1"/>
  <c r="H1292" i="1"/>
  <c r="I1292" i="1"/>
  <c r="J1292" i="1"/>
  <c r="K1292" i="1"/>
  <c r="H1293" i="1"/>
  <c r="I1293" i="1"/>
  <c r="J1293" i="1"/>
  <c r="K1293" i="1"/>
  <c r="H1294" i="1"/>
  <c r="I1294" i="1"/>
  <c r="J1294" i="1"/>
  <c r="K1294" i="1"/>
  <c r="H1295" i="1"/>
  <c r="I1295" i="1"/>
  <c r="J1295" i="1"/>
  <c r="K1295" i="1"/>
  <c r="H1296" i="1"/>
  <c r="I1296" i="1"/>
  <c r="J1296" i="1"/>
  <c r="K1296" i="1"/>
  <c r="H1297" i="1"/>
  <c r="I1297" i="1"/>
  <c r="J1297" i="1"/>
  <c r="K1297" i="1"/>
  <c r="H1298" i="1"/>
  <c r="I1298" i="1"/>
  <c r="J1298" i="1"/>
  <c r="K1298" i="1"/>
  <c r="H1299" i="1"/>
  <c r="I1299" i="1"/>
  <c r="J1299" i="1"/>
  <c r="K1299" i="1"/>
  <c r="H1300" i="1"/>
  <c r="I1300" i="1"/>
  <c r="J1300" i="1"/>
  <c r="K1300" i="1"/>
  <c r="H1301" i="1"/>
  <c r="I1301" i="1"/>
  <c r="J1301" i="1"/>
  <c r="K1301" i="1"/>
  <c r="H1302" i="1"/>
  <c r="I1302" i="1"/>
  <c r="J1302" i="1"/>
  <c r="K1302" i="1"/>
  <c r="H1303" i="1"/>
  <c r="I1303" i="1"/>
  <c r="J1303" i="1"/>
  <c r="K1303" i="1"/>
  <c r="H1304" i="1"/>
  <c r="I1304" i="1"/>
  <c r="J1304" i="1"/>
  <c r="K1304" i="1"/>
  <c r="H1305" i="1"/>
  <c r="I1305" i="1"/>
  <c r="J1305" i="1"/>
  <c r="K1305" i="1"/>
  <c r="H1306" i="1"/>
  <c r="I1306" i="1"/>
  <c r="J1306" i="1"/>
  <c r="K1306" i="1"/>
  <c r="H1307" i="1"/>
  <c r="I1307" i="1"/>
  <c r="J1307" i="1"/>
  <c r="K1307" i="1"/>
  <c r="H1308" i="1"/>
  <c r="I1308" i="1"/>
  <c r="J1308" i="1"/>
  <c r="K1308" i="1"/>
  <c r="H1309" i="1"/>
  <c r="I1309" i="1"/>
  <c r="J1309" i="1"/>
  <c r="K1309" i="1"/>
  <c r="H1310" i="1"/>
  <c r="I1310" i="1"/>
  <c r="J1310" i="1"/>
  <c r="K1310" i="1"/>
  <c r="H1311" i="1"/>
  <c r="I1311" i="1"/>
  <c r="J1311" i="1"/>
  <c r="K1311" i="1"/>
  <c r="H1312" i="1"/>
  <c r="I1312" i="1"/>
  <c r="J1312" i="1"/>
  <c r="K1312" i="1"/>
  <c r="H1313" i="1"/>
  <c r="I1313" i="1"/>
  <c r="J1313" i="1"/>
  <c r="K1313" i="1"/>
  <c r="H1314" i="1"/>
  <c r="I1314" i="1"/>
  <c r="J1314" i="1"/>
  <c r="K1314" i="1"/>
  <c r="H1315" i="1"/>
  <c r="I1315" i="1"/>
  <c r="J1315" i="1"/>
  <c r="K1315" i="1"/>
  <c r="H1316" i="1"/>
  <c r="I1316" i="1"/>
  <c r="J1316" i="1"/>
  <c r="K1316" i="1"/>
  <c r="H1317" i="1"/>
  <c r="I1317" i="1"/>
  <c r="J1317" i="1"/>
  <c r="K1317" i="1"/>
  <c r="H1318" i="1"/>
  <c r="I1318" i="1"/>
  <c r="J1318" i="1"/>
  <c r="K1318" i="1"/>
  <c r="H1319" i="1"/>
  <c r="I1319" i="1"/>
  <c r="J1319" i="1"/>
  <c r="K1319" i="1"/>
  <c r="H1320" i="1"/>
  <c r="I1320" i="1"/>
  <c r="J1320" i="1"/>
  <c r="K1320" i="1"/>
  <c r="H1321" i="1"/>
  <c r="I1321" i="1"/>
  <c r="J1321" i="1"/>
  <c r="K1321" i="1"/>
  <c r="H1322" i="1"/>
  <c r="I1322" i="1"/>
  <c r="J1322" i="1"/>
  <c r="K1322" i="1"/>
  <c r="H1323" i="1"/>
  <c r="I1323" i="1"/>
  <c r="J1323" i="1"/>
  <c r="K1323" i="1"/>
  <c r="H1324" i="1"/>
  <c r="I1324" i="1"/>
  <c r="J1324" i="1"/>
  <c r="K1324" i="1"/>
  <c r="H1325" i="1"/>
  <c r="I1325" i="1"/>
  <c r="J1325" i="1"/>
  <c r="K1325" i="1"/>
  <c r="H1326" i="1"/>
  <c r="I1326" i="1"/>
  <c r="J1326" i="1"/>
  <c r="K1326" i="1"/>
  <c r="H1327" i="1"/>
  <c r="I1327" i="1"/>
  <c r="J1327" i="1"/>
  <c r="K1327" i="1"/>
  <c r="H1328" i="1"/>
  <c r="I1328" i="1"/>
  <c r="J1328" i="1"/>
  <c r="K1328" i="1"/>
  <c r="H1329" i="1"/>
  <c r="I1329" i="1"/>
  <c r="J1329" i="1"/>
  <c r="K1329" i="1"/>
  <c r="H1330" i="1"/>
  <c r="I1330" i="1"/>
  <c r="J1330" i="1"/>
  <c r="K1330" i="1"/>
  <c r="H1331" i="1"/>
  <c r="I1331" i="1"/>
  <c r="J1331" i="1"/>
  <c r="K1331" i="1"/>
  <c r="H1332" i="1"/>
  <c r="I1332" i="1"/>
  <c r="J1332" i="1"/>
  <c r="K1332" i="1"/>
  <c r="H1333" i="1"/>
  <c r="I1333" i="1"/>
  <c r="J1333" i="1"/>
  <c r="K1333" i="1"/>
  <c r="H1334" i="1"/>
  <c r="I1334" i="1"/>
  <c r="J1334" i="1"/>
  <c r="K1334" i="1"/>
  <c r="H1335" i="1"/>
  <c r="I1335" i="1"/>
  <c r="J1335" i="1"/>
  <c r="K1335" i="1"/>
  <c r="H1336" i="1"/>
  <c r="I1336" i="1"/>
  <c r="J1336" i="1"/>
  <c r="K1336" i="1"/>
  <c r="H1337" i="1"/>
  <c r="I1337" i="1"/>
  <c r="J1337" i="1"/>
  <c r="K1337" i="1"/>
  <c r="H1338" i="1"/>
  <c r="I1338" i="1"/>
  <c r="J1338" i="1"/>
  <c r="K1338" i="1"/>
  <c r="H1339" i="1"/>
  <c r="I1339" i="1"/>
  <c r="J1339" i="1"/>
  <c r="K1339" i="1"/>
  <c r="H1340" i="1"/>
  <c r="I1340" i="1"/>
  <c r="J1340" i="1"/>
  <c r="K1340" i="1"/>
  <c r="H1341" i="1"/>
  <c r="I1341" i="1"/>
  <c r="J1341" i="1"/>
  <c r="K1341" i="1"/>
  <c r="H1342" i="1"/>
  <c r="I1342" i="1"/>
  <c r="J1342" i="1"/>
  <c r="K1342" i="1"/>
  <c r="H1343" i="1"/>
  <c r="I1343" i="1"/>
  <c r="J1343" i="1"/>
  <c r="K1343" i="1"/>
  <c r="H1344" i="1"/>
  <c r="I1344" i="1"/>
  <c r="J1344" i="1"/>
  <c r="K1344" i="1"/>
  <c r="H1345" i="1"/>
  <c r="I1345" i="1"/>
  <c r="J1345" i="1"/>
  <c r="K1345" i="1"/>
  <c r="H1346" i="1"/>
  <c r="I1346" i="1"/>
  <c r="J1346" i="1"/>
  <c r="K1346" i="1"/>
  <c r="H1347" i="1"/>
  <c r="I1347" i="1"/>
  <c r="J1347" i="1"/>
  <c r="K1347" i="1"/>
  <c r="H1348" i="1"/>
  <c r="I1348" i="1"/>
  <c r="J1348" i="1"/>
  <c r="K1348" i="1"/>
  <c r="H1349" i="1"/>
  <c r="I1349" i="1"/>
  <c r="J1349" i="1"/>
  <c r="K1349" i="1"/>
  <c r="H1350" i="1"/>
  <c r="I1350" i="1"/>
  <c r="J1350" i="1"/>
  <c r="K1350" i="1"/>
  <c r="H1351" i="1"/>
  <c r="I1351" i="1"/>
  <c r="J1351" i="1"/>
  <c r="K1351" i="1"/>
  <c r="H1352" i="1"/>
  <c r="I1352" i="1"/>
  <c r="J1352" i="1"/>
  <c r="K1352" i="1"/>
  <c r="H1353" i="1"/>
  <c r="I1353" i="1"/>
  <c r="J1353" i="1"/>
  <c r="K1353" i="1"/>
  <c r="H1354" i="1"/>
  <c r="I1354" i="1"/>
  <c r="J1354" i="1"/>
  <c r="K1354" i="1"/>
  <c r="H1355" i="1"/>
  <c r="I1355" i="1"/>
  <c r="J1355" i="1"/>
  <c r="K1355" i="1"/>
  <c r="H1356" i="1"/>
  <c r="I1356" i="1"/>
  <c r="J1356" i="1"/>
  <c r="K1356" i="1"/>
  <c r="H1357" i="1"/>
  <c r="I1357" i="1"/>
  <c r="J1357" i="1"/>
  <c r="K1357" i="1"/>
  <c r="H1358" i="1"/>
  <c r="I1358" i="1"/>
  <c r="J1358" i="1"/>
  <c r="K1358" i="1"/>
  <c r="H1359" i="1"/>
  <c r="I1359" i="1"/>
  <c r="J1359" i="1"/>
  <c r="K1359" i="1"/>
  <c r="H1360" i="1"/>
  <c r="I1360" i="1"/>
  <c r="J1360" i="1"/>
  <c r="K1360" i="1"/>
  <c r="H1361" i="1"/>
  <c r="I1361" i="1"/>
  <c r="J1361" i="1"/>
  <c r="K1361" i="1"/>
  <c r="H1362" i="1"/>
  <c r="I1362" i="1"/>
  <c r="J1362" i="1"/>
  <c r="K1362" i="1"/>
  <c r="H1363" i="1"/>
  <c r="I1363" i="1"/>
  <c r="J1363" i="1"/>
  <c r="K1363" i="1"/>
  <c r="H1364" i="1"/>
  <c r="I1364" i="1"/>
  <c r="J1364" i="1"/>
  <c r="K1364" i="1"/>
  <c r="H1365" i="1"/>
  <c r="I1365" i="1"/>
  <c r="J1365" i="1"/>
  <c r="K1365" i="1"/>
  <c r="H1366" i="1"/>
  <c r="I1366" i="1"/>
  <c r="J1366" i="1"/>
  <c r="K1366" i="1"/>
  <c r="H1367" i="1"/>
  <c r="I1367" i="1"/>
  <c r="J1367" i="1"/>
  <c r="K1367" i="1"/>
  <c r="H1368" i="1"/>
  <c r="I1368" i="1"/>
  <c r="J1368" i="1"/>
  <c r="K1368" i="1"/>
  <c r="H1369" i="1"/>
  <c r="I1369" i="1"/>
  <c r="J1369" i="1"/>
  <c r="K1369" i="1"/>
  <c r="H1370" i="1"/>
  <c r="I1370" i="1"/>
  <c r="J1370" i="1"/>
  <c r="K1370" i="1"/>
  <c r="H1371" i="1"/>
  <c r="I1371" i="1"/>
  <c r="J1371" i="1"/>
  <c r="K1371" i="1"/>
  <c r="H1372" i="1"/>
  <c r="I1372" i="1"/>
  <c r="J1372" i="1"/>
  <c r="K1372" i="1"/>
  <c r="H1373" i="1"/>
  <c r="I1373" i="1"/>
  <c r="J1373" i="1"/>
  <c r="K1373" i="1"/>
  <c r="H1374" i="1"/>
  <c r="I1374" i="1"/>
  <c r="J1374" i="1"/>
  <c r="K1374" i="1"/>
  <c r="H1375" i="1"/>
  <c r="I1375" i="1"/>
  <c r="J1375" i="1"/>
  <c r="K1375" i="1"/>
  <c r="H1376" i="1"/>
  <c r="I1376" i="1"/>
  <c r="J1376" i="1"/>
  <c r="K1376" i="1"/>
  <c r="H1377" i="1"/>
  <c r="I1377" i="1"/>
  <c r="J1377" i="1"/>
  <c r="K1377" i="1"/>
  <c r="H1378" i="1"/>
  <c r="I1378" i="1"/>
  <c r="J1378" i="1"/>
  <c r="K1378" i="1"/>
  <c r="H1379" i="1"/>
  <c r="I1379" i="1"/>
  <c r="J1379" i="1"/>
  <c r="K1379" i="1"/>
  <c r="H1380" i="1"/>
  <c r="I1380" i="1"/>
  <c r="J1380" i="1"/>
  <c r="K1380" i="1"/>
  <c r="H1381" i="1"/>
  <c r="I1381" i="1"/>
  <c r="J1381" i="1"/>
  <c r="K1381" i="1"/>
  <c r="H1382" i="1"/>
  <c r="I1382" i="1"/>
  <c r="J1382" i="1"/>
  <c r="K1382" i="1"/>
  <c r="H1383" i="1"/>
  <c r="I1383" i="1"/>
  <c r="J1383" i="1"/>
  <c r="K1383" i="1"/>
  <c r="H1384" i="1"/>
  <c r="I1384" i="1"/>
  <c r="J1384" i="1"/>
  <c r="K1384" i="1"/>
  <c r="H1385" i="1"/>
  <c r="I1385" i="1"/>
  <c r="J1385" i="1"/>
  <c r="K1385" i="1"/>
  <c r="H1386" i="1"/>
  <c r="I1386" i="1"/>
  <c r="J1386" i="1"/>
  <c r="K1386" i="1"/>
  <c r="H1387" i="1"/>
  <c r="I1387" i="1"/>
  <c r="J1387" i="1"/>
  <c r="K1387" i="1"/>
  <c r="H1388" i="1"/>
  <c r="I1388" i="1"/>
  <c r="J1388" i="1"/>
  <c r="K1388" i="1"/>
  <c r="H1389" i="1"/>
  <c r="I1389" i="1"/>
  <c r="J1389" i="1"/>
  <c r="K1389" i="1"/>
  <c r="H1390" i="1"/>
  <c r="I1390" i="1"/>
  <c r="J1390" i="1"/>
  <c r="K1390" i="1"/>
  <c r="H1391" i="1"/>
  <c r="I1391" i="1"/>
  <c r="J1391" i="1"/>
  <c r="K1391" i="1"/>
  <c r="H1392" i="1"/>
  <c r="I1392" i="1"/>
  <c r="J1392" i="1"/>
  <c r="K1392" i="1"/>
  <c r="H1393" i="1"/>
  <c r="I1393" i="1"/>
  <c r="J1393" i="1"/>
  <c r="K1393" i="1"/>
  <c r="H1394" i="1"/>
  <c r="I1394" i="1"/>
  <c r="J1394" i="1"/>
  <c r="K1394" i="1"/>
  <c r="H1395" i="1"/>
  <c r="I1395" i="1"/>
  <c r="J1395" i="1"/>
  <c r="K1395" i="1"/>
  <c r="H1396" i="1"/>
  <c r="I1396" i="1"/>
  <c r="J1396" i="1"/>
  <c r="K1396" i="1"/>
  <c r="H1397" i="1"/>
  <c r="I1397" i="1"/>
  <c r="J1397" i="1"/>
  <c r="K1397" i="1"/>
  <c r="H1398" i="1"/>
  <c r="I1398" i="1"/>
  <c r="J1398" i="1"/>
  <c r="K1398" i="1"/>
  <c r="H1399" i="1"/>
  <c r="I1399" i="1"/>
  <c r="J1399" i="1"/>
  <c r="K1399" i="1"/>
  <c r="H1400" i="1"/>
  <c r="I1400" i="1"/>
  <c r="J1400" i="1"/>
  <c r="K1400" i="1"/>
  <c r="H1401" i="1"/>
  <c r="I1401" i="1"/>
  <c r="J1401" i="1"/>
  <c r="K1401" i="1"/>
  <c r="H1402" i="1"/>
  <c r="I1402" i="1"/>
  <c r="J1402" i="1"/>
  <c r="K1402" i="1"/>
  <c r="H1403" i="1"/>
  <c r="I1403" i="1"/>
  <c r="J1403" i="1"/>
  <c r="K1403" i="1"/>
  <c r="H1404" i="1"/>
  <c r="I1404" i="1"/>
  <c r="J1404" i="1"/>
  <c r="K1404" i="1"/>
  <c r="H1405" i="1"/>
  <c r="I1405" i="1"/>
  <c r="J1405" i="1"/>
  <c r="K1405" i="1"/>
  <c r="H1406" i="1"/>
  <c r="I1406" i="1"/>
  <c r="J1406" i="1"/>
  <c r="K1406" i="1"/>
  <c r="H1407" i="1"/>
  <c r="I1407" i="1"/>
  <c r="J1407" i="1"/>
  <c r="K1407" i="1"/>
  <c r="H1408" i="1"/>
  <c r="I1408" i="1"/>
  <c r="J1408" i="1"/>
  <c r="K1408" i="1"/>
  <c r="H1409" i="1"/>
  <c r="I1409" i="1"/>
  <c r="J1409" i="1"/>
  <c r="K1409" i="1"/>
  <c r="H1410" i="1"/>
  <c r="I1410" i="1"/>
  <c r="J1410" i="1"/>
  <c r="K1410" i="1"/>
  <c r="H1411" i="1"/>
  <c r="I1411" i="1"/>
  <c r="J1411" i="1"/>
  <c r="K1411" i="1"/>
  <c r="H1412" i="1"/>
  <c r="I1412" i="1"/>
  <c r="J1412" i="1"/>
  <c r="K1412" i="1"/>
  <c r="H1413" i="1"/>
  <c r="I1413" i="1"/>
  <c r="J1413" i="1"/>
  <c r="K1413" i="1"/>
  <c r="H1414" i="1"/>
  <c r="I1414" i="1"/>
  <c r="J1414" i="1"/>
  <c r="K1414" i="1"/>
  <c r="H1415" i="1"/>
  <c r="I1415" i="1"/>
  <c r="J1415" i="1"/>
  <c r="K1415" i="1"/>
  <c r="H1416" i="1"/>
  <c r="I1416" i="1"/>
  <c r="J1416" i="1"/>
  <c r="K1416" i="1"/>
  <c r="H1417" i="1"/>
  <c r="I1417" i="1"/>
  <c r="J1417" i="1"/>
  <c r="K1417" i="1"/>
  <c r="H1418" i="1"/>
  <c r="I1418" i="1"/>
  <c r="J1418" i="1"/>
  <c r="K1418" i="1"/>
  <c r="H1419" i="1"/>
  <c r="I1419" i="1"/>
  <c r="J1419" i="1"/>
  <c r="K1419" i="1"/>
  <c r="H1420" i="1"/>
  <c r="I1420" i="1"/>
  <c r="J1420" i="1"/>
  <c r="K1420" i="1"/>
  <c r="H1421" i="1"/>
  <c r="I1421" i="1"/>
  <c r="J1421" i="1"/>
  <c r="K1421" i="1"/>
  <c r="H1422" i="1"/>
  <c r="I1422" i="1"/>
  <c r="J1422" i="1"/>
  <c r="K1422" i="1"/>
  <c r="H1423" i="1"/>
  <c r="I1423" i="1"/>
  <c r="J1423" i="1"/>
  <c r="K1423" i="1"/>
  <c r="H1424" i="1"/>
  <c r="I1424" i="1"/>
  <c r="J1424" i="1"/>
  <c r="K1424" i="1"/>
  <c r="H1425" i="1"/>
  <c r="I1425" i="1"/>
  <c r="J1425" i="1"/>
  <c r="K1425" i="1"/>
  <c r="H1426" i="1"/>
  <c r="I1426" i="1"/>
  <c r="J1426" i="1"/>
  <c r="K1426" i="1"/>
  <c r="H1427" i="1"/>
  <c r="I1427" i="1"/>
  <c r="J1427" i="1"/>
  <c r="K1427" i="1"/>
  <c r="H1428" i="1"/>
  <c r="I1428" i="1"/>
  <c r="J1428" i="1"/>
  <c r="K1428" i="1"/>
  <c r="H1429" i="1"/>
  <c r="I1429" i="1"/>
  <c r="J1429" i="1"/>
  <c r="K1429" i="1"/>
  <c r="H1430" i="1"/>
  <c r="I1430" i="1"/>
  <c r="J1430" i="1"/>
  <c r="K1430" i="1"/>
  <c r="H1431" i="1"/>
  <c r="I1431" i="1"/>
  <c r="J1431" i="1"/>
  <c r="K1431" i="1"/>
  <c r="H1432" i="1"/>
  <c r="I1432" i="1"/>
  <c r="J1432" i="1"/>
  <c r="K1432" i="1"/>
  <c r="H1433" i="1"/>
  <c r="I1433" i="1"/>
  <c r="J1433" i="1"/>
  <c r="K1433" i="1"/>
  <c r="H1434" i="1"/>
  <c r="I1434" i="1"/>
  <c r="J1434" i="1"/>
  <c r="K1434" i="1"/>
  <c r="H1435" i="1"/>
  <c r="I1435" i="1"/>
  <c r="J1435" i="1"/>
  <c r="K1435" i="1"/>
  <c r="H1436" i="1"/>
  <c r="I1436" i="1"/>
  <c r="J1436" i="1"/>
  <c r="K1436" i="1"/>
  <c r="H1437" i="1"/>
  <c r="I1437" i="1"/>
  <c r="J1437" i="1"/>
  <c r="K1437" i="1"/>
  <c r="H1438" i="1"/>
  <c r="I1438" i="1"/>
  <c r="J1438" i="1"/>
  <c r="K1438" i="1"/>
  <c r="H1439" i="1"/>
  <c r="I1439" i="1"/>
  <c r="J1439" i="1"/>
  <c r="K1439" i="1"/>
  <c r="H1440" i="1"/>
  <c r="I1440" i="1"/>
  <c r="J1440" i="1"/>
  <c r="K1440" i="1"/>
  <c r="H1441" i="1"/>
  <c r="I1441" i="1"/>
  <c r="J1441" i="1"/>
  <c r="K1441" i="1"/>
  <c r="H1442" i="1"/>
  <c r="I1442" i="1"/>
  <c r="J1442" i="1"/>
  <c r="K1442" i="1"/>
  <c r="H1443" i="1"/>
  <c r="I1443" i="1"/>
  <c r="J1443" i="1"/>
  <c r="K1443" i="1"/>
  <c r="H1444" i="1"/>
  <c r="I1444" i="1"/>
  <c r="J1444" i="1"/>
  <c r="K1444" i="1"/>
  <c r="H1445" i="1"/>
  <c r="I1445" i="1"/>
  <c r="J1445" i="1"/>
  <c r="K1445" i="1"/>
  <c r="H1446" i="1"/>
  <c r="I1446" i="1"/>
  <c r="J1446" i="1"/>
  <c r="K1446" i="1"/>
  <c r="H1447" i="1"/>
  <c r="I1447" i="1"/>
  <c r="J1447" i="1"/>
  <c r="K1447" i="1"/>
  <c r="H1448" i="1"/>
  <c r="I1448" i="1"/>
  <c r="J1448" i="1"/>
  <c r="K1448" i="1"/>
  <c r="H1449" i="1"/>
  <c r="I1449" i="1"/>
  <c r="J1449" i="1"/>
  <c r="K1449" i="1"/>
  <c r="H1450" i="1"/>
  <c r="I1450" i="1"/>
  <c r="J1450" i="1"/>
  <c r="K1450" i="1"/>
  <c r="H1451" i="1"/>
  <c r="I1451" i="1"/>
  <c r="J1451" i="1"/>
  <c r="K1451" i="1"/>
  <c r="H1452" i="1"/>
  <c r="I1452" i="1"/>
  <c r="J1452" i="1"/>
  <c r="K1452" i="1"/>
  <c r="H1453" i="1"/>
  <c r="I1453" i="1"/>
  <c r="J1453" i="1"/>
  <c r="K1453" i="1"/>
  <c r="H1454" i="1"/>
  <c r="I1454" i="1"/>
  <c r="J1454" i="1"/>
  <c r="K1454" i="1"/>
  <c r="H1455" i="1"/>
  <c r="I1455" i="1"/>
  <c r="J1455" i="1"/>
  <c r="K1455" i="1"/>
  <c r="H1456" i="1"/>
  <c r="I1456" i="1"/>
  <c r="J1456" i="1"/>
  <c r="K1456" i="1"/>
  <c r="H1457" i="1"/>
  <c r="I1457" i="1"/>
  <c r="J1457" i="1"/>
  <c r="K1457" i="1"/>
  <c r="H1458" i="1"/>
  <c r="I1458" i="1"/>
  <c r="J1458" i="1"/>
  <c r="K1458" i="1"/>
  <c r="H1459" i="1"/>
  <c r="I1459" i="1"/>
  <c r="J1459" i="1"/>
  <c r="K1459" i="1"/>
  <c r="H1460" i="1"/>
  <c r="I1460" i="1"/>
  <c r="J1460" i="1"/>
  <c r="K1460" i="1"/>
  <c r="H1461" i="1"/>
  <c r="I1461" i="1"/>
  <c r="J1461" i="1"/>
  <c r="K1461" i="1"/>
  <c r="H1462" i="1"/>
  <c r="I1462" i="1"/>
  <c r="J1462" i="1"/>
  <c r="K1462" i="1"/>
  <c r="H1463" i="1"/>
  <c r="I1463" i="1"/>
  <c r="J1463" i="1"/>
  <c r="K1463" i="1"/>
  <c r="H1464" i="1"/>
  <c r="I1464" i="1"/>
  <c r="J1464" i="1"/>
  <c r="K1464" i="1"/>
  <c r="H1465" i="1"/>
  <c r="I1465" i="1"/>
  <c r="J1465" i="1"/>
  <c r="K1465" i="1"/>
  <c r="H1466" i="1"/>
  <c r="I1466" i="1"/>
  <c r="J1466" i="1"/>
  <c r="K1466" i="1"/>
  <c r="H1467" i="1"/>
  <c r="I1467" i="1"/>
  <c r="J1467" i="1"/>
  <c r="K1467" i="1"/>
  <c r="H1468" i="1"/>
  <c r="I1468" i="1"/>
  <c r="J1468" i="1"/>
  <c r="K1468" i="1"/>
  <c r="H1469" i="1"/>
  <c r="I1469" i="1"/>
  <c r="J1469" i="1"/>
  <c r="K1469" i="1"/>
  <c r="H1470" i="1"/>
  <c r="I1470" i="1"/>
  <c r="J1470" i="1"/>
  <c r="K1470" i="1"/>
  <c r="H1471" i="1"/>
  <c r="I1471" i="1"/>
  <c r="J1471" i="1"/>
  <c r="K1471" i="1"/>
  <c r="H1472" i="1"/>
  <c r="I1472" i="1"/>
  <c r="J1472" i="1"/>
  <c r="K1472" i="1"/>
  <c r="H1473" i="1"/>
  <c r="I1473" i="1"/>
  <c r="J1473" i="1"/>
  <c r="K1473" i="1"/>
  <c r="H1474" i="1"/>
  <c r="I1474" i="1"/>
  <c r="J1474" i="1"/>
  <c r="K1474" i="1"/>
  <c r="H1475" i="1"/>
  <c r="I1475" i="1"/>
  <c r="J1475" i="1"/>
  <c r="K1475" i="1"/>
  <c r="H1476" i="1"/>
  <c r="I1476" i="1"/>
  <c r="J1476" i="1"/>
  <c r="K1476" i="1"/>
  <c r="H1477" i="1"/>
  <c r="I1477" i="1"/>
  <c r="J1477" i="1"/>
  <c r="K1477" i="1"/>
  <c r="H1478" i="1"/>
  <c r="I1478" i="1"/>
  <c r="J1478" i="1"/>
  <c r="K1478" i="1"/>
  <c r="H1479" i="1"/>
  <c r="I1479" i="1"/>
  <c r="J1479" i="1"/>
  <c r="K1479" i="1"/>
  <c r="H1480" i="1"/>
  <c r="I1480" i="1"/>
  <c r="J1480" i="1"/>
  <c r="K1480" i="1"/>
  <c r="H1481" i="1"/>
  <c r="I1481" i="1"/>
  <c r="J1481" i="1"/>
  <c r="K1481" i="1"/>
  <c r="H1482" i="1"/>
  <c r="I1482" i="1"/>
  <c r="J1482" i="1"/>
  <c r="K1482" i="1"/>
  <c r="H1483" i="1"/>
  <c r="I1483" i="1"/>
  <c r="J1483" i="1"/>
  <c r="K1483" i="1"/>
  <c r="H1484" i="1"/>
  <c r="I1484" i="1"/>
  <c r="J1484" i="1"/>
  <c r="K1484" i="1"/>
  <c r="H1485" i="1"/>
  <c r="I1485" i="1"/>
  <c r="J1485" i="1"/>
  <c r="K1485" i="1"/>
  <c r="H1486" i="1"/>
  <c r="I1486" i="1"/>
  <c r="J1486" i="1"/>
  <c r="K1486" i="1"/>
  <c r="H1487" i="1"/>
  <c r="I1487" i="1"/>
  <c r="J1487" i="1"/>
  <c r="K1487" i="1"/>
  <c r="H1488" i="1"/>
  <c r="I1488" i="1"/>
  <c r="J1488" i="1"/>
  <c r="K1488" i="1"/>
  <c r="H1489" i="1"/>
  <c r="I1489" i="1"/>
  <c r="J1489" i="1"/>
  <c r="K1489" i="1"/>
  <c r="H1490" i="1"/>
  <c r="I1490" i="1"/>
  <c r="J1490" i="1"/>
  <c r="K1490" i="1"/>
  <c r="H1491" i="1"/>
  <c r="I1491" i="1"/>
  <c r="J1491" i="1"/>
  <c r="K1491" i="1"/>
  <c r="H1492" i="1"/>
  <c r="I1492" i="1"/>
  <c r="J1492" i="1"/>
  <c r="K1492" i="1"/>
  <c r="H1493" i="1"/>
  <c r="I1493" i="1"/>
  <c r="J1493" i="1"/>
  <c r="K1493" i="1"/>
  <c r="H1494" i="1"/>
  <c r="I1494" i="1"/>
  <c r="J1494" i="1"/>
  <c r="K1494" i="1"/>
  <c r="H1495" i="1"/>
  <c r="I1495" i="1"/>
  <c r="J1495" i="1"/>
  <c r="K1495" i="1"/>
  <c r="H1496" i="1"/>
  <c r="I1496" i="1"/>
  <c r="J1496" i="1"/>
  <c r="K1496" i="1"/>
  <c r="H1497" i="1"/>
  <c r="I1497" i="1"/>
  <c r="J1497" i="1"/>
  <c r="K1497" i="1"/>
  <c r="H1498" i="1"/>
  <c r="I1498" i="1"/>
  <c r="J1498" i="1"/>
  <c r="K1498" i="1"/>
  <c r="H1499" i="1"/>
  <c r="I1499" i="1"/>
  <c r="J1499" i="1"/>
  <c r="K1499" i="1"/>
  <c r="H1500" i="1"/>
  <c r="I1500" i="1"/>
  <c r="J1500" i="1"/>
  <c r="K1500" i="1"/>
  <c r="H1501" i="1"/>
  <c r="I1501" i="1"/>
  <c r="J1501" i="1"/>
  <c r="K1501" i="1"/>
  <c r="H1502" i="1"/>
  <c r="I1502" i="1"/>
  <c r="J1502" i="1"/>
  <c r="K1502" i="1"/>
  <c r="H1503" i="1"/>
  <c r="I1503" i="1"/>
  <c r="J1503" i="1"/>
  <c r="K1503" i="1"/>
  <c r="H1504" i="1"/>
  <c r="I1504" i="1"/>
  <c r="J1504" i="1"/>
  <c r="K1504" i="1"/>
  <c r="H1505" i="1"/>
  <c r="I1505" i="1"/>
  <c r="J1505" i="1"/>
  <c r="K1505" i="1"/>
  <c r="H1506" i="1"/>
  <c r="I1506" i="1"/>
  <c r="J1506" i="1"/>
  <c r="K1506" i="1"/>
  <c r="H1507" i="1"/>
  <c r="I1507" i="1"/>
  <c r="J1507" i="1"/>
  <c r="K1507" i="1"/>
  <c r="H1508" i="1"/>
  <c r="I1508" i="1"/>
  <c r="J1508" i="1"/>
  <c r="K1508" i="1"/>
  <c r="H1509" i="1"/>
  <c r="I1509" i="1"/>
  <c r="J1509" i="1"/>
  <c r="K1509" i="1"/>
  <c r="H1510" i="1"/>
  <c r="I1510" i="1"/>
  <c r="J1510" i="1"/>
  <c r="K1510" i="1"/>
  <c r="H1511" i="1"/>
  <c r="I1511" i="1"/>
  <c r="J1511" i="1"/>
  <c r="K1511" i="1"/>
  <c r="H1512" i="1"/>
  <c r="I1512" i="1"/>
  <c r="J1512" i="1"/>
  <c r="K1512" i="1"/>
  <c r="H1513" i="1"/>
  <c r="I1513" i="1"/>
  <c r="J1513" i="1"/>
  <c r="K1513" i="1"/>
  <c r="H1514" i="1"/>
  <c r="I1514" i="1"/>
  <c r="J1514" i="1"/>
  <c r="K1514" i="1"/>
  <c r="H1515" i="1"/>
  <c r="I1515" i="1"/>
  <c r="J1515" i="1"/>
  <c r="K1515" i="1"/>
  <c r="H1516" i="1"/>
  <c r="I1516" i="1"/>
  <c r="J1516" i="1"/>
  <c r="K1516" i="1"/>
  <c r="H1517" i="1"/>
  <c r="I1517" i="1"/>
  <c r="J1517" i="1"/>
  <c r="K1517" i="1"/>
  <c r="H1518" i="1"/>
  <c r="I1518" i="1"/>
  <c r="J1518" i="1"/>
  <c r="K1518" i="1"/>
  <c r="H1519" i="1"/>
  <c r="I1519" i="1"/>
  <c r="J1519" i="1"/>
  <c r="K1519" i="1"/>
  <c r="H1520" i="1"/>
  <c r="I1520" i="1"/>
  <c r="J1520" i="1"/>
  <c r="K1520" i="1"/>
  <c r="H1521" i="1"/>
  <c r="I1521" i="1"/>
  <c r="J1521" i="1"/>
  <c r="K1521" i="1"/>
  <c r="H1522" i="1"/>
  <c r="I1522" i="1"/>
  <c r="J1522" i="1"/>
  <c r="K1522" i="1"/>
  <c r="H1523" i="1"/>
  <c r="I1523" i="1"/>
  <c r="J1523" i="1"/>
  <c r="K1523" i="1"/>
  <c r="H1524" i="1"/>
  <c r="I1524" i="1"/>
  <c r="J1524" i="1"/>
  <c r="K1524" i="1"/>
  <c r="H1525" i="1"/>
  <c r="I1525" i="1"/>
  <c r="J1525" i="1"/>
  <c r="K1525" i="1"/>
  <c r="H1526" i="1"/>
  <c r="I1526" i="1"/>
  <c r="J1526" i="1"/>
  <c r="K1526" i="1"/>
  <c r="H1527" i="1"/>
  <c r="I1527" i="1"/>
  <c r="J1527" i="1"/>
  <c r="K1527" i="1"/>
  <c r="H1528" i="1"/>
  <c r="I1528" i="1"/>
  <c r="J1528" i="1"/>
  <c r="K1528" i="1"/>
  <c r="H1529" i="1"/>
  <c r="I1529" i="1"/>
  <c r="J1529" i="1"/>
  <c r="K1529" i="1"/>
  <c r="H1530" i="1"/>
  <c r="I1530" i="1"/>
  <c r="J1530" i="1"/>
  <c r="K1530" i="1"/>
  <c r="H1531" i="1"/>
  <c r="I1531" i="1"/>
  <c r="J1531" i="1"/>
  <c r="K1531" i="1"/>
  <c r="H1532" i="1"/>
  <c r="I1532" i="1"/>
  <c r="J1532" i="1"/>
  <c r="K1532" i="1"/>
  <c r="H1533" i="1"/>
  <c r="I1533" i="1"/>
  <c r="J1533" i="1"/>
  <c r="K1533" i="1"/>
  <c r="H1534" i="1"/>
  <c r="I1534" i="1"/>
  <c r="J1534" i="1"/>
  <c r="K1534" i="1"/>
  <c r="H1535" i="1"/>
  <c r="I1535" i="1"/>
  <c r="J1535" i="1"/>
  <c r="K1535" i="1"/>
  <c r="H1536" i="1"/>
  <c r="I1536" i="1"/>
  <c r="J1536" i="1"/>
  <c r="K1536" i="1"/>
  <c r="H1537" i="1"/>
  <c r="I1537" i="1"/>
  <c r="J1537" i="1"/>
  <c r="K1537" i="1"/>
  <c r="H1538" i="1"/>
  <c r="I1538" i="1"/>
  <c r="J1538" i="1"/>
  <c r="K1538" i="1"/>
  <c r="H1539" i="1"/>
  <c r="I1539" i="1"/>
  <c r="J1539" i="1"/>
  <c r="K1539" i="1"/>
  <c r="H1540" i="1"/>
  <c r="I1540" i="1"/>
  <c r="J1540" i="1"/>
  <c r="K1540" i="1"/>
  <c r="H1541" i="1"/>
  <c r="I1541" i="1"/>
  <c r="J1541" i="1"/>
  <c r="K1541" i="1"/>
  <c r="H1542" i="1"/>
  <c r="I1542" i="1"/>
  <c r="J1542" i="1"/>
  <c r="K1542" i="1"/>
  <c r="H1543" i="1"/>
  <c r="I1543" i="1"/>
  <c r="J1543" i="1"/>
  <c r="K1543" i="1"/>
  <c r="H1544" i="1"/>
  <c r="I1544" i="1"/>
  <c r="J1544" i="1"/>
  <c r="K1544" i="1"/>
  <c r="H1545" i="1"/>
  <c r="I1545" i="1"/>
  <c r="J1545" i="1"/>
  <c r="K1545" i="1"/>
  <c r="H1546" i="1"/>
  <c r="I1546" i="1"/>
  <c r="J1546" i="1"/>
  <c r="K1546" i="1"/>
  <c r="H1547" i="1"/>
  <c r="I1547" i="1"/>
  <c r="J1547" i="1"/>
  <c r="K1547" i="1"/>
  <c r="H1548" i="1"/>
  <c r="I1548" i="1"/>
  <c r="J1548" i="1"/>
  <c r="K1548" i="1"/>
  <c r="H1549" i="1"/>
  <c r="I1549" i="1"/>
  <c r="J1549" i="1"/>
  <c r="K1549" i="1"/>
  <c r="H1550" i="1"/>
  <c r="I1550" i="1"/>
  <c r="J1550" i="1"/>
  <c r="K1550" i="1"/>
  <c r="H1551" i="1"/>
  <c r="I1551" i="1"/>
  <c r="J1551" i="1"/>
  <c r="K1551" i="1"/>
  <c r="H1552" i="1"/>
  <c r="I1552" i="1"/>
  <c r="J1552" i="1"/>
  <c r="K1552" i="1"/>
  <c r="H1553" i="1"/>
  <c r="I1553" i="1"/>
  <c r="J1553" i="1"/>
  <c r="K1553" i="1"/>
  <c r="H1554" i="1"/>
  <c r="I1554" i="1"/>
  <c r="J1554" i="1"/>
  <c r="K1554" i="1"/>
  <c r="H1555" i="1"/>
  <c r="I1555" i="1"/>
  <c r="J1555" i="1"/>
  <c r="K1555" i="1"/>
  <c r="H1556" i="1"/>
  <c r="I1556" i="1"/>
  <c r="J1556" i="1"/>
  <c r="K1556" i="1"/>
  <c r="H1557" i="1"/>
  <c r="I1557" i="1"/>
  <c r="J1557" i="1"/>
  <c r="K1557" i="1"/>
  <c r="H1558" i="1"/>
  <c r="I1558" i="1"/>
  <c r="J1558" i="1"/>
  <c r="K1558" i="1"/>
  <c r="H1559" i="1"/>
  <c r="I1559" i="1"/>
  <c r="J1559" i="1"/>
  <c r="K1559" i="1"/>
  <c r="H1560" i="1"/>
  <c r="I1560" i="1"/>
  <c r="J1560" i="1"/>
  <c r="K1560" i="1"/>
  <c r="H1561" i="1"/>
  <c r="I1561" i="1"/>
  <c r="J1561" i="1"/>
  <c r="K1561" i="1"/>
  <c r="H1562" i="1"/>
  <c r="I1562" i="1"/>
  <c r="J1562" i="1"/>
  <c r="K1562" i="1"/>
  <c r="H1563" i="1"/>
  <c r="I1563" i="1"/>
  <c r="J1563" i="1"/>
  <c r="K1563" i="1"/>
  <c r="H1564" i="1"/>
  <c r="I1564" i="1"/>
  <c r="J1564" i="1"/>
  <c r="K1564" i="1"/>
  <c r="H1565" i="1"/>
  <c r="I1565" i="1"/>
  <c r="J1565" i="1"/>
  <c r="K1565" i="1"/>
  <c r="H1566" i="1"/>
  <c r="I1566" i="1"/>
  <c r="J1566" i="1"/>
  <c r="K1566" i="1"/>
  <c r="H1567" i="1"/>
  <c r="I1567" i="1"/>
  <c r="J1567" i="1"/>
  <c r="K1567" i="1"/>
  <c r="H1568" i="1"/>
  <c r="I1568" i="1"/>
  <c r="J1568" i="1"/>
  <c r="K1568" i="1"/>
  <c r="H1569" i="1"/>
  <c r="I1569" i="1"/>
  <c r="J1569" i="1"/>
  <c r="K1569" i="1"/>
  <c r="H1570" i="1"/>
  <c r="I1570" i="1"/>
  <c r="J1570" i="1"/>
  <c r="K1570" i="1"/>
  <c r="H1571" i="1"/>
  <c r="I1571" i="1"/>
  <c r="J1571" i="1"/>
  <c r="K1571" i="1"/>
  <c r="H1572" i="1"/>
  <c r="I1572" i="1"/>
  <c r="J1572" i="1"/>
  <c r="K1572" i="1"/>
  <c r="H1573" i="1"/>
  <c r="I1573" i="1"/>
  <c r="J1573" i="1"/>
  <c r="K1573" i="1"/>
  <c r="H1574" i="1"/>
  <c r="I1574" i="1"/>
  <c r="J1574" i="1"/>
  <c r="K1574" i="1"/>
  <c r="H1575" i="1"/>
  <c r="I1575" i="1"/>
  <c r="J1575" i="1"/>
  <c r="K1575" i="1"/>
  <c r="H1576" i="1"/>
  <c r="I1576" i="1"/>
  <c r="J1576" i="1"/>
  <c r="K1576" i="1"/>
  <c r="H1577" i="1"/>
  <c r="I1577" i="1"/>
  <c r="J1577" i="1"/>
  <c r="K1577" i="1"/>
  <c r="H1578" i="1"/>
  <c r="I1578" i="1"/>
  <c r="J1578" i="1"/>
  <c r="K1578" i="1"/>
  <c r="H1579" i="1"/>
  <c r="I1579" i="1"/>
  <c r="J1579" i="1"/>
  <c r="K1579" i="1"/>
  <c r="H1580" i="1"/>
  <c r="I1580" i="1"/>
  <c r="J1580" i="1"/>
  <c r="K1580" i="1"/>
  <c r="H1581" i="1"/>
  <c r="I1581" i="1"/>
  <c r="J1581" i="1"/>
  <c r="K1581" i="1"/>
  <c r="H1582" i="1"/>
  <c r="I1582" i="1"/>
  <c r="J1582" i="1"/>
  <c r="K1582" i="1"/>
  <c r="H1583" i="1"/>
  <c r="I1583" i="1"/>
  <c r="J1583" i="1"/>
  <c r="K1583" i="1"/>
  <c r="H1584" i="1"/>
  <c r="I1584" i="1"/>
  <c r="J1584" i="1"/>
  <c r="K1584" i="1"/>
  <c r="H1585" i="1"/>
  <c r="I1585" i="1"/>
  <c r="J1585" i="1"/>
  <c r="K1585" i="1"/>
  <c r="H1586" i="1"/>
  <c r="I1586" i="1"/>
  <c r="J1586" i="1"/>
  <c r="K1586" i="1"/>
  <c r="H1587" i="1"/>
  <c r="I1587" i="1"/>
  <c r="J1587" i="1"/>
  <c r="K1587" i="1"/>
  <c r="H1588" i="1"/>
  <c r="I1588" i="1"/>
  <c r="J1588" i="1"/>
  <c r="K1588" i="1"/>
  <c r="H1589" i="1"/>
  <c r="I1589" i="1"/>
  <c r="J1589" i="1"/>
  <c r="K1589" i="1"/>
  <c r="H1590" i="1"/>
  <c r="I1590" i="1"/>
  <c r="J1590" i="1"/>
  <c r="K1590" i="1"/>
  <c r="H1591" i="1"/>
  <c r="I1591" i="1"/>
  <c r="J1591" i="1"/>
  <c r="K1591" i="1"/>
  <c r="H1592" i="1"/>
  <c r="I1592" i="1"/>
  <c r="J1592" i="1"/>
  <c r="K1592" i="1"/>
  <c r="H1593" i="1"/>
  <c r="I1593" i="1"/>
  <c r="J1593" i="1"/>
  <c r="K1593" i="1"/>
  <c r="H1594" i="1"/>
  <c r="I1594" i="1"/>
  <c r="J1594" i="1"/>
  <c r="K1594" i="1"/>
  <c r="H1595" i="1"/>
  <c r="I1595" i="1"/>
  <c r="J1595" i="1"/>
  <c r="K1595" i="1"/>
  <c r="H1596" i="1"/>
  <c r="I1596" i="1"/>
  <c r="J1596" i="1"/>
  <c r="K1596" i="1"/>
  <c r="H1597" i="1"/>
  <c r="I1597" i="1"/>
  <c r="J1597" i="1"/>
  <c r="K1597" i="1"/>
  <c r="H1598" i="1"/>
  <c r="I1598" i="1"/>
  <c r="J1598" i="1"/>
  <c r="K1598" i="1"/>
  <c r="H1599" i="1"/>
  <c r="I1599" i="1"/>
  <c r="J1599" i="1"/>
  <c r="K1599" i="1"/>
  <c r="H1600" i="1"/>
  <c r="I1600" i="1"/>
  <c r="J1600" i="1"/>
  <c r="K1600" i="1"/>
  <c r="H1601" i="1"/>
  <c r="I1601" i="1"/>
  <c r="J1601" i="1"/>
  <c r="K1601" i="1"/>
  <c r="H1602" i="1"/>
  <c r="I1602" i="1"/>
  <c r="J1602" i="1"/>
  <c r="K1602" i="1"/>
  <c r="H1603" i="1"/>
  <c r="I1603" i="1"/>
  <c r="J1603" i="1"/>
  <c r="K1603" i="1"/>
  <c r="H1604" i="1"/>
  <c r="I1604" i="1"/>
  <c r="J1604" i="1"/>
  <c r="K1604" i="1"/>
  <c r="H1605" i="1"/>
  <c r="I1605" i="1"/>
  <c r="J1605" i="1"/>
  <c r="K1605" i="1"/>
  <c r="H1606" i="1"/>
  <c r="I1606" i="1"/>
  <c r="J1606" i="1"/>
  <c r="K1606" i="1"/>
  <c r="H1607" i="1"/>
  <c r="I1607" i="1"/>
  <c r="J1607" i="1"/>
  <c r="K1607" i="1"/>
  <c r="H1608" i="1"/>
  <c r="I1608" i="1"/>
  <c r="J1608" i="1"/>
  <c r="K1608" i="1"/>
  <c r="H1609" i="1"/>
  <c r="I1609" i="1"/>
  <c r="J1609" i="1"/>
  <c r="K1609" i="1"/>
  <c r="H1610" i="1"/>
  <c r="I1610" i="1"/>
  <c r="J1610" i="1"/>
  <c r="K1610" i="1"/>
  <c r="H1611" i="1"/>
  <c r="I1611" i="1"/>
  <c r="J1611" i="1"/>
  <c r="K1611" i="1"/>
  <c r="H1612" i="1"/>
  <c r="I1612" i="1"/>
  <c r="J1612" i="1"/>
  <c r="K1612" i="1"/>
  <c r="H1613" i="1"/>
  <c r="I1613" i="1"/>
  <c r="J1613" i="1"/>
  <c r="K1613" i="1"/>
  <c r="H1614" i="1"/>
  <c r="I1614" i="1"/>
  <c r="J1614" i="1"/>
  <c r="K1614" i="1"/>
  <c r="H1615" i="1"/>
  <c r="I1615" i="1"/>
  <c r="J1615" i="1"/>
  <c r="K1615" i="1"/>
  <c r="H1616" i="1"/>
  <c r="I1616" i="1"/>
  <c r="J1616" i="1"/>
  <c r="K1616" i="1"/>
  <c r="H1617" i="1"/>
  <c r="I1617" i="1"/>
  <c r="J1617" i="1"/>
  <c r="K1617" i="1"/>
  <c r="H1618" i="1"/>
  <c r="I1618" i="1"/>
  <c r="J1618" i="1"/>
  <c r="K1618" i="1"/>
  <c r="H1619" i="1"/>
  <c r="I1619" i="1"/>
  <c r="J1619" i="1"/>
  <c r="K1619" i="1"/>
  <c r="H1620" i="1"/>
  <c r="I1620" i="1"/>
  <c r="J1620" i="1"/>
  <c r="K1620" i="1"/>
  <c r="H1621" i="1"/>
  <c r="I1621" i="1"/>
  <c r="J1621" i="1"/>
  <c r="K1621" i="1"/>
  <c r="H1622" i="1"/>
  <c r="I1622" i="1"/>
  <c r="J1622" i="1"/>
  <c r="K1622" i="1"/>
  <c r="H1623" i="1"/>
  <c r="I1623" i="1"/>
  <c r="J1623" i="1"/>
  <c r="K1623" i="1"/>
  <c r="H1624" i="1"/>
  <c r="I1624" i="1"/>
  <c r="J1624" i="1"/>
  <c r="K1624" i="1"/>
  <c r="H1625" i="1"/>
  <c r="I1625" i="1"/>
  <c r="J1625" i="1"/>
  <c r="K1625" i="1"/>
  <c r="H1626" i="1"/>
  <c r="I1626" i="1"/>
  <c r="J1626" i="1"/>
  <c r="K1626" i="1"/>
  <c r="H1627" i="1"/>
  <c r="I1627" i="1"/>
  <c r="J1627" i="1"/>
  <c r="K1627" i="1"/>
  <c r="H1628" i="1"/>
  <c r="I1628" i="1"/>
  <c r="J1628" i="1"/>
  <c r="K1628" i="1"/>
  <c r="H1629" i="1"/>
  <c r="I1629" i="1"/>
  <c r="J1629" i="1"/>
  <c r="K1629" i="1"/>
  <c r="H1630" i="1"/>
  <c r="I1630" i="1"/>
  <c r="J1630" i="1"/>
  <c r="K1630" i="1"/>
  <c r="H1631" i="1"/>
  <c r="I1631" i="1"/>
  <c r="J1631" i="1"/>
  <c r="K1631" i="1"/>
  <c r="H1632" i="1"/>
  <c r="I1632" i="1"/>
  <c r="J1632" i="1"/>
  <c r="K1632" i="1"/>
  <c r="H1633" i="1"/>
  <c r="I1633" i="1"/>
  <c r="J1633" i="1"/>
  <c r="K1633" i="1"/>
  <c r="H1634" i="1"/>
  <c r="I1634" i="1"/>
  <c r="J1634" i="1"/>
  <c r="K1634" i="1"/>
  <c r="H1635" i="1"/>
  <c r="I1635" i="1"/>
  <c r="J1635" i="1"/>
  <c r="K1635" i="1"/>
  <c r="H1636" i="1"/>
  <c r="I1636" i="1"/>
  <c r="J1636" i="1"/>
  <c r="K1636" i="1"/>
  <c r="H1637" i="1"/>
  <c r="I1637" i="1"/>
  <c r="J1637" i="1"/>
  <c r="K1637" i="1"/>
  <c r="H1638" i="1"/>
  <c r="I1638" i="1"/>
  <c r="J1638" i="1"/>
  <c r="K1638" i="1"/>
  <c r="H1639" i="1"/>
  <c r="I1639" i="1"/>
  <c r="J1639" i="1"/>
  <c r="K1639" i="1"/>
  <c r="H1640" i="1"/>
  <c r="I1640" i="1"/>
  <c r="J1640" i="1"/>
  <c r="K1640" i="1"/>
  <c r="H1641" i="1"/>
  <c r="I1641" i="1"/>
  <c r="J1641" i="1"/>
  <c r="K1641" i="1"/>
  <c r="H1642" i="1"/>
  <c r="I1642" i="1"/>
  <c r="J1642" i="1"/>
  <c r="K1642" i="1"/>
  <c r="H1643" i="1"/>
  <c r="I1643" i="1"/>
  <c r="J1643" i="1"/>
  <c r="K1643" i="1"/>
  <c r="H1644" i="1"/>
  <c r="I1644" i="1"/>
  <c r="J1644" i="1"/>
  <c r="K1644" i="1"/>
  <c r="H1645" i="1"/>
  <c r="I1645" i="1"/>
  <c r="J1645" i="1"/>
  <c r="K1645" i="1"/>
  <c r="H1646" i="1"/>
  <c r="I1646" i="1"/>
  <c r="J1646" i="1"/>
  <c r="K1646" i="1"/>
  <c r="H1647" i="1"/>
  <c r="I1647" i="1"/>
  <c r="J1647" i="1"/>
  <c r="K1647" i="1"/>
  <c r="H1648" i="1"/>
  <c r="I1648" i="1"/>
  <c r="J1648" i="1"/>
  <c r="K1648" i="1"/>
  <c r="H1649" i="1"/>
  <c r="I1649" i="1"/>
  <c r="J1649" i="1"/>
  <c r="K1649" i="1"/>
  <c r="H1650" i="1"/>
  <c r="I1650" i="1"/>
  <c r="J1650" i="1"/>
  <c r="K1650" i="1"/>
  <c r="H1651" i="1"/>
  <c r="I1651" i="1"/>
  <c r="J1651" i="1"/>
  <c r="K1651" i="1"/>
  <c r="H1652" i="1"/>
  <c r="I1652" i="1"/>
  <c r="J1652" i="1"/>
  <c r="K1652" i="1"/>
  <c r="H1653" i="1"/>
  <c r="I1653" i="1"/>
  <c r="J1653" i="1"/>
  <c r="K1653" i="1"/>
  <c r="H1654" i="1"/>
  <c r="I1654" i="1"/>
  <c r="J1654" i="1"/>
  <c r="K1654" i="1"/>
  <c r="H1655" i="1"/>
  <c r="I1655" i="1"/>
  <c r="J1655" i="1"/>
  <c r="K1655" i="1"/>
  <c r="H1656" i="1"/>
  <c r="I1656" i="1"/>
  <c r="J1656" i="1"/>
  <c r="K1656" i="1"/>
  <c r="H1657" i="1"/>
  <c r="I1657" i="1"/>
  <c r="J1657" i="1"/>
  <c r="K1657" i="1"/>
  <c r="H1658" i="1"/>
  <c r="I1658" i="1"/>
  <c r="J1658" i="1"/>
  <c r="K1658" i="1"/>
  <c r="H1659" i="1"/>
  <c r="I1659" i="1"/>
  <c r="J1659" i="1"/>
  <c r="K1659" i="1"/>
  <c r="H1660" i="1"/>
  <c r="I1660" i="1"/>
  <c r="J1660" i="1"/>
  <c r="K1660" i="1"/>
  <c r="H1661" i="1"/>
  <c r="I1661" i="1"/>
  <c r="J1661" i="1"/>
  <c r="K1661" i="1"/>
  <c r="H1662" i="1"/>
  <c r="I1662" i="1"/>
  <c r="J1662" i="1"/>
  <c r="K1662" i="1"/>
  <c r="H1663" i="1"/>
  <c r="I1663" i="1"/>
  <c r="J1663" i="1"/>
  <c r="K1663" i="1"/>
  <c r="H1664" i="1"/>
  <c r="I1664" i="1"/>
  <c r="J1664" i="1"/>
  <c r="K1664" i="1"/>
  <c r="H1665" i="1"/>
  <c r="I1665" i="1"/>
  <c r="J1665" i="1"/>
  <c r="K1665" i="1"/>
  <c r="H1666" i="1"/>
  <c r="I1666" i="1"/>
  <c r="J1666" i="1"/>
  <c r="K1666" i="1"/>
  <c r="H1667" i="1"/>
  <c r="I1667" i="1"/>
  <c r="J1667" i="1"/>
  <c r="K1667" i="1"/>
  <c r="H1668" i="1"/>
  <c r="I1668" i="1"/>
  <c r="J1668" i="1"/>
  <c r="K1668" i="1"/>
  <c r="H1669" i="1"/>
  <c r="I1669" i="1"/>
  <c r="J1669" i="1"/>
  <c r="K1669" i="1"/>
  <c r="H1670" i="1"/>
  <c r="I1670" i="1"/>
  <c r="J1670" i="1"/>
  <c r="K1670" i="1"/>
  <c r="H1671" i="1"/>
  <c r="I1671" i="1"/>
  <c r="J1671" i="1"/>
  <c r="K1671" i="1"/>
  <c r="H1672" i="1"/>
  <c r="I1672" i="1"/>
  <c r="J1672" i="1"/>
  <c r="K1672" i="1"/>
  <c r="H1673" i="1"/>
  <c r="I1673" i="1"/>
  <c r="J1673" i="1"/>
  <c r="K1673" i="1"/>
  <c r="H1674" i="1"/>
  <c r="I1674" i="1"/>
  <c r="J1674" i="1"/>
  <c r="K1674" i="1"/>
  <c r="H1675" i="1"/>
  <c r="I1675" i="1"/>
  <c r="J1675" i="1"/>
  <c r="K1675" i="1"/>
  <c r="H1676" i="1"/>
  <c r="I1676" i="1"/>
  <c r="J1676" i="1"/>
  <c r="K1676" i="1"/>
  <c r="H1677" i="1"/>
  <c r="I1677" i="1"/>
  <c r="J1677" i="1"/>
  <c r="K1677" i="1"/>
  <c r="H1678" i="1"/>
  <c r="I1678" i="1"/>
  <c r="J1678" i="1"/>
  <c r="K1678" i="1"/>
  <c r="H1679" i="1"/>
  <c r="I1679" i="1"/>
  <c r="J1679" i="1"/>
  <c r="K1679" i="1"/>
  <c r="H1680" i="1"/>
  <c r="I1680" i="1"/>
  <c r="J1680" i="1"/>
  <c r="K1680" i="1"/>
  <c r="H1681" i="1"/>
  <c r="I1681" i="1"/>
  <c r="J1681" i="1"/>
  <c r="K1681" i="1"/>
  <c r="H1682" i="1"/>
  <c r="I1682" i="1"/>
  <c r="J1682" i="1"/>
  <c r="K1682" i="1"/>
  <c r="H1683" i="1"/>
  <c r="I1683" i="1"/>
  <c r="J1683" i="1"/>
  <c r="K1683" i="1"/>
  <c r="H1684" i="1"/>
  <c r="I1684" i="1"/>
  <c r="J1684" i="1"/>
  <c r="K1684" i="1"/>
  <c r="H1685" i="1"/>
  <c r="I1685" i="1"/>
  <c r="J1685" i="1"/>
  <c r="K1685" i="1"/>
  <c r="H1686" i="1"/>
  <c r="I1686" i="1"/>
  <c r="J1686" i="1"/>
  <c r="K1686" i="1"/>
  <c r="H1687" i="1"/>
  <c r="I1687" i="1"/>
  <c r="J1687" i="1"/>
  <c r="K1687" i="1"/>
  <c r="H1688" i="1"/>
  <c r="I1688" i="1"/>
  <c r="J1688" i="1"/>
  <c r="K1688" i="1"/>
  <c r="H1689" i="1"/>
  <c r="I1689" i="1"/>
  <c r="J1689" i="1"/>
  <c r="K1689" i="1"/>
  <c r="H1690" i="1"/>
  <c r="I1690" i="1"/>
  <c r="J1690" i="1"/>
  <c r="K1690" i="1"/>
  <c r="H1691" i="1"/>
  <c r="I1691" i="1"/>
  <c r="J1691" i="1"/>
  <c r="K1691" i="1"/>
  <c r="H1692" i="1"/>
  <c r="I1692" i="1"/>
  <c r="J1692" i="1"/>
  <c r="K1692" i="1"/>
  <c r="H1693" i="1"/>
  <c r="I1693" i="1"/>
  <c r="J1693" i="1"/>
  <c r="K1693" i="1"/>
  <c r="H1694" i="1"/>
  <c r="I1694" i="1"/>
  <c r="J1694" i="1"/>
  <c r="K1694" i="1"/>
  <c r="H1695" i="1"/>
  <c r="I1695" i="1"/>
  <c r="J1695" i="1"/>
  <c r="K1695" i="1"/>
  <c r="H1696" i="1"/>
  <c r="I1696" i="1"/>
  <c r="J1696" i="1"/>
  <c r="K1696" i="1"/>
  <c r="H1697" i="1"/>
  <c r="I1697" i="1"/>
  <c r="J1697" i="1"/>
  <c r="K1697" i="1"/>
  <c r="H1698" i="1"/>
  <c r="I1698" i="1"/>
  <c r="J1698" i="1"/>
  <c r="K1698" i="1"/>
  <c r="H1699" i="1"/>
  <c r="I1699" i="1"/>
  <c r="J1699" i="1"/>
  <c r="K1699" i="1"/>
  <c r="H1700" i="1"/>
  <c r="I1700" i="1"/>
  <c r="J1700" i="1"/>
  <c r="K1700" i="1"/>
  <c r="H1701" i="1"/>
  <c r="I1701" i="1"/>
  <c r="J1701" i="1"/>
  <c r="K1701" i="1"/>
  <c r="H1702" i="1"/>
  <c r="I1702" i="1"/>
  <c r="J1702" i="1"/>
  <c r="K1702" i="1"/>
  <c r="H1703" i="1"/>
  <c r="I1703" i="1"/>
  <c r="J1703" i="1"/>
  <c r="K1703" i="1"/>
  <c r="H1704" i="1"/>
  <c r="I1704" i="1"/>
  <c r="J1704" i="1"/>
  <c r="K1704" i="1"/>
  <c r="H1705" i="1"/>
  <c r="I1705" i="1"/>
  <c r="J1705" i="1"/>
  <c r="K1705" i="1"/>
  <c r="H1706" i="1"/>
  <c r="I1706" i="1"/>
  <c r="J1706" i="1"/>
  <c r="K1706" i="1"/>
  <c r="H1707" i="1"/>
  <c r="I1707" i="1"/>
  <c r="J1707" i="1"/>
  <c r="K1707" i="1"/>
  <c r="H1708" i="1"/>
  <c r="I1708" i="1"/>
  <c r="J1708" i="1"/>
  <c r="K1708" i="1"/>
  <c r="H1709" i="1"/>
  <c r="I1709" i="1"/>
  <c r="J1709" i="1"/>
  <c r="K1709" i="1"/>
  <c r="H1710" i="1"/>
  <c r="I1710" i="1"/>
  <c r="J1710" i="1"/>
  <c r="K1710" i="1"/>
  <c r="H1711" i="1"/>
  <c r="I1711" i="1"/>
  <c r="J1711" i="1"/>
  <c r="K1711" i="1"/>
  <c r="H1712" i="1"/>
  <c r="I1712" i="1"/>
  <c r="J1712" i="1"/>
  <c r="K1712" i="1"/>
  <c r="H1713" i="1"/>
  <c r="I1713" i="1"/>
  <c r="J1713" i="1"/>
  <c r="K1713" i="1"/>
  <c r="H1714" i="1"/>
  <c r="I1714" i="1"/>
  <c r="J1714" i="1"/>
  <c r="K1714" i="1"/>
  <c r="H1715" i="1"/>
  <c r="I1715" i="1"/>
  <c r="J1715" i="1"/>
  <c r="K1715" i="1"/>
  <c r="H1716" i="1"/>
  <c r="I1716" i="1"/>
  <c r="J1716" i="1"/>
  <c r="K1716" i="1"/>
  <c r="H1717" i="1"/>
  <c r="I1717" i="1"/>
  <c r="J1717" i="1"/>
  <c r="K1717" i="1"/>
  <c r="H1718" i="1"/>
  <c r="I1718" i="1"/>
  <c r="J1718" i="1"/>
  <c r="K1718" i="1"/>
  <c r="H1719" i="1"/>
  <c r="I1719" i="1"/>
  <c r="J1719" i="1"/>
  <c r="K1719" i="1"/>
  <c r="H1720" i="1"/>
  <c r="I1720" i="1"/>
  <c r="J1720" i="1"/>
  <c r="K1720" i="1"/>
  <c r="H1721" i="1"/>
  <c r="I1721" i="1"/>
  <c r="J1721" i="1"/>
  <c r="K1721" i="1"/>
  <c r="H1722" i="1"/>
  <c r="I1722" i="1"/>
  <c r="J1722" i="1"/>
  <c r="K1722" i="1"/>
  <c r="H1723" i="1"/>
  <c r="I1723" i="1"/>
  <c r="J1723" i="1"/>
  <c r="K1723" i="1"/>
  <c r="H1724" i="1"/>
  <c r="I1724" i="1"/>
  <c r="J1724" i="1"/>
  <c r="K1724" i="1"/>
  <c r="H1725" i="1"/>
  <c r="I1725" i="1"/>
  <c r="J1725" i="1"/>
  <c r="K1725" i="1"/>
  <c r="H1726" i="1"/>
  <c r="I1726" i="1"/>
  <c r="J1726" i="1"/>
  <c r="K1726" i="1"/>
  <c r="H1727" i="1"/>
  <c r="I1727" i="1"/>
  <c r="J1727" i="1"/>
  <c r="K1727" i="1"/>
  <c r="H1728" i="1"/>
  <c r="I1728" i="1"/>
  <c r="J1728" i="1"/>
  <c r="K1728" i="1"/>
  <c r="H1729" i="1"/>
  <c r="I1729" i="1"/>
  <c r="J1729" i="1"/>
  <c r="K1729" i="1"/>
  <c r="H1730" i="1"/>
  <c r="I1730" i="1"/>
  <c r="J1730" i="1"/>
  <c r="K1730" i="1"/>
  <c r="H1731" i="1"/>
  <c r="I1731" i="1"/>
  <c r="J1731" i="1"/>
  <c r="K1731" i="1"/>
  <c r="H1732" i="1"/>
  <c r="I1732" i="1"/>
  <c r="J1732" i="1"/>
  <c r="K1732" i="1"/>
  <c r="H1733" i="1"/>
  <c r="I1733" i="1"/>
  <c r="J1733" i="1"/>
  <c r="K1733" i="1"/>
  <c r="H1734" i="1"/>
  <c r="I1734" i="1"/>
  <c r="J1734" i="1"/>
  <c r="K1734" i="1"/>
  <c r="H1735" i="1"/>
  <c r="I1735" i="1"/>
  <c r="J1735" i="1"/>
  <c r="K1735" i="1"/>
  <c r="H1736" i="1"/>
  <c r="I1736" i="1"/>
  <c r="J1736" i="1"/>
  <c r="K1736" i="1"/>
  <c r="H1737" i="1"/>
  <c r="I1737" i="1"/>
  <c r="J1737" i="1"/>
  <c r="K1737" i="1"/>
  <c r="H1738" i="1"/>
  <c r="I1738" i="1"/>
  <c r="J1738" i="1"/>
  <c r="K1738" i="1"/>
  <c r="H1739" i="1"/>
  <c r="I1739" i="1"/>
  <c r="J1739" i="1"/>
  <c r="K1739" i="1"/>
  <c r="H1740" i="1"/>
  <c r="I1740" i="1"/>
  <c r="J1740" i="1"/>
  <c r="K1740" i="1"/>
  <c r="H1741" i="1"/>
  <c r="I1741" i="1"/>
  <c r="J1741" i="1"/>
  <c r="K1741" i="1"/>
  <c r="H1742" i="1"/>
  <c r="I1742" i="1"/>
  <c r="J1742" i="1"/>
  <c r="K1742" i="1"/>
  <c r="H1743" i="1"/>
  <c r="I1743" i="1"/>
  <c r="J1743" i="1"/>
  <c r="K1743" i="1"/>
  <c r="H1744" i="1"/>
  <c r="I1744" i="1"/>
  <c r="J1744" i="1"/>
  <c r="K1744" i="1"/>
  <c r="H1745" i="1"/>
  <c r="I1745" i="1"/>
  <c r="J1745" i="1"/>
  <c r="K1745" i="1"/>
  <c r="H1746" i="1"/>
  <c r="I1746" i="1"/>
  <c r="J1746" i="1"/>
  <c r="K1746" i="1"/>
  <c r="H1747" i="1"/>
  <c r="I1747" i="1"/>
  <c r="J1747" i="1"/>
  <c r="K1747" i="1"/>
  <c r="H1748" i="1"/>
  <c r="I1748" i="1"/>
  <c r="J1748" i="1"/>
  <c r="K1748" i="1"/>
  <c r="H1749" i="1"/>
  <c r="I1749" i="1"/>
  <c r="J1749" i="1"/>
  <c r="K1749" i="1"/>
  <c r="H1750" i="1"/>
  <c r="I1750" i="1"/>
  <c r="J1750" i="1"/>
  <c r="K1750" i="1"/>
  <c r="H1751" i="1"/>
  <c r="I1751" i="1"/>
  <c r="J1751" i="1"/>
  <c r="K1751" i="1"/>
  <c r="H1752" i="1"/>
  <c r="I1752" i="1"/>
  <c r="J1752" i="1"/>
  <c r="K1752" i="1"/>
  <c r="H1753" i="1"/>
  <c r="I1753" i="1"/>
  <c r="J1753" i="1"/>
  <c r="K1753" i="1"/>
  <c r="H1754" i="1"/>
  <c r="I1754" i="1"/>
  <c r="J1754" i="1"/>
  <c r="K1754" i="1"/>
  <c r="H1755" i="1"/>
  <c r="I1755" i="1"/>
  <c r="J1755" i="1"/>
  <c r="K1755" i="1"/>
  <c r="H1756" i="1"/>
  <c r="I1756" i="1"/>
  <c r="J1756" i="1"/>
  <c r="K1756" i="1"/>
  <c r="H1757" i="1"/>
  <c r="I1757" i="1"/>
  <c r="J1757" i="1"/>
  <c r="K1757" i="1"/>
  <c r="H1758" i="1"/>
  <c r="I1758" i="1"/>
  <c r="J1758" i="1"/>
  <c r="K1758" i="1"/>
  <c r="H1759" i="1"/>
  <c r="I1759" i="1"/>
  <c r="J1759" i="1"/>
  <c r="K1759" i="1"/>
  <c r="H1760" i="1"/>
  <c r="I1760" i="1"/>
  <c r="J1760" i="1"/>
  <c r="K1760" i="1"/>
  <c r="H1761" i="1"/>
  <c r="I1761" i="1"/>
  <c r="J1761" i="1"/>
  <c r="K1761" i="1"/>
  <c r="H1762" i="1"/>
  <c r="I1762" i="1"/>
  <c r="J1762" i="1"/>
  <c r="K1762" i="1"/>
  <c r="H1763" i="1"/>
  <c r="I1763" i="1"/>
  <c r="J1763" i="1"/>
  <c r="K1763" i="1"/>
  <c r="H1764" i="1"/>
  <c r="I1764" i="1"/>
  <c r="J1764" i="1"/>
  <c r="K1764" i="1"/>
  <c r="H1765" i="1"/>
  <c r="I1765" i="1"/>
  <c r="J1765" i="1"/>
  <c r="K1765" i="1"/>
  <c r="H1766" i="1"/>
  <c r="I1766" i="1"/>
  <c r="J1766" i="1"/>
  <c r="K1766" i="1"/>
  <c r="H1767" i="1"/>
  <c r="I1767" i="1"/>
  <c r="J1767" i="1"/>
  <c r="K1767" i="1"/>
  <c r="H1768" i="1"/>
  <c r="I1768" i="1"/>
  <c r="J1768" i="1"/>
  <c r="K1768" i="1"/>
  <c r="H1769" i="1"/>
  <c r="I1769" i="1"/>
  <c r="J1769" i="1"/>
  <c r="K1769" i="1"/>
  <c r="H1770" i="1"/>
  <c r="I1770" i="1"/>
  <c r="J1770" i="1"/>
  <c r="K1770" i="1"/>
  <c r="H1771" i="1"/>
  <c r="I1771" i="1"/>
  <c r="J1771" i="1"/>
  <c r="K1771" i="1"/>
  <c r="H1772" i="1"/>
  <c r="I1772" i="1"/>
  <c r="J1772" i="1"/>
  <c r="K1772" i="1"/>
  <c r="H1773" i="1"/>
  <c r="I1773" i="1"/>
  <c r="J1773" i="1"/>
  <c r="K1773" i="1"/>
  <c r="H1774" i="1"/>
  <c r="I1774" i="1"/>
  <c r="J1774" i="1"/>
  <c r="K1774" i="1"/>
  <c r="H1775" i="1"/>
  <c r="I1775" i="1"/>
  <c r="J1775" i="1"/>
  <c r="K1775" i="1"/>
  <c r="H1776" i="1"/>
  <c r="I1776" i="1"/>
  <c r="J1776" i="1"/>
  <c r="K1776" i="1"/>
  <c r="H1777" i="1"/>
  <c r="I1777" i="1"/>
  <c r="J1777" i="1"/>
  <c r="K1777" i="1"/>
  <c r="H1778" i="1"/>
  <c r="I1778" i="1"/>
  <c r="J1778" i="1"/>
  <c r="K1778" i="1"/>
  <c r="H1779" i="1"/>
  <c r="I1779" i="1"/>
  <c r="J1779" i="1"/>
  <c r="K1779" i="1"/>
  <c r="H1780" i="1"/>
  <c r="I1780" i="1"/>
  <c r="J1780" i="1"/>
  <c r="K1780" i="1"/>
  <c r="H1781" i="1"/>
  <c r="I1781" i="1"/>
  <c r="J1781" i="1"/>
  <c r="K1781" i="1"/>
  <c r="H1782" i="1"/>
  <c r="I1782" i="1"/>
  <c r="J1782" i="1"/>
  <c r="K1782" i="1"/>
  <c r="H1783" i="1"/>
  <c r="I1783" i="1"/>
  <c r="J1783" i="1"/>
  <c r="K1783" i="1"/>
  <c r="H1784" i="1"/>
  <c r="I1784" i="1"/>
  <c r="J1784" i="1"/>
  <c r="K1784" i="1"/>
  <c r="H1785" i="1"/>
  <c r="I1785" i="1"/>
  <c r="J1785" i="1"/>
  <c r="K1785" i="1"/>
  <c r="H1786" i="1"/>
  <c r="I1786" i="1"/>
  <c r="J1786" i="1"/>
  <c r="K1786" i="1"/>
  <c r="H1787" i="1"/>
  <c r="I1787" i="1"/>
  <c r="J1787" i="1"/>
  <c r="K1787" i="1"/>
  <c r="H1788" i="1"/>
  <c r="I1788" i="1"/>
  <c r="J1788" i="1"/>
  <c r="K1788" i="1"/>
  <c r="H1789" i="1"/>
  <c r="I1789" i="1"/>
  <c r="J1789" i="1"/>
  <c r="K1789" i="1"/>
  <c r="H1790" i="1"/>
  <c r="I1790" i="1"/>
  <c r="J1790" i="1"/>
  <c r="K1790" i="1"/>
  <c r="H1791" i="1"/>
  <c r="I1791" i="1"/>
  <c r="J1791" i="1"/>
  <c r="K1791" i="1"/>
  <c r="H1792" i="1"/>
  <c r="I1792" i="1"/>
  <c r="J1792" i="1"/>
  <c r="K1792" i="1"/>
  <c r="H1793" i="1"/>
  <c r="I1793" i="1"/>
  <c r="J1793" i="1"/>
  <c r="K1793" i="1"/>
  <c r="H1794" i="1"/>
  <c r="I1794" i="1"/>
  <c r="J1794" i="1"/>
  <c r="K1794" i="1"/>
  <c r="H1795" i="1"/>
  <c r="I1795" i="1"/>
  <c r="J1795" i="1"/>
  <c r="K1795" i="1"/>
  <c r="H1796" i="1"/>
  <c r="I1796" i="1"/>
  <c r="J1796" i="1"/>
  <c r="K1796" i="1"/>
  <c r="H1797" i="1"/>
  <c r="I1797" i="1"/>
  <c r="J1797" i="1"/>
  <c r="K1797" i="1"/>
  <c r="H1798" i="1"/>
  <c r="I1798" i="1"/>
  <c r="J1798" i="1"/>
  <c r="K1798" i="1"/>
  <c r="H1799" i="1"/>
  <c r="I1799" i="1"/>
  <c r="J1799" i="1"/>
  <c r="K1799" i="1"/>
  <c r="H1800" i="1"/>
  <c r="I1800" i="1"/>
  <c r="J1800" i="1"/>
  <c r="K1800" i="1"/>
  <c r="H1801" i="1"/>
  <c r="I1801" i="1"/>
  <c r="J1801" i="1"/>
  <c r="K1801" i="1"/>
  <c r="H1802" i="1"/>
  <c r="I1802" i="1"/>
  <c r="J1802" i="1"/>
  <c r="K1802" i="1"/>
  <c r="H1803" i="1"/>
  <c r="I1803" i="1"/>
  <c r="J1803" i="1"/>
  <c r="K1803" i="1"/>
  <c r="H1804" i="1"/>
  <c r="I1804" i="1"/>
  <c r="J1804" i="1"/>
  <c r="K1804" i="1"/>
  <c r="H1805" i="1"/>
  <c r="I1805" i="1"/>
  <c r="J1805" i="1"/>
  <c r="K1805" i="1"/>
  <c r="H1806" i="1"/>
  <c r="I1806" i="1"/>
  <c r="J1806" i="1"/>
  <c r="K1806" i="1"/>
  <c r="H1807" i="1"/>
  <c r="I1807" i="1"/>
  <c r="J1807" i="1"/>
  <c r="K1807" i="1"/>
  <c r="H1808" i="1"/>
  <c r="I1808" i="1"/>
  <c r="J1808" i="1"/>
  <c r="K1808" i="1"/>
  <c r="H1809" i="1"/>
  <c r="I1809" i="1"/>
  <c r="J1809" i="1"/>
  <c r="K1809" i="1"/>
  <c r="H1810" i="1"/>
  <c r="I1810" i="1"/>
  <c r="J1810" i="1"/>
  <c r="K1810" i="1"/>
  <c r="H1811" i="1"/>
  <c r="I1811" i="1"/>
  <c r="J1811" i="1"/>
  <c r="K1811" i="1"/>
  <c r="H1812" i="1"/>
  <c r="I1812" i="1"/>
  <c r="J1812" i="1"/>
  <c r="K1812" i="1"/>
  <c r="H1813" i="1"/>
  <c r="I1813" i="1"/>
  <c r="J1813" i="1"/>
  <c r="K1813" i="1"/>
  <c r="H1814" i="1"/>
  <c r="I1814" i="1"/>
  <c r="J1814" i="1"/>
  <c r="K1814" i="1"/>
  <c r="H1815" i="1"/>
  <c r="I1815" i="1"/>
  <c r="J1815" i="1"/>
  <c r="K1815" i="1"/>
  <c r="H1816" i="1"/>
  <c r="I1816" i="1"/>
  <c r="J1816" i="1"/>
  <c r="K1816" i="1"/>
  <c r="H1817" i="1"/>
  <c r="I1817" i="1"/>
  <c r="J1817" i="1"/>
  <c r="K1817" i="1"/>
  <c r="H1818" i="1"/>
  <c r="I1818" i="1"/>
  <c r="J1818" i="1"/>
  <c r="K1818" i="1"/>
  <c r="H1819" i="1"/>
  <c r="I1819" i="1"/>
  <c r="J1819" i="1"/>
  <c r="K1819" i="1"/>
  <c r="H1820" i="1"/>
  <c r="I1820" i="1"/>
  <c r="J1820" i="1"/>
  <c r="K1820" i="1"/>
  <c r="H1821" i="1"/>
  <c r="I1821" i="1"/>
  <c r="J1821" i="1"/>
  <c r="K1821" i="1"/>
  <c r="H1822" i="1"/>
  <c r="I1822" i="1"/>
  <c r="J1822" i="1"/>
  <c r="K1822" i="1"/>
  <c r="H1823" i="1"/>
  <c r="I1823" i="1"/>
  <c r="J1823" i="1"/>
  <c r="K1823" i="1"/>
  <c r="H1824" i="1"/>
  <c r="I1824" i="1"/>
  <c r="J1824" i="1"/>
  <c r="K1824" i="1"/>
  <c r="H1825" i="1"/>
  <c r="I1825" i="1"/>
  <c r="J1825" i="1"/>
  <c r="K1825" i="1"/>
  <c r="H1826" i="1"/>
  <c r="I1826" i="1"/>
  <c r="J1826" i="1"/>
  <c r="K1826" i="1"/>
  <c r="H1827" i="1"/>
  <c r="I1827" i="1"/>
  <c r="J1827" i="1"/>
  <c r="K1827" i="1"/>
  <c r="H1828" i="1"/>
  <c r="I1828" i="1"/>
  <c r="J1828" i="1"/>
  <c r="K1828" i="1"/>
  <c r="H1829" i="1"/>
  <c r="I1829" i="1"/>
  <c r="J1829" i="1"/>
  <c r="K1829" i="1"/>
  <c r="H1830" i="1"/>
  <c r="I1830" i="1"/>
  <c r="J1830" i="1"/>
  <c r="K1830" i="1"/>
  <c r="H1831" i="1"/>
  <c r="I1831" i="1"/>
  <c r="J1831" i="1"/>
  <c r="K1831" i="1"/>
  <c r="H1832" i="1"/>
  <c r="I1832" i="1"/>
  <c r="J1832" i="1"/>
  <c r="K1832" i="1"/>
  <c r="H1833" i="1"/>
  <c r="I1833" i="1"/>
  <c r="J1833" i="1"/>
  <c r="K1833" i="1"/>
  <c r="H1834" i="1"/>
  <c r="I1834" i="1"/>
  <c r="J1834" i="1"/>
  <c r="K1834" i="1"/>
  <c r="H1835" i="1"/>
  <c r="I1835" i="1"/>
  <c r="J1835" i="1"/>
  <c r="K1835" i="1"/>
  <c r="H1836" i="1"/>
  <c r="I1836" i="1"/>
  <c r="J1836" i="1"/>
  <c r="K1836" i="1"/>
  <c r="H1837" i="1"/>
  <c r="I1837" i="1"/>
  <c r="J1837" i="1"/>
  <c r="K1837" i="1"/>
  <c r="H1838" i="1"/>
  <c r="I1838" i="1"/>
  <c r="J1838" i="1"/>
  <c r="K1838" i="1"/>
  <c r="H1839" i="1"/>
  <c r="I1839" i="1"/>
  <c r="J1839" i="1"/>
  <c r="K1839" i="1"/>
  <c r="H1840" i="1"/>
  <c r="I1840" i="1"/>
  <c r="J1840" i="1"/>
  <c r="K1840" i="1"/>
  <c r="H1841" i="1"/>
  <c r="I1841" i="1"/>
  <c r="J1841" i="1"/>
  <c r="K1841" i="1"/>
  <c r="H1842" i="1"/>
  <c r="I1842" i="1"/>
  <c r="J1842" i="1"/>
  <c r="K1842" i="1"/>
  <c r="H1843" i="1"/>
  <c r="I1843" i="1"/>
  <c r="J1843" i="1"/>
  <c r="K1843" i="1"/>
  <c r="H1844" i="1"/>
  <c r="I1844" i="1"/>
  <c r="J1844" i="1"/>
  <c r="K1844" i="1"/>
  <c r="H1845" i="1"/>
  <c r="I1845" i="1"/>
  <c r="J1845" i="1"/>
  <c r="K1845" i="1"/>
  <c r="H1846" i="1"/>
  <c r="I1846" i="1"/>
  <c r="J1846" i="1"/>
  <c r="K1846" i="1"/>
  <c r="H1847" i="1"/>
  <c r="I1847" i="1"/>
  <c r="J1847" i="1"/>
  <c r="K1847" i="1"/>
  <c r="H1848" i="1"/>
  <c r="I1848" i="1"/>
  <c r="J1848" i="1"/>
  <c r="K1848" i="1"/>
  <c r="H1849" i="1"/>
  <c r="I1849" i="1"/>
  <c r="J1849" i="1"/>
  <c r="K1849" i="1"/>
  <c r="H1850" i="1"/>
  <c r="I1850" i="1"/>
  <c r="J1850" i="1"/>
  <c r="K1850" i="1"/>
  <c r="H1851" i="1"/>
  <c r="I1851" i="1"/>
  <c r="J1851" i="1"/>
  <c r="K1851" i="1"/>
  <c r="H1852" i="1"/>
  <c r="I1852" i="1"/>
  <c r="J1852" i="1"/>
  <c r="K1852" i="1"/>
  <c r="H1853" i="1"/>
  <c r="I1853" i="1"/>
  <c r="J1853" i="1"/>
  <c r="K1853" i="1"/>
  <c r="H1854" i="1"/>
  <c r="I1854" i="1"/>
  <c r="J1854" i="1"/>
  <c r="K1854" i="1"/>
  <c r="H1855" i="1"/>
  <c r="I1855" i="1"/>
  <c r="J1855" i="1"/>
  <c r="K1855" i="1"/>
  <c r="H1856" i="1"/>
  <c r="I1856" i="1"/>
  <c r="J1856" i="1"/>
  <c r="K1856" i="1"/>
  <c r="H1857" i="1"/>
  <c r="I1857" i="1"/>
  <c r="J1857" i="1"/>
  <c r="K1857" i="1"/>
  <c r="H1858" i="1"/>
  <c r="I1858" i="1"/>
  <c r="J1858" i="1"/>
  <c r="K1858" i="1"/>
  <c r="H1859" i="1"/>
  <c r="I1859" i="1"/>
  <c r="J1859" i="1"/>
  <c r="K1859" i="1"/>
  <c r="H1860" i="1"/>
  <c r="I1860" i="1"/>
  <c r="J1860" i="1"/>
  <c r="K1860" i="1"/>
  <c r="H1861" i="1"/>
  <c r="I1861" i="1"/>
  <c r="J1861" i="1"/>
  <c r="K1861" i="1"/>
  <c r="H1862" i="1"/>
  <c r="I1862" i="1"/>
  <c r="J1862" i="1"/>
  <c r="K1862" i="1"/>
  <c r="H1863" i="1"/>
  <c r="I1863" i="1"/>
  <c r="J1863" i="1"/>
  <c r="K1863" i="1"/>
  <c r="H1864" i="1"/>
  <c r="I1864" i="1"/>
  <c r="J1864" i="1"/>
  <c r="K1864" i="1"/>
  <c r="H1865" i="1"/>
  <c r="I1865" i="1"/>
  <c r="J1865" i="1"/>
  <c r="K1865" i="1"/>
  <c r="H1866" i="1"/>
  <c r="I1866" i="1"/>
  <c r="J1866" i="1"/>
  <c r="K1866" i="1"/>
  <c r="H1867" i="1"/>
  <c r="I1867" i="1"/>
  <c r="J1867" i="1"/>
  <c r="K1867" i="1"/>
  <c r="H1868" i="1"/>
  <c r="I1868" i="1"/>
  <c r="J1868" i="1"/>
  <c r="K1868" i="1"/>
  <c r="H1869" i="1"/>
  <c r="I1869" i="1"/>
  <c r="J1869" i="1"/>
  <c r="K1869" i="1"/>
  <c r="H1870" i="1"/>
  <c r="I1870" i="1"/>
  <c r="J1870" i="1"/>
  <c r="K1870" i="1"/>
  <c r="H1871" i="1"/>
  <c r="I1871" i="1"/>
  <c r="J1871" i="1"/>
  <c r="K1871" i="1"/>
  <c r="H1872" i="1"/>
  <c r="I1872" i="1"/>
  <c r="J1872" i="1"/>
  <c r="K1872" i="1"/>
  <c r="H1873" i="1"/>
  <c r="I1873" i="1"/>
  <c r="J1873" i="1"/>
  <c r="K1873" i="1"/>
  <c r="H1874" i="1"/>
  <c r="I1874" i="1"/>
  <c r="J1874" i="1"/>
  <c r="K1874" i="1"/>
  <c r="H1875" i="1"/>
  <c r="I1875" i="1"/>
  <c r="J1875" i="1"/>
  <c r="K1875" i="1"/>
  <c r="H1876" i="1"/>
  <c r="I1876" i="1"/>
  <c r="J1876" i="1"/>
  <c r="K1876" i="1"/>
  <c r="H1877" i="1"/>
  <c r="I1877" i="1"/>
  <c r="J1877" i="1"/>
  <c r="K1877" i="1"/>
  <c r="H1878" i="1"/>
  <c r="I1878" i="1"/>
  <c r="J1878" i="1"/>
  <c r="K1878" i="1"/>
  <c r="H1879" i="1"/>
  <c r="I1879" i="1"/>
  <c r="J1879" i="1"/>
  <c r="K1879" i="1"/>
  <c r="H1880" i="1"/>
  <c r="I1880" i="1"/>
  <c r="J1880" i="1"/>
  <c r="K1880" i="1"/>
  <c r="H1881" i="1"/>
  <c r="I1881" i="1"/>
  <c r="J1881" i="1"/>
  <c r="K1881" i="1"/>
  <c r="H1882" i="1"/>
  <c r="I1882" i="1"/>
  <c r="J1882" i="1"/>
  <c r="K1882" i="1"/>
  <c r="H1883" i="1"/>
  <c r="I1883" i="1"/>
  <c r="J1883" i="1"/>
  <c r="K1883" i="1"/>
  <c r="H1884" i="1"/>
  <c r="I1884" i="1"/>
  <c r="J1884" i="1"/>
  <c r="K1884" i="1"/>
  <c r="H1885" i="1"/>
  <c r="I1885" i="1"/>
  <c r="J1885" i="1"/>
  <c r="K1885" i="1"/>
  <c r="H1886" i="1"/>
  <c r="I1886" i="1"/>
  <c r="J1886" i="1"/>
  <c r="K1886" i="1"/>
  <c r="H1887" i="1"/>
  <c r="I1887" i="1"/>
  <c r="J1887" i="1"/>
  <c r="K1887" i="1"/>
  <c r="H1888" i="1"/>
  <c r="I1888" i="1"/>
  <c r="J1888" i="1"/>
  <c r="K1888" i="1"/>
  <c r="H1889" i="1"/>
  <c r="I1889" i="1"/>
  <c r="J1889" i="1"/>
  <c r="K1889" i="1"/>
  <c r="H1890" i="1"/>
  <c r="I1890" i="1"/>
  <c r="J1890" i="1"/>
  <c r="K1890" i="1"/>
  <c r="H1891" i="1"/>
  <c r="I1891" i="1"/>
  <c r="J1891" i="1"/>
  <c r="K1891" i="1"/>
  <c r="H1892" i="1"/>
  <c r="I1892" i="1"/>
  <c r="J1892" i="1"/>
  <c r="K1892" i="1"/>
  <c r="H1893" i="1"/>
  <c r="I1893" i="1"/>
  <c r="J1893" i="1"/>
  <c r="K1893" i="1"/>
  <c r="H1894" i="1"/>
  <c r="I1894" i="1"/>
  <c r="J1894" i="1"/>
  <c r="K1894" i="1"/>
  <c r="H1895" i="1"/>
  <c r="I1895" i="1"/>
  <c r="J1895" i="1"/>
  <c r="K1895" i="1"/>
  <c r="H1896" i="1"/>
  <c r="I1896" i="1"/>
  <c r="J1896" i="1"/>
  <c r="K1896" i="1"/>
  <c r="H1897" i="1"/>
  <c r="I1897" i="1"/>
  <c r="J1897" i="1"/>
  <c r="K1897" i="1"/>
  <c r="H1898" i="1"/>
  <c r="I1898" i="1"/>
  <c r="J1898" i="1"/>
  <c r="K1898" i="1"/>
  <c r="H1899" i="1"/>
  <c r="I1899" i="1"/>
  <c r="J1899" i="1"/>
  <c r="K1899" i="1"/>
  <c r="H1900" i="1"/>
  <c r="I1900" i="1"/>
  <c r="J1900" i="1"/>
  <c r="K1900" i="1"/>
  <c r="H1901" i="1"/>
  <c r="I1901" i="1"/>
  <c r="J1901" i="1"/>
  <c r="K1901" i="1"/>
  <c r="H1902" i="1"/>
  <c r="I1902" i="1"/>
  <c r="J1902" i="1"/>
  <c r="K1902" i="1"/>
  <c r="H1903" i="1"/>
  <c r="I1903" i="1"/>
  <c r="J1903" i="1"/>
  <c r="K1903" i="1"/>
  <c r="H1904" i="1"/>
  <c r="I1904" i="1"/>
  <c r="J1904" i="1"/>
  <c r="K1904" i="1"/>
  <c r="H1905" i="1"/>
  <c r="I1905" i="1"/>
  <c r="J1905" i="1"/>
  <c r="K1905" i="1"/>
  <c r="H1906" i="1"/>
  <c r="I1906" i="1"/>
  <c r="J1906" i="1"/>
  <c r="K1906" i="1"/>
  <c r="H1907" i="1"/>
  <c r="I1907" i="1"/>
  <c r="J1907" i="1"/>
  <c r="K1907" i="1"/>
  <c r="H1908" i="1"/>
  <c r="I1908" i="1"/>
  <c r="J1908" i="1"/>
  <c r="K1908" i="1"/>
  <c r="H1909" i="1"/>
  <c r="I1909" i="1"/>
  <c r="J1909" i="1"/>
  <c r="K1909" i="1"/>
  <c r="H1910" i="1"/>
  <c r="I1910" i="1"/>
  <c r="J1910" i="1"/>
  <c r="K1910" i="1"/>
  <c r="H1911" i="1"/>
  <c r="I1911" i="1"/>
  <c r="J1911" i="1"/>
  <c r="K1911" i="1"/>
  <c r="H1912" i="1"/>
  <c r="I1912" i="1"/>
  <c r="J1912" i="1"/>
  <c r="K1912" i="1"/>
  <c r="H1913" i="1"/>
  <c r="I1913" i="1"/>
  <c r="J1913" i="1"/>
  <c r="K1913" i="1"/>
  <c r="H1914" i="1"/>
  <c r="I1914" i="1"/>
  <c r="J1914" i="1"/>
  <c r="K1914" i="1"/>
  <c r="H1915" i="1"/>
  <c r="I1915" i="1"/>
  <c r="J1915" i="1"/>
  <c r="K1915" i="1"/>
  <c r="H1916" i="1"/>
  <c r="I1916" i="1"/>
  <c r="J1916" i="1"/>
  <c r="K1916" i="1"/>
  <c r="H1917" i="1"/>
  <c r="I1917" i="1"/>
  <c r="J1917" i="1"/>
  <c r="K1917" i="1"/>
  <c r="H1918" i="1"/>
  <c r="I1918" i="1"/>
  <c r="J1918" i="1"/>
  <c r="K1918" i="1"/>
  <c r="H1919" i="1"/>
  <c r="I1919" i="1"/>
  <c r="J1919" i="1"/>
  <c r="K1919" i="1"/>
  <c r="H1920" i="1"/>
  <c r="I1920" i="1"/>
  <c r="J1920" i="1"/>
  <c r="K1920" i="1"/>
  <c r="H1921" i="1"/>
  <c r="I1921" i="1"/>
  <c r="J1921" i="1"/>
  <c r="K1921" i="1"/>
  <c r="H1922" i="1"/>
  <c r="I1922" i="1"/>
  <c r="J1922" i="1"/>
  <c r="K1922" i="1"/>
  <c r="H1923" i="1"/>
  <c r="I1923" i="1"/>
  <c r="J1923" i="1"/>
  <c r="K1923" i="1"/>
  <c r="H1924" i="1"/>
  <c r="I1924" i="1"/>
  <c r="J1924" i="1"/>
  <c r="K1924" i="1"/>
  <c r="H1925" i="1"/>
  <c r="I1925" i="1"/>
  <c r="J1925" i="1"/>
  <c r="K1925" i="1"/>
  <c r="H1926" i="1"/>
  <c r="I1926" i="1"/>
  <c r="J1926" i="1"/>
  <c r="K1926" i="1"/>
  <c r="H1927" i="1"/>
  <c r="I1927" i="1"/>
  <c r="J1927" i="1"/>
  <c r="K1927" i="1"/>
  <c r="H1928" i="1"/>
  <c r="I1928" i="1"/>
  <c r="J1928" i="1"/>
  <c r="K1928" i="1"/>
  <c r="H1929" i="1"/>
  <c r="I1929" i="1"/>
  <c r="J1929" i="1"/>
  <c r="K1929" i="1"/>
  <c r="H1930" i="1"/>
  <c r="I1930" i="1"/>
  <c r="J1930" i="1"/>
  <c r="K1930" i="1"/>
  <c r="H1931" i="1"/>
  <c r="I1931" i="1"/>
  <c r="J1931" i="1"/>
  <c r="K1931" i="1"/>
  <c r="H1932" i="1"/>
  <c r="I1932" i="1"/>
  <c r="J1932" i="1"/>
  <c r="K1932" i="1"/>
  <c r="H1933" i="1"/>
  <c r="I1933" i="1"/>
  <c r="J1933" i="1"/>
  <c r="K1933" i="1"/>
  <c r="H1934" i="1"/>
  <c r="I1934" i="1"/>
  <c r="J1934" i="1"/>
  <c r="K1934" i="1"/>
  <c r="H1935" i="1"/>
  <c r="I1935" i="1"/>
  <c r="J1935" i="1"/>
  <c r="K1935" i="1"/>
  <c r="H1936" i="1"/>
  <c r="I1936" i="1"/>
  <c r="J1936" i="1"/>
  <c r="K1936" i="1"/>
  <c r="H1937" i="1"/>
  <c r="I1937" i="1"/>
  <c r="J1937" i="1"/>
  <c r="K1937" i="1"/>
  <c r="H1938" i="1"/>
  <c r="I1938" i="1"/>
  <c r="J1938" i="1"/>
  <c r="K1938" i="1"/>
  <c r="H1939" i="1"/>
  <c r="I1939" i="1"/>
  <c r="J1939" i="1"/>
  <c r="K1939" i="1"/>
  <c r="H1940" i="1"/>
  <c r="I1940" i="1"/>
  <c r="J1940" i="1"/>
  <c r="K1940" i="1"/>
  <c r="H1941" i="1"/>
  <c r="I1941" i="1"/>
  <c r="J1941" i="1"/>
  <c r="K1941" i="1"/>
  <c r="H1942" i="1"/>
  <c r="I1942" i="1"/>
  <c r="J1942" i="1"/>
  <c r="K1942" i="1"/>
  <c r="H1943" i="1"/>
  <c r="I1943" i="1"/>
  <c r="J1943" i="1"/>
  <c r="K1943" i="1"/>
  <c r="H1944" i="1"/>
  <c r="I1944" i="1"/>
  <c r="J1944" i="1"/>
  <c r="K1944" i="1"/>
  <c r="H1945" i="1"/>
  <c r="I1945" i="1"/>
  <c r="J1945" i="1"/>
  <c r="K1945" i="1"/>
  <c r="H1946" i="1"/>
  <c r="I1946" i="1"/>
  <c r="J1946" i="1"/>
  <c r="K1946" i="1"/>
  <c r="H1947" i="1"/>
  <c r="I1947" i="1"/>
  <c r="J1947" i="1"/>
  <c r="K1947" i="1"/>
  <c r="H1948" i="1"/>
  <c r="I1948" i="1"/>
  <c r="J1948" i="1"/>
  <c r="K1948" i="1"/>
  <c r="H1949" i="1"/>
  <c r="I1949" i="1"/>
  <c r="J1949" i="1"/>
  <c r="K1949" i="1"/>
  <c r="H1950" i="1"/>
  <c r="I1950" i="1"/>
  <c r="J1950" i="1"/>
  <c r="K1950" i="1"/>
  <c r="H1951" i="1"/>
  <c r="I1951" i="1"/>
  <c r="J1951" i="1"/>
  <c r="K1951" i="1"/>
  <c r="H1952" i="1"/>
  <c r="I1952" i="1"/>
  <c r="J1952" i="1"/>
  <c r="K1952" i="1"/>
  <c r="H1953" i="1"/>
  <c r="I1953" i="1"/>
  <c r="J1953" i="1"/>
  <c r="K1953" i="1"/>
  <c r="H1954" i="1"/>
  <c r="I1954" i="1"/>
  <c r="J1954" i="1"/>
  <c r="K1954" i="1"/>
  <c r="H1955" i="1"/>
  <c r="I1955" i="1"/>
  <c r="J1955" i="1"/>
  <c r="K1955" i="1"/>
  <c r="H1956" i="1"/>
  <c r="I1956" i="1"/>
  <c r="J1956" i="1"/>
  <c r="K1956" i="1"/>
  <c r="H1957" i="1"/>
  <c r="I1957" i="1"/>
  <c r="J1957" i="1"/>
  <c r="K1957" i="1"/>
  <c r="H1958" i="1"/>
  <c r="I1958" i="1"/>
  <c r="J1958" i="1"/>
  <c r="K1958" i="1"/>
  <c r="H1959" i="1"/>
  <c r="I1959" i="1"/>
  <c r="J1959" i="1"/>
  <c r="K1959" i="1"/>
  <c r="H1960" i="1"/>
  <c r="I1960" i="1"/>
  <c r="J1960" i="1"/>
  <c r="K1960" i="1"/>
  <c r="H1961" i="1"/>
  <c r="I1961" i="1"/>
  <c r="J1961" i="1"/>
  <c r="K1961" i="1"/>
  <c r="H1962" i="1"/>
  <c r="I1962" i="1"/>
  <c r="J1962" i="1"/>
  <c r="K1962" i="1"/>
  <c r="H1963" i="1"/>
  <c r="I1963" i="1"/>
  <c r="J1963" i="1"/>
  <c r="K1963" i="1"/>
  <c r="H1964" i="1"/>
  <c r="I1964" i="1"/>
  <c r="J1964" i="1"/>
  <c r="K1964" i="1"/>
  <c r="H1965" i="1"/>
  <c r="I1965" i="1"/>
  <c r="J1965" i="1"/>
  <c r="K1965" i="1"/>
  <c r="H1966" i="1"/>
  <c r="I1966" i="1"/>
  <c r="J1966" i="1"/>
  <c r="K1966" i="1"/>
  <c r="H1967" i="1"/>
  <c r="I1967" i="1"/>
  <c r="J1967" i="1"/>
  <c r="K1967" i="1"/>
  <c r="H1968" i="1"/>
  <c r="I1968" i="1"/>
  <c r="J1968" i="1"/>
  <c r="K1968" i="1"/>
  <c r="H1969" i="1"/>
  <c r="I1969" i="1"/>
  <c r="J1969" i="1"/>
  <c r="K1969" i="1"/>
  <c r="H1970" i="1"/>
  <c r="I1970" i="1"/>
  <c r="J1970" i="1"/>
  <c r="K1970" i="1"/>
  <c r="H1971" i="1"/>
  <c r="I1971" i="1"/>
  <c r="J1971" i="1"/>
  <c r="K1971" i="1"/>
  <c r="H1972" i="1"/>
  <c r="I1972" i="1"/>
  <c r="J1972" i="1"/>
  <c r="K1972" i="1"/>
  <c r="H1973" i="1"/>
  <c r="I1973" i="1"/>
  <c r="J1973" i="1"/>
  <c r="K1973" i="1"/>
  <c r="H1974" i="1"/>
  <c r="I1974" i="1"/>
  <c r="J1974" i="1"/>
  <c r="K1974" i="1"/>
  <c r="H1975" i="1"/>
  <c r="I1975" i="1"/>
  <c r="J1975" i="1"/>
  <c r="K1975" i="1"/>
  <c r="H1976" i="1"/>
  <c r="I1976" i="1"/>
  <c r="J1976" i="1"/>
  <c r="K1976" i="1"/>
  <c r="H1977" i="1"/>
  <c r="I1977" i="1"/>
  <c r="J1977" i="1"/>
  <c r="K1977" i="1"/>
  <c r="H1978" i="1"/>
  <c r="I1978" i="1"/>
  <c r="J1978" i="1"/>
  <c r="K1978" i="1"/>
  <c r="H1979" i="1"/>
  <c r="I1979" i="1"/>
  <c r="J1979" i="1"/>
  <c r="K1979" i="1"/>
  <c r="H1980" i="1"/>
  <c r="I1980" i="1"/>
  <c r="J1980" i="1"/>
  <c r="K1980" i="1"/>
  <c r="H1981" i="1"/>
  <c r="I1981" i="1"/>
  <c r="J1981" i="1"/>
  <c r="K1981" i="1"/>
  <c r="H1982" i="1"/>
  <c r="I1982" i="1"/>
  <c r="J1982" i="1"/>
  <c r="K1982" i="1"/>
  <c r="H1983" i="1"/>
  <c r="I1983" i="1"/>
  <c r="J1983" i="1"/>
  <c r="K1983" i="1"/>
  <c r="H1984" i="1"/>
  <c r="I1984" i="1"/>
  <c r="J1984" i="1"/>
  <c r="K1984" i="1"/>
  <c r="H1985" i="1"/>
  <c r="I1985" i="1"/>
  <c r="J1985" i="1"/>
  <c r="K1985" i="1"/>
  <c r="H1986" i="1"/>
  <c r="I1986" i="1"/>
  <c r="J1986" i="1"/>
  <c r="K1986" i="1"/>
  <c r="H1987" i="1"/>
  <c r="I1987" i="1"/>
  <c r="J1987" i="1"/>
  <c r="K1987" i="1"/>
  <c r="H1988" i="1"/>
  <c r="I1988" i="1"/>
  <c r="J1988" i="1"/>
  <c r="K1988" i="1"/>
  <c r="H1989" i="1"/>
  <c r="I1989" i="1"/>
  <c r="J1989" i="1"/>
  <c r="K1989" i="1"/>
  <c r="H1990" i="1"/>
  <c r="I1990" i="1"/>
  <c r="J1990" i="1"/>
  <c r="K1990" i="1"/>
  <c r="H1991" i="1"/>
  <c r="I1991" i="1"/>
  <c r="J1991" i="1"/>
  <c r="K1991" i="1"/>
  <c r="H1992" i="1"/>
  <c r="I1992" i="1"/>
  <c r="J1992" i="1"/>
  <c r="K1992" i="1"/>
  <c r="H1993" i="1"/>
  <c r="I1993" i="1"/>
  <c r="J1993" i="1"/>
  <c r="K1993" i="1"/>
  <c r="H1994" i="1"/>
  <c r="I1994" i="1"/>
  <c r="J1994" i="1"/>
  <c r="K1994" i="1"/>
  <c r="H1995" i="1"/>
  <c r="I1995" i="1"/>
  <c r="J1995" i="1"/>
  <c r="K1995" i="1"/>
  <c r="H1996" i="1"/>
  <c r="I1996" i="1"/>
  <c r="J1996" i="1"/>
  <c r="K1996" i="1"/>
  <c r="H1997" i="1"/>
  <c r="I1997" i="1"/>
  <c r="J1997" i="1"/>
  <c r="K1997" i="1"/>
  <c r="H1998" i="1"/>
  <c r="I1998" i="1"/>
  <c r="J1998" i="1"/>
  <c r="K1998" i="1"/>
  <c r="H1999" i="1"/>
  <c r="I1999" i="1"/>
  <c r="J1999" i="1"/>
  <c r="K1999" i="1"/>
  <c r="H2000" i="1"/>
  <c r="I2000" i="1"/>
  <c r="J2000" i="1"/>
  <c r="K2000" i="1"/>
  <c r="H2001" i="1"/>
  <c r="I2001" i="1"/>
  <c r="J2001" i="1"/>
  <c r="K2001" i="1"/>
  <c r="H2002" i="1"/>
  <c r="I2002" i="1"/>
  <c r="J2002" i="1"/>
  <c r="K2002" i="1"/>
  <c r="H2003" i="1"/>
  <c r="I2003" i="1"/>
  <c r="J2003" i="1"/>
  <c r="K2003" i="1"/>
  <c r="H2004" i="1"/>
  <c r="I2004" i="1"/>
  <c r="J2004" i="1"/>
  <c r="K2004" i="1"/>
  <c r="H2005" i="1"/>
  <c r="I2005" i="1"/>
  <c r="J2005" i="1"/>
  <c r="K2005" i="1"/>
  <c r="H2006" i="1"/>
  <c r="I2006" i="1"/>
  <c r="J2006" i="1"/>
  <c r="K2006" i="1"/>
  <c r="H2007" i="1"/>
  <c r="I2007" i="1"/>
  <c r="J2007" i="1"/>
  <c r="K2007" i="1"/>
  <c r="H2008" i="1"/>
  <c r="I2008" i="1"/>
  <c r="J2008" i="1"/>
  <c r="K2008" i="1"/>
  <c r="H2009" i="1"/>
  <c r="I2009" i="1"/>
  <c r="J2009" i="1"/>
  <c r="K2009" i="1"/>
  <c r="H2010" i="1"/>
  <c r="I2010" i="1"/>
  <c r="J2010" i="1"/>
  <c r="K2010" i="1"/>
  <c r="H2011" i="1"/>
  <c r="I2011" i="1"/>
  <c r="J2011" i="1"/>
  <c r="K2011" i="1"/>
  <c r="H2012" i="1"/>
  <c r="I2012" i="1"/>
  <c r="J2012" i="1"/>
  <c r="K2012" i="1"/>
  <c r="H2013" i="1"/>
  <c r="I2013" i="1"/>
  <c r="J2013" i="1"/>
  <c r="K2013" i="1"/>
  <c r="H2014" i="1"/>
  <c r="I2014" i="1"/>
  <c r="J2014" i="1"/>
  <c r="K2014" i="1"/>
  <c r="H2015" i="1"/>
  <c r="I2015" i="1"/>
  <c r="J2015" i="1"/>
  <c r="K2015" i="1"/>
  <c r="H2016" i="1"/>
  <c r="I2016" i="1"/>
  <c r="J2016" i="1"/>
  <c r="K2016" i="1"/>
  <c r="H2017" i="1"/>
  <c r="I2017" i="1"/>
  <c r="J2017" i="1"/>
  <c r="K2017" i="1"/>
  <c r="H2018" i="1"/>
  <c r="I2018" i="1"/>
  <c r="J2018" i="1"/>
  <c r="K2018" i="1"/>
  <c r="H2019" i="1"/>
  <c r="I2019" i="1"/>
  <c r="J2019" i="1"/>
  <c r="K2019" i="1"/>
  <c r="H2020" i="1"/>
  <c r="I2020" i="1"/>
  <c r="J2020" i="1"/>
  <c r="K2020" i="1"/>
  <c r="H2021" i="1"/>
  <c r="I2021" i="1"/>
  <c r="J2021" i="1"/>
  <c r="K2021" i="1"/>
  <c r="H2022" i="1"/>
  <c r="I2022" i="1"/>
  <c r="J2022" i="1"/>
  <c r="K2022" i="1"/>
  <c r="H2023" i="1"/>
  <c r="I2023" i="1"/>
  <c r="J2023" i="1"/>
  <c r="K2023" i="1"/>
  <c r="H2024" i="1"/>
  <c r="I2024" i="1"/>
  <c r="J2024" i="1"/>
  <c r="K2024" i="1"/>
  <c r="H2025" i="1"/>
  <c r="I2025" i="1"/>
  <c r="J2025" i="1"/>
  <c r="K2025" i="1"/>
  <c r="H2026" i="1"/>
  <c r="I2026" i="1"/>
  <c r="J2026" i="1"/>
  <c r="K2026" i="1"/>
  <c r="H2027" i="1"/>
  <c r="I2027" i="1"/>
  <c r="J2027" i="1"/>
  <c r="K2027" i="1"/>
  <c r="H2028" i="1"/>
  <c r="I2028" i="1"/>
  <c r="J2028" i="1"/>
  <c r="K2028" i="1"/>
  <c r="H2029" i="1"/>
  <c r="I2029" i="1"/>
  <c r="J2029" i="1"/>
  <c r="K2029" i="1"/>
  <c r="H2030" i="1"/>
  <c r="I2030" i="1"/>
  <c r="J2030" i="1"/>
  <c r="K2030" i="1"/>
  <c r="H2031" i="1"/>
  <c r="I2031" i="1"/>
  <c r="J2031" i="1"/>
  <c r="K2031" i="1"/>
  <c r="H2032" i="1"/>
  <c r="I2032" i="1"/>
  <c r="J2032" i="1"/>
  <c r="K2032" i="1"/>
  <c r="H2033" i="1"/>
  <c r="I2033" i="1"/>
  <c r="J2033" i="1"/>
  <c r="K2033" i="1"/>
  <c r="H2034" i="1"/>
  <c r="I2034" i="1"/>
  <c r="J2034" i="1"/>
  <c r="K2034" i="1"/>
  <c r="H2035" i="1"/>
  <c r="I2035" i="1"/>
  <c r="J2035" i="1"/>
  <c r="K2035" i="1"/>
  <c r="H2036" i="1"/>
  <c r="I2036" i="1"/>
  <c r="J2036" i="1"/>
  <c r="K2036" i="1"/>
  <c r="H2037" i="1"/>
  <c r="I2037" i="1"/>
  <c r="J2037" i="1"/>
  <c r="K2037" i="1"/>
  <c r="H2038" i="1"/>
  <c r="I2038" i="1"/>
  <c r="J2038" i="1"/>
  <c r="K2038" i="1"/>
  <c r="H2039" i="1"/>
  <c r="I2039" i="1"/>
  <c r="J2039" i="1"/>
  <c r="K2039" i="1"/>
  <c r="H2040" i="1"/>
  <c r="I2040" i="1"/>
  <c r="J2040" i="1"/>
  <c r="K2040" i="1"/>
  <c r="H2041" i="1"/>
  <c r="I2041" i="1"/>
  <c r="J2041" i="1"/>
  <c r="K2041" i="1"/>
  <c r="H2042" i="1"/>
  <c r="I2042" i="1"/>
  <c r="J2042" i="1"/>
  <c r="K2042" i="1"/>
  <c r="H2043" i="1"/>
  <c r="I2043" i="1"/>
  <c r="J2043" i="1"/>
  <c r="K2043" i="1"/>
  <c r="H2044" i="1"/>
  <c r="I2044" i="1"/>
  <c r="J2044" i="1"/>
  <c r="K2044" i="1"/>
  <c r="H2045" i="1"/>
  <c r="I2045" i="1"/>
  <c r="J2045" i="1"/>
  <c r="K2045" i="1"/>
  <c r="H2046" i="1"/>
  <c r="I2046" i="1"/>
  <c r="J2046" i="1"/>
  <c r="K2046" i="1"/>
  <c r="H2047" i="1"/>
  <c r="I2047" i="1"/>
  <c r="J2047" i="1"/>
  <c r="K2047" i="1"/>
  <c r="H2048" i="1"/>
  <c r="I2048" i="1"/>
  <c r="J2048" i="1"/>
  <c r="K2048" i="1"/>
  <c r="H2049" i="1"/>
  <c r="I2049" i="1"/>
  <c r="J2049" i="1"/>
  <c r="K2049" i="1"/>
  <c r="H2050" i="1"/>
  <c r="I2050" i="1"/>
  <c r="J2050" i="1"/>
  <c r="K2050" i="1"/>
  <c r="H2051" i="1"/>
  <c r="I2051" i="1"/>
  <c r="J2051" i="1"/>
  <c r="K2051" i="1"/>
  <c r="H2052" i="1"/>
  <c r="I2052" i="1"/>
  <c r="J2052" i="1"/>
  <c r="K2052" i="1"/>
  <c r="H2053" i="1"/>
  <c r="I2053" i="1"/>
  <c r="J2053" i="1"/>
  <c r="K2053" i="1"/>
  <c r="H2054" i="1"/>
  <c r="I2054" i="1"/>
  <c r="J2054" i="1"/>
  <c r="K2054" i="1"/>
  <c r="H2055" i="1"/>
  <c r="I2055" i="1"/>
  <c r="J2055" i="1"/>
  <c r="K2055" i="1"/>
  <c r="H2056" i="1"/>
  <c r="I2056" i="1"/>
  <c r="J2056" i="1"/>
  <c r="K2056" i="1"/>
  <c r="H2057" i="1"/>
  <c r="I2057" i="1"/>
  <c r="J2057" i="1"/>
  <c r="K2057" i="1"/>
  <c r="H2058" i="1"/>
  <c r="I2058" i="1"/>
  <c r="J2058" i="1"/>
  <c r="K2058" i="1"/>
  <c r="H2059" i="1"/>
  <c r="I2059" i="1"/>
  <c r="J2059" i="1"/>
  <c r="K2059" i="1"/>
  <c r="H2060" i="1"/>
  <c r="I2060" i="1"/>
  <c r="J2060" i="1"/>
  <c r="K2060" i="1"/>
  <c r="H2061" i="1"/>
  <c r="I2061" i="1"/>
  <c r="J2061" i="1"/>
  <c r="K2061" i="1"/>
  <c r="H2062" i="1"/>
  <c r="I2062" i="1"/>
  <c r="J2062" i="1"/>
  <c r="K2062" i="1"/>
  <c r="H2063" i="1"/>
  <c r="I2063" i="1"/>
  <c r="J2063" i="1"/>
  <c r="K2063" i="1"/>
  <c r="H2064" i="1"/>
  <c r="I2064" i="1"/>
  <c r="J2064" i="1"/>
  <c r="K2064" i="1"/>
  <c r="H2065" i="1"/>
  <c r="I2065" i="1"/>
  <c r="J2065" i="1"/>
  <c r="K2065" i="1"/>
  <c r="H2066" i="1"/>
  <c r="I2066" i="1"/>
  <c r="J2066" i="1"/>
  <c r="K2066" i="1"/>
  <c r="H2067" i="1"/>
  <c r="I2067" i="1"/>
  <c r="J2067" i="1"/>
  <c r="K2067" i="1"/>
  <c r="H2068" i="1"/>
  <c r="I2068" i="1"/>
  <c r="J2068" i="1"/>
  <c r="K2068" i="1"/>
  <c r="H2069" i="1"/>
  <c r="I2069" i="1"/>
  <c r="J2069" i="1"/>
  <c r="K2069" i="1"/>
  <c r="H2070" i="1"/>
  <c r="I2070" i="1"/>
  <c r="J2070" i="1"/>
  <c r="K2070" i="1"/>
  <c r="H2071" i="1"/>
  <c r="I2071" i="1"/>
  <c r="J2071" i="1"/>
  <c r="K2071" i="1"/>
  <c r="H2072" i="1"/>
  <c r="I2072" i="1"/>
  <c r="J2072" i="1"/>
  <c r="K2072" i="1"/>
  <c r="H2073" i="1"/>
  <c r="I2073" i="1"/>
  <c r="J2073" i="1"/>
  <c r="K2073" i="1"/>
  <c r="H2074" i="1"/>
  <c r="I2074" i="1"/>
  <c r="J2074" i="1"/>
  <c r="K2074" i="1"/>
  <c r="H2075" i="1"/>
  <c r="I2075" i="1"/>
  <c r="J2075" i="1"/>
  <c r="K2075" i="1"/>
  <c r="H2076" i="1"/>
  <c r="I2076" i="1"/>
  <c r="J2076" i="1"/>
  <c r="K2076" i="1"/>
  <c r="H2077" i="1"/>
  <c r="I2077" i="1"/>
  <c r="J2077" i="1"/>
  <c r="K2077" i="1"/>
  <c r="H2078" i="1"/>
  <c r="I2078" i="1"/>
  <c r="J2078" i="1"/>
  <c r="K2078" i="1"/>
  <c r="H2079" i="1"/>
  <c r="I2079" i="1"/>
  <c r="J2079" i="1"/>
  <c r="K2079" i="1"/>
  <c r="H2080" i="1"/>
  <c r="I2080" i="1"/>
  <c r="J2080" i="1"/>
  <c r="K2080" i="1"/>
  <c r="H2081" i="1"/>
  <c r="I2081" i="1"/>
  <c r="J2081" i="1"/>
  <c r="K2081" i="1"/>
  <c r="H2082" i="1"/>
  <c r="I2082" i="1"/>
  <c r="J2082" i="1"/>
  <c r="K2082" i="1"/>
  <c r="H2083" i="1"/>
  <c r="I2083" i="1"/>
  <c r="J2083" i="1"/>
  <c r="K2083" i="1"/>
  <c r="H2084" i="1"/>
  <c r="I2084" i="1"/>
  <c r="J2084" i="1"/>
  <c r="K2084" i="1"/>
  <c r="H2085" i="1"/>
  <c r="I2085" i="1"/>
  <c r="J2085" i="1"/>
  <c r="K2085" i="1"/>
  <c r="H2086" i="1"/>
  <c r="I2086" i="1"/>
  <c r="J2086" i="1"/>
  <c r="K2086" i="1"/>
  <c r="H2087" i="1"/>
  <c r="I2087" i="1"/>
  <c r="J2087" i="1"/>
  <c r="K2087" i="1"/>
  <c r="H2088" i="1"/>
  <c r="I2088" i="1"/>
  <c r="J2088" i="1"/>
  <c r="K2088" i="1"/>
  <c r="H2089" i="1"/>
  <c r="I2089" i="1"/>
  <c r="J2089" i="1"/>
  <c r="K2089" i="1"/>
  <c r="H2090" i="1"/>
  <c r="I2090" i="1"/>
  <c r="J2090" i="1"/>
  <c r="K2090" i="1"/>
  <c r="H2091" i="1"/>
  <c r="I2091" i="1"/>
  <c r="J2091" i="1"/>
  <c r="K2091" i="1"/>
  <c r="H2092" i="1"/>
  <c r="I2092" i="1"/>
  <c r="J2092" i="1"/>
  <c r="K2092" i="1"/>
  <c r="H2093" i="1"/>
  <c r="I2093" i="1"/>
  <c r="J2093" i="1"/>
  <c r="K2093" i="1"/>
  <c r="H2094" i="1"/>
  <c r="I2094" i="1"/>
  <c r="J2094" i="1"/>
  <c r="K2094" i="1"/>
  <c r="H2095" i="1"/>
  <c r="I2095" i="1"/>
  <c r="J2095" i="1"/>
  <c r="K2095" i="1"/>
  <c r="H2096" i="1"/>
  <c r="I2096" i="1"/>
  <c r="J2096" i="1"/>
  <c r="K2096" i="1"/>
  <c r="H2097" i="1"/>
  <c r="I2097" i="1"/>
  <c r="J2097" i="1"/>
  <c r="K2097" i="1"/>
  <c r="H2098" i="1"/>
  <c r="I2098" i="1"/>
  <c r="J2098" i="1"/>
  <c r="K2098" i="1"/>
  <c r="H2099" i="1"/>
  <c r="I2099" i="1"/>
  <c r="J2099" i="1"/>
  <c r="K2099" i="1"/>
  <c r="H2100" i="1"/>
  <c r="I2100" i="1"/>
  <c r="J2100" i="1"/>
  <c r="K2100" i="1"/>
  <c r="H2101" i="1"/>
  <c r="I2101" i="1"/>
  <c r="J2101" i="1"/>
  <c r="K2101" i="1"/>
  <c r="H2102" i="1"/>
  <c r="I2102" i="1"/>
  <c r="J2102" i="1"/>
  <c r="K2102" i="1"/>
  <c r="H2103" i="1"/>
  <c r="I2103" i="1"/>
  <c r="J2103" i="1"/>
  <c r="K2103" i="1"/>
  <c r="H2104" i="1"/>
  <c r="I2104" i="1"/>
  <c r="J2104" i="1"/>
  <c r="K2104" i="1"/>
  <c r="H2105" i="1"/>
  <c r="I2105" i="1"/>
  <c r="J2105" i="1"/>
  <c r="K2105" i="1"/>
  <c r="H2106" i="1"/>
  <c r="I2106" i="1"/>
  <c r="J2106" i="1"/>
  <c r="K2106" i="1"/>
  <c r="H2107" i="1"/>
  <c r="I2107" i="1"/>
  <c r="J2107" i="1"/>
  <c r="K2107" i="1"/>
  <c r="H2108" i="1"/>
  <c r="I2108" i="1"/>
  <c r="J2108" i="1"/>
  <c r="K2108" i="1"/>
  <c r="H2109" i="1"/>
  <c r="I2109" i="1"/>
  <c r="J2109" i="1"/>
  <c r="K2109" i="1"/>
  <c r="H2110" i="1"/>
  <c r="I2110" i="1"/>
  <c r="J2110" i="1"/>
  <c r="K2110" i="1"/>
  <c r="H2111" i="1"/>
  <c r="I2111" i="1"/>
  <c r="J2111" i="1"/>
  <c r="K2111" i="1"/>
  <c r="H2112" i="1"/>
  <c r="I2112" i="1"/>
  <c r="J2112" i="1"/>
  <c r="K2112" i="1"/>
  <c r="H2113" i="1"/>
  <c r="I2113" i="1"/>
  <c r="J2113" i="1"/>
  <c r="K2113" i="1"/>
  <c r="H2114" i="1"/>
  <c r="I2114" i="1"/>
  <c r="J2114" i="1"/>
  <c r="K2114" i="1"/>
  <c r="H2115" i="1"/>
  <c r="I2115" i="1"/>
  <c r="J2115" i="1"/>
  <c r="K2115" i="1"/>
  <c r="H2116" i="1"/>
  <c r="I2116" i="1"/>
  <c r="J2116" i="1"/>
  <c r="K2116" i="1"/>
  <c r="H2117" i="1"/>
  <c r="I2117" i="1"/>
  <c r="J2117" i="1"/>
  <c r="K2117" i="1"/>
  <c r="H2118" i="1"/>
  <c r="I2118" i="1"/>
  <c r="J2118" i="1"/>
  <c r="K2118" i="1"/>
  <c r="H2119" i="1"/>
  <c r="I2119" i="1"/>
  <c r="J2119" i="1"/>
  <c r="K2119" i="1"/>
  <c r="H2120" i="1"/>
  <c r="I2120" i="1"/>
  <c r="J2120" i="1"/>
  <c r="K2120" i="1"/>
  <c r="H2121" i="1"/>
  <c r="I2121" i="1"/>
  <c r="J2121" i="1"/>
  <c r="K2121" i="1"/>
  <c r="H2122" i="1"/>
  <c r="I2122" i="1"/>
  <c r="J2122" i="1"/>
  <c r="K2122" i="1"/>
  <c r="H2123" i="1"/>
  <c r="I2123" i="1"/>
  <c r="J2123" i="1"/>
  <c r="K2123" i="1"/>
  <c r="H2124" i="1"/>
  <c r="I2124" i="1"/>
  <c r="J2124" i="1"/>
  <c r="K2124" i="1"/>
  <c r="H2125" i="1"/>
  <c r="I2125" i="1"/>
  <c r="J2125" i="1"/>
  <c r="K2125" i="1"/>
  <c r="H2126" i="1"/>
  <c r="I2126" i="1"/>
  <c r="J2126" i="1"/>
  <c r="K2126" i="1"/>
  <c r="H2127" i="1"/>
  <c r="I2127" i="1"/>
  <c r="J2127" i="1"/>
  <c r="K2127" i="1"/>
  <c r="H2128" i="1"/>
  <c r="I2128" i="1"/>
  <c r="J2128" i="1"/>
  <c r="K2128" i="1"/>
  <c r="H2129" i="1"/>
  <c r="I2129" i="1"/>
  <c r="J2129" i="1"/>
  <c r="K2129" i="1"/>
  <c r="H2130" i="1"/>
  <c r="I2130" i="1"/>
  <c r="J2130" i="1"/>
  <c r="K2130" i="1"/>
  <c r="H2131" i="1"/>
  <c r="I2131" i="1"/>
  <c r="J2131" i="1"/>
  <c r="K2131" i="1"/>
  <c r="H2132" i="1"/>
  <c r="I2132" i="1"/>
  <c r="J2132" i="1"/>
  <c r="K2132" i="1"/>
  <c r="H2133" i="1"/>
  <c r="I2133" i="1"/>
  <c r="J2133" i="1"/>
  <c r="K2133" i="1"/>
  <c r="H2134" i="1"/>
  <c r="I2134" i="1"/>
  <c r="J2134" i="1"/>
  <c r="K2134" i="1"/>
  <c r="H2135" i="1"/>
  <c r="I2135" i="1"/>
  <c r="J2135" i="1"/>
  <c r="K2135" i="1"/>
  <c r="H2136" i="1"/>
  <c r="I2136" i="1"/>
  <c r="J2136" i="1"/>
  <c r="K2136" i="1"/>
  <c r="H2137" i="1"/>
  <c r="I2137" i="1"/>
  <c r="J2137" i="1"/>
  <c r="K2137" i="1"/>
  <c r="H2138" i="1"/>
  <c r="I2138" i="1"/>
  <c r="J2138" i="1"/>
  <c r="K2138" i="1"/>
  <c r="H2139" i="1"/>
  <c r="I2139" i="1"/>
  <c r="J2139" i="1"/>
  <c r="K2139" i="1"/>
  <c r="H2140" i="1"/>
  <c r="I2140" i="1"/>
  <c r="J2140" i="1"/>
  <c r="K2140" i="1"/>
  <c r="H2141" i="1"/>
  <c r="I2141" i="1"/>
  <c r="J2141" i="1"/>
  <c r="K2141" i="1"/>
  <c r="H2142" i="1"/>
  <c r="I2142" i="1"/>
  <c r="J2142" i="1"/>
  <c r="K2142" i="1"/>
  <c r="H2143" i="1"/>
  <c r="I2143" i="1"/>
  <c r="J2143" i="1"/>
  <c r="K2143" i="1"/>
  <c r="H2144" i="1"/>
  <c r="I2144" i="1"/>
  <c r="J2144" i="1"/>
  <c r="K2144" i="1"/>
  <c r="H2145" i="1"/>
  <c r="I2145" i="1"/>
  <c r="J2145" i="1"/>
  <c r="K2145" i="1"/>
  <c r="H2146" i="1"/>
  <c r="I2146" i="1"/>
  <c r="J2146" i="1"/>
  <c r="K2146" i="1"/>
  <c r="H2147" i="1"/>
  <c r="I2147" i="1"/>
  <c r="J2147" i="1"/>
  <c r="K2147" i="1"/>
  <c r="H2148" i="1"/>
  <c r="I2148" i="1"/>
  <c r="J2148" i="1"/>
  <c r="K2148" i="1"/>
  <c r="H2149" i="1"/>
  <c r="I2149" i="1"/>
  <c r="J2149" i="1"/>
  <c r="K2149" i="1"/>
  <c r="H2150" i="1"/>
  <c r="I2150" i="1"/>
  <c r="J2150" i="1"/>
  <c r="K2150" i="1"/>
  <c r="H2151" i="1"/>
  <c r="I2151" i="1"/>
  <c r="J2151" i="1"/>
  <c r="K2151" i="1"/>
  <c r="H2152" i="1"/>
  <c r="I2152" i="1"/>
  <c r="J2152" i="1"/>
  <c r="K2152" i="1"/>
  <c r="H2153" i="1"/>
  <c r="I2153" i="1"/>
  <c r="J2153" i="1"/>
  <c r="K2153" i="1"/>
  <c r="H2154" i="1"/>
  <c r="I2154" i="1"/>
  <c r="J2154" i="1"/>
  <c r="K2154" i="1"/>
  <c r="H2155" i="1"/>
  <c r="I2155" i="1"/>
  <c r="J2155" i="1"/>
  <c r="K2155" i="1"/>
  <c r="H2156" i="1"/>
  <c r="I2156" i="1"/>
  <c r="J2156" i="1"/>
  <c r="K2156" i="1"/>
  <c r="H2157" i="1"/>
  <c r="I2157" i="1"/>
  <c r="J2157" i="1"/>
  <c r="K2157" i="1"/>
  <c r="H2158" i="1"/>
  <c r="I2158" i="1"/>
  <c r="J2158" i="1"/>
  <c r="K2158" i="1"/>
  <c r="H2159" i="1"/>
  <c r="I2159" i="1"/>
  <c r="J2159" i="1"/>
  <c r="K2159" i="1"/>
  <c r="H2160" i="1"/>
  <c r="I2160" i="1"/>
  <c r="J2160" i="1"/>
  <c r="K2160" i="1"/>
  <c r="H2161" i="1"/>
  <c r="I2161" i="1"/>
  <c r="J2161" i="1"/>
  <c r="K2161" i="1"/>
  <c r="H2162" i="1"/>
  <c r="I2162" i="1"/>
  <c r="J2162" i="1"/>
  <c r="K2162" i="1"/>
  <c r="H2163" i="1"/>
  <c r="I2163" i="1"/>
  <c r="J2163" i="1"/>
  <c r="K2163" i="1"/>
  <c r="H2164" i="1"/>
  <c r="I2164" i="1"/>
  <c r="J2164" i="1"/>
  <c r="K2164" i="1"/>
  <c r="H2165" i="1"/>
  <c r="I2165" i="1"/>
  <c r="J2165" i="1"/>
  <c r="K2165" i="1"/>
  <c r="H2166" i="1"/>
  <c r="I2166" i="1"/>
  <c r="J2166" i="1"/>
  <c r="K2166" i="1"/>
  <c r="H2167" i="1"/>
  <c r="I2167" i="1"/>
  <c r="J2167" i="1"/>
  <c r="K2167" i="1"/>
  <c r="H2168" i="1"/>
  <c r="I2168" i="1"/>
  <c r="J2168" i="1"/>
  <c r="K2168" i="1"/>
  <c r="H2169" i="1"/>
  <c r="I2169" i="1"/>
  <c r="J2169" i="1"/>
  <c r="K2169" i="1"/>
  <c r="H2170" i="1"/>
  <c r="I2170" i="1"/>
  <c r="J2170" i="1"/>
  <c r="K2170" i="1"/>
  <c r="H2171" i="1"/>
  <c r="I2171" i="1"/>
  <c r="J2171" i="1"/>
  <c r="K2171" i="1"/>
  <c r="H2172" i="1"/>
  <c r="I2172" i="1"/>
  <c r="J2172" i="1"/>
  <c r="K2172" i="1"/>
  <c r="H2173" i="1"/>
  <c r="I2173" i="1"/>
  <c r="J2173" i="1"/>
  <c r="K2173" i="1"/>
  <c r="H2174" i="1"/>
  <c r="I2174" i="1"/>
  <c r="J2174" i="1"/>
  <c r="K2174" i="1"/>
  <c r="H2175" i="1"/>
  <c r="I2175" i="1"/>
  <c r="J2175" i="1"/>
  <c r="K2175" i="1"/>
  <c r="H2176" i="1"/>
  <c r="I2176" i="1"/>
  <c r="J2176" i="1"/>
  <c r="K2176" i="1"/>
  <c r="H2177" i="1"/>
  <c r="I2177" i="1"/>
  <c r="J2177" i="1"/>
  <c r="K2177" i="1"/>
  <c r="H2178" i="1"/>
  <c r="I2178" i="1"/>
  <c r="J2178" i="1"/>
  <c r="K2178" i="1"/>
  <c r="H2179" i="1"/>
  <c r="I2179" i="1"/>
  <c r="J2179" i="1"/>
  <c r="K2179" i="1"/>
  <c r="H2180" i="1"/>
  <c r="I2180" i="1"/>
  <c r="J2180" i="1"/>
  <c r="K2180" i="1"/>
  <c r="H2181" i="1"/>
  <c r="I2181" i="1"/>
  <c r="J2181" i="1"/>
  <c r="K2181" i="1"/>
  <c r="H2182" i="1"/>
  <c r="I2182" i="1"/>
  <c r="J2182" i="1"/>
  <c r="K2182" i="1"/>
  <c r="H2183" i="1"/>
  <c r="I2183" i="1"/>
  <c r="J2183" i="1"/>
  <c r="K2183" i="1"/>
  <c r="H2184" i="1"/>
  <c r="I2184" i="1"/>
  <c r="J2184" i="1"/>
  <c r="K2184" i="1"/>
  <c r="H2185" i="1"/>
  <c r="I2185" i="1"/>
  <c r="J2185" i="1"/>
  <c r="K2185" i="1"/>
  <c r="H2186" i="1"/>
  <c r="I2186" i="1"/>
  <c r="J2186" i="1"/>
  <c r="K2186" i="1"/>
  <c r="H2187" i="1"/>
  <c r="I2187" i="1"/>
  <c r="J2187" i="1"/>
  <c r="K2187" i="1"/>
  <c r="H2188" i="1"/>
  <c r="I2188" i="1"/>
  <c r="J2188" i="1"/>
  <c r="K2188" i="1"/>
  <c r="H2189" i="1"/>
  <c r="I2189" i="1"/>
  <c r="J2189" i="1"/>
  <c r="K2189" i="1"/>
  <c r="H2190" i="1"/>
  <c r="I2190" i="1"/>
  <c r="J2190" i="1"/>
  <c r="K2190" i="1"/>
  <c r="H2191" i="1"/>
  <c r="I2191" i="1"/>
  <c r="J2191" i="1"/>
  <c r="K2191" i="1"/>
  <c r="H2192" i="1"/>
  <c r="I2192" i="1"/>
  <c r="J2192" i="1"/>
  <c r="K2192" i="1"/>
  <c r="H2193" i="1"/>
  <c r="I2193" i="1"/>
  <c r="J2193" i="1"/>
  <c r="K2193" i="1"/>
  <c r="H2194" i="1"/>
  <c r="I2194" i="1"/>
  <c r="J2194" i="1"/>
  <c r="K2194" i="1"/>
  <c r="H2195" i="1"/>
  <c r="I2195" i="1"/>
  <c r="J2195" i="1"/>
  <c r="K2195" i="1"/>
  <c r="H2196" i="1"/>
  <c r="I2196" i="1"/>
  <c r="J2196" i="1"/>
  <c r="K2196" i="1"/>
  <c r="H2197" i="1"/>
  <c r="I2197" i="1"/>
  <c r="J2197" i="1"/>
  <c r="K2197" i="1"/>
  <c r="H2198" i="1"/>
  <c r="I2198" i="1"/>
  <c r="J2198" i="1"/>
  <c r="K2198" i="1"/>
  <c r="H2199" i="1"/>
  <c r="I2199" i="1"/>
  <c r="J2199" i="1"/>
  <c r="K2199" i="1"/>
  <c r="H2200" i="1"/>
  <c r="I2200" i="1"/>
  <c r="J2200" i="1"/>
  <c r="K2200" i="1"/>
  <c r="H2201" i="1"/>
  <c r="I2201" i="1"/>
  <c r="J2201" i="1"/>
  <c r="K2201" i="1"/>
  <c r="H2202" i="1"/>
  <c r="I2202" i="1"/>
  <c r="J2202" i="1"/>
  <c r="K2202" i="1"/>
  <c r="H2203" i="1"/>
  <c r="I2203" i="1"/>
  <c r="J2203" i="1"/>
  <c r="K2203" i="1"/>
  <c r="H2204" i="1"/>
  <c r="I2204" i="1"/>
  <c r="J2204" i="1"/>
  <c r="K2204" i="1"/>
  <c r="H2205" i="1"/>
  <c r="I2205" i="1"/>
  <c r="J2205" i="1"/>
  <c r="K2205" i="1"/>
  <c r="H2206" i="1"/>
  <c r="I2206" i="1"/>
  <c r="J2206" i="1"/>
  <c r="K2206" i="1"/>
  <c r="H2207" i="1"/>
  <c r="I2207" i="1"/>
  <c r="J2207" i="1"/>
  <c r="K2207" i="1"/>
  <c r="H2208" i="1"/>
  <c r="I2208" i="1"/>
  <c r="J2208" i="1"/>
  <c r="K2208" i="1"/>
  <c r="H2209" i="1"/>
  <c r="I2209" i="1"/>
  <c r="J2209" i="1"/>
  <c r="K2209" i="1"/>
  <c r="H2210" i="1"/>
  <c r="I2210" i="1"/>
  <c r="J2210" i="1"/>
  <c r="K2210" i="1"/>
  <c r="H2211" i="1"/>
  <c r="I2211" i="1"/>
  <c r="J2211" i="1"/>
  <c r="K2211" i="1"/>
  <c r="H2212" i="1"/>
  <c r="I2212" i="1"/>
  <c r="J2212" i="1"/>
  <c r="K2212" i="1"/>
  <c r="H2213" i="1"/>
  <c r="I2213" i="1"/>
  <c r="J2213" i="1"/>
  <c r="K2213" i="1"/>
  <c r="H2214" i="1"/>
  <c r="I2214" i="1"/>
  <c r="J2214" i="1"/>
  <c r="K2214" i="1"/>
  <c r="H2215" i="1"/>
  <c r="I2215" i="1"/>
  <c r="J2215" i="1"/>
  <c r="K2215" i="1"/>
  <c r="H2216" i="1"/>
  <c r="I2216" i="1"/>
  <c r="J2216" i="1"/>
  <c r="K2216" i="1"/>
  <c r="H2217" i="1"/>
  <c r="I2217" i="1"/>
  <c r="J2217" i="1"/>
  <c r="K2217" i="1"/>
  <c r="H2218" i="1"/>
  <c r="I2218" i="1"/>
  <c r="J2218" i="1"/>
  <c r="K2218" i="1"/>
  <c r="H2219" i="1"/>
  <c r="I2219" i="1"/>
  <c r="J2219" i="1"/>
  <c r="K2219" i="1"/>
  <c r="H2220" i="1"/>
  <c r="I2220" i="1"/>
  <c r="J2220" i="1"/>
  <c r="K2220" i="1"/>
  <c r="H2221" i="1"/>
  <c r="I2221" i="1"/>
  <c r="J2221" i="1"/>
  <c r="K2221" i="1"/>
  <c r="H2222" i="1"/>
  <c r="I2222" i="1"/>
  <c r="J2222" i="1"/>
  <c r="K2222" i="1"/>
  <c r="H2223" i="1"/>
  <c r="I2223" i="1"/>
  <c r="J2223" i="1"/>
  <c r="K2223" i="1"/>
  <c r="H2224" i="1"/>
  <c r="I2224" i="1"/>
  <c r="J2224" i="1"/>
  <c r="K2224" i="1"/>
  <c r="H2225" i="1"/>
  <c r="I2225" i="1"/>
  <c r="J2225" i="1"/>
  <c r="K2225" i="1"/>
  <c r="H2226" i="1"/>
  <c r="I2226" i="1"/>
  <c r="J2226" i="1"/>
  <c r="K2226" i="1"/>
  <c r="H2227" i="1"/>
  <c r="I2227" i="1"/>
  <c r="J2227" i="1"/>
  <c r="K2227" i="1"/>
  <c r="H2228" i="1"/>
  <c r="I2228" i="1"/>
  <c r="J2228" i="1"/>
  <c r="K2228" i="1"/>
  <c r="H2229" i="1"/>
  <c r="I2229" i="1"/>
  <c r="J2229" i="1"/>
  <c r="K2229" i="1"/>
  <c r="H2230" i="1"/>
  <c r="I2230" i="1"/>
  <c r="J2230" i="1"/>
  <c r="K2230" i="1"/>
  <c r="H2231" i="1"/>
  <c r="I2231" i="1"/>
  <c r="J2231" i="1"/>
  <c r="K2231" i="1"/>
  <c r="H2232" i="1"/>
  <c r="I2232" i="1"/>
  <c r="J2232" i="1"/>
  <c r="K2232" i="1"/>
  <c r="H2233" i="1"/>
  <c r="I2233" i="1"/>
  <c r="J2233" i="1"/>
  <c r="K2233" i="1"/>
  <c r="H2234" i="1"/>
  <c r="I2234" i="1"/>
  <c r="J2234" i="1"/>
  <c r="K2234" i="1"/>
  <c r="H2235" i="1"/>
  <c r="I2235" i="1"/>
  <c r="J2235" i="1"/>
  <c r="K2235" i="1"/>
  <c r="H2236" i="1"/>
  <c r="I2236" i="1"/>
  <c r="J2236" i="1"/>
  <c r="K2236" i="1"/>
  <c r="H2237" i="1"/>
  <c r="I2237" i="1"/>
  <c r="J2237" i="1"/>
  <c r="K2237" i="1"/>
  <c r="H2238" i="1"/>
  <c r="I2238" i="1"/>
  <c r="J2238" i="1"/>
  <c r="K2238" i="1"/>
  <c r="H2239" i="1"/>
  <c r="I2239" i="1"/>
  <c r="J2239" i="1"/>
  <c r="K2239" i="1"/>
  <c r="H2240" i="1"/>
  <c r="I2240" i="1"/>
  <c r="J2240" i="1"/>
  <c r="K2240" i="1"/>
  <c r="H2241" i="1"/>
  <c r="I2241" i="1"/>
  <c r="J2241" i="1"/>
  <c r="K2241" i="1"/>
  <c r="H2242" i="1"/>
  <c r="I2242" i="1"/>
  <c r="J2242" i="1"/>
  <c r="K2242" i="1"/>
  <c r="H2243" i="1"/>
  <c r="I2243" i="1"/>
  <c r="J2243" i="1"/>
  <c r="K2243" i="1"/>
  <c r="H2244" i="1"/>
  <c r="I2244" i="1"/>
  <c r="J2244" i="1"/>
  <c r="K2244" i="1"/>
  <c r="H2245" i="1"/>
  <c r="I2245" i="1"/>
  <c r="J2245" i="1"/>
  <c r="K2245" i="1"/>
  <c r="H2246" i="1"/>
  <c r="I2246" i="1"/>
  <c r="J2246" i="1"/>
  <c r="K2246" i="1"/>
  <c r="H2247" i="1"/>
  <c r="I2247" i="1"/>
  <c r="J2247" i="1"/>
  <c r="K2247" i="1"/>
  <c r="H2248" i="1"/>
  <c r="I2248" i="1"/>
  <c r="J2248" i="1"/>
  <c r="K2248" i="1"/>
  <c r="H2249" i="1"/>
  <c r="I2249" i="1"/>
  <c r="J2249" i="1"/>
  <c r="K2249" i="1"/>
  <c r="H2250" i="1"/>
  <c r="I2250" i="1"/>
  <c r="J2250" i="1"/>
  <c r="K2250" i="1"/>
  <c r="H2251" i="1"/>
  <c r="I2251" i="1"/>
  <c r="J2251" i="1"/>
  <c r="K2251" i="1"/>
  <c r="H2252" i="1"/>
  <c r="I2252" i="1"/>
  <c r="J2252" i="1"/>
  <c r="K2252" i="1"/>
  <c r="H2253" i="1"/>
  <c r="I2253" i="1"/>
  <c r="J2253" i="1"/>
  <c r="K2253" i="1"/>
  <c r="H2254" i="1"/>
  <c r="I2254" i="1"/>
  <c r="J2254" i="1"/>
  <c r="K2254" i="1"/>
  <c r="H2255" i="1"/>
  <c r="I2255" i="1"/>
  <c r="J2255" i="1"/>
  <c r="K2255" i="1"/>
  <c r="H2256" i="1"/>
  <c r="I2256" i="1"/>
  <c r="J2256" i="1"/>
  <c r="K2256" i="1"/>
  <c r="H2257" i="1"/>
  <c r="I2257" i="1"/>
  <c r="J2257" i="1"/>
  <c r="K2257" i="1"/>
  <c r="H2258" i="1"/>
  <c r="I2258" i="1"/>
  <c r="J2258" i="1"/>
  <c r="K2258" i="1"/>
  <c r="H2259" i="1"/>
  <c r="I2259" i="1"/>
  <c r="J2259" i="1"/>
  <c r="K2259" i="1"/>
  <c r="H2260" i="1"/>
  <c r="I2260" i="1"/>
  <c r="J2260" i="1"/>
  <c r="K2260" i="1"/>
  <c r="H2261" i="1"/>
  <c r="I2261" i="1"/>
  <c r="J2261" i="1"/>
  <c r="K2261" i="1"/>
  <c r="H2262" i="1"/>
  <c r="I2262" i="1"/>
  <c r="J2262" i="1"/>
  <c r="K2262" i="1"/>
  <c r="H2263" i="1"/>
  <c r="I2263" i="1"/>
  <c r="J2263" i="1"/>
  <c r="K2263" i="1"/>
  <c r="H2264" i="1"/>
  <c r="I2264" i="1"/>
  <c r="J2264" i="1"/>
  <c r="K2264" i="1"/>
  <c r="H2265" i="1"/>
  <c r="I2265" i="1"/>
  <c r="J2265" i="1"/>
  <c r="K2265" i="1"/>
  <c r="H2266" i="1"/>
  <c r="I2266" i="1"/>
  <c r="J2266" i="1"/>
  <c r="K2266" i="1"/>
  <c r="H2267" i="1"/>
  <c r="I2267" i="1"/>
  <c r="J2267" i="1"/>
  <c r="K2267" i="1"/>
  <c r="H2268" i="1"/>
  <c r="I2268" i="1"/>
  <c r="J2268" i="1"/>
  <c r="K2268" i="1"/>
  <c r="H2269" i="1"/>
  <c r="I2269" i="1"/>
  <c r="J2269" i="1"/>
  <c r="K2269" i="1"/>
  <c r="H2270" i="1"/>
  <c r="I2270" i="1"/>
  <c r="J2270" i="1"/>
  <c r="K2270" i="1"/>
  <c r="H2271" i="1"/>
  <c r="I2271" i="1"/>
  <c r="J2271" i="1"/>
  <c r="K2271" i="1"/>
  <c r="H2272" i="1"/>
  <c r="I2272" i="1"/>
  <c r="J2272" i="1"/>
  <c r="K2272" i="1"/>
  <c r="H2273" i="1"/>
  <c r="I2273" i="1"/>
  <c r="J2273" i="1"/>
  <c r="K2273" i="1"/>
  <c r="H2274" i="1"/>
  <c r="I2274" i="1"/>
  <c r="J2274" i="1"/>
  <c r="K2274" i="1"/>
  <c r="H2275" i="1"/>
  <c r="I2275" i="1"/>
  <c r="J2275" i="1"/>
  <c r="K2275" i="1"/>
  <c r="H2276" i="1"/>
  <c r="I2276" i="1"/>
  <c r="J2276" i="1"/>
  <c r="K2276" i="1"/>
  <c r="H2277" i="1"/>
  <c r="I2277" i="1"/>
  <c r="J2277" i="1"/>
  <c r="K2277" i="1"/>
  <c r="H2278" i="1"/>
  <c r="I2278" i="1"/>
  <c r="J2278" i="1"/>
  <c r="K2278" i="1"/>
  <c r="H2279" i="1"/>
  <c r="I2279" i="1"/>
  <c r="J2279" i="1"/>
  <c r="K2279" i="1"/>
  <c r="H2280" i="1"/>
  <c r="I2280" i="1"/>
  <c r="J2280" i="1"/>
  <c r="K2280" i="1"/>
  <c r="H2281" i="1"/>
  <c r="I2281" i="1"/>
  <c r="J2281" i="1"/>
  <c r="K2281" i="1"/>
  <c r="H2282" i="1"/>
  <c r="I2282" i="1"/>
  <c r="J2282" i="1"/>
  <c r="K2282" i="1"/>
  <c r="H2283" i="1"/>
  <c r="I2283" i="1"/>
  <c r="J2283" i="1"/>
  <c r="K2283" i="1"/>
  <c r="H2284" i="1"/>
  <c r="I2284" i="1"/>
  <c r="J2284" i="1"/>
  <c r="K2284" i="1"/>
  <c r="H2285" i="1"/>
  <c r="I2285" i="1"/>
  <c r="J2285" i="1"/>
  <c r="K2285" i="1"/>
  <c r="H2286" i="1"/>
  <c r="I2286" i="1"/>
  <c r="J2286" i="1"/>
  <c r="K2286" i="1"/>
  <c r="H2287" i="1"/>
  <c r="I2287" i="1"/>
  <c r="J2287" i="1"/>
  <c r="K2287" i="1"/>
  <c r="H2288" i="1"/>
  <c r="I2288" i="1"/>
  <c r="J2288" i="1"/>
  <c r="K2288" i="1"/>
  <c r="H2289" i="1"/>
  <c r="I2289" i="1"/>
  <c r="J2289" i="1"/>
  <c r="K2289" i="1"/>
  <c r="H2290" i="1"/>
  <c r="I2290" i="1"/>
  <c r="J2290" i="1"/>
  <c r="K2290" i="1"/>
  <c r="H2291" i="1"/>
  <c r="I2291" i="1"/>
  <c r="J2291" i="1"/>
  <c r="K2291" i="1"/>
  <c r="H2292" i="1"/>
  <c r="I2292" i="1"/>
  <c r="J2292" i="1"/>
  <c r="K2292" i="1"/>
  <c r="H2293" i="1"/>
  <c r="I2293" i="1"/>
  <c r="J2293" i="1"/>
  <c r="K2293" i="1"/>
  <c r="H2294" i="1"/>
  <c r="I2294" i="1"/>
  <c r="J2294" i="1"/>
  <c r="K2294" i="1"/>
  <c r="H2295" i="1"/>
  <c r="I2295" i="1"/>
  <c r="J2295" i="1"/>
  <c r="K2295" i="1"/>
  <c r="H2296" i="1"/>
  <c r="I2296" i="1"/>
  <c r="J2296" i="1"/>
  <c r="K2296" i="1"/>
  <c r="H2297" i="1"/>
  <c r="I2297" i="1"/>
  <c r="J2297" i="1"/>
  <c r="K2297" i="1"/>
  <c r="H2298" i="1"/>
  <c r="I2298" i="1"/>
  <c r="J2298" i="1"/>
  <c r="K2298" i="1"/>
  <c r="H2299" i="1"/>
  <c r="I2299" i="1"/>
  <c r="J2299" i="1"/>
  <c r="K2299" i="1"/>
  <c r="H2300" i="1"/>
  <c r="I2300" i="1"/>
  <c r="J2300" i="1"/>
  <c r="K2300" i="1"/>
  <c r="H2301" i="1"/>
  <c r="I2301" i="1"/>
  <c r="J2301" i="1"/>
  <c r="K2301" i="1"/>
  <c r="H2302" i="1"/>
  <c r="I2302" i="1"/>
  <c r="J2302" i="1"/>
  <c r="K2302" i="1"/>
  <c r="H2303" i="1"/>
  <c r="I2303" i="1"/>
  <c r="J2303" i="1"/>
  <c r="K2303" i="1"/>
  <c r="H2304" i="1"/>
  <c r="I2304" i="1"/>
  <c r="J2304" i="1"/>
  <c r="K2304" i="1"/>
  <c r="H2305" i="1"/>
  <c r="I2305" i="1"/>
  <c r="J2305" i="1"/>
  <c r="K2305" i="1"/>
  <c r="H2306" i="1"/>
  <c r="I2306" i="1"/>
  <c r="J2306" i="1"/>
  <c r="K2306" i="1"/>
  <c r="H2307" i="1"/>
  <c r="I2307" i="1"/>
  <c r="J2307" i="1"/>
  <c r="K2307" i="1"/>
  <c r="H2308" i="1"/>
  <c r="I2308" i="1"/>
  <c r="J2308" i="1"/>
  <c r="K2308" i="1"/>
  <c r="H2309" i="1"/>
  <c r="I2309" i="1"/>
  <c r="J2309" i="1"/>
  <c r="K2309" i="1"/>
  <c r="H2310" i="1"/>
  <c r="I2310" i="1"/>
  <c r="J2310" i="1"/>
  <c r="K2310" i="1"/>
  <c r="H2311" i="1"/>
  <c r="I2311" i="1"/>
  <c r="J2311" i="1"/>
  <c r="K2311" i="1"/>
  <c r="H2312" i="1"/>
  <c r="I2312" i="1"/>
  <c r="J2312" i="1"/>
  <c r="K2312" i="1"/>
  <c r="H2313" i="1"/>
  <c r="I2313" i="1"/>
  <c r="J2313" i="1"/>
  <c r="K2313" i="1"/>
  <c r="H2314" i="1"/>
  <c r="I2314" i="1"/>
  <c r="J2314" i="1"/>
  <c r="K2314" i="1"/>
  <c r="H2315" i="1"/>
  <c r="I2315" i="1"/>
  <c r="J2315" i="1"/>
  <c r="K2315" i="1"/>
  <c r="H2316" i="1"/>
  <c r="I2316" i="1"/>
  <c r="J2316" i="1"/>
  <c r="K2316" i="1"/>
  <c r="H2317" i="1"/>
  <c r="I2317" i="1"/>
  <c r="J2317" i="1"/>
  <c r="K2317" i="1"/>
  <c r="H2318" i="1"/>
  <c r="I2318" i="1"/>
  <c r="J2318" i="1"/>
  <c r="K2318" i="1"/>
  <c r="H2319" i="1"/>
  <c r="I2319" i="1"/>
  <c r="J2319" i="1"/>
  <c r="K2319" i="1"/>
  <c r="H2320" i="1"/>
  <c r="I2320" i="1"/>
  <c r="J2320" i="1"/>
  <c r="K2320" i="1"/>
  <c r="H2321" i="1"/>
  <c r="I2321" i="1"/>
  <c r="J2321" i="1"/>
  <c r="K2321" i="1"/>
  <c r="H2322" i="1"/>
  <c r="I2322" i="1"/>
  <c r="J2322" i="1"/>
  <c r="K2322" i="1"/>
  <c r="H2323" i="1"/>
  <c r="I2323" i="1"/>
  <c r="J2323" i="1"/>
  <c r="K2323" i="1"/>
  <c r="H2324" i="1"/>
  <c r="I2324" i="1"/>
  <c r="J2324" i="1"/>
  <c r="K2324" i="1"/>
  <c r="H2325" i="1"/>
  <c r="I2325" i="1"/>
  <c r="J2325" i="1"/>
  <c r="K2325" i="1"/>
  <c r="H2326" i="1"/>
  <c r="I2326" i="1"/>
  <c r="J2326" i="1"/>
  <c r="K2326" i="1"/>
  <c r="H2327" i="1"/>
  <c r="I2327" i="1"/>
  <c r="J2327" i="1"/>
  <c r="K2327" i="1"/>
  <c r="H2328" i="1"/>
  <c r="I2328" i="1"/>
  <c r="J2328" i="1"/>
  <c r="K2328" i="1"/>
  <c r="H2329" i="1"/>
  <c r="I2329" i="1"/>
  <c r="J2329" i="1"/>
  <c r="K2329" i="1"/>
  <c r="H2330" i="1"/>
  <c r="I2330" i="1"/>
  <c r="J2330" i="1"/>
  <c r="K2330" i="1"/>
  <c r="H2331" i="1"/>
  <c r="I2331" i="1"/>
  <c r="J2331" i="1"/>
  <c r="K2331" i="1"/>
  <c r="H2332" i="1"/>
  <c r="I2332" i="1"/>
  <c r="J2332" i="1"/>
  <c r="K2332" i="1"/>
  <c r="H2333" i="1"/>
  <c r="I2333" i="1"/>
  <c r="J2333" i="1"/>
  <c r="K2333" i="1"/>
  <c r="H2334" i="1"/>
  <c r="I2334" i="1"/>
  <c r="J2334" i="1"/>
  <c r="K2334" i="1"/>
  <c r="H2335" i="1"/>
  <c r="I2335" i="1"/>
  <c r="J2335" i="1"/>
  <c r="K2335" i="1"/>
  <c r="H2336" i="1"/>
  <c r="I2336" i="1"/>
  <c r="J2336" i="1"/>
  <c r="K2336" i="1"/>
  <c r="H2337" i="1"/>
  <c r="I2337" i="1"/>
  <c r="J2337" i="1"/>
  <c r="K2337" i="1"/>
  <c r="H2338" i="1"/>
  <c r="I2338" i="1"/>
  <c r="J2338" i="1"/>
  <c r="K2338" i="1"/>
  <c r="H2339" i="1"/>
  <c r="I2339" i="1"/>
  <c r="J2339" i="1"/>
  <c r="K2339" i="1"/>
  <c r="H2340" i="1"/>
  <c r="I2340" i="1"/>
  <c r="J2340" i="1"/>
  <c r="K2340" i="1"/>
  <c r="H2341" i="1"/>
  <c r="I2341" i="1"/>
  <c r="J2341" i="1"/>
  <c r="K2341" i="1"/>
  <c r="H2342" i="1"/>
  <c r="I2342" i="1"/>
  <c r="J2342" i="1"/>
  <c r="K2342" i="1"/>
  <c r="H2343" i="1"/>
  <c r="I2343" i="1"/>
  <c r="J2343" i="1"/>
  <c r="K2343" i="1"/>
  <c r="H2344" i="1"/>
  <c r="I2344" i="1"/>
  <c r="J2344" i="1"/>
  <c r="K2344" i="1"/>
  <c r="H2345" i="1"/>
  <c r="I2345" i="1"/>
  <c r="J2345" i="1"/>
  <c r="K2345" i="1"/>
  <c r="H2346" i="1"/>
  <c r="I2346" i="1"/>
  <c r="J2346" i="1"/>
  <c r="K2346" i="1"/>
  <c r="H2347" i="1"/>
  <c r="I2347" i="1"/>
  <c r="J2347" i="1"/>
  <c r="K2347" i="1"/>
  <c r="H2348" i="1"/>
  <c r="I2348" i="1"/>
  <c r="J2348" i="1"/>
  <c r="K2348" i="1"/>
  <c r="H2349" i="1"/>
  <c r="I2349" i="1"/>
  <c r="J2349" i="1"/>
  <c r="K2349" i="1"/>
  <c r="H2350" i="1"/>
  <c r="I2350" i="1"/>
  <c r="J2350" i="1"/>
  <c r="K2350" i="1"/>
  <c r="H2351" i="1"/>
  <c r="I2351" i="1"/>
  <c r="J2351" i="1"/>
  <c r="K2351" i="1"/>
  <c r="H2352" i="1"/>
  <c r="I2352" i="1"/>
  <c r="J2352" i="1"/>
  <c r="K2352" i="1"/>
  <c r="H2353" i="1"/>
  <c r="I2353" i="1"/>
  <c r="J2353" i="1"/>
  <c r="K2353" i="1"/>
  <c r="H2354" i="1"/>
  <c r="I2354" i="1"/>
  <c r="J2354" i="1"/>
  <c r="K2354" i="1"/>
  <c r="H2355" i="1"/>
  <c r="I2355" i="1"/>
  <c r="J2355" i="1"/>
  <c r="K2355" i="1"/>
  <c r="H2356" i="1"/>
  <c r="I2356" i="1"/>
  <c r="J2356" i="1"/>
  <c r="K2356" i="1"/>
  <c r="H2357" i="1"/>
  <c r="I2357" i="1"/>
  <c r="J2357" i="1"/>
  <c r="K2357" i="1"/>
  <c r="H2358" i="1"/>
  <c r="I2358" i="1"/>
  <c r="J2358" i="1"/>
  <c r="K2358" i="1"/>
  <c r="H2359" i="1"/>
  <c r="I2359" i="1"/>
  <c r="J2359" i="1"/>
  <c r="K2359" i="1"/>
  <c r="H2360" i="1"/>
  <c r="I2360" i="1"/>
  <c r="J2360" i="1"/>
  <c r="K2360" i="1"/>
  <c r="H2361" i="1"/>
  <c r="I2361" i="1"/>
  <c r="J2361" i="1"/>
  <c r="K2361" i="1"/>
  <c r="H2362" i="1"/>
  <c r="I2362" i="1"/>
  <c r="J2362" i="1"/>
  <c r="K2362" i="1"/>
  <c r="H2363" i="1"/>
  <c r="I2363" i="1"/>
  <c r="J2363" i="1"/>
  <c r="K2363" i="1"/>
  <c r="H2364" i="1"/>
  <c r="I2364" i="1"/>
  <c r="J2364" i="1"/>
  <c r="K2364" i="1"/>
  <c r="H2365" i="1"/>
  <c r="I2365" i="1"/>
  <c r="J2365" i="1"/>
  <c r="K2365" i="1"/>
  <c r="H2366" i="1"/>
  <c r="I2366" i="1"/>
  <c r="J2366" i="1"/>
  <c r="K2366" i="1"/>
  <c r="H2367" i="1"/>
  <c r="I2367" i="1"/>
  <c r="J2367" i="1"/>
  <c r="K2367" i="1"/>
  <c r="H2368" i="1"/>
  <c r="I2368" i="1"/>
  <c r="J2368" i="1"/>
  <c r="K2368" i="1"/>
  <c r="H2369" i="1"/>
  <c r="I2369" i="1"/>
  <c r="J2369" i="1"/>
  <c r="K2369" i="1"/>
  <c r="H2370" i="1"/>
  <c r="I2370" i="1"/>
  <c r="J2370" i="1"/>
  <c r="K2370" i="1"/>
  <c r="H2371" i="1"/>
  <c r="I2371" i="1"/>
  <c r="J2371" i="1"/>
  <c r="K2371" i="1"/>
  <c r="H2372" i="1"/>
  <c r="I2372" i="1"/>
  <c r="J2372" i="1"/>
  <c r="K2372" i="1"/>
  <c r="H2373" i="1"/>
  <c r="I2373" i="1"/>
  <c r="J2373" i="1"/>
  <c r="K2373" i="1"/>
  <c r="H2374" i="1"/>
  <c r="I2374" i="1"/>
  <c r="J2374" i="1"/>
  <c r="K2374" i="1"/>
  <c r="H2375" i="1"/>
  <c r="I2375" i="1"/>
  <c r="J2375" i="1"/>
  <c r="K2375" i="1"/>
  <c r="H2376" i="1"/>
  <c r="I2376" i="1"/>
  <c r="J2376" i="1"/>
  <c r="K2376" i="1"/>
  <c r="H2377" i="1"/>
  <c r="I2377" i="1"/>
  <c r="J2377" i="1"/>
  <c r="K2377" i="1"/>
  <c r="H2378" i="1"/>
  <c r="I2378" i="1"/>
  <c r="J2378" i="1"/>
  <c r="K2378" i="1"/>
  <c r="H2379" i="1"/>
  <c r="I2379" i="1"/>
  <c r="J2379" i="1"/>
  <c r="K2379" i="1"/>
  <c r="H2380" i="1"/>
  <c r="I2380" i="1"/>
  <c r="J2380" i="1"/>
  <c r="K2380" i="1"/>
  <c r="H2381" i="1"/>
  <c r="I2381" i="1"/>
  <c r="J2381" i="1"/>
  <c r="K2381" i="1"/>
  <c r="H2382" i="1"/>
  <c r="I2382" i="1"/>
  <c r="J2382" i="1"/>
  <c r="K2382" i="1"/>
  <c r="H2383" i="1"/>
  <c r="I2383" i="1"/>
  <c r="J2383" i="1"/>
  <c r="K2383" i="1"/>
  <c r="H2384" i="1"/>
  <c r="I2384" i="1"/>
  <c r="J2384" i="1"/>
  <c r="K2384" i="1"/>
  <c r="H2385" i="1"/>
  <c r="I2385" i="1"/>
  <c r="J2385" i="1"/>
  <c r="K2385" i="1"/>
  <c r="H2386" i="1"/>
  <c r="I2386" i="1"/>
  <c r="J2386" i="1"/>
  <c r="K2386" i="1"/>
  <c r="H2387" i="1"/>
  <c r="I2387" i="1"/>
  <c r="J2387" i="1"/>
  <c r="K2387" i="1"/>
  <c r="H2388" i="1"/>
  <c r="I2388" i="1"/>
  <c r="J2388" i="1"/>
  <c r="K2388" i="1"/>
  <c r="H2389" i="1"/>
  <c r="I2389" i="1"/>
  <c r="J2389" i="1"/>
  <c r="K2389" i="1"/>
  <c r="H2390" i="1"/>
  <c r="I2390" i="1"/>
  <c r="J2390" i="1"/>
  <c r="K2390" i="1"/>
  <c r="H2391" i="1"/>
  <c r="I2391" i="1"/>
  <c r="J2391" i="1"/>
  <c r="K2391" i="1"/>
  <c r="H2392" i="1"/>
  <c r="I2392" i="1"/>
  <c r="J2392" i="1"/>
  <c r="K2392" i="1"/>
  <c r="H2393" i="1"/>
  <c r="I2393" i="1"/>
  <c r="J2393" i="1"/>
  <c r="K2393" i="1"/>
  <c r="H2394" i="1"/>
  <c r="I2394" i="1"/>
  <c r="J2394" i="1"/>
  <c r="K2394" i="1"/>
  <c r="H2395" i="1"/>
  <c r="I2395" i="1"/>
  <c r="J2395" i="1"/>
  <c r="K2395" i="1"/>
  <c r="H2396" i="1"/>
  <c r="I2396" i="1"/>
  <c r="J2396" i="1"/>
  <c r="K2396" i="1"/>
  <c r="H2397" i="1"/>
  <c r="I2397" i="1"/>
  <c r="J2397" i="1"/>
  <c r="K2397" i="1"/>
  <c r="H2398" i="1"/>
  <c r="I2398" i="1"/>
  <c r="J2398" i="1"/>
  <c r="K2398" i="1"/>
  <c r="H2399" i="1"/>
  <c r="I2399" i="1"/>
  <c r="J2399" i="1"/>
  <c r="K2399" i="1"/>
  <c r="H2400" i="1"/>
  <c r="I2400" i="1"/>
  <c r="J2400" i="1"/>
  <c r="K2400" i="1"/>
  <c r="H2401" i="1"/>
  <c r="I2401" i="1"/>
  <c r="J2401" i="1"/>
  <c r="K2401" i="1"/>
  <c r="H2402" i="1"/>
  <c r="I2402" i="1"/>
  <c r="J2402" i="1"/>
  <c r="K2402" i="1"/>
  <c r="H2403" i="1"/>
  <c r="I2403" i="1"/>
  <c r="J2403" i="1"/>
  <c r="K2403" i="1"/>
  <c r="H2404" i="1"/>
  <c r="I2404" i="1"/>
  <c r="J2404" i="1"/>
  <c r="K2404" i="1"/>
  <c r="H2405" i="1"/>
  <c r="I2405" i="1"/>
  <c r="J2405" i="1"/>
  <c r="K2405" i="1"/>
  <c r="H2406" i="1"/>
  <c r="I2406" i="1"/>
  <c r="J2406" i="1"/>
  <c r="K2406" i="1"/>
  <c r="H2407" i="1"/>
  <c r="I2407" i="1"/>
  <c r="J2407" i="1"/>
  <c r="K2407" i="1"/>
  <c r="H2408" i="1"/>
  <c r="I2408" i="1"/>
  <c r="J2408" i="1"/>
  <c r="K2408" i="1"/>
  <c r="H2409" i="1"/>
  <c r="I2409" i="1"/>
  <c r="J2409" i="1"/>
  <c r="K2409" i="1"/>
  <c r="H2410" i="1"/>
  <c r="I2410" i="1"/>
  <c r="J2410" i="1"/>
  <c r="K2410" i="1"/>
  <c r="H2411" i="1"/>
  <c r="I2411" i="1"/>
  <c r="J2411" i="1"/>
  <c r="K2411" i="1"/>
  <c r="H2412" i="1"/>
  <c r="I2412" i="1"/>
  <c r="J2412" i="1"/>
  <c r="K2412" i="1"/>
  <c r="H2413" i="1"/>
  <c r="I2413" i="1"/>
  <c r="J2413" i="1"/>
  <c r="K2413" i="1"/>
  <c r="H2414" i="1"/>
  <c r="I2414" i="1"/>
  <c r="J2414" i="1"/>
  <c r="K2414" i="1"/>
  <c r="H2415" i="1"/>
  <c r="I2415" i="1"/>
  <c r="J2415" i="1"/>
  <c r="K2415" i="1"/>
  <c r="H2416" i="1"/>
  <c r="I2416" i="1"/>
  <c r="J2416" i="1"/>
  <c r="K2416" i="1"/>
  <c r="H2417" i="1"/>
  <c r="I2417" i="1"/>
  <c r="J2417" i="1"/>
  <c r="K2417" i="1"/>
  <c r="H2418" i="1"/>
  <c r="I2418" i="1"/>
  <c r="J2418" i="1"/>
  <c r="K2418" i="1"/>
  <c r="H2419" i="1"/>
  <c r="I2419" i="1"/>
  <c r="J2419" i="1"/>
  <c r="K2419" i="1"/>
  <c r="H2420" i="1"/>
  <c r="I2420" i="1"/>
  <c r="J2420" i="1"/>
  <c r="K2420" i="1"/>
  <c r="H2421" i="1"/>
  <c r="I2421" i="1"/>
  <c r="J2421" i="1"/>
  <c r="K2421" i="1"/>
  <c r="H2422" i="1"/>
  <c r="I2422" i="1"/>
  <c r="J2422" i="1"/>
  <c r="K2422" i="1"/>
  <c r="H2423" i="1"/>
  <c r="I2423" i="1"/>
  <c r="J2423" i="1"/>
  <c r="K2423" i="1"/>
  <c r="H2424" i="1"/>
  <c r="I2424" i="1"/>
  <c r="J2424" i="1"/>
  <c r="K2424" i="1"/>
  <c r="H2425" i="1"/>
  <c r="I2425" i="1"/>
  <c r="J2425" i="1"/>
  <c r="K2425" i="1"/>
  <c r="H2426" i="1"/>
  <c r="I2426" i="1"/>
  <c r="J2426" i="1"/>
  <c r="K2426" i="1"/>
  <c r="H2427" i="1"/>
  <c r="I2427" i="1"/>
  <c r="J2427" i="1"/>
  <c r="K2427" i="1"/>
  <c r="H2428" i="1"/>
  <c r="I2428" i="1"/>
  <c r="J2428" i="1"/>
  <c r="K2428" i="1"/>
  <c r="H2429" i="1"/>
  <c r="I2429" i="1"/>
  <c r="J2429" i="1"/>
  <c r="K2429" i="1"/>
  <c r="H2430" i="1"/>
  <c r="I2430" i="1"/>
  <c r="J2430" i="1"/>
  <c r="K2430" i="1"/>
  <c r="H2431" i="1"/>
  <c r="I2431" i="1"/>
  <c r="J2431" i="1"/>
  <c r="K2431" i="1"/>
  <c r="H2432" i="1"/>
  <c r="I2432" i="1"/>
  <c r="J2432" i="1"/>
  <c r="K2432" i="1"/>
  <c r="H2433" i="1"/>
  <c r="I2433" i="1"/>
  <c r="J2433" i="1"/>
  <c r="K2433" i="1"/>
  <c r="H2434" i="1"/>
  <c r="I2434" i="1"/>
  <c r="J2434" i="1"/>
  <c r="K2434" i="1"/>
  <c r="H2435" i="1"/>
  <c r="I2435" i="1"/>
  <c r="J2435" i="1"/>
  <c r="K2435" i="1"/>
  <c r="H2436" i="1"/>
  <c r="I2436" i="1"/>
  <c r="J2436" i="1"/>
  <c r="K2436" i="1"/>
  <c r="H2437" i="1"/>
  <c r="I2437" i="1"/>
  <c r="J2437" i="1"/>
  <c r="K2437" i="1"/>
  <c r="H2438" i="1"/>
  <c r="I2438" i="1"/>
  <c r="J2438" i="1"/>
  <c r="K2438" i="1"/>
  <c r="H2439" i="1"/>
  <c r="I2439" i="1"/>
  <c r="J2439" i="1"/>
  <c r="K2439" i="1"/>
  <c r="H2440" i="1"/>
  <c r="I2440" i="1"/>
  <c r="J2440" i="1"/>
  <c r="K2440" i="1"/>
  <c r="H2441" i="1"/>
  <c r="I2441" i="1"/>
  <c r="J2441" i="1"/>
  <c r="K2441" i="1"/>
  <c r="H2442" i="1"/>
  <c r="I2442" i="1"/>
  <c r="J2442" i="1"/>
  <c r="K2442" i="1"/>
  <c r="H2443" i="1"/>
  <c r="I2443" i="1"/>
  <c r="J2443" i="1"/>
  <c r="K2443" i="1"/>
  <c r="H2444" i="1"/>
  <c r="I2444" i="1"/>
  <c r="J2444" i="1"/>
  <c r="K2444" i="1"/>
  <c r="H2445" i="1"/>
  <c r="I2445" i="1"/>
  <c r="J2445" i="1"/>
  <c r="K2445" i="1"/>
  <c r="H2446" i="1"/>
  <c r="I2446" i="1"/>
  <c r="J2446" i="1"/>
  <c r="K2446" i="1"/>
  <c r="H2447" i="1"/>
  <c r="I2447" i="1"/>
  <c r="J2447" i="1"/>
  <c r="K2447" i="1"/>
  <c r="H2448" i="1"/>
  <c r="I2448" i="1"/>
  <c r="J2448" i="1"/>
  <c r="K2448" i="1"/>
  <c r="H2449" i="1"/>
  <c r="I2449" i="1"/>
  <c r="J2449" i="1"/>
  <c r="K2449" i="1"/>
  <c r="H2450" i="1"/>
  <c r="I2450" i="1"/>
  <c r="J2450" i="1"/>
  <c r="K2450" i="1"/>
  <c r="H2451" i="1"/>
  <c r="I2451" i="1"/>
  <c r="J2451" i="1"/>
  <c r="K2451" i="1"/>
  <c r="H2452" i="1"/>
  <c r="I2452" i="1"/>
  <c r="J2452" i="1"/>
  <c r="K2452" i="1"/>
  <c r="H2453" i="1"/>
  <c r="I2453" i="1"/>
  <c r="J2453" i="1"/>
  <c r="K2453" i="1"/>
  <c r="H2454" i="1"/>
  <c r="I2454" i="1"/>
  <c r="J2454" i="1"/>
  <c r="K2454" i="1"/>
  <c r="H2455" i="1"/>
  <c r="I2455" i="1"/>
  <c r="J2455" i="1"/>
  <c r="K2455" i="1"/>
  <c r="H2456" i="1"/>
  <c r="I2456" i="1"/>
  <c r="J2456" i="1"/>
  <c r="K2456" i="1"/>
  <c r="H2457" i="1"/>
  <c r="I2457" i="1"/>
  <c r="J2457" i="1"/>
  <c r="K2457" i="1"/>
  <c r="H2458" i="1"/>
  <c r="I2458" i="1"/>
  <c r="J2458" i="1"/>
  <c r="K2458" i="1"/>
  <c r="H2459" i="1"/>
  <c r="I2459" i="1"/>
  <c r="J2459" i="1"/>
  <c r="K2459" i="1"/>
  <c r="H2460" i="1"/>
  <c r="I2460" i="1"/>
  <c r="J2460" i="1"/>
  <c r="K2460" i="1"/>
  <c r="H2461" i="1"/>
  <c r="I2461" i="1"/>
  <c r="J2461" i="1"/>
  <c r="K2461" i="1"/>
  <c r="H2462" i="1"/>
  <c r="I2462" i="1"/>
  <c r="J2462" i="1"/>
  <c r="K2462" i="1"/>
  <c r="H2463" i="1"/>
  <c r="I2463" i="1"/>
  <c r="J2463" i="1"/>
  <c r="K2463" i="1"/>
  <c r="H2464" i="1"/>
  <c r="I2464" i="1"/>
  <c r="J2464" i="1"/>
  <c r="K2464" i="1"/>
  <c r="H2465" i="1"/>
  <c r="I2465" i="1"/>
  <c r="J2465" i="1"/>
  <c r="K2465" i="1"/>
  <c r="H2466" i="1"/>
  <c r="I2466" i="1"/>
  <c r="J2466" i="1"/>
  <c r="K2466" i="1"/>
  <c r="H2467" i="1"/>
  <c r="I2467" i="1"/>
  <c r="J2467" i="1"/>
  <c r="K2467" i="1"/>
  <c r="H2468" i="1"/>
  <c r="I2468" i="1"/>
  <c r="J2468" i="1"/>
  <c r="K2468" i="1"/>
  <c r="H2469" i="1"/>
  <c r="I2469" i="1"/>
  <c r="J2469" i="1"/>
  <c r="K2469" i="1"/>
  <c r="H2470" i="1"/>
  <c r="I2470" i="1"/>
  <c r="J2470" i="1"/>
  <c r="K2470" i="1"/>
  <c r="H2471" i="1"/>
  <c r="I2471" i="1"/>
  <c r="J2471" i="1"/>
  <c r="K2471" i="1"/>
  <c r="H2472" i="1"/>
  <c r="I2472" i="1"/>
  <c r="J2472" i="1"/>
  <c r="K2472" i="1"/>
  <c r="H2473" i="1"/>
  <c r="I2473" i="1"/>
  <c r="J2473" i="1"/>
  <c r="K2473" i="1"/>
  <c r="H2474" i="1"/>
  <c r="I2474" i="1"/>
  <c r="J2474" i="1"/>
  <c r="K2474" i="1"/>
  <c r="H2475" i="1"/>
  <c r="I2475" i="1"/>
  <c r="J2475" i="1"/>
  <c r="K2475" i="1"/>
  <c r="H2476" i="1"/>
  <c r="I2476" i="1"/>
  <c r="J2476" i="1"/>
  <c r="K2476" i="1"/>
  <c r="H2477" i="1"/>
  <c r="I2477" i="1"/>
  <c r="J2477" i="1"/>
  <c r="K2477" i="1"/>
  <c r="H2478" i="1"/>
  <c r="I2478" i="1"/>
  <c r="J2478" i="1"/>
  <c r="K2478" i="1"/>
  <c r="H2479" i="1"/>
  <c r="I2479" i="1"/>
  <c r="J2479" i="1"/>
  <c r="K2479" i="1"/>
  <c r="H2480" i="1"/>
  <c r="I2480" i="1"/>
  <c r="J2480" i="1"/>
  <c r="K2480" i="1"/>
  <c r="H2481" i="1"/>
  <c r="I2481" i="1"/>
  <c r="J2481" i="1"/>
  <c r="K2481" i="1"/>
  <c r="H2482" i="1"/>
  <c r="I2482" i="1"/>
  <c r="J2482" i="1"/>
  <c r="K2482" i="1"/>
  <c r="H2483" i="1"/>
  <c r="I2483" i="1"/>
  <c r="J2483" i="1"/>
  <c r="K2483" i="1"/>
  <c r="H2484" i="1"/>
  <c r="I2484" i="1"/>
  <c r="J2484" i="1"/>
  <c r="K2484" i="1"/>
  <c r="H2485" i="1"/>
  <c r="I2485" i="1"/>
  <c r="J2485" i="1"/>
  <c r="K2485" i="1"/>
  <c r="H2486" i="1"/>
  <c r="I2486" i="1"/>
  <c r="J2486" i="1"/>
  <c r="K2486" i="1"/>
  <c r="H2487" i="1"/>
  <c r="I2487" i="1"/>
  <c r="J2487" i="1"/>
  <c r="K2487" i="1"/>
  <c r="H2488" i="1"/>
  <c r="I2488" i="1"/>
  <c r="J2488" i="1"/>
  <c r="K2488" i="1"/>
  <c r="H2489" i="1"/>
  <c r="I2489" i="1"/>
  <c r="J2489" i="1"/>
  <c r="K2489" i="1"/>
  <c r="H2490" i="1"/>
  <c r="I2490" i="1"/>
  <c r="J2490" i="1"/>
  <c r="K2490" i="1"/>
  <c r="H2491" i="1"/>
  <c r="I2491" i="1"/>
  <c r="J2491" i="1"/>
  <c r="K2491" i="1"/>
  <c r="H2492" i="1"/>
  <c r="I2492" i="1"/>
  <c r="J2492" i="1"/>
  <c r="K2492" i="1"/>
  <c r="H2493" i="1"/>
  <c r="I2493" i="1"/>
  <c r="J2493" i="1"/>
  <c r="K2493" i="1"/>
  <c r="H2494" i="1"/>
  <c r="I2494" i="1"/>
  <c r="J2494" i="1"/>
  <c r="K2494" i="1"/>
  <c r="H2495" i="1"/>
  <c r="I2495" i="1"/>
  <c r="J2495" i="1"/>
  <c r="K2495" i="1"/>
  <c r="H2496" i="1"/>
  <c r="I2496" i="1"/>
  <c r="J2496" i="1"/>
  <c r="K2496" i="1"/>
  <c r="H2497" i="1"/>
  <c r="I2497" i="1"/>
  <c r="J2497" i="1"/>
  <c r="K2497" i="1"/>
  <c r="H2498" i="1"/>
  <c r="I2498" i="1"/>
  <c r="J2498" i="1"/>
  <c r="K2498" i="1"/>
  <c r="H2499" i="1"/>
  <c r="I2499" i="1"/>
  <c r="J2499" i="1"/>
  <c r="K2499" i="1"/>
  <c r="H2500" i="1"/>
  <c r="I2500" i="1"/>
  <c r="J2500" i="1"/>
  <c r="K2500" i="1"/>
  <c r="H2501" i="1"/>
  <c r="I2501" i="1"/>
  <c r="J2501" i="1"/>
  <c r="K2501" i="1"/>
  <c r="H2502" i="1"/>
  <c r="I2502" i="1"/>
  <c r="J2502" i="1"/>
  <c r="K2502" i="1"/>
  <c r="H2503" i="1"/>
  <c r="I2503" i="1"/>
  <c r="J2503" i="1"/>
  <c r="K2503" i="1"/>
  <c r="H2504" i="1"/>
  <c r="I2504" i="1"/>
  <c r="J2504" i="1"/>
  <c r="K2504" i="1"/>
  <c r="H2505" i="1"/>
  <c r="I2505" i="1"/>
  <c r="J2505" i="1"/>
  <c r="K2505" i="1"/>
  <c r="H2506" i="1"/>
  <c r="I2506" i="1"/>
  <c r="J2506" i="1"/>
  <c r="K2506" i="1"/>
  <c r="H2507" i="1"/>
  <c r="I2507" i="1"/>
  <c r="J2507" i="1"/>
  <c r="K2507" i="1"/>
  <c r="H2508" i="1"/>
  <c r="I2508" i="1"/>
  <c r="J2508" i="1"/>
  <c r="K2508" i="1"/>
  <c r="H2509" i="1"/>
  <c r="I2509" i="1"/>
  <c r="J2509" i="1"/>
  <c r="K2509" i="1"/>
  <c r="H2510" i="1"/>
  <c r="I2510" i="1"/>
  <c r="J2510" i="1"/>
  <c r="K2510" i="1"/>
  <c r="H2511" i="1"/>
  <c r="I2511" i="1"/>
  <c r="J2511" i="1"/>
  <c r="K2511" i="1"/>
  <c r="H2512" i="1"/>
  <c r="I2512" i="1"/>
  <c r="J2512" i="1"/>
  <c r="K2512" i="1"/>
  <c r="H2513" i="1"/>
  <c r="I2513" i="1"/>
  <c r="J2513" i="1"/>
  <c r="K2513" i="1"/>
  <c r="H2514" i="1"/>
  <c r="I2514" i="1"/>
  <c r="J2514" i="1"/>
  <c r="K2514" i="1"/>
  <c r="H2515" i="1"/>
  <c r="I2515" i="1"/>
  <c r="J2515" i="1"/>
  <c r="K2515" i="1"/>
  <c r="H2516" i="1"/>
  <c r="I2516" i="1"/>
  <c r="J2516" i="1"/>
  <c r="K2516" i="1"/>
  <c r="H2517" i="1"/>
  <c r="I2517" i="1"/>
  <c r="J2517" i="1"/>
  <c r="K2517" i="1"/>
  <c r="H2518" i="1"/>
  <c r="I2518" i="1"/>
  <c r="J2518" i="1"/>
  <c r="K2518" i="1"/>
  <c r="H2519" i="1"/>
  <c r="I2519" i="1"/>
  <c r="J2519" i="1"/>
  <c r="K2519" i="1"/>
  <c r="H2520" i="1"/>
  <c r="I2520" i="1"/>
  <c r="J2520" i="1"/>
  <c r="K2520" i="1"/>
  <c r="H2521" i="1"/>
  <c r="I2521" i="1"/>
  <c r="J2521" i="1"/>
  <c r="K2521" i="1"/>
  <c r="H2522" i="1"/>
  <c r="I2522" i="1"/>
  <c r="J2522" i="1"/>
  <c r="K2522" i="1"/>
  <c r="H2523" i="1"/>
  <c r="I2523" i="1"/>
  <c r="J2523" i="1"/>
  <c r="K2523" i="1"/>
  <c r="H2524" i="1"/>
  <c r="I2524" i="1"/>
  <c r="J2524" i="1"/>
  <c r="K2524" i="1"/>
  <c r="H2525" i="1"/>
  <c r="I2525" i="1"/>
  <c r="J2525" i="1"/>
  <c r="K2525" i="1"/>
  <c r="H2526" i="1"/>
  <c r="I2526" i="1"/>
  <c r="J2526" i="1"/>
  <c r="K2526" i="1"/>
  <c r="H2527" i="1"/>
  <c r="I2527" i="1"/>
  <c r="J2527" i="1"/>
  <c r="K2527" i="1"/>
  <c r="H2528" i="1"/>
  <c r="I2528" i="1"/>
  <c r="J2528" i="1"/>
  <c r="K2528" i="1"/>
  <c r="H2529" i="1"/>
  <c r="I2529" i="1"/>
  <c r="J2529" i="1"/>
  <c r="K2529" i="1"/>
  <c r="H2530" i="1"/>
  <c r="I2530" i="1"/>
  <c r="J2530" i="1"/>
  <c r="K2530" i="1"/>
  <c r="H2531" i="1"/>
  <c r="I2531" i="1"/>
  <c r="J2531" i="1"/>
  <c r="K2531" i="1"/>
  <c r="H2532" i="1"/>
  <c r="I2532" i="1"/>
  <c r="J2532" i="1"/>
  <c r="K2532" i="1"/>
  <c r="H2533" i="1"/>
  <c r="I2533" i="1"/>
  <c r="J2533" i="1"/>
  <c r="K2533" i="1"/>
  <c r="H2534" i="1"/>
  <c r="I2534" i="1"/>
  <c r="J2534" i="1"/>
  <c r="K2534" i="1"/>
  <c r="H2535" i="1"/>
  <c r="I2535" i="1"/>
  <c r="J2535" i="1"/>
  <c r="K2535" i="1"/>
  <c r="H2536" i="1"/>
  <c r="I2536" i="1"/>
  <c r="J2536" i="1"/>
  <c r="K2536" i="1"/>
  <c r="H2537" i="1"/>
  <c r="I2537" i="1"/>
  <c r="J2537" i="1"/>
  <c r="K2537" i="1"/>
  <c r="H2538" i="1"/>
  <c r="I2538" i="1"/>
  <c r="J2538" i="1"/>
  <c r="K2538" i="1"/>
  <c r="H2539" i="1"/>
  <c r="I2539" i="1"/>
  <c r="J2539" i="1"/>
  <c r="K2539" i="1"/>
  <c r="H2540" i="1"/>
  <c r="I2540" i="1"/>
  <c r="J2540" i="1"/>
  <c r="K2540" i="1"/>
  <c r="H2541" i="1"/>
  <c r="I2541" i="1"/>
  <c r="J2541" i="1"/>
  <c r="K2541" i="1"/>
  <c r="H2542" i="1"/>
  <c r="I2542" i="1"/>
  <c r="J2542" i="1"/>
  <c r="K2542" i="1"/>
  <c r="H2543" i="1"/>
  <c r="I2543" i="1"/>
  <c r="J2543" i="1"/>
  <c r="K2543" i="1"/>
  <c r="H2544" i="1"/>
  <c r="I2544" i="1"/>
  <c r="J2544" i="1"/>
  <c r="K2544" i="1"/>
  <c r="H2545" i="1"/>
  <c r="I2545" i="1"/>
  <c r="J2545" i="1"/>
  <c r="K2545" i="1"/>
  <c r="H2546" i="1"/>
  <c r="I2546" i="1"/>
  <c r="J2546" i="1"/>
  <c r="K2546" i="1"/>
  <c r="H2547" i="1"/>
  <c r="I2547" i="1"/>
  <c r="J2547" i="1"/>
  <c r="K2547" i="1"/>
  <c r="H2548" i="1"/>
  <c r="I2548" i="1"/>
  <c r="J2548" i="1"/>
  <c r="K2548" i="1"/>
  <c r="H2549" i="1"/>
  <c r="I2549" i="1"/>
  <c r="J2549" i="1"/>
  <c r="K2549" i="1"/>
  <c r="H2550" i="1"/>
  <c r="I2550" i="1"/>
  <c r="J2550" i="1"/>
  <c r="K2550" i="1"/>
  <c r="H2551" i="1"/>
  <c r="I2551" i="1"/>
  <c r="J2551" i="1"/>
  <c r="K2551" i="1"/>
  <c r="H2552" i="1"/>
  <c r="I2552" i="1"/>
  <c r="J2552" i="1"/>
  <c r="K2552" i="1"/>
  <c r="H2553" i="1"/>
  <c r="I2553" i="1"/>
  <c r="J2553" i="1"/>
  <c r="K2553" i="1"/>
  <c r="H2554" i="1"/>
  <c r="I2554" i="1"/>
  <c r="J2554" i="1"/>
  <c r="K2554" i="1"/>
  <c r="H2555" i="1"/>
  <c r="I2555" i="1"/>
  <c r="J2555" i="1"/>
  <c r="K2555" i="1"/>
  <c r="H2556" i="1"/>
  <c r="I2556" i="1"/>
  <c r="J2556" i="1"/>
  <c r="K2556" i="1"/>
  <c r="H2557" i="1"/>
  <c r="I2557" i="1"/>
  <c r="J2557" i="1"/>
  <c r="K2557" i="1"/>
  <c r="H2558" i="1"/>
  <c r="I2558" i="1"/>
  <c r="J2558" i="1"/>
  <c r="K2558" i="1"/>
  <c r="H2559" i="1"/>
  <c r="I2559" i="1"/>
  <c r="J2559" i="1"/>
  <c r="K2559" i="1"/>
  <c r="H2560" i="1"/>
  <c r="I2560" i="1"/>
  <c r="J2560" i="1"/>
  <c r="K2560" i="1"/>
  <c r="H2561" i="1"/>
  <c r="I2561" i="1"/>
  <c r="J2561" i="1"/>
  <c r="K2561" i="1"/>
  <c r="H2562" i="1"/>
  <c r="I2562" i="1"/>
  <c r="J2562" i="1"/>
  <c r="K2562" i="1"/>
  <c r="H2563" i="1"/>
  <c r="I2563" i="1"/>
  <c r="J2563" i="1"/>
  <c r="K2563" i="1"/>
  <c r="H2564" i="1"/>
  <c r="I2564" i="1"/>
  <c r="J2564" i="1"/>
  <c r="K2564" i="1"/>
  <c r="H2565" i="1"/>
  <c r="I2565" i="1"/>
  <c r="J2565" i="1"/>
  <c r="K2565" i="1"/>
  <c r="H2566" i="1"/>
  <c r="I2566" i="1"/>
  <c r="J2566" i="1"/>
  <c r="K2566" i="1"/>
  <c r="H2567" i="1"/>
  <c r="I2567" i="1"/>
  <c r="J2567" i="1"/>
  <c r="K2567" i="1"/>
  <c r="H2568" i="1"/>
  <c r="I2568" i="1"/>
  <c r="J2568" i="1"/>
  <c r="K2568" i="1"/>
  <c r="H2569" i="1"/>
  <c r="I2569" i="1"/>
  <c r="J2569" i="1"/>
  <c r="K2569" i="1"/>
  <c r="H2570" i="1"/>
  <c r="I2570" i="1"/>
  <c r="J2570" i="1"/>
  <c r="K2570" i="1"/>
  <c r="H2571" i="1"/>
  <c r="I2571" i="1"/>
  <c r="J2571" i="1"/>
  <c r="K2571" i="1"/>
  <c r="H2572" i="1"/>
  <c r="I2572" i="1"/>
  <c r="J2572" i="1"/>
  <c r="K2572" i="1"/>
  <c r="H2573" i="1"/>
  <c r="I2573" i="1"/>
  <c r="J2573" i="1"/>
  <c r="K2573" i="1"/>
  <c r="H2574" i="1"/>
  <c r="I2574" i="1"/>
  <c r="J2574" i="1"/>
  <c r="K2574" i="1"/>
  <c r="H2575" i="1"/>
  <c r="I2575" i="1"/>
  <c r="J2575" i="1"/>
  <c r="K2575" i="1"/>
  <c r="H2576" i="1"/>
  <c r="I2576" i="1"/>
  <c r="J2576" i="1"/>
  <c r="K2576" i="1"/>
  <c r="H2577" i="1"/>
  <c r="I2577" i="1"/>
  <c r="J2577" i="1"/>
  <c r="K2577" i="1"/>
  <c r="H2578" i="1"/>
  <c r="I2578" i="1"/>
  <c r="J2578" i="1"/>
  <c r="K2578" i="1"/>
  <c r="H2579" i="1"/>
  <c r="I2579" i="1"/>
  <c r="J2579" i="1"/>
  <c r="K2579" i="1"/>
  <c r="H2580" i="1"/>
  <c r="I2580" i="1"/>
  <c r="J2580" i="1"/>
  <c r="K2580" i="1"/>
  <c r="H2581" i="1"/>
  <c r="I2581" i="1"/>
  <c r="J2581" i="1"/>
  <c r="K2581" i="1"/>
  <c r="H2582" i="1"/>
  <c r="I2582" i="1"/>
  <c r="J2582" i="1"/>
  <c r="K2582" i="1"/>
  <c r="H2583" i="1"/>
  <c r="I2583" i="1"/>
  <c r="J2583" i="1"/>
  <c r="K2583" i="1"/>
  <c r="H2584" i="1"/>
  <c r="I2584" i="1"/>
  <c r="J2584" i="1"/>
  <c r="K2584" i="1"/>
  <c r="H2585" i="1"/>
  <c r="I2585" i="1"/>
  <c r="J2585" i="1"/>
  <c r="K2585" i="1"/>
  <c r="H2586" i="1"/>
  <c r="I2586" i="1"/>
  <c r="J2586" i="1"/>
  <c r="K2586" i="1"/>
  <c r="H2587" i="1"/>
  <c r="I2587" i="1"/>
  <c r="J2587" i="1"/>
  <c r="K2587" i="1"/>
  <c r="H2588" i="1"/>
  <c r="I2588" i="1"/>
  <c r="J2588" i="1"/>
  <c r="K2588" i="1"/>
  <c r="H2589" i="1"/>
  <c r="I2589" i="1"/>
  <c r="J2589" i="1"/>
  <c r="K2589" i="1"/>
  <c r="H2590" i="1"/>
  <c r="I2590" i="1"/>
  <c r="J2590" i="1"/>
  <c r="K2590" i="1"/>
  <c r="H2591" i="1"/>
  <c r="I2591" i="1"/>
  <c r="J2591" i="1"/>
  <c r="K2591" i="1"/>
  <c r="H2592" i="1"/>
  <c r="I2592" i="1"/>
  <c r="J2592" i="1"/>
  <c r="K2592" i="1"/>
  <c r="H2593" i="1"/>
  <c r="I2593" i="1"/>
  <c r="J2593" i="1"/>
  <c r="K2593" i="1"/>
  <c r="H2594" i="1"/>
  <c r="I2594" i="1"/>
  <c r="J2594" i="1"/>
  <c r="K2594" i="1"/>
  <c r="H2595" i="1"/>
  <c r="I2595" i="1"/>
  <c r="J2595" i="1"/>
  <c r="K2595" i="1"/>
  <c r="H2596" i="1"/>
  <c r="I2596" i="1"/>
  <c r="J2596" i="1"/>
  <c r="K2596" i="1"/>
  <c r="H2597" i="1"/>
  <c r="I2597" i="1"/>
  <c r="J2597" i="1"/>
  <c r="K2597" i="1"/>
  <c r="H2598" i="1"/>
  <c r="I2598" i="1"/>
  <c r="J2598" i="1"/>
  <c r="K2598" i="1"/>
  <c r="H2599" i="1"/>
  <c r="I2599" i="1"/>
  <c r="J2599" i="1"/>
  <c r="K2599" i="1"/>
  <c r="H2600" i="1"/>
  <c r="I2600" i="1"/>
  <c r="J2600" i="1"/>
  <c r="K2600" i="1"/>
  <c r="H2601" i="1"/>
  <c r="I2601" i="1"/>
  <c r="J2601" i="1"/>
  <c r="K2601" i="1"/>
  <c r="H2602" i="1"/>
  <c r="I2602" i="1"/>
  <c r="J2602" i="1"/>
  <c r="K2602" i="1"/>
  <c r="H2603" i="1"/>
  <c r="I2603" i="1"/>
  <c r="J2603" i="1"/>
  <c r="K2603" i="1"/>
  <c r="H2604" i="1"/>
  <c r="I2604" i="1"/>
  <c r="J2604" i="1"/>
  <c r="K2604" i="1"/>
  <c r="H2605" i="1"/>
  <c r="I2605" i="1"/>
  <c r="J2605" i="1"/>
  <c r="K2605" i="1"/>
  <c r="H2606" i="1"/>
  <c r="I2606" i="1"/>
  <c r="J2606" i="1"/>
  <c r="K2606" i="1"/>
  <c r="H2607" i="1"/>
  <c r="I2607" i="1"/>
  <c r="J2607" i="1"/>
  <c r="K2607" i="1"/>
  <c r="H2608" i="1"/>
  <c r="I2608" i="1"/>
  <c r="J2608" i="1"/>
  <c r="K2608" i="1"/>
  <c r="H2609" i="1"/>
  <c r="I2609" i="1"/>
  <c r="J2609" i="1"/>
  <c r="K2609" i="1"/>
  <c r="H2610" i="1"/>
  <c r="I2610" i="1"/>
  <c r="J2610" i="1"/>
  <c r="K2610" i="1"/>
  <c r="H2611" i="1"/>
  <c r="I2611" i="1"/>
  <c r="J2611" i="1"/>
  <c r="K2611" i="1"/>
  <c r="H2612" i="1"/>
  <c r="I2612" i="1"/>
  <c r="J2612" i="1"/>
  <c r="K2612" i="1"/>
  <c r="H2613" i="1"/>
  <c r="I2613" i="1"/>
  <c r="J2613" i="1"/>
  <c r="K2613" i="1"/>
  <c r="H2614" i="1"/>
  <c r="I2614" i="1"/>
  <c r="J2614" i="1"/>
  <c r="K2614" i="1"/>
  <c r="H2615" i="1"/>
  <c r="I2615" i="1"/>
  <c r="J2615" i="1"/>
  <c r="K2615" i="1"/>
  <c r="H2616" i="1"/>
  <c r="I2616" i="1"/>
  <c r="J2616" i="1"/>
  <c r="K2616" i="1"/>
  <c r="H2617" i="1"/>
  <c r="I2617" i="1"/>
  <c r="J2617" i="1"/>
  <c r="K2617" i="1"/>
  <c r="H2618" i="1"/>
  <c r="I2618" i="1"/>
  <c r="J2618" i="1"/>
  <c r="K2618" i="1"/>
  <c r="H2619" i="1"/>
  <c r="I2619" i="1"/>
  <c r="J2619" i="1"/>
  <c r="K2619" i="1"/>
  <c r="H2620" i="1"/>
  <c r="I2620" i="1"/>
  <c r="J2620" i="1"/>
  <c r="K2620" i="1"/>
  <c r="H2621" i="1"/>
  <c r="I2621" i="1"/>
  <c r="J2621" i="1"/>
  <c r="K2621" i="1"/>
  <c r="H2622" i="1"/>
  <c r="I2622" i="1"/>
  <c r="J2622" i="1"/>
  <c r="K2622" i="1"/>
  <c r="H2623" i="1"/>
  <c r="I2623" i="1"/>
  <c r="J2623" i="1"/>
  <c r="K2623" i="1"/>
  <c r="H2624" i="1"/>
  <c r="I2624" i="1"/>
  <c r="J2624" i="1"/>
  <c r="K2624" i="1"/>
  <c r="H2625" i="1"/>
  <c r="I2625" i="1"/>
  <c r="J2625" i="1"/>
  <c r="K2625" i="1"/>
  <c r="H2626" i="1"/>
  <c r="I2626" i="1"/>
  <c r="J2626" i="1"/>
  <c r="K2626" i="1"/>
  <c r="H2627" i="1"/>
  <c r="I2627" i="1"/>
  <c r="J2627" i="1"/>
  <c r="K2627" i="1"/>
  <c r="H2628" i="1"/>
  <c r="I2628" i="1"/>
  <c r="J2628" i="1"/>
  <c r="K2628" i="1"/>
  <c r="H2629" i="1"/>
  <c r="I2629" i="1"/>
  <c r="J2629" i="1"/>
  <c r="K2629" i="1"/>
  <c r="H2630" i="1"/>
  <c r="I2630" i="1"/>
  <c r="J2630" i="1"/>
  <c r="K2630" i="1"/>
  <c r="H2631" i="1"/>
  <c r="I2631" i="1"/>
  <c r="J2631" i="1"/>
  <c r="K2631" i="1"/>
  <c r="H2632" i="1"/>
  <c r="I2632" i="1"/>
  <c r="J2632" i="1"/>
  <c r="K2632" i="1"/>
  <c r="H2633" i="1"/>
  <c r="I2633" i="1"/>
  <c r="J2633" i="1"/>
  <c r="K2633" i="1"/>
  <c r="H2634" i="1"/>
  <c r="I2634" i="1"/>
  <c r="J2634" i="1"/>
  <c r="K2634" i="1"/>
  <c r="H2635" i="1"/>
  <c r="I2635" i="1"/>
  <c r="J2635" i="1"/>
  <c r="K2635" i="1"/>
  <c r="H2636" i="1"/>
  <c r="I2636" i="1"/>
  <c r="J2636" i="1"/>
  <c r="K2636" i="1"/>
  <c r="H2637" i="1"/>
  <c r="I2637" i="1"/>
  <c r="J2637" i="1"/>
  <c r="K2637" i="1"/>
  <c r="H2638" i="1"/>
  <c r="I2638" i="1"/>
  <c r="J2638" i="1"/>
  <c r="K2638" i="1"/>
  <c r="H2639" i="1"/>
  <c r="I2639" i="1"/>
  <c r="J2639" i="1"/>
  <c r="K2639" i="1"/>
  <c r="H2640" i="1"/>
  <c r="I2640" i="1"/>
  <c r="J2640" i="1"/>
  <c r="K2640" i="1"/>
  <c r="H2641" i="1"/>
  <c r="I2641" i="1"/>
  <c r="J2641" i="1"/>
  <c r="K2641" i="1"/>
  <c r="H2642" i="1"/>
  <c r="I2642" i="1"/>
  <c r="J2642" i="1"/>
  <c r="K2642" i="1"/>
  <c r="H2643" i="1"/>
  <c r="I2643" i="1"/>
  <c r="J2643" i="1"/>
  <c r="K2643" i="1"/>
  <c r="H2644" i="1"/>
  <c r="I2644" i="1"/>
  <c r="J2644" i="1"/>
  <c r="K2644" i="1"/>
  <c r="H2645" i="1"/>
  <c r="I2645" i="1"/>
  <c r="J2645" i="1"/>
  <c r="K2645" i="1"/>
  <c r="H2646" i="1"/>
  <c r="I2646" i="1"/>
  <c r="J2646" i="1"/>
  <c r="K2646" i="1"/>
  <c r="H2647" i="1"/>
  <c r="I2647" i="1"/>
  <c r="J2647" i="1"/>
  <c r="K2647" i="1"/>
  <c r="H2648" i="1"/>
  <c r="I2648" i="1"/>
  <c r="J2648" i="1"/>
  <c r="K2648" i="1"/>
  <c r="H2649" i="1"/>
  <c r="I2649" i="1"/>
  <c r="J2649" i="1"/>
  <c r="K2649" i="1"/>
  <c r="H2650" i="1"/>
  <c r="I2650" i="1"/>
  <c r="J2650" i="1"/>
  <c r="K2650" i="1"/>
  <c r="H2651" i="1"/>
  <c r="I2651" i="1"/>
  <c r="J2651" i="1"/>
  <c r="K2651" i="1"/>
  <c r="H2652" i="1"/>
  <c r="I2652" i="1"/>
  <c r="J2652" i="1"/>
  <c r="K2652" i="1"/>
  <c r="H2653" i="1"/>
  <c r="I2653" i="1"/>
  <c r="J2653" i="1"/>
  <c r="K2653" i="1"/>
  <c r="H2654" i="1"/>
  <c r="I2654" i="1"/>
  <c r="J2654" i="1"/>
  <c r="K2654" i="1"/>
  <c r="H2655" i="1"/>
  <c r="I2655" i="1"/>
  <c r="J2655" i="1"/>
  <c r="K2655" i="1"/>
  <c r="H2656" i="1"/>
  <c r="I2656" i="1"/>
  <c r="J2656" i="1"/>
  <c r="K2656" i="1"/>
  <c r="H2657" i="1"/>
  <c r="I2657" i="1"/>
  <c r="J2657" i="1"/>
  <c r="K2657" i="1"/>
  <c r="H2658" i="1"/>
  <c r="I2658" i="1"/>
  <c r="J2658" i="1"/>
  <c r="K2658" i="1"/>
  <c r="H2659" i="1"/>
  <c r="I2659" i="1"/>
  <c r="J2659" i="1"/>
  <c r="K2659" i="1"/>
  <c r="H2660" i="1"/>
  <c r="I2660" i="1"/>
  <c r="J2660" i="1"/>
  <c r="K2660" i="1"/>
  <c r="H2661" i="1"/>
  <c r="I2661" i="1"/>
  <c r="J2661" i="1"/>
  <c r="K2661" i="1"/>
  <c r="H2662" i="1"/>
  <c r="I2662" i="1"/>
  <c r="J2662" i="1"/>
  <c r="K2662" i="1"/>
  <c r="H2663" i="1"/>
  <c r="I2663" i="1"/>
  <c r="J2663" i="1"/>
  <c r="K2663" i="1"/>
  <c r="H2664" i="1"/>
  <c r="I2664" i="1"/>
  <c r="J2664" i="1"/>
  <c r="K2664" i="1"/>
  <c r="H2665" i="1"/>
  <c r="I2665" i="1"/>
  <c r="J2665" i="1"/>
  <c r="K2665" i="1"/>
  <c r="H2666" i="1"/>
  <c r="I2666" i="1"/>
  <c r="J2666" i="1"/>
  <c r="K2666" i="1"/>
  <c r="H2667" i="1"/>
  <c r="I2667" i="1"/>
  <c r="J2667" i="1"/>
  <c r="K2667" i="1"/>
  <c r="H2668" i="1"/>
  <c r="I2668" i="1"/>
  <c r="J2668" i="1"/>
  <c r="K2668" i="1"/>
  <c r="H2669" i="1"/>
  <c r="I2669" i="1"/>
  <c r="J2669" i="1"/>
  <c r="K2669" i="1"/>
  <c r="H2670" i="1"/>
  <c r="I2670" i="1"/>
  <c r="J2670" i="1"/>
  <c r="K2670" i="1"/>
  <c r="H2671" i="1"/>
  <c r="I2671" i="1"/>
  <c r="J2671" i="1"/>
  <c r="K2671" i="1"/>
  <c r="H2672" i="1"/>
  <c r="I2672" i="1"/>
  <c r="J2672" i="1"/>
  <c r="K2672" i="1"/>
  <c r="H2673" i="1"/>
  <c r="I2673" i="1"/>
  <c r="J2673" i="1"/>
  <c r="K2673" i="1"/>
  <c r="H2674" i="1"/>
  <c r="I2674" i="1"/>
  <c r="J2674" i="1"/>
  <c r="K2674" i="1"/>
  <c r="H2675" i="1"/>
  <c r="I2675" i="1"/>
  <c r="J2675" i="1"/>
  <c r="K2675" i="1"/>
  <c r="H2676" i="1"/>
  <c r="I2676" i="1"/>
  <c r="J2676" i="1"/>
  <c r="K2676" i="1"/>
  <c r="H2677" i="1"/>
  <c r="I2677" i="1"/>
  <c r="J2677" i="1"/>
  <c r="K2677" i="1"/>
  <c r="H2678" i="1"/>
  <c r="I2678" i="1"/>
  <c r="J2678" i="1"/>
  <c r="K2678" i="1"/>
  <c r="H2679" i="1"/>
  <c r="I2679" i="1"/>
  <c r="J2679" i="1"/>
  <c r="K2679" i="1"/>
  <c r="H2680" i="1"/>
  <c r="I2680" i="1"/>
  <c r="J2680" i="1"/>
  <c r="K2680" i="1"/>
  <c r="H2681" i="1"/>
  <c r="I2681" i="1"/>
  <c r="J2681" i="1"/>
  <c r="K2681" i="1"/>
  <c r="H2682" i="1"/>
  <c r="I2682" i="1"/>
  <c r="J2682" i="1"/>
  <c r="K2682" i="1"/>
  <c r="H2683" i="1"/>
  <c r="I2683" i="1"/>
  <c r="J2683" i="1"/>
  <c r="K2683" i="1"/>
  <c r="H2684" i="1"/>
  <c r="I2684" i="1"/>
  <c r="J2684" i="1"/>
  <c r="K2684" i="1"/>
  <c r="H2685" i="1"/>
  <c r="I2685" i="1"/>
  <c r="J2685" i="1"/>
  <c r="K2685" i="1"/>
  <c r="H2686" i="1"/>
  <c r="I2686" i="1"/>
  <c r="J2686" i="1"/>
  <c r="K2686" i="1"/>
  <c r="H2687" i="1"/>
  <c r="I2687" i="1"/>
  <c r="J2687" i="1"/>
  <c r="K2687" i="1"/>
  <c r="H2688" i="1"/>
  <c r="I2688" i="1"/>
  <c r="J2688" i="1"/>
  <c r="K2688" i="1"/>
  <c r="H2689" i="1"/>
  <c r="I2689" i="1"/>
  <c r="J2689" i="1"/>
  <c r="K2689" i="1"/>
  <c r="H2690" i="1"/>
  <c r="I2690" i="1"/>
  <c r="J2690" i="1"/>
  <c r="K2690" i="1"/>
  <c r="H2691" i="1"/>
  <c r="I2691" i="1"/>
  <c r="J2691" i="1"/>
  <c r="K2691" i="1"/>
  <c r="H2692" i="1"/>
  <c r="I2692" i="1"/>
  <c r="J2692" i="1"/>
  <c r="K2692" i="1"/>
  <c r="H2693" i="1"/>
  <c r="I2693" i="1"/>
  <c r="J2693" i="1"/>
  <c r="K2693" i="1"/>
  <c r="H2694" i="1"/>
  <c r="I2694" i="1"/>
  <c r="J2694" i="1"/>
  <c r="K2694" i="1"/>
  <c r="H2695" i="1"/>
  <c r="I2695" i="1"/>
  <c r="J2695" i="1"/>
  <c r="K2695" i="1"/>
  <c r="H2696" i="1"/>
  <c r="I2696" i="1"/>
  <c r="J2696" i="1"/>
  <c r="K2696" i="1"/>
  <c r="H2697" i="1"/>
  <c r="I2697" i="1"/>
  <c r="J2697" i="1"/>
  <c r="K2697" i="1"/>
  <c r="H2698" i="1"/>
  <c r="I2698" i="1"/>
  <c r="J2698" i="1"/>
  <c r="K2698" i="1"/>
  <c r="H2699" i="1"/>
  <c r="I2699" i="1"/>
  <c r="J2699" i="1"/>
  <c r="K2699" i="1"/>
  <c r="H2700" i="1"/>
  <c r="I2700" i="1"/>
  <c r="J2700" i="1"/>
  <c r="K2700" i="1"/>
  <c r="H2701" i="1"/>
  <c r="I2701" i="1"/>
  <c r="J2701" i="1"/>
  <c r="K2701" i="1"/>
  <c r="H2702" i="1"/>
  <c r="I2702" i="1"/>
  <c r="J2702" i="1"/>
  <c r="K2702" i="1"/>
  <c r="H2703" i="1"/>
  <c r="I2703" i="1"/>
  <c r="J2703" i="1"/>
  <c r="K2703" i="1"/>
  <c r="H2704" i="1"/>
  <c r="I2704" i="1"/>
  <c r="J2704" i="1"/>
  <c r="K2704" i="1"/>
  <c r="H2705" i="1"/>
  <c r="I2705" i="1"/>
  <c r="J2705" i="1"/>
  <c r="K2705" i="1"/>
  <c r="H2706" i="1"/>
  <c r="I2706" i="1"/>
  <c r="J2706" i="1"/>
  <c r="K2706" i="1"/>
  <c r="H2707" i="1"/>
  <c r="I2707" i="1"/>
  <c r="J2707" i="1"/>
  <c r="K2707" i="1"/>
  <c r="H2708" i="1"/>
  <c r="I2708" i="1"/>
  <c r="J2708" i="1"/>
  <c r="K2708" i="1"/>
  <c r="H2709" i="1"/>
  <c r="I2709" i="1"/>
  <c r="J2709" i="1"/>
  <c r="K2709" i="1"/>
  <c r="H2710" i="1"/>
  <c r="I2710" i="1"/>
  <c r="J2710" i="1"/>
  <c r="K2710" i="1"/>
  <c r="H2711" i="1"/>
  <c r="I2711" i="1"/>
  <c r="J2711" i="1"/>
  <c r="K2711" i="1"/>
  <c r="H2712" i="1"/>
  <c r="I2712" i="1"/>
  <c r="J2712" i="1"/>
  <c r="K2712" i="1"/>
  <c r="H2713" i="1"/>
  <c r="I2713" i="1"/>
  <c r="J2713" i="1"/>
  <c r="K2713" i="1"/>
  <c r="H2714" i="1"/>
  <c r="I2714" i="1"/>
  <c r="J2714" i="1"/>
  <c r="K2714" i="1"/>
  <c r="H2715" i="1"/>
  <c r="I2715" i="1"/>
  <c r="J2715" i="1"/>
  <c r="K2715" i="1"/>
  <c r="H2716" i="1"/>
  <c r="I2716" i="1"/>
  <c r="J2716" i="1"/>
  <c r="K2716" i="1"/>
  <c r="H2717" i="1"/>
  <c r="I2717" i="1"/>
  <c r="J2717" i="1"/>
  <c r="K2717" i="1"/>
  <c r="H2718" i="1"/>
  <c r="I2718" i="1"/>
  <c r="J2718" i="1"/>
  <c r="K2718" i="1"/>
  <c r="H2719" i="1"/>
  <c r="I2719" i="1"/>
  <c r="J2719" i="1"/>
  <c r="K2719" i="1"/>
  <c r="H2720" i="1"/>
  <c r="I2720" i="1"/>
  <c r="J2720" i="1"/>
  <c r="K2720" i="1"/>
  <c r="H2721" i="1"/>
  <c r="I2721" i="1"/>
  <c r="J2721" i="1"/>
  <c r="K2721" i="1"/>
  <c r="H2722" i="1"/>
  <c r="I2722" i="1"/>
  <c r="J2722" i="1"/>
  <c r="K2722" i="1"/>
  <c r="H2723" i="1"/>
  <c r="I2723" i="1"/>
  <c r="J2723" i="1"/>
  <c r="K2723" i="1"/>
  <c r="H2724" i="1"/>
  <c r="I2724" i="1"/>
  <c r="J2724" i="1"/>
  <c r="K2724" i="1"/>
  <c r="H2725" i="1"/>
  <c r="I2725" i="1"/>
  <c r="J2725" i="1"/>
  <c r="K2725" i="1"/>
  <c r="H2726" i="1"/>
  <c r="I2726" i="1"/>
  <c r="J2726" i="1"/>
  <c r="K2726" i="1"/>
  <c r="H2727" i="1"/>
  <c r="I2727" i="1"/>
  <c r="J2727" i="1"/>
  <c r="K2727" i="1"/>
  <c r="H2728" i="1"/>
  <c r="I2728" i="1"/>
  <c r="J2728" i="1"/>
  <c r="K2728" i="1"/>
  <c r="H2729" i="1"/>
  <c r="I2729" i="1"/>
  <c r="J2729" i="1"/>
  <c r="K2729" i="1"/>
  <c r="H2730" i="1"/>
  <c r="I2730" i="1"/>
  <c r="J2730" i="1"/>
  <c r="K2730" i="1"/>
  <c r="H2731" i="1"/>
  <c r="I2731" i="1"/>
  <c r="J2731" i="1"/>
  <c r="K2731" i="1"/>
  <c r="H2732" i="1"/>
  <c r="I2732" i="1"/>
  <c r="J2732" i="1"/>
  <c r="K2732" i="1"/>
  <c r="H2733" i="1"/>
  <c r="I2733" i="1"/>
  <c r="J2733" i="1"/>
  <c r="K2733" i="1"/>
  <c r="H2734" i="1"/>
  <c r="I2734" i="1"/>
  <c r="J2734" i="1"/>
  <c r="K2734" i="1"/>
  <c r="H2735" i="1"/>
  <c r="I2735" i="1"/>
  <c r="J2735" i="1"/>
  <c r="K2735" i="1"/>
  <c r="H2736" i="1"/>
  <c r="I2736" i="1"/>
  <c r="J2736" i="1"/>
  <c r="K2736" i="1"/>
  <c r="H2737" i="1"/>
  <c r="I2737" i="1"/>
  <c r="J2737" i="1"/>
  <c r="K2737" i="1"/>
  <c r="H2738" i="1"/>
  <c r="I2738" i="1"/>
  <c r="J2738" i="1"/>
  <c r="K2738" i="1"/>
  <c r="H2739" i="1"/>
  <c r="I2739" i="1"/>
  <c r="J2739" i="1"/>
  <c r="K2739" i="1"/>
  <c r="H2740" i="1"/>
  <c r="I2740" i="1"/>
  <c r="J2740" i="1"/>
  <c r="K2740" i="1"/>
  <c r="H2741" i="1"/>
  <c r="I2741" i="1"/>
  <c r="J2741" i="1"/>
  <c r="K2741" i="1"/>
  <c r="H2742" i="1"/>
  <c r="I2742" i="1"/>
  <c r="J2742" i="1"/>
  <c r="K2742" i="1"/>
  <c r="H2743" i="1"/>
  <c r="I2743" i="1"/>
  <c r="J2743" i="1"/>
  <c r="K2743" i="1"/>
  <c r="H2744" i="1"/>
  <c r="I2744" i="1"/>
  <c r="J2744" i="1"/>
  <c r="K2744" i="1"/>
  <c r="H2745" i="1"/>
  <c r="I2745" i="1"/>
  <c r="J2745" i="1"/>
  <c r="K2745" i="1"/>
  <c r="H2746" i="1"/>
  <c r="I2746" i="1"/>
  <c r="J2746" i="1"/>
  <c r="K2746" i="1"/>
  <c r="H2747" i="1"/>
  <c r="I2747" i="1"/>
  <c r="J2747" i="1"/>
  <c r="K2747" i="1"/>
  <c r="H2748" i="1"/>
  <c r="I2748" i="1"/>
  <c r="J2748" i="1"/>
  <c r="K2748" i="1"/>
  <c r="H2749" i="1"/>
  <c r="I2749" i="1"/>
  <c r="J2749" i="1"/>
  <c r="K2749" i="1"/>
  <c r="H2750" i="1"/>
  <c r="I2750" i="1"/>
  <c r="J2750" i="1"/>
  <c r="K2750" i="1"/>
  <c r="H2751" i="1"/>
  <c r="I2751" i="1"/>
  <c r="J2751" i="1"/>
  <c r="K2751" i="1"/>
  <c r="H2752" i="1"/>
  <c r="I2752" i="1"/>
  <c r="J2752" i="1"/>
  <c r="K2752" i="1"/>
  <c r="H2753" i="1"/>
  <c r="I2753" i="1"/>
  <c r="J2753" i="1"/>
  <c r="K2753" i="1"/>
  <c r="H2754" i="1"/>
  <c r="I2754" i="1"/>
  <c r="J2754" i="1"/>
  <c r="K2754" i="1"/>
  <c r="H2755" i="1"/>
  <c r="I2755" i="1"/>
  <c r="J2755" i="1"/>
  <c r="K2755" i="1"/>
  <c r="H2756" i="1"/>
  <c r="I2756" i="1"/>
  <c r="J2756" i="1"/>
  <c r="K2756" i="1"/>
  <c r="H2757" i="1"/>
  <c r="I2757" i="1"/>
  <c r="J2757" i="1"/>
  <c r="K2757" i="1"/>
  <c r="H2758" i="1"/>
  <c r="I2758" i="1"/>
  <c r="J2758" i="1"/>
  <c r="K2758" i="1"/>
  <c r="H2759" i="1"/>
  <c r="I2759" i="1"/>
  <c r="J2759" i="1"/>
  <c r="K2759" i="1"/>
  <c r="H2760" i="1"/>
  <c r="I2760" i="1"/>
  <c r="J2760" i="1"/>
  <c r="K2760" i="1"/>
  <c r="H2761" i="1"/>
  <c r="I2761" i="1"/>
  <c r="J2761" i="1"/>
  <c r="K2761" i="1"/>
  <c r="H2762" i="1"/>
  <c r="I2762" i="1"/>
  <c r="J2762" i="1"/>
  <c r="K2762" i="1"/>
  <c r="H2763" i="1"/>
  <c r="I2763" i="1"/>
  <c r="J2763" i="1"/>
  <c r="K2763" i="1"/>
  <c r="H2764" i="1"/>
  <c r="I2764" i="1"/>
  <c r="J2764" i="1"/>
  <c r="K2764" i="1"/>
  <c r="H2765" i="1"/>
  <c r="I2765" i="1"/>
  <c r="J2765" i="1"/>
  <c r="K2765" i="1"/>
  <c r="H2766" i="1"/>
  <c r="I2766" i="1"/>
  <c r="J2766" i="1"/>
  <c r="K2766" i="1"/>
  <c r="H2767" i="1"/>
  <c r="I2767" i="1"/>
  <c r="J2767" i="1"/>
  <c r="K2767" i="1"/>
  <c r="H2768" i="1"/>
  <c r="I2768" i="1"/>
  <c r="J2768" i="1"/>
  <c r="K2768" i="1"/>
  <c r="H2769" i="1"/>
  <c r="I2769" i="1"/>
  <c r="J2769" i="1"/>
  <c r="K2769" i="1"/>
  <c r="H2770" i="1"/>
  <c r="I2770" i="1"/>
  <c r="J2770" i="1"/>
  <c r="K2770" i="1"/>
  <c r="H2771" i="1"/>
  <c r="I2771" i="1"/>
  <c r="J2771" i="1"/>
  <c r="K2771" i="1"/>
  <c r="H2772" i="1"/>
  <c r="I2772" i="1"/>
  <c r="J2772" i="1"/>
  <c r="K2772" i="1"/>
  <c r="H2773" i="1"/>
  <c r="I2773" i="1"/>
  <c r="J2773" i="1"/>
  <c r="K2773" i="1"/>
  <c r="H2774" i="1"/>
  <c r="I2774" i="1"/>
  <c r="J2774" i="1"/>
  <c r="K2774" i="1"/>
  <c r="H2775" i="1"/>
  <c r="I2775" i="1"/>
  <c r="J2775" i="1"/>
  <c r="K2775" i="1"/>
  <c r="H2776" i="1"/>
  <c r="I2776" i="1"/>
  <c r="J2776" i="1"/>
  <c r="K2776" i="1"/>
  <c r="H2777" i="1"/>
  <c r="I2777" i="1"/>
  <c r="J2777" i="1"/>
  <c r="K2777" i="1"/>
  <c r="H2778" i="1"/>
  <c r="I2778" i="1"/>
  <c r="J2778" i="1"/>
  <c r="K2778" i="1"/>
  <c r="H2779" i="1"/>
  <c r="I2779" i="1"/>
  <c r="J2779" i="1"/>
  <c r="K2779" i="1"/>
  <c r="H2780" i="1"/>
  <c r="I2780" i="1"/>
  <c r="J2780" i="1"/>
  <c r="K2780" i="1"/>
  <c r="H2781" i="1"/>
  <c r="I2781" i="1"/>
  <c r="J2781" i="1"/>
  <c r="K2781" i="1"/>
  <c r="H2782" i="1"/>
  <c r="I2782" i="1"/>
  <c r="J2782" i="1"/>
  <c r="K2782" i="1"/>
  <c r="H2783" i="1"/>
  <c r="I2783" i="1"/>
  <c r="J2783" i="1"/>
  <c r="K2783" i="1"/>
  <c r="H2784" i="1"/>
  <c r="I2784" i="1"/>
  <c r="J2784" i="1"/>
  <c r="K2784" i="1"/>
  <c r="H2785" i="1"/>
  <c r="I2785" i="1"/>
  <c r="J2785" i="1"/>
  <c r="K2785" i="1"/>
  <c r="H2786" i="1"/>
  <c r="I2786" i="1"/>
  <c r="J2786" i="1"/>
  <c r="K2786" i="1"/>
  <c r="H2787" i="1"/>
  <c r="I2787" i="1"/>
  <c r="J2787" i="1"/>
  <c r="K2787" i="1"/>
  <c r="H2788" i="1"/>
  <c r="I2788" i="1"/>
  <c r="J2788" i="1"/>
  <c r="K2788" i="1"/>
  <c r="H2789" i="1"/>
  <c r="I2789" i="1"/>
  <c r="J2789" i="1"/>
  <c r="K2789" i="1"/>
  <c r="H2790" i="1"/>
  <c r="I2790" i="1"/>
  <c r="J2790" i="1"/>
  <c r="K2790" i="1"/>
  <c r="H2791" i="1"/>
  <c r="I2791" i="1"/>
  <c r="J2791" i="1"/>
  <c r="K2791" i="1"/>
  <c r="H2792" i="1"/>
  <c r="I2792" i="1"/>
  <c r="J2792" i="1"/>
  <c r="K2792" i="1"/>
  <c r="H2793" i="1"/>
  <c r="I2793" i="1"/>
  <c r="J2793" i="1"/>
  <c r="K2793" i="1"/>
  <c r="H2794" i="1"/>
  <c r="I2794" i="1"/>
  <c r="J2794" i="1"/>
  <c r="K2794" i="1"/>
  <c r="H2795" i="1"/>
  <c r="I2795" i="1"/>
  <c r="J2795" i="1"/>
  <c r="K2795" i="1"/>
  <c r="H2796" i="1"/>
  <c r="I2796" i="1"/>
  <c r="J2796" i="1"/>
  <c r="K2796" i="1"/>
  <c r="H2797" i="1"/>
  <c r="I2797" i="1"/>
  <c r="J2797" i="1"/>
  <c r="K2797" i="1"/>
  <c r="H2798" i="1"/>
  <c r="I2798" i="1"/>
  <c r="J2798" i="1"/>
  <c r="K2798" i="1"/>
  <c r="H2799" i="1"/>
  <c r="I2799" i="1"/>
  <c r="J2799" i="1"/>
  <c r="K2799" i="1"/>
  <c r="H2800" i="1"/>
  <c r="I2800" i="1"/>
  <c r="J2800" i="1"/>
  <c r="K2800" i="1"/>
  <c r="H2801" i="1"/>
  <c r="I2801" i="1"/>
  <c r="J2801" i="1"/>
  <c r="K2801" i="1"/>
  <c r="H2802" i="1"/>
  <c r="I2802" i="1"/>
  <c r="J2802" i="1"/>
  <c r="K2802" i="1"/>
  <c r="H2803" i="1"/>
  <c r="I2803" i="1"/>
  <c r="J2803" i="1"/>
  <c r="K2803" i="1"/>
  <c r="H2804" i="1"/>
  <c r="I2804" i="1"/>
  <c r="J2804" i="1"/>
  <c r="K2804" i="1"/>
  <c r="H2805" i="1"/>
  <c r="I2805" i="1"/>
  <c r="J2805" i="1"/>
  <c r="K2805" i="1"/>
  <c r="H2806" i="1"/>
  <c r="I2806" i="1"/>
  <c r="J2806" i="1"/>
  <c r="K2806" i="1"/>
  <c r="H2807" i="1"/>
  <c r="I2807" i="1"/>
  <c r="J2807" i="1"/>
  <c r="K2807" i="1"/>
  <c r="H2808" i="1"/>
  <c r="I2808" i="1"/>
  <c r="J2808" i="1"/>
  <c r="K2808" i="1"/>
  <c r="H2809" i="1"/>
  <c r="I2809" i="1"/>
  <c r="J2809" i="1"/>
  <c r="K2809" i="1"/>
  <c r="H2810" i="1"/>
  <c r="I2810" i="1"/>
  <c r="J2810" i="1"/>
  <c r="K2810" i="1"/>
  <c r="H2811" i="1"/>
  <c r="I2811" i="1"/>
  <c r="J2811" i="1"/>
  <c r="K2811" i="1"/>
  <c r="H2812" i="1"/>
  <c r="I2812" i="1"/>
  <c r="J2812" i="1"/>
  <c r="K2812" i="1"/>
  <c r="H2813" i="1"/>
  <c r="I2813" i="1"/>
  <c r="J2813" i="1"/>
  <c r="K2813" i="1"/>
  <c r="H2814" i="1"/>
  <c r="I2814" i="1"/>
  <c r="J2814" i="1"/>
  <c r="K2814" i="1"/>
  <c r="H2815" i="1"/>
  <c r="I2815" i="1"/>
  <c r="J2815" i="1"/>
  <c r="K2815" i="1"/>
  <c r="H2816" i="1"/>
  <c r="I2816" i="1"/>
  <c r="J2816" i="1"/>
  <c r="K2816" i="1"/>
  <c r="H2817" i="1"/>
  <c r="I2817" i="1"/>
  <c r="J2817" i="1"/>
  <c r="K2817" i="1"/>
  <c r="H2818" i="1"/>
  <c r="I2818" i="1"/>
  <c r="J2818" i="1"/>
  <c r="K2818" i="1"/>
  <c r="H2819" i="1"/>
  <c r="I2819" i="1"/>
  <c r="J2819" i="1"/>
  <c r="K2819" i="1"/>
  <c r="H2820" i="1"/>
  <c r="I2820" i="1"/>
  <c r="J2820" i="1"/>
  <c r="K2820" i="1"/>
  <c r="H2821" i="1"/>
  <c r="I2821" i="1"/>
  <c r="J2821" i="1"/>
  <c r="K2821" i="1"/>
  <c r="H2822" i="1"/>
  <c r="I2822" i="1"/>
  <c r="J2822" i="1"/>
  <c r="K2822" i="1"/>
  <c r="H2823" i="1"/>
  <c r="I2823" i="1"/>
  <c r="J2823" i="1"/>
  <c r="K2823" i="1"/>
  <c r="H2824" i="1"/>
  <c r="I2824" i="1"/>
  <c r="J2824" i="1"/>
  <c r="K2824" i="1"/>
  <c r="H2825" i="1"/>
  <c r="I2825" i="1"/>
  <c r="J2825" i="1"/>
  <c r="K2825" i="1"/>
  <c r="H2826" i="1"/>
  <c r="I2826" i="1"/>
  <c r="J2826" i="1"/>
  <c r="K2826" i="1"/>
  <c r="H2827" i="1"/>
  <c r="I2827" i="1"/>
  <c r="J2827" i="1"/>
  <c r="K2827" i="1"/>
  <c r="H2828" i="1"/>
  <c r="I2828" i="1"/>
  <c r="J2828" i="1"/>
  <c r="K2828" i="1"/>
  <c r="H2829" i="1"/>
  <c r="I2829" i="1"/>
  <c r="J2829" i="1"/>
  <c r="K2829" i="1"/>
  <c r="H2830" i="1"/>
  <c r="I2830" i="1"/>
  <c r="J2830" i="1"/>
  <c r="K2830" i="1"/>
  <c r="H2831" i="1"/>
  <c r="I2831" i="1"/>
  <c r="J2831" i="1"/>
  <c r="K2831" i="1"/>
  <c r="H2832" i="1"/>
  <c r="I2832" i="1"/>
  <c r="J2832" i="1"/>
  <c r="K2832" i="1"/>
  <c r="H2833" i="1"/>
  <c r="I2833" i="1"/>
  <c r="J2833" i="1"/>
  <c r="K2833" i="1"/>
  <c r="H2834" i="1"/>
  <c r="I2834" i="1"/>
  <c r="J2834" i="1"/>
  <c r="K2834" i="1"/>
  <c r="H2835" i="1"/>
  <c r="I2835" i="1"/>
  <c r="J2835" i="1"/>
  <c r="K2835" i="1"/>
  <c r="H2836" i="1"/>
  <c r="I2836" i="1"/>
  <c r="J2836" i="1"/>
  <c r="K2836" i="1"/>
  <c r="H2837" i="1"/>
  <c r="I2837" i="1"/>
  <c r="J2837" i="1"/>
  <c r="K2837" i="1"/>
  <c r="H2838" i="1"/>
  <c r="I2838" i="1"/>
  <c r="J2838" i="1"/>
  <c r="K2838" i="1"/>
  <c r="H2839" i="1"/>
  <c r="I2839" i="1"/>
  <c r="J2839" i="1"/>
  <c r="K2839" i="1"/>
  <c r="H2840" i="1"/>
  <c r="I2840" i="1"/>
  <c r="J2840" i="1"/>
  <c r="K2840" i="1"/>
  <c r="H2841" i="1"/>
  <c r="I2841" i="1"/>
  <c r="J2841" i="1"/>
  <c r="K2841" i="1"/>
  <c r="H2842" i="1"/>
  <c r="I2842" i="1"/>
  <c r="J2842" i="1"/>
  <c r="K2842" i="1"/>
  <c r="H2843" i="1"/>
  <c r="I2843" i="1"/>
  <c r="J2843" i="1"/>
  <c r="K2843" i="1"/>
  <c r="H2844" i="1"/>
  <c r="I2844" i="1"/>
  <c r="J2844" i="1"/>
  <c r="K2844" i="1"/>
  <c r="H2845" i="1"/>
  <c r="I2845" i="1"/>
  <c r="J2845" i="1"/>
  <c r="K2845" i="1"/>
  <c r="H2846" i="1"/>
  <c r="I2846" i="1"/>
  <c r="J2846" i="1"/>
  <c r="K2846" i="1"/>
  <c r="H2847" i="1"/>
  <c r="I2847" i="1"/>
  <c r="J2847" i="1"/>
  <c r="K2847" i="1"/>
  <c r="H2848" i="1"/>
  <c r="I2848" i="1"/>
  <c r="J2848" i="1"/>
  <c r="K2848" i="1"/>
  <c r="H2849" i="1"/>
  <c r="I2849" i="1"/>
  <c r="J2849" i="1"/>
  <c r="K2849" i="1"/>
  <c r="H2850" i="1"/>
  <c r="I2850" i="1"/>
  <c r="J2850" i="1"/>
  <c r="K2850" i="1"/>
  <c r="H2851" i="1"/>
  <c r="I2851" i="1"/>
  <c r="J2851" i="1"/>
  <c r="K2851" i="1"/>
  <c r="H2852" i="1"/>
  <c r="I2852" i="1"/>
  <c r="J2852" i="1"/>
  <c r="K2852" i="1"/>
  <c r="H2853" i="1"/>
  <c r="I2853" i="1"/>
  <c r="J2853" i="1"/>
  <c r="K2853" i="1"/>
  <c r="H2854" i="1"/>
  <c r="I2854" i="1"/>
  <c r="J2854" i="1"/>
  <c r="K2854" i="1"/>
  <c r="H2855" i="1"/>
  <c r="I2855" i="1"/>
  <c r="J2855" i="1"/>
  <c r="K2855" i="1"/>
  <c r="H2856" i="1"/>
  <c r="I2856" i="1"/>
  <c r="J2856" i="1"/>
  <c r="K2856" i="1"/>
  <c r="H2857" i="1"/>
  <c r="I2857" i="1"/>
  <c r="J2857" i="1"/>
  <c r="K2857" i="1"/>
  <c r="H2858" i="1"/>
  <c r="I2858" i="1"/>
  <c r="J2858" i="1"/>
  <c r="K2858" i="1"/>
  <c r="H2859" i="1"/>
  <c r="I2859" i="1"/>
  <c r="J2859" i="1"/>
  <c r="K2859" i="1"/>
  <c r="H2860" i="1"/>
  <c r="I2860" i="1"/>
  <c r="J2860" i="1"/>
  <c r="K2860" i="1"/>
  <c r="H2861" i="1"/>
  <c r="I2861" i="1"/>
  <c r="J2861" i="1"/>
  <c r="K2861" i="1"/>
  <c r="H2862" i="1"/>
  <c r="I2862" i="1"/>
  <c r="J2862" i="1"/>
  <c r="K2862" i="1"/>
  <c r="H2863" i="1"/>
  <c r="I2863" i="1"/>
  <c r="J2863" i="1"/>
  <c r="K2863" i="1"/>
  <c r="H2864" i="1"/>
  <c r="I2864" i="1"/>
  <c r="J2864" i="1"/>
  <c r="K2864" i="1"/>
  <c r="H2865" i="1"/>
  <c r="I2865" i="1"/>
  <c r="J2865" i="1"/>
  <c r="K2865" i="1"/>
  <c r="H2866" i="1"/>
  <c r="I2866" i="1"/>
  <c r="J2866" i="1"/>
  <c r="K2866" i="1"/>
  <c r="H2867" i="1"/>
  <c r="I2867" i="1"/>
  <c r="J2867" i="1"/>
  <c r="K2867" i="1"/>
  <c r="H2868" i="1"/>
  <c r="I2868" i="1"/>
  <c r="J2868" i="1"/>
  <c r="K2868" i="1"/>
  <c r="H2869" i="1"/>
  <c r="I2869" i="1"/>
  <c r="J2869" i="1"/>
  <c r="K2869" i="1"/>
  <c r="H2870" i="1"/>
  <c r="I2870" i="1"/>
  <c r="J2870" i="1"/>
  <c r="K2870" i="1"/>
  <c r="H2871" i="1"/>
  <c r="I2871" i="1"/>
  <c r="J2871" i="1"/>
  <c r="K2871" i="1"/>
  <c r="H2872" i="1"/>
  <c r="I2872" i="1"/>
  <c r="J2872" i="1"/>
  <c r="K2872" i="1"/>
  <c r="H2873" i="1"/>
  <c r="I2873" i="1"/>
  <c r="J2873" i="1"/>
  <c r="K2873" i="1"/>
  <c r="H2874" i="1"/>
  <c r="I2874" i="1"/>
  <c r="J2874" i="1"/>
  <c r="K2874" i="1"/>
  <c r="H2875" i="1"/>
  <c r="I2875" i="1"/>
  <c r="J2875" i="1"/>
  <c r="K2875" i="1"/>
  <c r="H2876" i="1"/>
  <c r="I2876" i="1"/>
  <c r="J2876" i="1"/>
  <c r="K2876" i="1"/>
  <c r="H2877" i="1"/>
  <c r="I2877" i="1"/>
  <c r="J2877" i="1"/>
  <c r="K2877" i="1"/>
  <c r="H2878" i="1"/>
  <c r="I2878" i="1"/>
  <c r="J2878" i="1"/>
  <c r="K2878" i="1"/>
  <c r="H2879" i="1"/>
  <c r="I2879" i="1"/>
  <c r="J2879" i="1"/>
  <c r="K2879" i="1"/>
  <c r="H2880" i="1"/>
  <c r="I2880" i="1"/>
  <c r="J2880" i="1"/>
  <c r="K2880" i="1"/>
  <c r="H2881" i="1"/>
  <c r="I2881" i="1"/>
  <c r="J2881" i="1"/>
  <c r="K2881" i="1"/>
  <c r="H2882" i="1"/>
  <c r="I2882" i="1"/>
  <c r="J2882" i="1"/>
  <c r="K2882" i="1"/>
  <c r="H2883" i="1"/>
  <c r="I2883" i="1"/>
  <c r="J2883" i="1"/>
  <c r="K2883" i="1"/>
  <c r="H2884" i="1"/>
  <c r="I2884" i="1"/>
  <c r="J2884" i="1"/>
  <c r="K2884" i="1"/>
  <c r="H2885" i="1"/>
  <c r="I2885" i="1"/>
  <c r="J2885" i="1"/>
  <c r="K2885" i="1"/>
  <c r="H2886" i="1"/>
  <c r="I2886" i="1"/>
  <c r="J2886" i="1"/>
  <c r="K2886" i="1"/>
  <c r="H2887" i="1"/>
  <c r="I2887" i="1"/>
  <c r="J2887" i="1"/>
  <c r="K2887" i="1"/>
  <c r="H2888" i="1"/>
  <c r="I2888" i="1"/>
  <c r="J2888" i="1"/>
  <c r="K2888" i="1"/>
  <c r="H2889" i="1"/>
  <c r="I2889" i="1"/>
  <c r="J2889" i="1"/>
  <c r="K2889" i="1"/>
  <c r="H2890" i="1"/>
  <c r="I2890" i="1"/>
  <c r="J2890" i="1"/>
  <c r="K2890" i="1"/>
  <c r="H2891" i="1"/>
  <c r="I2891" i="1"/>
  <c r="J2891" i="1"/>
  <c r="K2891" i="1"/>
  <c r="H2892" i="1"/>
  <c r="I2892" i="1"/>
  <c r="J2892" i="1"/>
  <c r="K2892" i="1"/>
  <c r="H2893" i="1"/>
  <c r="I2893" i="1"/>
  <c r="J2893" i="1"/>
  <c r="K2893" i="1"/>
  <c r="H2894" i="1"/>
  <c r="I2894" i="1"/>
  <c r="J2894" i="1"/>
  <c r="K2894" i="1"/>
  <c r="H2895" i="1"/>
  <c r="I2895" i="1"/>
  <c r="J2895" i="1"/>
  <c r="K2895" i="1"/>
  <c r="H2896" i="1"/>
  <c r="I2896" i="1"/>
  <c r="J2896" i="1"/>
  <c r="K2896" i="1"/>
  <c r="H2897" i="1"/>
  <c r="I2897" i="1"/>
  <c r="J2897" i="1"/>
  <c r="K2897" i="1"/>
  <c r="H2898" i="1"/>
  <c r="I2898" i="1"/>
  <c r="J2898" i="1"/>
  <c r="K2898" i="1"/>
  <c r="H2899" i="1"/>
  <c r="I2899" i="1"/>
  <c r="J2899" i="1"/>
  <c r="K2899" i="1"/>
  <c r="H2900" i="1"/>
  <c r="I2900" i="1"/>
  <c r="J2900" i="1"/>
  <c r="K2900" i="1"/>
  <c r="H2901" i="1"/>
  <c r="I2901" i="1"/>
  <c r="J2901" i="1"/>
  <c r="K2901" i="1"/>
  <c r="H2902" i="1"/>
  <c r="I2902" i="1"/>
  <c r="J2902" i="1"/>
  <c r="K2902" i="1"/>
  <c r="H2903" i="1"/>
  <c r="I2903" i="1"/>
  <c r="J2903" i="1"/>
  <c r="K2903" i="1"/>
  <c r="H2904" i="1"/>
  <c r="I2904" i="1"/>
  <c r="J2904" i="1"/>
  <c r="K2904" i="1"/>
  <c r="H2905" i="1"/>
  <c r="I2905" i="1"/>
  <c r="J2905" i="1"/>
  <c r="K2905" i="1"/>
  <c r="H2906" i="1"/>
  <c r="I2906" i="1"/>
  <c r="J2906" i="1"/>
  <c r="K2906" i="1"/>
  <c r="H2907" i="1"/>
  <c r="I2907" i="1"/>
  <c r="J2907" i="1"/>
  <c r="K2907" i="1"/>
  <c r="H2908" i="1"/>
  <c r="I2908" i="1"/>
  <c r="J2908" i="1"/>
  <c r="K2908" i="1"/>
  <c r="H2909" i="1"/>
  <c r="I2909" i="1"/>
  <c r="J2909" i="1"/>
  <c r="K2909" i="1"/>
  <c r="H2910" i="1"/>
  <c r="I2910" i="1"/>
  <c r="J2910" i="1"/>
  <c r="K2910" i="1"/>
  <c r="H2911" i="1"/>
  <c r="I2911" i="1"/>
  <c r="J2911" i="1"/>
  <c r="K2911" i="1"/>
  <c r="H2912" i="1"/>
  <c r="I2912" i="1"/>
  <c r="J2912" i="1"/>
  <c r="K2912" i="1"/>
  <c r="H2913" i="1"/>
  <c r="I2913" i="1"/>
  <c r="J2913" i="1"/>
  <c r="K2913" i="1"/>
  <c r="H2914" i="1"/>
  <c r="I2914" i="1"/>
  <c r="J2914" i="1"/>
  <c r="K2914" i="1"/>
  <c r="H2915" i="1"/>
  <c r="I2915" i="1"/>
  <c r="J2915" i="1"/>
  <c r="K2915" i="1"/>
  <c r="H2916" i="1"/>
  <c r="I2916" i="1"/>
  <c r="J2916" i="1"/>
  <c r="K2916" i="1"/>
  <c r="H2917" i="1"/>
  <c r="I2917" i="1"/>
  <c r="J2917" i="1"/>
  <c r="K2917" i="1"/>
  <c r="H2918" i="1"/>
  <c r="I2918" i="1"/>
  <c r="J2918" i="1"/>
  <c r="K2918" i="1"/>
  <c r="H2919" i="1"/>
  <c r="I2919" i="1"/>
  <c r="J2919" i="1"/>
  <c r="K2919" i="1"/>
  <c r="H2920" i="1"/>
  <c r="I2920" i="1"/>
  <c r="J2920" i="1"/>
  <c r="K2920" i="1"/>
  <c r="H2921" i="1"/>
  <c r="I2921" i="1"/>
  <c r="J2921" i="1"/>
  <c r="K2921" i="1"/>
  <c r="H2922" i="1"/>
  <c r="I2922" i="1"/>
  <c r="J2922" i="1"/>
  <c r="K2922" i="1"/>
  <c r="H2923" i="1"/>
  <c r="I2923" i="1"/>
  <c r="J2923" i="1"/>
  <c r="K2923" i="1"/>
  <c r="H2924" i="1"/>
  <c r="I2924" i="1"/>
  <c r="J2924" i="1"/>
  <c r="K2924" i="1"/>
  <c r="H2925" i="1"/>
  <c r="I2925" i="1"/>
  <c r="J2925" i="1"/>
  <c r="K2925" i="1"/>
  <c r="H2926" i="1"/>
  <c r="I2926" i="1"/>
  <c r="J2926" i="1"/>
  <c r="K2926" i="1"/>
  <c r="H2927" i="1"/>
  <c r="I2927" i="1"/>
  <c r="J2927" i="1"/>
  <c r="K2927" i="1"/>
  <c r="H2928" i="1"/>
  <c r="I2928" i="1"/>
  <c r="J2928" i="1"/>
  <c r="K2928" i="1"/>
  <c r="H2929" i="1"/>
  <c r="I2929" i="1"/>
  <c r="J2929" i="1"/>
  <c r="K2929" i="1"/>
  <c r="H2930" i="1"/>
  <c r="I2930" i="1"/>
  <c r="J2930" i="1"/>
  <c r="K2930" i="1"/>
  <c r="H2931" i="1"/>
  <c r="I2931" i="1"/>
  <c r="J2931" i="1"/>
  <c r="K2931" i="1"/>
  <c r="H2932" i="1"/>
  <c r="I2932" i="1"/>
  <c r="J2932" i="1"/>
  <c r="K2932" i="1"/>
  <c r="H2933" i="1"/>
  <c r="I2933" i="1"/>
  <c r="J2933" i="1"/>
  <c r="K2933" i="1"/>
  <c r="H2934" i="1"/>
  <c r="I2934" i="1"/>
  <c r="J2934" i="1"/>
  <c r="K2934" i="1"/>
  <c r="H2935" i="1"/>
  <c r="I2935" i="1"/>
  <c r="J2935" i="1"/>
  <c r="K2935" i="1"/>
  <c r="H2936" i="1"/>
  <c r="I2936" i="1"/>
  <c r="J2936" i="1"/>
  <c r="K2936" i="1"/>
  <c r="H2937" i="1"/>
  <c r="I2937" i="1"/>
  <c r="J2937" i="1"/>
  <c r="K2937" i="1"/>
  <c r="H2938" i="1"/>
  <c r="I2938" i="1"/>
  <c r="J2938" i="1"/>
  <c r="K2938" i="1"/>
  <c r="H2939" i="1"/>
  <c r="I2939" i="1"/>
  <c r="J2939" i="1"/>
  <c r="K2939" i="1"/>
  <c r="H2940" i="1"/>
  <c r="I2940" i="1"/>
  <c r="J2940" i="1"/>
  <c r="K2940" i="1"/>
  <c r="H2941" i="1"/>
  <c r="I2941" i="1"/>
  <c r="J2941" i="1"/>
  <c r="K2941" i="1"/>
  <c r="H2942" i="1"/>
  <c r="I2942" i="1"/>
  <c r="J2942" i="1"/>
  <c r="K2942" i="1"/>
  <c r="H2943" i="1"/>
  <c r="I2943" i="1"/>
  <c r="J2943" i="1"/>
  <c r="K2943" i="1"/>
  <c r="H2944" i="1"/>
  <c r="I2944" i="1"/>
  <c r="J2944" i="1"/>
  <c r="K2944" i="1"/>
  <c r="H2945" i="1"/>
  <c r="I2945" i="1"/>
  <c r="J2945" i="1"/>
  <c r="K2945" i="1"/>
  <c r="H2946" i="1"/>
  <c r="I2946" i="1"/>
  <c r="J2946" i="1"/>
  <c r="K2946" i="1"/>
  <c r="H2947" i="1"/>
  <c r="I2947" i="1"/>
  <c r="J2947" i="1"/>
  <c r="K2947" i="1"/>
  <c r="H2948" i="1"/>
  <c r="I2948" i="1"/>
  <c r="J2948" i="1"/>
  <c r="K2948" i="1"/>
  <c r="H2949" i="1"/>
  <c r="I2949" i="1"/>
  <c r="J2949" i="1"/>
  <c r="K2949" i="1"/>
  <c r="H2950" i="1"/>
  <c r="I2950" i="1"/>
  <c r="J2950" i="1"/>
  <c r="K2950" i="1"/>
  <c r="H2951" i="1"/>
  <c r="I2951" i="1"/>
  <c r="J2951" i="1"/>
  <c r="K2951" i="1"/>
  <c r="H2952" i="1"/>
  <c r="I2952" i="1"/>
  <c r="J2952" i="1"/>
  <c r="K2952" i="1"/>
  <c r="H2953" i="1"/>
  <c r="I2953" i="1"/>
  <c r="J2953" i="1"/>
  <c r="K2953" i="1"/>
  <c r="H2954" i="1"/>
  <c r="I2954" i="1"/>
  <c r="J2954" i="1"/>
  <c r="K2954" i="1"/>
  <c r="H2955" i="1"/>
  <c r="I2955" i="1"/>
  <c r="J2955" i="1"/>
  <c r="K2955" i="1"/>
  <c r="H2956" i="1"/>
  <c r="I2956" i="1"/>
  <c r="J2956" i="1"/>
  <c r="K2956" i="1"/>
  <c r="H2957" i="1"/>
  <c r="I2957" i="1"/>
  <c r="J2957" i="1"/>
  <c r="K2957" i="1"/>
  <c r="H2958" i="1"/>
  <c r="I2958" i="1"/>
  <c r="J2958" i="1"/>
  <c r="K2958" i="1"/>
  <c r="H2959" i="1"/>
  <c r="I2959" i="1"/>
  <c r="J2959" i="1"/>
  <c r="K2959" i="1"/>
  <c r="H2960" i="1"/>
  <c r="I2960" i="1"/>
  <c r="J2960" i="1"/>
  <c r="K2960" i="1"/>
  <c r="H2961" i="1"/>
  <c r="I2961" i="1"/>
  <c r="J2961" i="1"/>
  <c r="K2961" i="1"/>
  <c r="H2962" i="1"/>
  <c r="I2962" i="1"/>
  <c r="J2962" i="1"/>
  <c r="K2962" i="1"/>
  <c r="H2963" i="1"/>
  <c r="I2963" i="1"/>
  <c r="J2963" i="1"/>
  <c r="K2963" i="1"/>
  <c r="H2964" i="1"/>
  <c r="I2964" i="1"/>
  <c r="J2964" i="1"/>
  <c r="K2964" i="1"/>
  <c r="H2965" i="1"/>
  <c r="I2965" i="1"/>
  <c r="J2965" i="1"/>
  <c r="K2965" i="1"/>
  <c r="H2966" i="1"/>
  <c r="I2966" i="1"/>
  <c r="J2966" i="1"/>
  <c r="K2966" i="1"/>
  <c r="H2967" i="1"/>
  <c r="I2967" i="1"/>
  <c r="J2967" i="1"/>
  <c r="K2967" i="1"/>
  <c r="H2968" i="1"/>
  <c r="I2968" i="1"/>
  <c r="J2968" i="1"/>
  <c r="K2968" i="1"/>
  <c r="H2969" i="1"/>
  <c r="I2969" i="1"/>
  <c r="J2969" i="1"/>
  <c r="K2969" i="1"/>
  <c r="H2970" i="1"/>
  <c r="I2970" i="1"/>
  <c r="J2970" i="1"/>
  <c r="K2970" i="1"/>
  <c r="H2971" i="1"/>
  <c r="I2971" i="1"/>
  <c r="J2971" i="1"/>
  <c r="K2971" i="1"/>
  <c r="H2972" i="1"/>
  <c r="I2972" i="1"/>
  <c r="J2972" i="1"/>
  <c r="K2972" i="1"/>
  <c r="H2973" i="1"/>
  <c r="I2973" i="1"/>
  <c r="J2973" i="1"/>
  <c r="K2973" i="1"/>
  <c r="H2974" i="1"/>
  <c r="I2974" i="1"/>
  <c r="J2974" i="1"/>
  <c r="K2974" i="1"/>
  <c r="H2975" i="1"/>
  <c r="I2975" i="1"/>
  <c r="J2975" i="1"/>
  <c r="K2975" i="1"/>
  <c r="H2976" i="1"/>
  <c r="I2976" i="1"/>
  <c r="J2976" i="1"/>
  <c r="K2976" i="1"/>
  <c r="H2977" i="1"/>
  <c r="I2977" i="1"/>
  <c r="J2977" i="1"/>
  <c r="K2977" i="1"/>
  <c r="H2978" i="1"/>
  <c r="I2978" i="1"/>
  <c r="J2978" i="1"/>
  <c r="K2978" i="1"/>
  <c r="H2979" i="1"/>
  <c r="I2979" i="1"/>
  <c r="J2979" i="1"/>
  <c r="K2979" i="1"/>
  <c r="H2980" i="1"/>
  <c r="I2980" i="1"/>
  <c r="J2980" i="1"/>
  <c r="K2980" i="1"/>
  <c r="H2981" i="1"/>
  <c r="I2981" i="1"/>
  <c r="J2981" i="1"/>
  <c r="K2981" i="1"/>
  <c r="H2982" i="1"/>
  <c r="I2982" i="1"/>
  <c r="J2982" i="1"/>
  <c r="K2982" i="1"/>
  <c r="H2983" i="1"/>
  <c r="I2983" i="1"/>
  <c r="J2983" i="1"/>
  <c r="K2983" i="1"/>
  <c r="H2984" i="1"/>
  <c r="I2984" i="1"/>
  <c r="J2984" i="1"/>
  <c r="K2984" i="1"/>
  <c r="H2985" i="1"/>
  <c r="I2985" i="1"/>
  <c r="J2985" i="1"/>
  <c r="K2985" i="1"/>
  <c r="H2986" i="1"/>
  <c r="I2986" i="1"/>
  <c r="J2986" i="1"/>
  <c r="K2986" i="1"/>
  <c r="H2987" i="1"/>
  <c r="I2987" i="1"/>
  <c r="J2987" i="1"/>
  <c r="K2987" i="1"/>
  <c r="H2988" i="1"/>
  <c r="I2988" i="1"/>
  <c r="J2988" i="1"/>
  <c r="K2988" i="1"/>
  <c r="H2989" i="1"/>
  <c r="I2989" i="1"/>
  <c r="J2989" i="1"/>
  <c r="K2989" i="1"/>
  <c r="H2990" i="1"/>
  <c r="I2990" i="1"/>
  <c r="J2990" i="1"/>
  <c r="K2990" i="1"/>
  <c r="H2991" i="1"/>
  <c r="I2991" i="1"/>
  <c r="J2991" i="1"/>
  <c r="K2991" i="1"/>
  <c r="H2992" i="1"/>
  <c r="I2992" i="1"/>
  <c r="J2992" i="1"/>
  <c r="K2992" i="1"/>
  <c r="H2993" i="1"/>
  <c r="I2993" i="1"/>
  <c r="J2993" i="1"/>
  <c r="K2993" i="1"/>
  <c r="H2994" i="1"/>
  <c r="I2994" i="1"/>
  <c r="J2994" i="1"/>
  <c r="K2994" i="1"/>
  <c r="H2995" i="1"/>
  <c r="I2995" i="1"/>
  <c r="J2995" i="1"/>
  <c r="K2995" i="1"/>
  <c r="H2996" i="1"/>
  <c r="I2996" i="1"/>
  <c r="J2996" i="1"/>
  <c r="K2996" i="1"/>
  <c r="H2997" i="1"/>
  <c r="I2997" i="1"/>
  <c r="J2997" i="1"/>
  <c r="K2997" i="1"/>
  <c r="H2998" i="1"/>
  <c r="I2998" i="1"/>
  <c r="J2998" i="1"/>
  <c r="K2998" i="1"/>
  <c r="H2999" i="1"/>
  <c r="I2999" i="1"/>
  <c r="J2999" i="1"/>
  <c r="K2999" i="1"/>
  <c r="H3000" i="1"/>
  <c r="I3000" i="1"/>
  <c r="J3000" i="1"/>
  <c r="K3000" i="1"/>
  <c r="H3001" i="1"/>
  <c r="I3001" i="1"/>
  <c r="J3001" i="1"/>
  <c r="K3001" i="1"/>
  <c r="H3002" i="1"/>
  <c r="I3002" i="1"/>
  <c r="J3002" i="1"/>
  <c r="K3002" i="1"/>
  <c r="H3003" i="1"/>
  <c r="I3003" i="1"/>
  <c r="J3003" i="1"/>
  <c r="K3003" i="1"/>
  <c r="H3004" i="1"/>
  <c r="I3004" i="1"/>
  <c r="J3004" i="1"/>
  <c r="K3004" i="1"/>
  <c r="H3005" i="1"/>
  <c r="I3005" i="1"/>
  <c r="J3005" i="1"/>
  <c r="K3005" i="1"/>
  <c r="H3006" i="1"/>
  <c r="I3006" i="1"/>
  <c r="J3006" i="1"/>
  <c r="K3006" i="1"/>
  <c r="H3007" i="1"/>
  <c r="I3007" i="1"/>
  <c r="J3007" i="1"/>
  <c r="K3007" i="1"/>
  <c r="H3008" i="1"/>
  <c r="I3008" i="1"/>
  <c r="J3008" i="1"/>
  <c r="K3008" i="1"/>
  <c r="H3009" i="1"/>
  <c r="I3009" i="1"/>
  <c r="J3009" i="1"/>
  <c r="K3009" i="1"/>
  <c r="H3010" i="1"/>
  <c r="I3010" i="1"/>
  <c r="J3010" i="1"/>
  <c r="K3010" i="1"/>
  <c r="H3011" i="1"/>
  <c r="I3011" i="1"/>
  <c r="J3011" i="1"/>
  <c r="K3011" i="1"/>
  <c r="H3012" i="1"/>
  <c r="I3012" i="1"/>
  <c r="J3012" i="1"/>
  <c r="K3012" i="1"/>
  <c r="H3013" i="1"/>
  <c r="I3013" i="1"/>
  <c r="J3013" i="1"/>
  <c r="K3013" i="1"/>
  <c r="H3014" i="1"/>
  <c r="I3014" i="1"/>
  <c r="J3014" i="1"/>
  <c r="K3014" i="1"/>
  <c r="H3015" i="1"/>
  <c r="I3015" i="1"/>
  <c r="J3015" i="1"/>
  <c r="K3015" i="1"/>
  <c r="H3016" i="1"/>
  <c r="I3016" i="1"/>
  <c r="J3016" i="1"/>
  <c r="K3016" i="1"/>
  <c r="H3017" i="1"/>
  <c r="I3017" i="1"/>
  <c r="J3017" i="1"/>
  <c r="K3017" i="1"/>
  <c r="H3018" i="1"/>
  <c r="I3018" i="1"/>
  <c r="J3018" i="1"/>
  <c r="K3018" i="1"/>
  <c r="H3019" i="1"/>
  <c r="I3019" i="1"/>
  <c r="J3019" i="1"/>
  <c r="K3019" i="1"/>
  <c r="H3020" i="1"/>
  <c r="I3020" i="1"/>
  <c r="J3020" i="1"/>
  <c r="K3020" i="1"/>
  <c r="H3021" i="1"/>
  <c r="I3021" i="1"/>
  <c r="J3021" i="1"/>
  <c r="K3021" i="1"/>
  <c r="H3022" i="1"/>
  <c r="I3022" i="1"/>
  <c r="J3022" i="1"/>
  <c r="K3022" i="1"/>
  <c r="H3023" i="1"/>
  <c r="I3023" i="1"/>
  <c r="J3023" i="1"/>
  <c r="K3023" i="1"/>
  <c r="H3024" i="1"/>
  <c r="I3024" i="1"/>
  <c r="J3024" i="1"/>
  <c r="K3024" i="1"/>
  <c r="H3025" i="1"/>
  <c r="I3025" i="1"/>
  <c r="J3025" i="1"/>
  <c r="K3025" i="1"/>
  <c r="H3026" i="1"/>
  <c r="I3026" i="1"/>
  <c r="J3026" i="1"/>
  <c r="K3026" i="1"/>
  <c r="H3027" i="1"/>
  <c r="I3027" i="1"/>
  <c r="J3027" i="1"/>
  <c r="K3027" i="1"/>
  <c r="H3028" i="1"/>
  <c r="I3028" i="1"/>
  <c r="J3028" i="1"/>
  <c r="K3028" i="1"/>
  <c r="H3029" i="1"/>
  <c r="I3029" i="1"/>
  <c r="J3029" i="1"/>
  <c r="K3029" i="1"/>
  <c r="H3030" i="1"/>
  <c r="I3030" i="1"/>
  <c r="J3030" i="1"/>
  <c r="K3030" i="1"/>
  <c r="H3031" i="1"/>
  <c r="I3031" i="1"/>
  <c r="J3031" i="1"/>
  <c r="K3031" i="1"/>
  <c r="H3032" i="1"/>
  <c r="I3032" i="1"/>
  <c r="J3032" i="1"/>
  <c r="K3032" i="1"/>
  <c r="H3033" i="1"/>
  <c r="I3033" i="1"/>
  <c r="J3033" i="1"/>
  <c r="K3033" i="1"/>
  <c r="H3034" i="1"/>
  <c r="I3034" i="1"/>
  <c r="J3034" i="1"/>
  <c r="K3034" i="1"/>
  <c r="H3035" i="1"/>
  <c r="I3035" i="1"/>
  <c r="J3035" i="1"/>
  <c r="K3035" i="1"/>
  <c r="H3036" i="1"/>
  <c r="I3036" i="1"/>
  <c r="J3036" i="1"/>
  <c r="K3036" i="1"/>
  <c r="H3037" i="1"/>
  <c r="I3037" i="1"/>
  <c r="J3037" i="1"/>
  <c r="K3037" i="1"/>
  <c r="H3038" i="1"/>
  <c r="I3038" i="1"/>
  <c r="J3038" i="1"/>
  <c r="K3038" i="1"/>
  <c r="H3039" i="1"/>
  <c r="I3039" i="1"/>
  <c r="J3039" i="1"/>
  <c r="K3039" i="1"/>
  <c r="H3040" i="1"/>
  <c r="I3040" i="1"/>
  <c r="J3040" i="1"/>
  <c r="K3040" i="1"/>
  <c r="H3041" i="1"/>
  <c r="I3041" i="1"/>
  <c r="J3041" i="1"/>
  <c r="K3041" i="1"/>
  <c r="H3042" i="1"/>
  <c r="I3042" i="1"/>
  <c r="J3042" i="1"/>
  <c r="K3042" i="1"/>
  <c r="H3043" i="1"/>
  <c r="I3043" i="1"/>
  <c r="J3043" i="1"/>
  <c r="K3043" i="1"/>
  <c r="H3044" i="1"/>
  <c r="I3044" i="1"/>
  <c r="J3044" i="1"/>
  <c r="K3044" i="1"/>
  <c r="H3045" i="1"/>
  <c r="I3045" i="1"/>
  <c r="J3045" i="1"/>
  <c r="K3045" i="1"/>
  <c r="H3046" i="1"/>
  <c r="I3046" i="1"/>
  <c r="J3046" i="1"/>
  <c r="K3046" i="1"/>
  <c r="H3047" i="1"/>
  <c r="I3047" i="1"/>
  <c r="J3047" i="1"/>
  <c r="K3047" i="1"/>
  <c r="H3048" i="1"/>
  <c r="I3048" i="1"/>
  <c r="J3048" i="1"/>
  <c r="K3048" i="1"/>
  <c r="H3049" i="1"/>
  <c r="I3049" i="1"/>
  <c r="J3049" i="1"/>
  <c r="K3049" i="1"/>
  <c r="H3050" i="1"/>
  <c r="I3050" i="1"/>
  <c r="J3050" i="1"/>
  <c r="K3050" i="1"/>
  <c r="H3051" i="1"/>
  <c r="I3051" i="1"/>
  <c r="J3051" i="1"/>
  <c r="K3051" i="1"/>
  <c r="H3052" i="1"/>
  <c r="I3052" i="1"/>
  <c r="J3052" i="1"/>
  <c r="K3052" i="1"/>
  <c r="H3053" i="1"/>
  <c r="I3053" i="1"/>
  <c r="J3053" i="1"/>
  <c r="K3053" i="1"/>
  <c r="H3054" i="1"/>
  <c r="I3054" i="1"/>
  <c r="J3054" i="1"/>
  <c r="K3054" i="1"/>
  <c r="H3055" i="1"/>
  <c r="I3055" i="1"/>
  <c r="J3055" i="1"/>
  <c r="K3055" i="1"/>
  <c r="H3056" i="1"/>
  <c r="I3056" i="1"/>
  <c r="J3056" i="1"/>
  <c r="K3056" i="1"/>
  <c r="H3057" i="1"/>
  <c r="I3057" i="1"/>
  <c r="J3057" i="1"/>
  <c r="K3057" i="1"/>
  <c r="H3058" i="1"/>
  <c r="I3058" i="1"/>
  <c r="J3058" i="1"/>
  <c r="K3058" i="1"/>
  <c r="H3059" i="1"/>
  <c r="I3059" i="1"/>
  <c r="J3059" i="1"/>
  <c r="K3059" i="1"/>
  <c r="H3060" i="1"/>
  <c r="I3060" i="1"/>
  <c r="J3060" i="1"/>
  <c r="K3060" i="1"/>
  <c r="H3061" i="1"/>
  <c r="I3061" i="1"/>
  <c r="J3061" i="1"/>
  <c r="K3061" i="1"/>
  <c r="H3062" i="1"/>
  <c r="I3062" i="1"/>
  <c r="J3062" i="1"/>
  <c r="K3062" i="1"/>
  <c r="H3063" i="1"/>
  <c r="I3063" i="1"/>
  <c r="J3063" i="1"/>
  <c r="K3063" i="1"/>
  <c r="H3064" i="1"/>
  <c r="I3064" i="1"/>
  <c r="J3064" i="1"/>
  <c r="K3064" i="1"/>
  <c r="H3065" i="1"/>
  <c r="I3065" i="1"/>
  <c r="J3065" i="1"/>
  <c r="K3065" i="1"/>
  <c r="H3066" i="1"/>
  <c r="I3066" i="1"/>
  <c r="J3066" i="1"/>
  <c r="K3066" i="1"/>
  <c r="H3067" i="1"/>
  <c r="I3067" i="1"/>
  <c r="J3067" i="1"/>
  <c r="K3067" i="1"/>
  <c r="H3068" i="1"/>
  <c r="I3068" i="1"/>
  <c r="J3068" i="1"/>
  <c r="K3068" i="1"/>
  <c r="H3069" i="1"/>
  <c r="I3069" i="1"/>
  <c r="J3069" i="1"/>
  <c r="K3069" i="1"/>
  <c r="H3070" i="1"/>
  <c r="I3070" i="1"/>
  <c r="J3070" i="1"/>
  <c r="K3070" i="1"/>
  <c r="H3071" i="1"/>
  <c r="I3071" i="1"/>
  <c r="J3071" i="1"/>
  <c r="K3071" i="1"/>
  <c r="H3072" i="1"/>
  <c r="I3072" i="1"/>
  <c r="J3072" i="1"/>
  <c r="K3072" i="1"/>
  <c r="H3073" i="1"/>
  <c r="I3073" i="1"/>
  <c r="J3073" i="1"/>
  <c r="K3073" i="1"/>
  <c r="H3074" i="1"/>
  <c r="I3074" i="1"/>
  <c r="J3074" i="1"/>
  <c r="K3074" i="1"/>
  <c r="H3075" i="1"/>
  <c r="I3075" i="1"/>
  <c r="J3075" i="1"/>
  <c r="K3075" i="1"/>
  <c r="H3076" i="1"/>
  <c r="I3076" i="1"/>
  <c r="J3076" i="1"/>
  <c r="K3076" i="1"/>
  <c r="H3077" i="1"/>
  <c r="I3077" i="1"/>
  <c r="J3077" i="1"/>
  <c r="K3077" i="1"/>
  <c r="H3078" i="1"/>
  <c r="I3078" i="1"/>
  <c r="J3078" i="1"/>
  <c r="K3078" i="1"/>
  <c r="H3079" i="1"/>
  <c r="I3079" i="1"/>
  <c r="J3079" i="1"/>
  <c r="K3079" i="1"/>
  <c r="H3080" i="1"/>
  <c r="I3080" i="1"/>
  <c r="J3080" i="1"/>
  <c r="K3080" i="1"/>
  <c r="H3081" i="1"/>
  <c r="I3081" i="1"/>
  <c r="J3081" i="1"/>
  <c r="K3081" i="1"/>
  <c r="H3082" i="1"/>
  <c r="I3082" i="1"/>
  <c r="J3082" i="1"/>
  <c r="K3082" i="1"/>
  <c r="H3083" i="1"/>
  <c r="I3083" i="1"/>
  <c r="J3083" i="1"/>
  <c r="K3083" i="1"/>
  <c r="H3084" i="1"/>
  <c r="I3084" i="1"/>
  <c r="J3084" i="1"/>
  <c r="K3084" i="1"/>
  <c r="H3085" i="1"/>
  <c r="I3085" i="1"/>
  <c r="J3085" i="1"/>
  <c r="K3085" i="1"/>
  <c r="H3086" i="1"/>
  <c r="I3086" i="1"/>
  <c r="J3086" i="1"/>
  <c r="K3086" i="1"/>
  <c r="H3087" i="1"/>
  <c r="I3087" i="1"/>
  <c r="J3087" i="1"/>
  <c r="K3087" i="1"/>
  <c r="H3088" i="1"/>
  <c r="I3088" i="1"/>
  <c r="J3088" i="1"/>
  <c r="K3088" i="1"/>
  <c r="H3089" i="1"/>
  <c r="I3089" i="1"/>
  <c r="J3089" i="1"/>
  <c r="K3089" i="1"/>
  <c r="H3090" i="1"/>
  <c r="I3090" i="1"/>
  <c r="J3090" i="1"/>
  <c r="K3090" i="1"/>
  <c r="H3091" i="1"/>
  <c r="I3091" i="1"/>
  <c r="J3091" i="1"/>
  <c r="K3091" i="1"/>
  <c r="H3092" i="1"/>
  <c r="I3092" i="1"/>
  <c r="J3092" i="1"/>
  <c r="K3092" i="1"/>
  <c r="H3093" i="1"/>
  <c r="I3093" i="1"/>
  <c r="J3093" i="1"/>
  <c r="K3093" i="1"/>
  <c r="H3094" i="1"/>
  <c r="I3094" i="1"/>
  <c r="J3094" i="1"/>
  <c r="K3094" i="1"/>
  <c r="H3095" i="1"/>
  <c r="I3095" i="1"/>
  <c r="J3095" i="1"/>
  <c r="K3095" i="1"/>
  <c r="H3096" i="1"/>
  <c r="I3096" i="1"/>
  <c r="J3096" i="1"/>
  <c r="K3096" i="1"/>
  <c r="H3097" i="1"/>
  <c r="I3097" i="1"/>
  <c r="J3097" i="1"/>
  <c r="K3097" i="1"/>
  <c r="H3098" i="1"/>
  <c r="I3098" i="1"/>
  <c r="J3098" i="1"/>
  <c r="K3098" i="1"/>
  <c r="H3099" i="1"/>
  <c r="I3099" i="1"/>
  <c r="J3099" i="1"/>
  <c r="K3099" i="1"/>
  <c r="H3100" i="1"/>
  <c r="I3100" i="1"/>
  <c r="J3100" i="1"/>
  <c r="K3100" i="1"/>
  <c r="H3101" i="1"/>
  <c r="I3101" i="1"/>
  <c r="J3101" i="1"/>
  <c r="K3101" i="1"/>
  <c r="H3102" i="1"/>
  <c r="I3102" i="1"/>
  <c r="J3102" i="1"/>
  <c r="K3102" i="1"/>
  <c r="H3103" i="1"/>
  <c r="I3103" i="1"/>
  <c r="J3103" i="1"/>
  <c r="K3103" i="1"/>
  <c r="H3104" i="1"/>
  <c r="I3104" i="1"/>
  <c r="J3104" i="1"/>
  <c r="K3104" i="1"/>
  <c r="H3105" i="1"/>
  <c r="I3105" i="1"/>
  <c r="J3105" i="1"/>
  <c r="K3105" i="1"/>
  <c r="H3106" i="1"/>
  <c r="I3106" i="1"/>
  <c r="J3106" i="1"/>
  <c r="K3106" i="1"/>
  <c r="H3107" i="1"/>
  <c r="I3107" i="1"/>
  <c r="J3107" i="1"/>
  <c r="K3107" i="1"/>
  <c r="H3108" i="1"/>
  <c r="I3108" i="1"/>
  <c r="J3108" i="1"/>
  <c r="K3108" i="1"/>
  <c r="H3109" i="1"/>
  <c r="I3109" i="1"/>
  <c r="J3109" i="1"/>
  <c r="K3109" i="1"/>
  <c r="H3110" i="1"/>
  <c r="I3110" i="1"/>
  <c r="J3110" i="1"/>
  <c r="K3110" i="1"/>
  <c r="H3111" i="1"/>
  <c r="I3111" i="1"/>
  <c r="J3111" i="1"/>
  <c r="K3111" i="1"/>
  <c r="H3112" i="1"/>
  <c r="I3112" i="1"/>
  <c r="J3112" i="1"/>
  <c r="K3112" i="1"/>
  <c r="H3113" i="1"/>
  <c r="I3113" i="1"/>
  <c r="J3113" i="1"/>
  <c r="K3113" i="1"/>
  <c r="H3114" i="1"/>
  <c r="I3114" i="1"/>
  <c r="J3114" i="1"/>
  <c r="K3114" i="1"/>
  <c r="H3115" i="1"/>
  <c r="I3115" i="1"/>
  <c r="J3115" i="1"/>
  <c r="K3115" i="1"/>
  <c r="H3116" i="1"/>
  <c r="I3116" i="1"/>
  <c r="J3116" i="1"/>
  <c r="K3116" i="1"/>
  <c r="H3117" i="1"/>
  <c r="I3117" i="1"/>
  <c r="J3117" i="1"/>
  <c r="K3117" i="1"/>
  <c r="H3118" i="1"/>
  <c r="I3118" i="1"/>
  <c r="J3118" i="1"/>
  <c r="K3118" i="1"/>
  <c r="H3119" i="1"/>
  <c r="I3119" i="1"/>
  <c r="J3119" i="1"/>
  <c r="K3119" i="1"/>
  <c r="H3120" i="1"/>
  <c r="I3120" i="1"/>
  <c r="J3120" i="1"/>
  <c r="K3120" i="1"/>
  <c r="H3121" i="1"/>
  <c r="I3121" i="1"/>
  <c r="J3121" i="1"/>
  <c r="K3121" i="1"/>
  <c r="H3122" i="1"/>
  <c r="I3122" i="1"/>
  <c r="J3122" i="1"/>
  <c r="K3122" i="1"/>
  <c r="H3123" i="1"/>
  <c r="I3123" i="1"/>
  <c r="J3123" i="1"/>
  <c r="K3123" i="1"/>
  <c r="H3124" i="1"/>
  <c r="I3124" i="1"/>
  <c r="J3124" i="1"/>
  <c r="K3124" i="1"/>
  <c r="H3125" i="1"/>
  <c r="I3125" i="1"/>
  <c r="J3125" i="1"/>
  <c r="K3125" i="1"/>
  <c r="H3126" i="1"/>
  <c r="I3126" i="1"/>
  <c r="J3126" i="1"/>
  <c r="K3126" i="1"/>
  <c r="H3127" i="1"/>
  <c r="I3127" i="1"/>
  <c r="J3127" i="1"/>
  <c r="K3127" i="1"/>
  <c r="H3128" i="1"/>
  <c r="I3128" i="1"/>
  <c r="J3128" i="1"/>
  <c r="K3128" i="1"/>
  <c r="H3129" i="1"/>
  <c r="I3129" i="1"/>
  <c r="J3129" i="1"/>
  <c r="K3129" i="1"/>
  <c r="H3130" i="1"/>
  <c r="I3130" i="1"/>
  <c r="J3130" i="1"/>
  <c r="K3130" i="1"/>
  <c r="H3131" i="1"/>
  <c r="I3131" i="1"/>
  <c r="J3131" i="1"/>
  <c r="K3131" i="1"/>
  <c r="H3132" i="1"/>
  <c r="I3132" i="1"/>
  <c r="J3132" i="1"/>
  <c r="K3132" i="1"/>
  <c r="H3133" i="1"/>
  <c r="I3133" i="1"/>
  <c r="J3133" i="1"/>
  <c r="K3133" i="1"/>
  <c r="H3134" i="1"/>
  <c r="I3134" i="1"/>
  <c r="J3134" i="1"/>
  <c r="K3134" i="1"/>
  <c r="H3135" i="1"/>
  <c r="I3135" i="1"/>
  <c r="J3135" i="1"/>
  <c r="K3135" i="1"/>
  <c r="H3136" i="1"/>
  <c r="I3136" i="1"/>
  <c r="J3136" i="1"/>
  <c r="K3136" i="1"/>
  <c r="H3137" i="1"/>
  <c r="I3137" i="1"/>
  <c r="J3137" i="1"/>
  <c r="K3137" i="1"/>
  <c r="H3138" i="1"/>
  <c r="I3138" i="1"/>
  <c r="J3138" i="1"/>
  <c r="K3138" i="1"/>
  <c r="H3139" i="1"/>
  <c r="I3139" i="1"/>
  <c r="J3139" i="1"/>
  <c r="K3139" i="1"/>
  <c r="H3140" i="1"/>
  <c r="I3140" i="1"/>
  <c r="J3140" i="1"/>
  <c r="K3140" i="1"/>
  <c r="H3141" i="1"/>
  <c r="I3141" i="1"/>
  <c r="J3141" i="1"/>
  <c r="K3141" i="1"/>
  <c r="H3142" i="1"/>
  <c r="I3142" i="1"/>
  <c r="J3142" i="1"/>
  <c r="K3142" i="1"/>
  <c r="H3143" i="1"/>
  <c r="I3143" i="1"/>
  <c r="J3143" i="1"/>
  <c r="K3143" i="1"/>
  <c r="H3144" i="1"/>
  <c r="I3144" i="1"/>
  <c r="J3144" i="1"/>
  <c r="K3144" i="1"/>
  <c r="H3145" i="1"/>
  <c r="I3145" i="1"/>
  <c r="J3145" i="1"/>
  <c r="K3145" i="1"/>
  <c r="H3146" i="1"/>
  <c r="I3146" i="1"/>
  <c r="J3146" i="1"/>
  <c r="K3146" i="1"/>
  <c r="H3147" i="1"/>
  <c r="I3147" i="1"/>
  <c r="J3147" i="1"/>
  <c r="K3147" i="1"/>
  <c r="H3148" i="1"/>
  <c r="I3148" i="1"/>
  <c r="J3148" i="1"/>
  <c r="K3148" i="1"/>
  <c r="H3149" i="1"/>
  <c r="I3149" i="1"/>
  <c r="J3149" i="1"/>
  <c r="K3149" i="1"/>
  <c r="H3150" i="1"/>
  <c r="I3150" i="1"/>
  <c r="J3150" i="1"/>
  <c r="K3150" i="1"/>
  <c r="H3151" i="1"/>
  <c r="I3151" i="1"/>
  <c r="J3151" i="1"/>
  <c r="K3151" i="1"/>
  <c r="H3152" i="1"/>
  <c r="I3152" i="1"/>
  <c r="J3152" i="1"/>
  <c r="K3152" i="1"/>
  <c r="H3153" i="1"/>
  <c r="I3153" i="1"/>
  <c r="J3153" i="1"/>
  <c r="K3153" i="1"/>
  <c r="H3154" i="1"/>
  <c r="I3154" i="1"/>
  <c r="J3154" i="1"/>
  <c r="K3154" i="1"/>
  <c r="H3155" i="1"/>
  <c r="I3155" i="1"/>
  <c r="J3155" i="1"/>
  <c r="K3155" i="1"/>
  <c r="H3156" i="1"/>
  <c r="I3156" i="1"/>
  <c r="J3156" i="1"/>
  <c r="K3156" i="1"/>
  <c r="H3157" i="1"/>
  <c r="I3157" i="1"/>
  <c r="J3157" i="1"/>
  <c r="K3157" i="1"/>
  <c r="H3158" i="1"/>
  <c r="I3158" i="1"/>
  <c r="J3158" i="1"/>
  <c r="K3158" i="1"/>
  <c r="H3159" i="1"/>
  <c r="I3159" i="1"/>
  <c r="J3159" i="1"/>
  <c r="K3159" i="1"/>
  <c r="H3160" i="1"/>
  <c r="I3160" i="1"/>
  <c r="J3160" i="1"/>
  <c r="K3160" i="1"/>
  <c r="H3161" i="1"/>
  <c r="I3161" i="1"/>
  <c r="J3161" i="1"/>
  <c r="K3161" i="1"/>
  <c r="H3162" i="1"/>
  <c r="I3162" i="1"/>
  <c r="J3162" i="1"/>
  <c r="K3162" i="1"/>
  <c r="H3163" i="1"/>
  <c r="I3163" i="1"/>
  <c r="J3163" i="1"/>
  <c r="K3163" i="1"/>
  <c r="H3164" i="1"/>
  <c r="I3164" i="1"/>
  <c r="J3164" i="1"/>
  <c r="K3164" i="1"/>
  <c r="H3165" i="1"/>
  <c r="I3165" i="1"/>
  <c r="J3165" i="1"/>
  <c r="K3165" i="1"/>
  <c r="H3166" i="1"/>
  <c r="I3166" i="1"/>
  <c r="J3166" i="1"/>
  <c r="K3166" i="1"/>
  <c r="H3167" i="1"/>
  <c r="I3167" i="1"/>
  <c r="J3167" i="1"/>
  <c r="K3167" i="1"/>
  <c r="H3168" i="1"/>
  <c r="I3168" i="1"/>
  <c r="J3168" i="1"/>
  <c r="K3168" i="1"/>
  <c r="H3169" i="1"/>
  <c r="I3169" i="1"/>
  <c r="J3169" i="1"/>
  <c r="K3169" i="1"/>
  <c r="H3170" i="1"/>
  <c r="I3170" i="1"/>
  <c r="J3170" i="1"/>
  <c r="K3170" i="1"/>
  <c r="H3171" i="1"/>
  <c r="I3171" i="1"/>
  <c r="J3171" i="1"/>
  <c r="K3171" i="1"/>
  <c r="H3172" i="1"/>
  <c r="I3172" i="1"/>
  <c r="J3172" i="1"/>
  <c r="K3172" i="1"/>
  <c r="H3173" i="1"/>
  <c r="I3173" i="1"/>
  <c r="J3173" i="1"/>
  <c r="K3173" i="1"/>
  <c r="H3174" i="1"/>
  <c r="I3174" i="1"/>
  <c r="J3174" i="1"/>
  <c r="K3174" i="1"/>
  <c r="H3175" i="1"/>
  <c r="I3175" i="1"/>
  <c r="J3175" i="1"/>
  <c r="K3175" i="1"/>
  <c r="H3176" i="1"/>
  <c r="I3176" i="1"/>
  <c r="J3176" i="1"/>
  <c r="K3176" i="1"/>
  <c r="H3177" i="1"/>
  <c r="I3177" i="1"/>
  <c r="J3177" i="1"/>
  <c r="K3177" i="1"/>
  <c r="H3178" i="1"/>
  <c r="I3178" i="1"/>
  <c r="J3178" i="1"/>
  <c r="K3178" i="1"/>
  <c r="H3179" i="1"/>
  <c r="I3179" i="1"/>
  <c r="J3179" i="1"/>
  <c r="K3179" i="1"/>
  <c r="H3180" i="1"/>
  <c r="I3180" i="1"/>
  <c r="J3180" i="1"/>
  <c r="K3180" i="1"/>
  <c r="H3181" i="1"/>
  <c r="I3181" i="1"/>
  <c r="J3181" i="1"/>
  <c r="K3181" i="1"/>
  <c r="H3182" i="1"/>
  <c r="I3182" i="1"/>
  <c r="J3182" i="1"/>
  <c r="K3182" i="1"/>
  <c r="H3183" i="1"/>
  <c r="I3183" i="1"/>
  <c r="J3183" i="1"/>
  <c r="K3183" i="1"/>
  <c r="H3184" i="1"/>
  <c r="I3184" i="1"/>
  <c r="J3184" i="1"/>
  <c r="K3184" i="1"/>
  <c r="H3185" i="1"/>
  <c r="I3185" i="1"/>
  <c r="J3185" i="1"/>
  <c r="K3185" i="1"/>
  <c r="H3186" i="1"/>
  <c r="I3186" i="1"/>
  <c r="J3186" i="1"/>
  <c r="K3186" i="1"/>
  <c r="H3187" i="1"/>
  <c r="I3187" i="1"/>
  <c r="J3187" i="1"/>
  <c r="K3187" i="1"/>
  <c r="H3188" i="1"/>
  <c r="I3188" i="1"/>
  <c r="J3188" i="1"/>
  <c r="K3188" i="1"/>
  <c r="H3189" i="1"/>
  <c r="I3189" i="1"/>
  <c r="J3189" i="1"/>
  <c r="K3189" i="1"/>
  <c r="H3190" i="1"/>
  <c r="I3190" i="1"/>
  <c r="J3190" i="1"/>
  <c r="K3190" i="1"/>
  <c r="H3191" i="1"/>
  <c r="I3191" i="1"/>
  <c r="J3191" i="1"/>
  <c r="K3191" i="1"/>
  <c r="H3192" i="1"/>
  <c r="I3192" i="1"/>
  <c r="J3192" i="1"/>
  <c r="K3192" i="1"/>
  <c r="H3193" i="1"/>
  <c r="I3193" i="1"/>
  <c r="J3193" i="1"/>
  <c r="K3193" i="1"/>
  <c r="H3194" i="1"/>
  <c r="I3194" i="1"/>
  <c r="J3194" i="1"/>
  <c r="K3194" i="1"/>
  <c r="H3195" i="1"/>
  <c r="I3195" i="1"/>
  <c r="J3195" i="1"/>
  <c r="K3195" i="1"/>
  <c r="H3196" i="1"/>
  <c r="I3196" i="1"/>
  <c r="J3196" i="1"/>
  <c r="K3196" i="1"/>
  <c r="H3197" i="1"/>
  <c r="I3197" i="1"/>
  <c r="J3197" i="1"/>
  <c r="K3197" i="1"/>
  <c r="H3198" i="1"/>
  <c r="I3198" i="1"/>
  <c r="J3198" i="1"/>
  <c r="K3198" i="1"/>
  <c r="H3199" i="1"/>
  <c r="I3199" i="1"/>
  <c r="J3199" i="1"/>
  <c r="K3199" i="1"/>
  <c r="H3200" i="1"/>
  <c r="I3200" i="1"/>
  <c r="J3200" i="1"/>
  <c r="K3200" i="1"/>
  <c r="H3201" i="1"/>
  <c r="I3201" i="1"/>
  <c r="J3201" i="1"/>
  <c r="K3201" i="1"/>
  <c r="H3202" i="1"/>
  <c r="I3202" i="1"/>
  <c r="J3202" i="1"/>
  <c r="K3202" i="1"/>
  <c r="H3203" i="1"/>
  <c r="I3203" i="1"/>
  <c r="J3203" i="1"/>
  <c r="K3203" i="1"/>
  <c r="H3204" i="1"/>
  <c r="I3204" i="1"/>
  <c r="J3204" i="1"/>
  <c r="K3204" i="1"/>
  <c r="H3205" i="1"/>
  <c r="I3205" i="1"/>
  <c r="J3205" i="1"/>
  <c r="K3205" i="1"/>
  <c r="H3206" i="1"/>
  <c r="I3206" i="1"/>
  <c r="J3206" i="1"/>
  <c r="K3206" i="1"/>
  <c r="H3207" i="1"/>
  <c r="I3207" i="1"/>
  <c r="J3207" i="1"/>
  <c r="K3207" i="1"/>
  <c r="H3208" i="1"/>
  <c r="I3208" i="1"/>
  <c r="J3208" i="1"/>
  <c r="K3208" i="1"/>
  <c r="H3209" i="1"/>
  <c r="I3209" i="1"/>
  <c r="J3209" i="1"/>
  <c r="K3209" i="1"/>
  <c r="H3210" i="1"/>
  <c r="I3210" i="1"/>
  <c r="J3210" i="1"/>
  <c r="K3210" i="1"/>
  <c r="H3211" i="1"/>
  <c r="I3211" i="1"/>
  <c r="J3211" i="1"/>
  <c r="K3211" i="1"/>
  <c r="H3212" i="1"/>
  <c r="I3212" i="1"/>
  <c r="J3212" i="1"/>
  <c r="K3212" i="1"/>
  <c r="H3213" i="1"/>
  <c r="I3213" i="1"/>
  <c r="J3213" i="1"/>
  <c r="K3213" i="1"/>
  <c r="H3214" i="1"/>
  <c r="I3214" i="1"/>
  <c r="J3214" i="1"/>
  <c r="K3214" i="1"/>
  <c r="H3215" i="1"/>
  <c r="I3215" i="1"/>
  <c r="J3215" i="1"/>
  <c r="K3215" i="1"/>
  <c r="H3216" i="1"/>
  <c r="I3216" i="1"/>
  <c r="J3216" i="1"/>
  <c r="K3216" i="1"/>
  <c r="H3217" i="1"/>
  <c r="I3217" i="1"/>
  <c r="J3217" i="1"/>
  <c r="K3217" i="1"/>
  <c r="H3218" i="1"/>
  <c r="I3218" i="1"/>
  <c r="J3218" i="1"/>
  <c r="K3218" i="1"/>
  <c r="H3219" i="1"/>
  <c r="I3219" i="1"/>
  <c r="J3219" i="1"/>
  <c r="K3219" i="1"/>
  <c r="H3220" i="1"/>
  <c r="I3220" i="1"/>
  <c r="J3220" i="1"/>
  <c r="K3220" i="1"/>
  <c r="H3221" i="1"/>
  <c r="I3221" i="1"/>
  <c r="J3221" i="1"/>
  <c r="K3221" i="1"/>
  <c r="H3222" i="1"/>
  <c r="I3222" i="1"/>
  <c r="J3222" i="1"/>
  <c r="K3222" i="1"/>
  <c r="H3223" i="1"/>
  <c r="I3223" i="1"/>
  <c r="J3223" i="1"/>
  <c r="K3223" i="1"/>
  <c r="H3224" i="1"/>
  <c r="I3224" i="1"/>
  <c r="J3224" i="1"/>
  <c r="K3224" i="1"/>
  <c r="H3225" i="1"/>
  <c r="I3225" i="1"/>
  <c r="J3225" i="1"/>
  <c r="K3225" i="1"/>
  <c r="H3226" i="1"/>
  <c r="I3226" i="1"/>
  <c r="J3226" i="1"/>
  <c r="K3226" i="1"/>
  <c r="H3227" i="1"/>
  <c r="I3227" i="1"/>
  <c r="J3227" i="1"/>
  <c r="K3227" i="1"/>
  <c r="H3228" i="1"/>
  <c r="I3228" i="1"/>
  <c r="J3228" i="1"/>
  <c r="K3228" i="1"/>
  <c r="H3229" i="1"/>
  <c r="I3229" i="1"/>
  <c r="J3229" i="1"/>
  <c r="K3229" i="1"/>
  <c r="H3230" i="1"/>
  <c r="I3230" i="1"/>
  <c r="J3230" i="1"/>
  <c r="K3230" i="1"/>
  <c r="H3231" i="1"/>
  <c r="I3231" i="1"/>
  <c r="J3231" i="1"/>
  <c r="K3231" i="1"/>
  <c r="H3232" i="1"/>
  <c r="I3232" i="1"/>
  <c r="J3232" i="1"/>
  <c r="K3232" i="1"/>
  <c r="H3233" i="1"/>
  <c r="I3233" i="1"/>
  <c r="J3233" i="1"/>
  <c r="K3233" i="1"/>
  <c r="H3234" i="1"/>
  <c r="I3234" i="1"/>
  <c r="J3234" i="1"/>
  <c r="K3234" i="1"/>
  <c r="H3235" i="1"/>
  <c r="I3235" i="1"/>
  <c r="J3235" i="1"/>
  <c r="K3235" i="1"/>
  <c r="H3236" i="1"/>
  <c r="I3236" i="1"/>
  <c r="J3236" i="1"/>
  <c r="K3236" i="1"/>
  <c r="H3237" i="1"/>
  <c r="I3237" i="1"/>
  <c r="J3237" i="1"/>
  <c r="K3237" i="1"/>
  <c r="H3238" i="1"/>
  <c r="I3238" i="1"/>
  <c r="J3238" i="1"/>
  <c r="K3238" i="1"/>
  <c r="H3239" i="1"/>
  <c r="I3239" i="1"/>
  <c r="J3239" i="1"/>
  <c r="K3239" i="1"/>
  <c r="H3240" i="1"/>
  <c r="I3240" i="1"/>
  <c r="J3240" i="1"/>
  <c r="K3240" i="1"/>
  <c r="H3241" i="1"/>
  <c r="I3241" i="1"/>
  <c r="J3241" i="1"/>
  <c r="K3241" i="1"/>
  <c r="H3242" i="1"/>
  <c r="I3242" i="1"/>
  <c r="J3242" i="1"/>
  <c r="K3242" i="1"/>
  <c r="H3243" i="1"/>
  <c r="I3243" i="1"/>
  <c r="J3243" i="1"/>
  <c r="K3243" i="1"/>
  <c r="H3244" i="1"/>
  <c r="I3244" i="1"/>
  <c r="J3244" i="1"/>
  <c r="K3244" i="1"/>
  <c r="H3245" i="1"/>
  <c r="I3245" i="1"/>
  <c r="J3245" i="1"/>
  <c r="K3245" i="1"/>
  <c r="H3246" i="1"/>
  <c r="I3246" i="1"/>
  <c r="J3246" i="1"/>
  <c r="K3246" i="1"/>
  <c r="H3247" i="1"/>
  <c r="I3247" i="1"/>
  <c r="J3247" i="1"/>
  <c r="K3247" i="1"/>
  <c r="H3248" i="1"/>
  <c r="I3248" i="1"/>
  <c r="J3248" i="1"/>
  <c r="K3248" i="1"/>
  <c r="H3249" i="1"/>
  <c r="I3249" i="1"/>
  <c r="J3249" i="1"/>
  <c r="K3249" i="1"/>
  <c r="H3250" i="1"/>
  <c r="I3250" i="1"/>
  <c r="J3250" i="1"/>
  <c r="K3250" i="1"/>
  <c r="H3251" i="1"/>
  <c r="I3251" i="1"/>
  <c r="J3251" i="1"/>
  <c r="K3251" i="1"/>
  <c r="H3252" i="1"/>
  <c r="I3252" i="1"/>
  <c r="J3252" i="1"/>
  <c r="K3252" i="1"/>
  <c r="H3253" i="1"/>
  <c r="I3253" i="1"/>
  <c r="J3253" i="1"/>
  <c r="K3253" i="1"/>
  <c r="H3254" i="1"/>
  <c r="I3254" i="1"/>
  <c r="J3254" i="1"/>
  <c r="K3254" i="1"/>
  <c r="H3255" i="1"/>
  <c r="I3255" i="1"/>
  <c r="J3255" i="1"/>
  <c r="K3255" i="1"/>
  <c r="H3256" i="1"/>
  <c r="I3256" i="1"/>
  <c r="J3256" i="1"/>
  <c r="K3256" i="1"/>
  <c r="H3257" i="1"/>
  <c r="I3257" i="1"/>
  <c r="J3257" i="1"/>
  <c r="K3257" i="1"/>
  <c r="H3258" i="1"/>
  <c r="I3258" i="1"/>
  <c r="J3258" i="1"/>
  <c r="K3258" i="1"/>
  <c r="H3259" i="1"/>
  <c r="I3259" i="1"/>
  <c r="J3259" i="1"/>
  <c r="K3259" i="1"/>
  <c r="H3260" i="1"/>
  <c r="I3260" i="1"/>
  <c r="J3260" i="1"/>
  <c r="K3260" i="1"/>
  <c r="H3261" i="1"/>
  <c r="I3261" i="1"/>
  <c r="J3261" i="1"/>
  <c r="K3261" i="1"/>
  <c r="H3262" i="1"/>
  <c r="I3262" i="1"/>
  <c r="J3262" i="1"/>
  <c r="K3262" i="1"/>
  <c r="H3263" i="1"/>
  <c r="I3263" i="1"/>
  <c r="J3263" i="1"/>
  <c r="K3263" i="1"/>
  <c r="H3264" i="1"/>
  <c r="I3264" i="1"/>
  <c r="J3264" i="1"/>
  <c r="K3264" i="1"/>
  <c r="H3265" i="1"/>
  <c r="I3265" i="1"/>
  <c r="J3265" i="1"/>
  <c r="K3265" i="1"/>
  <c r="H3266" i="1"/>
  <c r="I3266" i="1"/>
  <c r="J3266" i="1"/>
  <c r="K3266" i="1"/>
  <c r="H3267" i="1"/>
  <c r="I3267" i="1"/>
  <c r="J3267" i="1"/>
  <c r="K3267" i="1"/>
  <c r="H3268" i="1"/>
  <c r="I3268" i="1"/>
  <c r="J3268" i="1"/>
  <c r="K3268" i="1"/>
  <c r="H3269" i="1"/>
  <c r="I3269" i="1"/>
  <c r="J3269" i="1"/>
  <c r="K3269" i="1"/>
  <c r="H3270" i="1"/>
  <c r="I3270" i="1"/>
  <c r="J3270" i="1"/>
  <c r="K3270" i="1"/>
  <c r="H3271" i="1"/>
  <c r="I3271" i="1"/>
  <c r="J3271" i="1"/>
  <c r="K3271" i="1"/>
  <c r="H3272" i="1"/>
  <c r="I3272" i="1"/>
  <c r="J3272" i="1"/>
  <c r="K3272" i="1"/>
  <c r="H3273" i="1"/>
  <c r="I3273" i="1"/>
  <c r="J3273" i="1"/>
  <c r="K3273" i="1"/>
  <c r="H3274" i="1"/>
  <c r="I3274" i="1"/>
  <c r="J3274" i="1"/>
  <c r="K3274" i="1"/>
  <c r="H3275" i="1"/>
  <c r="I3275" i="1"/>
  <c r="J3275" i="1"/>
  <c r="K3275" i="1"/>
  <c r="H3276" i="1"/>
  <c r="I3276" i="1"/>
  <c r="J3276" i="1"/>
  <c r="K3276" i="1"/>
  <c r="H3277" i="1"/>
  <c r="I3277" i="1"/>
  <c r="J3277" i="1"/>
  <c r="K3277" i="1"/>
  <c r="H3278" i="1"/>
  <c r="I3278" i="1"/>
  <c r="J3278" i="1"/>
  <c r="K3278" i="1"/>
  <c r="H3279" i="1"/>
  <c r="I3279" i="1"/>
  <c r="J3279" i="1"/>
  <c r="K3279" i="1"/>
  <c r="H3280" i="1"/>
  <c r="I3280" i="1"/>
  <c r="J3280" i="1"/>
  <c r="K3280" i="1"/>
  <c r="H3281" i="1"/>
  <c r="I3281" i="1"/>
  <c r="J3281" i="1"/>
  <c r="K3281" i="1"/>
  <c r="H3282" i="1"/>
  <c r="I3282" i="1"/>
  <c r="J3282" i="1"/>
  <c r="K3282" i="1"/>
  <c r="H3283" i="1"/>
  <c r="I3283" i="1"/>
  <c r="J3283" i="1"/>
  <c r="K3283" i="1"/>
  <c r="H3284" i="1"/>
  <c r="I3284" i="1"/>
  <c r="J3284" i="1"/>
  <c r="K3284" i="1"/>
  <c r="H3285" i="1"/>
  <c r="I3285" i="1"/>
  <c r="J3285" i="1"/>
  <c r="K3285" i="1"/>
  <c r="H3286" i="1"/>
  <c r="I3286" i="1"/>
  <c r="J3286" i="1"/>
  <c r="K3286" i="1"/>
  <c r="H3287" i="1"/>
  <c r="I3287" i="1"/>
  <c r="J3287" i="1"/>
  <c r="K3287" i="1"/>
  <c r="H3288" i="1"/>
  <c r="I3288" i="1"/>
  <c r="J3288" i="1"/>
  <c r="K3288" i="1"/>
  <c r="H3289" i="1"/>
  <c r="I3289" i="1"/>
  <c r="J3289" i="1"/>
  <c r="K3289" i="1"/>
  <c r="H3290" i="1"/>
  <c r="I3290" i="1"/>
  <c r="J3290" i="1"/>
  <c r="K3290" i="1"/>
  <c r="H3291" i="1"/>
  <c r="I3291" i="1"/>
  <c r="J3291" i="1"/>
  <c r="K3291" i="1"/>
  <c r="H3292" i="1"/>
  <c r="I3292" i="1"/>
  <c r="J3292" i="1"/>
  <c r="K3292" i="1"/>
  <c r="H3293" i="1"/>
  <c r="I3293" i="1"/>
  <c r="J3293" i="1"/>
  <c r="K3293" i="1"/>
  <c r="H3294" i="1"/>
  <c r="I3294" i="1"/>
  <c r="J3294" i="1"/>
  <c r="K3294" i="1"/>
  <c r="H3295" i="1"/>
  <c r="I3295" i="1"/>
  <c r="J3295" i="1"/>
  <c r="K3295" i="1"/>
  <c r="H3296" i="1"/>
  <c r="I3296" i="1"/>
  <c r="J3296" i="1"/>
  <c r="K3296" i="1"/>
  <c r="H3297" i="1"/>
  <c r="I3297" i="1"/>
  <c r="J3297" i="1"/>
  <c r="K3297" i="1"/>
  <c r="H3298" i="1"/>
  <c r="I3298" i="1"/>
  <c r="J3298" i="1"/>
  <c r="K3298" i="1"/>
  <c r="H3299" i="1"/>
  <c r="I3299" i="1"/>
  <c r="J3299" i="1"/>
  <c r="K3299" i="1"/>
  <c r="H3300" i="1"/>
  <c r="I3300" i="1"/>
  <c r="J3300" i="1"/>
  <c r="K3300" i="1"/>
  <c r="H3301" i="1"/>
  <c r="I3301" i="1"/>
  <c r="J3301" i="1"/>
  <c r="K3301" i="1"/>
  <c r="H3302" i="1"/>
  <c r="I3302" i="1"/>
  <c r="J3302" i="1"/>
  <c r="K3302" i="1"/>
  <c r="H3303" i="1"/>
  <c r="I3303" i="1"/>
  <c r="J3303" i="1"/>
  <c r="K3303" i="1"/>
  <c r="H3304" i="1"/>
  <c r="I3304" i="1"/>
  <c r="J3304" i="1"/>
  <c r="K3304" i="1"/>
  <c r="H3305" i="1"/>
  <c r="I3305" i="1"/>
  <c r="J3305" i="1"/>
  <c r="K3305" i="1"/>
  <c r="H3306" i="1"/>
  <c r="I3306" i="1"/>
  <c r="J3306" i="1"/>
  <c r="K3306" i="1"/>
  <c r="H3307" i="1"/>
  <c r="I3307" i="1"/>
  <c r="J3307" i="1"/>
  <c r="K3307" i="1"/>
  <c r="H3308" i="1"/>
  <c r="I3308" i="1"/>
  <c r="J3308" i="1"/>
  <c r="K3308" i="1"/>
  <c r="H3309" i="1"/>
  <c r="I3309" i="1"/>
  <c r="J3309" i="1"/>
  <c r="K3309" i="1"/>
  <c r="H3310" i="1"/>
  <c r="I3310" i="1"/>
  <c r="J3310" i="1"/>
  <c r="K3310" i="1"/>
  <c r="H3311" i="1"/>
  <c r="I3311" i="1"/>
  <c r="J3311" i="1"/>
  <c r="K3311" i="1"/>
  <c r="H3312" i="1"/>
  <c r="I3312" i="1"/>
  <c r="J3312" i="1"/>
  <c r="K3312" i="1"/>
  <c r="H3313" i="1"/>
  <c r="I3313" i="1"/>
  <c r="J3313" i="1"/>
  <c r="K3313" i="1"/>
  <c r="H3314" i="1"/>
  <c r="I3314" i="1"/>
  <c r="J3314" i="1"/>
  <c r="K3314" i="1"/>
  <c r="H3315" i="1"/>
  <c r="I3315" i="1"/>
  <c r="J3315" i="1"/>
  <c r="K3315" i="1"/>
  <c r="H3316" i="1"/>
  <c r="I3316" i="1"/>
  <c r="J3316" i="1"/>
  <c r="K3316" i="1"/>
  <c r="H3317" i="1"/>
  <c r="I3317" i="1"/>
  <c r="J3317" i="1"/>
  <c r="K3317" i="1"/>
  <c r="H3318" i="1"/>
  <c r="I3318" i="1"/>
  <c r="J3318" i="1"/>
  <c r="K3318" i="1"/>
  <c r="H3319" i="1"/>
  <c r="I3319" i="1"/>
  <c r="J3319" i="1"/>
  <c r="K3319" i="1"/>
  <c r="H3320" i="1"/>
  <c r="I3320" i="1"/>
  <c r="J3320" i="1"/>
  <c r="K3320" i="1"/>
  <c r="H3321" i="1"/>
  <c r="I3321" i="1"/>
  <c r="J3321" i="1"/>
  <c r="K3321" i="1"/>
  <c r="H3322" i="1"/>
  <c r="I3322" i="1"/>
  <c r="J3322" i="1"/>
  <c r="K3322" i="1"/>
  <c r="H3323" i="1"/>
  <c r="I3323" i="1"/>
  <c r="J3323" i="1"/>
  <c r="K3323" i="1"/>
  <c r="H3324" i="1"/>
  <c r="I3324" i="1"/>
  <c r="J3324" i="1"/>
  <c r="K3324" i="1"/>
  <c r="H3325" i="1"/>
  <c r="I3325" i="1"/>
  <c r="J3325" i="1"/>
  <c r="K3325" i="1"/>
  <c r="H3326" i="1"/>
  <c r="I3326" i="1"/>
  <c r="J3326" i="1"/>
  <c r="K3326" i="1"/>
  <c r="H3327" i="1"/>
  <c r="I3327" i="1"/>
  <c r="J3327" i="1"/>
  <c r="K3327" i="1"/>
  <c r="H3328" i="1"/>
  <c r="I3328" i="1"/>
  <c r="J3328" i="1"/>
  <c r="K3328" i="1"/>
  <c r="H3329" i="1"/>
  <c r="I3329" i="1"/>
  <c r="J3329" i="1"/>
  <c r="K3329" i="1"/>
  <c r="H3330" i="1"/>
  <c r="I3330" i="1"/>
  <c r="J3330" i="1"/>
  <c r="K3330" i="1"/>
  <c r="H3331" i="1"/>
  <c r="I3331" i="1"/>
  <c r="J3331" i="1"/>
  <c r="K3331" i="1"/>
  <c r="H3332" i="1"/>
  <c r="I3332" i="1"/>
  <c r="J3332" i="1"/>
  <c r="K3332" i="1"/>
  <c r="H3333" i="1"/>
  <c r="I3333" i="1"/>
  <c r="J3333" i="1"/>
  <c r="K3333" i="1"/>
  <c r="H3334" i="1"/>
  <c r="I3334" i="1"/>
  <c r="J3334" i="1"/>
  <c r="K3334" i="1"/>
  <c r="H3335" i="1"/>
  <c r="I3335" i="1"/>
  <c r="J3335" i="1"/>
  <c r="K3335" i="1"/>
  <c r="H3336" i="1"/>
  <c r="I3336" i="1"/>
  <c r="J3336" i="1"/>
  <c r="K3336" i="1"/>
  <c r="H3337" i="1"/>
  <c r="I3337" i="1"/>
  <c r="J3337" i="1"/>
  <c r="K3337" i="1"/>
  <c r="H3338" i="1"/>
  <c r="I3338" i="1"/>
  <c r="J3338" i="1"/>
  <c r="K3338" i="1"/>
  <c r="H3339" i="1"/>
  <c r="I3339" i="1"/>
  <c r="J3339" i="1"/>
  <c r="K3339" i="1"/>
  <c r="H3340" i="1"/>
  <c r="I3340" i="1"/>
  <c r="J3340" i="1"/>
  <c r="K3340" i="1"/>
  <c r="H3341" i="1"/>
  <c r="I3341" i="1"/>
  <c r="J3341" i="1"/>
  <c r="K3341" i="1"/>
  <c r="H3342" i="1"/>
  <c r="I3342" i="1"/>
  <c r="J3342" i="1"/>
  <c r="K3342" i="1"/>
  <c r="H3343" i="1"/>
  <c r="I3343" i="1"/>
  <c r="J3343" i="1"/>
  <c r="K3343" i="1"/>
  <c r="H3344" i="1"/>
  <c r="I3344" i="1"/>
  <c r="J3344" i="1"/>
  <c r="K3344" i="1"/>
  <c r="H3345" i="1"/>
  <c r="I3345" i="1"/>
  <c r="J3345" i="1"/>
  <c r="K3345" i="1"/>
  <c r="H3346" i="1"/>
  <c r="I3346" i="1"/>
  <c r="J3346" i="1"/>
  <c r="K3346" i="1"/>
  <c r="H3347" i="1"/>
  <c r="I3347" i="1"/>
  <c r="J3347" i="1"/>
  <c r="K3347" i="1"/>
  <c r="H3348" i="1"/>
  <c r="I3348" i="1"/>
  <c r="J3348" i="1"/>
  <c r="K3348" i="1"/>
  <c r="H3349" i="1"/>
  <c r="I3349" i="1"/>
  <c r="J3349" i="1"/>
  <c r="K3349" i="1"/>
  <c r="H3350" i="1"/>
  <c r="I3350" i="1"/>
  <c r="J3350" i="1"/>
  <c r="K3350" i="1"/>
  <c r="H3351" i="1"/>
  <c r="I3351" i="1"/>
  <c r="J3351" i="1"/>
  <c r="K3351" i="1"/>
  <c r="H3352" i="1"/>
  <c r="I3352" i="1"/>
  <c r="J3352" i="1"/>
  <c r="K3352" i="1"/>
  <c r="H3353" i="1"/>
  <c r="I3353" i="1"/>
  <c r="J3353" i="1"/>
  <c r="K3353" i="1"/>
  <c r="H3354" i="1"/>
  <c r="I3354" i="1"/>
  <c r="J3354" i="1"/>
  <c r="K3354" i="1"/>
  <c r="H3355" i="1"/>
  <c r="I3355" i="1"/>
  <c r="J3355" i="1"/>
  <c r="K3355" i="1"/>
  <c r="H3356" i="1"/>
  <c r="I3356" i="1"/>
  <c r="J3356" i="1"/>
  <c r="K3356" i="1"/>
  <c r="H3357" i="1"/>
  <c r="I3357" i="1"/>
  <c r="J3357" i="1"/>
  <c r="K3357" i="1"/>
  <c r="H3358" i="1"/>
  <c r="I3358" i="1"/>
  <c r="J3358" i="1"/>
  <c r="K3358" i="1"/>
  <c r="H3359" i="1"/>
  <c r="I3359" i="1"/>
  <c r="J3359" i="1"/>
  <c r="K3359" i="1"/>
  <c r="H3360" i="1"/>
  <c r="I3360" i="1"/>
  <c r="J3360" i="1"/>
  <c r="K3360" i="1"/>
  <c r="H3361" i="1"/>
  <c r="I3361" i="1"/>
  <c r="J3361" i="1"/>
  <c r="K3361" i="1"/>
  <c r="H3362" i="1"/>
  <c r="I3362" i="1"/>
  <c r="J3362" i="1"/>
  <c r="K3362" i="1"/>
  <c r="H3363" i="1"/>
  <c r="I3363" i="1"/>
  <c r="J3363" i="1"/>
  <c r="K3363" i="1"/>
  <c r="H3364" i="1"/>
  <c r="I3364" i="1"/>
  <c r="J3364" i="1"/>
  <c r="K3364" i="1"/>
  <c r="H3365" i="1"/>
  <c r="I3365" i="1"/>
  <c r="J3365" i="1"/>
  <c r="K3365" i="1"/>
  <c r="H3366" i="1"/>
  <c r="I3366" i="1"/>
  <c r="J3366" i="1"/>
  <c r="K3366" i="1"/>
  <c r="H3367" i="1"/>
  <c r="I3367" i="1"/>
  <c r="J3367" i="1"/>
  <c r="K3367" i="1"/>
  <c r="H3368" i="1"/>
  <c r="I3368" i="1"/>
  <c r="J3368" i="1"/>
  <c r="K3368" i="1"/>
  <c r="H3369" i="1"/>
  <c r="I3369" i="1"/>
  <c r="J3369" i="1"/>
  <c r="K3369" i="1"/>
  <c r="H3370" i="1"/>
  <c r="I3370" i="1"/>
  <c r="J3370" i="1"/>
  <c r="K3370" i="1"/>
  <c r="H3371" i="1"/>
  <c r="I3371" i="1"/>
  <c r="J3371" i="1"/>
  <c r="K3371" i="1"/>
  <c r="H3372" i="1"/>
  <c r="I3372" i="1"/>
  <c r="J3372" i="1"/>
  <c r="K3372" i="1"/>
  <c r="H3373" i="1"/>
  <c r="I3373" i="1"/>
  <c r="J3373" i="1"/>
  <c r="K3373" i="1"/>
  <c r="H3374" i="1"/>
  <c r="I3374" i="1"/>
  <c r="J3374" i="1"/>
  <c r="K3374" i="1"/>
  <c r="H3375" i="1"/>
  <c r="I3375" i="1"/>
  <c r="J3375" i="1"/>
  <c r="K3375" i="1"/>
  <c r="H3376" i="1"/>
  <c r="I3376" i="1"/>
  <c r="J3376" i="1"/>
  <c r="K3376" i="1"/>
  <c r="H3377" i="1"/>
  <c r="I3377" i="1"/>
  <c r="J3377" i="1"/>
  <c r="K3377" i="1"/>
  <c r="H3378" i="1"/>
  <c r="I3378" i="1"/>
  <c r="J3378" i="1"/>
  <c r="K3378" i="1"/>
  <c r="H3379" i="1"/>
  <c r="I3379" i="1"/>
  <c r="J3379" i="1"/>
  <c r="K3379" i="1"/>
  <c r="H3380" i="1"/>
  <c r="I3380" i="1"/>
  <c r="J3380" i="1"/>
  <c r="K3380" i="1"/>
  <c r="H3381" i="1"/>
  <c r="I3381" i="1"/>
  <c r="J3381" i="1"/>
  <c r="K3381" i="1"/>
  <c r="H3382" i="1"/>
  <c r="I3382" i="1"/>
  <c r="J3382" i="1"/>
  <c r="K3382" i="1"/>
  <c r="H3383" i="1"/>
  <c r="I3383" i="1"/>
  <c r="J3383" i="1"/>
  <c r="K3383" i="1"/>
  <c r="H3384" i="1"/>
  <c r="I3384" i="1"/>
  <c r="J3384" i="1"/>
  <c r="K3384" i="1"/>
  <c r="H3385" i="1"/>
  <c r="I3385" i="1"/>
  <c r="J3385" i="1"/>
  <c r="K3385" i="1"/>
  <c r="H3386" i="1"/>
  <c r="I3386" i="1"/>
  <c r="J3386" i="1"/>
  <c r="K3386" i="1"/>
  <c r="H3387" i="1"/>
  <c r="I3387" i="1"/>
  <c r="J3387" i="1"/>
  <c r="K3387" i="1"/>
  <c r="H3388" i="1"/>
  <c r="I3388" i="1"/>
  <c r="J3388" i="1"/>
  <c r="K3388" i="1"/>
  <c r="H3389" i="1"/>
  <c r="I3389" i="1"/>
  <c r="J3389" i="1"/>
  <c r="K3389" i="1"/>
  <c r="H3390" i="1"/>
  <c r="I3390" i="1"/>
  <c r="J3390" i="1"/>
  <c r="K3390" i="1"/>
  <c r="H3391" i="1"/>
  <c r="I3391" i="1"/>
  <c r="J3391" i="1"/>
  <c r="K3391" i="1"/>
  <c r="H3392" i="1"/>
  <c r="I3392" i="1"/>
  <c r="J3392" i="1"/>
  <c r="K3392" i="1"/>
  <c r="H3393" i="1"/>
  <c r="I3393" i="1"/>
  <c r="J3393" i="1"/>
  <c r="K3393" i="1"/>
  <c r="H3394" i="1"/>
  <c r="I3394" i="1"/>
  <c r="J3394" i="1"/>
  <c r="K3394" i="1"/>
  <c r="H3395" i="1"/>
  <c r="I3395" i="1"/>
  <c r="J3395" i="1"/>
  <c r="K3395" i="1"/>
  <c r="H3396" i="1"/>
  <c r="I3396" i="1"/>
  <c r="J3396" i="1"/>
  <c r="K3396" i="1"/>
  <c r="H3397" i="1"/>
  <c r="I3397" i="1"/>
  <c r="J3397" i="1"/>
  <c r="K3397" i="1"/>
  <c r="H3398" i="1"/>
  <c r="I3398" i="1"/>
  <c r="J3398" i="1"/>
  <c r="K3398" i="1"/>
  <c r="H3399" i="1"/>
  <c r="I3399" i="1"/>
  <c r="J3399" i="1"/>
  <c r="K3399" i="1"/>
  <c r="H3400" i="1"/>
  <c r="I3400" i="1"/>
  <c r="J3400" i="1"/>
  <c r="K3400" i="1"/>
  <c r="H3401" i="1"/>
  <c r="I3401" i="1"/>
  <c r="J3401" i="1"/>
  <c r="K3401" i="1"/>
  <c r="H3402" i="1"/>
  <c r="I3402" i="1"/>
  <c r="J3402" i="1"/>
  <c r="K3402" i="1"/>
  <c r="H3403" i="1"/>
  <c r="I3403" i="1"/>
  <c r="J3403" i="1"/>
  <c r="K3403" i="1"/>
  <c r="H3404" i="1"/>
  <c r="I3404" i="1"/>
  <c r="J3404" i="1"/>
  <c r="K3404" i="1"/>
  <c r="H3405" i="1"/>
  <c r="I3405" i="1"/>
  <c r="J3405" i="1"/>
  <c r="K3405" i="1"/>
  <c r="H3406" i="1"/>
  <c r="I3406" i="1"/>
  <c r="J3406" i="1"/>
  <c r="K3406" i="1"/>
  <c r="H3407" i="1"/>
  <c r="I3407" i="1"/>
  <c r="J3407" i="1"/>
  <c r="K3407" i="1"/>
  <c r="H3408" i="1"/>
  <c r="I3408" i="1"/>
  <c r="J3408" i="1"/>
  <c r="K3408" i="1"/>
  <c r="H3409" i="1"/>
  <c r="I3409" i="1"/>
  <c r="J3409" i="1"/>
  <c r="K3409" i="1"/>
  <c r="H3410" i="1"/>
  <c r="I3410" i="1"/>
  <c r="J3410" i="1"/>
  <c r="K3410" i="1"/>
  <c r="H3411" i="1"/>
  <c r="I3411" i="1"/>
  <c r="J3411" i="1"/>
  <c r="K3411" i="1"/>
  <c r="H3412" i="1"/>
  <c r="I3412" i="1"/>
  <c r="J3412" i="1"/>
  <c r="K3412" i="1"/>
  <c r="H3413" i="1"/>
  <c r="I3413" i="1"/>
  <c r="J3413" i="1"/>
  <c r="K3413" i="1"/>
  <c r="H3414" i="1"/>
  <c r="I3414" i="1"/>
  <c r="J3414" i="1"/>
  <c r="K3414" i="1"/>
  <c r="H3415" i="1"/>
  <c r="I3415" i="1"/>
  <c r="J3415" i="1"/>
  <c r="K3415" i="1"/>
  <c r="H3416" i="1"/>
  <c r="I3416" i="1"/>
  <c r="J3416" i="1"/>
  <c r="K3416" i="1"/>
  <c r="H3417" i="1"/>
  <c r="I3417" i="1"/>
  <c r="J3417" i="1"/>
  <c r="K3417" i="1"/>
  <c r="H3418" i="1"/>
  <c r="I3418" i="1"/>
  <c r="J3418" i="1"/>
  <c r="K3418" i="1"/>
  <c r="H3419" i="1"/>
  <c r="I3419" i="1"/>
  <c r="J3419" i="1"/>
  <c r="K3419" i="1"/>
  <c r="H3420" i="1"/>
  <c r="I3420" i="1"/>
  <c r="J3420" i="1"/>
  <c r="K3420" i="1"/>
  <c r="H3421" i="1"/>
  <c r="I3421" i="1"/>
  <c r="J3421" i="1"/>
  <c r="K3421" i="1"/>
  <c r="H3422" i="1"/>
  <c r="I3422" i="1"/>
  <c r="J3422" i="1"/>
  <c r="K3422" i="1"/>
  <c r="H3423" i="1"/>
  <c r="I3423" i="1"/>
  <c r="J3423" i="1"/>
  <c r="K3423" i="1"/>
  <c r="H3424" i="1"/>
  <c r="I3424" i="1"/>
  <c r="J3424" i="1"/>
  <c r="K3424" i="1"/>
  <c r="H3425" i="1"/>
  <c r="I3425" i="1"/>
  <c r="J3425" i="1"/>
  <c r="K3425" i="1"/>
  <c r="H3426" i="1"/>
  <c r="I3426" i="1"/>
  <c r="J3426" i="1"/>
  <c r="K3426" i="1"/>
  <c r="H3427" i="1"/>
  <c r="I3427" i="1"/>
  <c r="J3427" i="1"/>
  <c r="K3427" i="1"/>
  <c r="H3428" i="1"/>
  <c r="I3428" i="1"/>
  <c r="J3428" i="1"/>
  <c r="K3428" i="1"/>
  <c r="H3429" i="1"/>
  <c r="I3429" i="1"/>
  <c r="J3429" i="1"/>
  <c r="K3429" i="1"/>
  <c r="H3430" i="1"/>
  <c r="I3430" i="1"/>
  <c r="J3430" i="1"/>
  <c r="K3430" i="1"/>
  <c r="H3431" i="1"/>
  <c r="I3431" i="1"/>
  <c r="J3431" i="1"/>
  <c r="K3431" i="1"/>
  <c r="H3432" i="1"/>
  <c r="I3432" i="1"/>
  <c r="J3432" i="1"/>
  <c r="K3432" i="1"/>
  <c r="H3433" i="1"/>
  <c r="I3433" i="1"/>
  <c r="J3433" i="1"/>
  <c r="K3433" i="1"/>
  <c r="H3434" i="1"/>
  <c r="I3434" i="1"/>
  <c r="J3434" i="1"/>
  <c r="K3434" i="1"/>
  <c r="H3435" i="1"/>
  <c r="I3435" i="1"/>
  <c r="J3435" i="1"/>
  <c r="K3435" i="1"/>
  <c r="H3436" i="1"/>
  <c r="I3436" i="1"/>
  <c r="J3436" i="1"/>
  <c r="K3436" i="1"/>
  <c r="H3437" i="1"/>
  <c r="I3437" i="1"/>
  <c r="J3437" i="1"/>
  <c r="K3437" i="1"/>
  <c r="H3438" i="1"/>
  <c r="I3438" i="1"/>
  <c r="J3438" i="1"/>
  <c r="K3438" i="1"/>
  <c r="H3439" i="1"/>
  <c r="I3439" i="1"/>
  <c r="J3439" i="1"/>
  <c r="K3439" i="1"/>
  <c r="H3440" i="1"/>
  <c r="I3440" i="1"/>
  <c r="J3440" i="1"/>
  <c r="K3440" i="1"/>
  <c r="H3441" i="1"/>
  <c r="I3441" i="1"/>
  <c r="J3441" i="1"/>
  <c r="K3441" i="1"/>
  <c r="H3442" i="1"/>
  <c r="I3442" i="1"/>
  <c r="J3442" i="1"/>
  <c r="K3442" i="1"/>
  <c r="H3443" i="1"/>
  <c r="I3443" i="1"/>
  <c r="J3443" i="1"/>
  <c r="K3443" i="1"/>
  <c r="H3444" i="1"/>
  <c r="I3444" i="1"/>
  <c r="J3444" i="1"/>
  <c r="K3444" i="1"/>
  <c r="H3445" i="1"/>
  <c r="I3445" i="1"/>
  <c r="J3445" i="1"/>
  <c r="K3445" i="1"/>
  <c r="H3446" i="1"/>
  <c r="I3446" i="1"/>
  <c r="J3446" i="1"/>
  <c r="K3446" i="1"/>
  <c r="H3447" i="1"/>
  <c r="I3447" i="1"/>
  <c r="J3447" i="1"/>
  <c r="K3447" i="1"/>
  <c r="H3448" i="1"/>
  <c r="I3448" i="1"/>
  <c r="J3448" i="1"/>
  <c r="K3448" i="1"/>
  <c r="H3449" i="1"/>
  <c r="I3449" i="1"/>
  <c r="J3449" i="1"/>
  <c r="K3449" i="1"/>
  <c r="H3450" i="1"/>
  <c r="I3450" i="1"/>
  <c r="J3450" i="1"/>
  <c r="K3450" i="1"/>
  <c r="H3451" i="1"/>
  <c r="I3451" i="1"/>
  <c r="J3451" i="1"/>
  <c r="K3451" i="1"/>
  <c r="H3452" i="1"/>
  <c r="I3452" i="1"/>
  <c r="J3452" i="1"/>
  <c r="K3452" i="1"/>
  <c r="H3453" i="1"/>
  <c r="I3453" i="1"/>
  <c r="J3453" i="1"/>
  <c r="K3453" i="1"/>
  <c r="H3454" i="1"/>
  <c r="I3454" i="1"/>
  <c r="J3454" i="1"/>
  <c r="K3454" i="1"/>
  <c r="H3455" i="1"/>
  <c r="I3455" i="1"/>
  <c r="J3455" i="1"/>
  <c r="K3455" i="1"/>
  <c r="H3456" i="1"/>
  <c r="I3456" i="1"/>
  <c r="J3456" i="1"/>
  <c r="K3456" i="1"/>
  <c r="H3457" i="1"/>
  <c r="I3457" i="1"/>
  <c r="J3457" i="1"/>
  <c r="K3457" i="1"/>
  <c r="H3458" i="1"/>
  <c r="I3458" i="1"/>
  <c r="J3458" i="1"/>
  <c r="K3458" i="1"/>
  <c r="H3459" i="1"/>
  <c r="I3459" i="1"/>
  <c r="J3459" i="1"/>
  <c r="K3459" i="1"/>
  <c r="H3460" i="1"/>
  <c r="I3460" i="1"/>
  <c r="J3460" i="1"/>
  <c r="K3460" i="1"/>
  <c r="H3461" i="1"/>
  <c r="I3461" i="1"/>
  <c r="J3461" i="1"/>
  <c r="K3461" i="1"/>
  <c r="H3462" i="1"/>
  <c r="I3462" i="1"/>
  <c r="J3462" i="1"/>
  <c r="K3462" i="1"/>
  <c r="H3463" i="1"/>
  <c r="I3463" i="1"/>
  <c r="J3463" i="1"/>
  <c r="K3463" i="1"/>
  <c r="H3464" i="1"/>
  <c r="I3464" i="1"/>
  <c r="J3464" i="1"/>
  <c r="K3464" i="1"/>
  <c r="H3465" i="1"/>
  <c r="I3465" i="1"/>
  <c r="J3465" i="1"/>
  <c r="K3465" i="1"/>
  <c r="H3466" i="1"/>
  <c r="I3466" i="1"/>
  <c r="J3466" i="1"/>
  <c r="K3466" i="1"/>
  <c r="H3467" i="1"/>
  <c r="I3467" i="1"/>
  <c r="J3467" i="1"/>
  <c r="K3467" i="1"/>
  <c r="H3468" i="1"/>
  <c r="I3468" i="1"/>
  <c r="J3468" i="1"/>
  <c r="K3468" i="1"/>
  <c r="H3469" i="1"/>
  <c r="I3469" i="1"/>
  <c r="J3469" i="1"/>
  <c r="K3469" i="1"/>
  <c r="H3470" i="1"/>
  <c r="I3470" i="1"/>
  <c r="J3470" i="1"/>
  <c r="K3470" i="1"/>
  <c r="H3471" i="1"/>
  <c r="I3471" i="1"/>
  <c r="J3471" i="1"/>
  <c r="K3471" i="1"/>
  <c r="H3472" i="1"/>
  <c r="I3472" i="1"/>
  <c r="J3472" i="1"/>
  <c r="K3472" i="1"/>
  <c r="H3473" i="1"/>
  <c r="I3473" i="1"/>
  <c r="J3473" i="1"/>
  <c r="K3473" i="1"/>
  <c r="H3474" i="1"/>
  <c r="I3474" i="1"/>
  <c r="J3474" i="1"/>
  <c r="K3474" i="1"/>
  <c r="H3475" i="1"/>
  <c r="I3475" i="1"/>
  <c r="J3475" i="1"/>
  <c r="K3475" i="1"/>
  <c r="H3476" i="1"/>
  <c r="I3476" i="1"/>
  <c r="J3476" i="1"/>
  <c r="K3476" i="1"/>
  <c r="H3477" i="1"/>
  <c r="I3477" i="1"/>
  <c r="J3477" i="1"/>
  <c r="K3477" i="1"/>
  <c r="H3478" i="1"/>
  <c r="I3478" i="1"/>
  <c r="J3478" i="1"/>
  <c r="K3478" i="1"/>
  <c r="H3479" i="1"/>
  <c r="I3479" i="1"/>
  <c r="J3479" i="1"/>
  <c r="K3479" i="1"/>
  <c r="H3480" i="1"/>
  <c r="I3480" i="1"/>
  <c r="J3480" i="1"/>
  <c r="K3480" i="1"/>
  <c r="H3481" i="1"/>
  <c r="I3481" i="1"/>
  <c r="J3481" i="1"/>
  <c r="K3481" i="1"/>
  <c r="H3482" i="1"/>
  <c r="I3482" i="1"/>
  <c r="J3482" i="1"/>
  <c r="K3482" i="1"/>
  <c r="H3483" i="1"/>
  <c r="I3483" i="1"/>
  <c r="J3483" i="1"/>
  <c r="K3483" i="1"/>
  <c r="H3484" i="1"/>
  <c r="I3484" i="1"/>
  <c r="J3484" i="1"/>
  <c r="K3484" i="1"/>
  <c r="H3485" i="1"/>
  <c r="I3485" i="1"/>
  <c r="J3485" i="1"/>
  <c r="K3485" i="1"/>
  <c r="H3486" i="1"/>
  <c r="I3486" i="1"/>
  <c r="J3486" i="1"/>
  <c r="K3486" i="1"/>
  <c r="H3487" i="1"/>
  <c r="I3487" i="1"/>
  <c r="J3487" i="1"/>
  <c r="K3487" i="1"/>
  <c r="H3488" i="1"/>
  <c r="I3488" i="1"/>
  <c r="J3488" i="1"/>
  <c r="K3488" i="1"/>
  <c r="H3489" i="1"/>
  <c r="I3489" i="1"/>
  <c r="J3489" i="1"/>
  <c r="K3489" i="1"/>
  <c r="H3490" i="1"/>
  <c r="I3490" i="1"/>
  <c r="J3490" i="1"/>
  <c r="K3490" i="1"/>
  <c r="H3491" i="1"/>
  <c r="I3491" i="1"/>
  <c r="J3491" i="1"/>
  <c r="K3491" i="1"/>
  <c r="H3492" i="1"/>
  <c r="I3492" i="1"/>
  <c r="J3492" i="1"/>
  <c r="K3492" i="1"/>
  <c r="H3493" i="1"/>
  <c r="I3493" i="1"/>
  <c r="J3493" i="1"/>
  <c r="K3493" i="1"/>
  <c r="H3494" i="1"/>
  <c r="I3494" i="1"/>
  <c r="J3494" i="1"/>
  <c r="K3494" i="1"/>
  <c r="H3495" i="1"/>
  <c r="I3495" i="1"/>
  <c r="J3495" i="1"/>
  <c r="K3495" i="1"/>
  <c r="H3496" i="1"/>
  <c r="I3496" i="1"/>
  <c r="J3496" i="1"/>
  <c r="K3496" i="1"/>
  <c r="H3497" i="1"/>
  <c r="I3497" i="1"/>
  <c r="J3497" i="1"/>
  <c r="K3497" i="1"/>
  <c r="H3498" i="1"/>
  <c r="I3498" i="1"/>
  <c r="J3498" i="1"/>
  <c r="K3498" i="1"/>
  <c r="H3499" i="1"/>
  <c r="I3499" i="1"/>
  <c r="J3499" i="1"/>
  <c r="K3499" i="1"/>
  <c r="H3500" i="1"/>
  <c r="I3500" i="1"/>
  <c r="J3500" i="1"/>
  <c r="K3500" i="1"/>
  <c r="H3501" i="1"/>
  <c r="I3501" i="1"/>
  <c r="J3501" i="1"/>
  <c r="K3501" i="1"/>
  <c r="H3502" i="1"/>
  <c r="I3502" i="1"/>
  <c r="J3502" i="1"/>
  <c r="K3502" i="1"/>
  <c r="H3503" i="1"/>
  <c r="I3503" i="1"/>
  <c r="J3503" i="1"/>
  <c r="K3503" i="1"/>
  <c r="H3504" i="1"/>
  <c r="I3504" i="1"/>
  <c r="J3504" i="1"/>
  <c r="K3504" i="1"/>
  <c r="H3505" i="1"/>
  <c r="I3505" i="1"/>
  <c r="J3505" i="1"/>
  <c r="K3505" i="1"/>
  <c r="H3506" i="1"/>
  <c r="I3506" i="1"/>
  <c r="J3506" i="1"/>
  <c r="K3506" i="1"/>
  <c r="H3507" i="1"/>
  <c r="I3507" i="1"/>
  <c r="J3507" i="1"/>
  <c r="K3507" i="1"/>
  <c r="H3508" i="1"/>
  <c r="I3508" i="1"/>
  <c r="J3508" i="1"/>
  <c r="K3508" i="1"/>
  <c r="H3509" i="1"/>
  <c r="I3509" i="1"/>
  <c r="J3509" i="1"/>
  <c r="K3509" i="1"/>
  <c r="H3510" i="1"/>
  <c r="I3510" i="1"/>
  <c r="J3510" i="1"/>
  <c r="K3510" i="1"/>
  <c r="H3511" i="1"/>
  <c r="I3511" i="1"/>
  <c r="J3511" i="1"/>
  <c r="K3511" i="1"/>
  <c r="H3512" i="1"/>
  <c r="I3512" i="1"/>
  <c r="J3512" i="1"/>
  <c r="K3512" i="1"/>
  <c r="H3513" i="1"/>
  <c r="I3513" i="1"/>
  <c r="J3513" i="1"/>
  <c r="K3513" i="1"/>
  <c r="H3514" i="1"/>
  <c r="I3514" i="1"/>
  <c r="J3514" i="1"/>
  <c r="K3514" i="1"/>
  <c r="H3515" i="1"/>
  <c r="I3515" i="1"/>
  <c r="J3515" i="1"/>
  <c r="K3515" i="1"/>
  <c r="H3516" i="1"/>
  <c r="I3516" i="1"/>
  <c r="J3516" i="1"/>
  <c r="K3516" i="1"/>
  <c r="H3517" i="1"/>
  <c r="I3517" i="1"/>
  <c r="J3517" i="1"/>
  <c r="K3517" i="1"/>
  <c r="H3518" i="1"/>
  <c r="I3518" i="1"/>
  <c r="J3518" i="1"/>
  <c r="K3518" i="1"/>
  <c r="H3519" i="1"/>
  <c r="I3519" i="1"/>
  <c r="J3519" i="1"/>
  <c r="K3519" i="1"/>
  <c r="H3520" i="1"/>
  <c r="I3520" i="1"/>
  <c r="J3520" i="1"/>
  <c r="K3520" i="1"/>
  <c r="H3521" i="1"/>
  <c r="I3521" i="1"/>
  <c r="J3521" i="1"/>
  <c r="K3521" i="1"/>
  <c r="H3522" i="1"/>
  <c r="I3522" i="1"/>
  <c r="J3522" i="1"/>
  <c r="K3522" i="1"/>
  <c r="H3523" i="1"/>
  <c r="I3523" i="1"/>
  <c r="J3523" i="1"/>
  <c r="K3523" i="1"/>
  <c r="H3524" i="1"/>
  <c r="I3524" i="1"/>
  <c r="J3524" i="1"/>
  <c r="K3524" i="1"/>
  <c r="H3525" i="1"/>
  <c r="I3525" i="1"/>
  <c r="J3525" i="1"/>
  <c r="K3525" i="1"/>
  <c r="H3526" i="1"/>
  <c r="I3526" i="1"/>
  <c r="J3526" i="1"/>
  <c r="K3526" i="1"/>
  <c r="H3527" i="1"/>
  <c r="I3527" i="1"/>
  <c r="J3527" i="1"/>
  <c r="K3527" i="1"/>
  <c r="H3528" i="1"/>
  <c r="I3528" i="1"/>
  <c r="J3528" i="1"/>
  <c r="K3528" i="1"/>
  <c r="H3529" i="1"/>
  <c r="I3529" i="1"/>
  <c r="J3529" i="1"/>
  <c r="K3529" i="1"/>
  <c r="H3530" i="1"/>
  <c r="I3530" i="1"/>
  <c r="J3530" i="1"/>
  <c r="K3530" i="1"/>
  <c r="H3531" i="1"/>
  <c r="I3531" i="1"/>
  <c r="J3531" i="1"/>
  <c r="K3531" i="1"/>
  <c r="H3532" i="1"/>
  <c r="I3532" i="1"/>
  <c r="J3532" i="1"/>
  <c r="K3532" i="1"/>
  <c r="H3533" i="1"/>
  <c r="I3533" i="1"/>
  <c r="J3533" i="1"/>
  <c r="K3533" i="1"/>
  <c r="H3534" i="1"/>
  <c r="I3534" i="1"/>
  <c r="J3534" i="1"/>
  <c r="K3534" i="1"/>
  <c r="H3535" i="1"/>
  <c r="I3535" i="1"/>
  <c r="J3535" i="1"/>
  <c r="K3535" i="1"/>
  <c r="H3536" i="1"/>
  <c r="I3536" i="1"/>
  <c r="J3536" i="1"/>
  <c r="K3536" i="1"/>
  <c r="H3537" i="1"/>
  <c r="I3537" i="1"/>
  <c r="J3537" i="1"/>
  <c r="K3537" i="1"/>
  <c r="H3538" i="1"/>
  <c r="I3538" i="1"/>
  <c r="J3538" i="1"/>
  <c r="K3538" i="1"/>
  <c r="H3539" i="1"/>
  <c r="I3539" i="1"/>
  <c r="J3539" i="1"/>
  <c r="K3539" i="1"/>
  <c r="H3540" i="1"/>
  <c r="I3540" i="1"/>
  <c r="J3540" i="1"/>
  <c r="K3540" i="1"/>
  <c r="H3541" i="1"/>
  <c r="I3541" i="1"/>
  <c r="J3541" i="1"/>
  <c r="K3541" i="1"/>
  <c r="H3542" i="1"/>
  <c r="I3542" i="1"/>
  <c r="J3542" i="1"/>
  <c r="K3542" i="1"/>
  <c r="H3543" i="1"/>
  <c r="I3543" i="1"/>
  <c r="J3543" i="1"/>
  <c r="K3543" i="1"/>
  <c r="H3544" i="1"/>
  <c r="I3544" i="1"/>
  <c r="J3544" i="1"/>
  <c r="K3544" i="1"/>
  <c r="H3545" i="1"/>
  <c r="I3545" i="1"/>
  <c r="J3545" i="1"/>
  <c r="K3545" i="1"/>
  <c r="H3546" i="1"/>
  <c r="I3546" i="1"/>
  <c r="J3546" i="1"/>
  <c r="K3546" i="1"/>
  <c r="H3547" i="1"/>
  <c r="I3547" i="1"/>
  <c r="J3547" i="1"/>
  <c r="K3547" i="1"/>
  <c r="H3548" i="1"/>
  <c r="I3548" i="1"/>
  <c r="J3548" i="1"/>
  <c r="K3548" i="1"/>
  <c r="H3549" i="1"/>
  <c r="I3549" i="1"/>
  <c r="J3549" i="1"/>
  <c r="K3549" i="1"/>
  <c r="H3550" i="1"/>
  <c r="I3550" i="1"/>
  <c r="J3550" i="1"/>
  <c r="K3550" i="1"/>
  <c r="H3551" i="1"/>
  <c r="I3551" i="1"/>
  <c r="J3551" i="1"/>
  <c r="K3551" i="1"/>
  <c r="H3552" i="1"/>
  <c r="I3552" i="1"/>
  <c r="J3552" i="1"/>
  <c r="K3552" i="1"/>
  <c r="H3553" i="1"/>
  <c r="I3553" i="1"/>
  <c r="J3553" i="1"/>
  <c r="K3553" i="1"/>
  <c r="H3554" i="1"/>
  <c r="I3554" i="1"/>
  <c r="J3554" i="1"/>
  <c r="K3554" i="1"/>
  <c r="H3555" i="1"/>
  <c r="I3555" i="1"/>
  <c r="J3555" i="1"/>
  <c r="K3555" i="1"/>
  <c r="H3556" i="1"/>
  <c r="I3556" i="1"/>
  <c r="J3556" i="1"/>
  <c r="K3556" i="1"/>
  <c r="H3557" i="1"/>
  <c r="I3557" i="1"/>
  <c r="J3557" i="1"/>
  <c r="K3557" i="1"/>
  <c r="H3558" i="1"/>
  <c r="I3558" i="1"/>
  <c r="J3558" i="1"/>
  <c r="K3558" i="1"/>
  <c r="H3559" i="1"/>
  <c r="I3559" i="1"/>
  <c r="J3559" i="1"/>
  <c r="K3559" i="1"/>
  <c r="H3560" i="1"/>
  <c r="I3560" i="1"/>
  <c r="J3560" i="1"/>
  <c r="K3560" i="1"/>
  <c r="H3561" i="1"/>
  <c r="I3561" i="1"/>
  <c r="J3561" i="1"/>
  <c r="K3561" i="1"/>
  <c r="H3562" i="1"/>
  <c r="I3562" i="1"/>
  <c r="J3562" i="1"/>
  <c r="K3562" i="1"/>
  <c r="H3563" i="1"/>
  <c r="I3563" i="1"/>
  <c r="J3563" i="1"/>
  <c r="K3563" i="1"/>
  <c r="H3564" i="1"/>
  <c r="I3564" i="1"/>
  <c r="J3564" i="1"/>
  <c r="K3564" i="1"/>
  <c r="H3565" i="1"/>
  <c r="I3565" i="1"/>
  <c r="J3565" i="1"/>
  <c r="K3565" i="1"/>
  <c r="H3566" i="1"/>
  <c r="I3566" i="1"/>
  <c r="J3566" i="1"/>
  <c r="K3566" i="1"/>
  <c r="H3567" i="1"/>
  <c r="I3567" i="1"/>
  <c r="J3567" i="1"/>
  <c r="K3567" i="1"/>
  <c r="H3568" i="1"/>
  <c r="I3568" i="1"/>
  <c r="J3568" i="1"/>
  <c r="K3568" i="1"/>
  <c r="H3569" i="1"/>
  <c r="I3569" i="1"/>
  <c r="J3569" i="1"/>
  <c r="K3569" i="1"/>
  <c r="H3570" i="1"/>
  <c r="I3570" i="1"/>
  <c r="J3570" i="1"/>
  <c r="K3570" i="1"/>
  <c r="H3571" i="1"/>
  <c r="I3571" i="1"/>
  <c r="J3571" i="1"/>
  <c r="K3571" i="1"/>
  <c r="H3572" i="1"/>
  <c r="I3572" i="1"/>
  <c r="J3572" i="1"/>
  <c r="K3572" i="1"/>
  <c r="H3573" i="1"/>
  <c r="I3573" i="1"/>
  <c r="J3573" i="1"/>
  <c r="K3573" i="1"/>
  <c r="H3574" i="1"/>
  <c r="I3574" i="1"/>
  <c r="J3574" i="1"/>
  <c r="K3574" i="1"/>
  <c r="H3575" i="1"/>
  <c r="I3575" i="1"/>
  <c r="J3575" i="1"/>
  <c r="K3575" i="1"/>
  <c r="H3576" i="1"/>
  <c r="I3576" i="1"/>
  <c r="J3576" i="1"/>
  <c r="K3576" i="1"/>
  <c r="H3577" i="1"/>
  <c r="I3577" i="1"/>
  <c r="J3577" i="1"/>
  <c r="K3577" i="1"/>
  <c r="H3578" i="1"/>
  <c r="I3578" i="1"/>
  <c r="J3578" i="1"/>
  <c r="K3578" i="1"/>
  <c r="H3579" i="1"/>
  <c r="I3579" i="1"/>
  <c r="J3579" i="1"/>
  <c r="K3579" i="1"/>
  <c r="H3580" i="1"/>
  <c r="I3580" i="1"/>
  <c r="J3580" i="1"/>
  <c r="K3580" i="1"/>
  <c r="H3581" i="1"/>
  <c r="I3581" i="1"/>
  <c r="J3581" i="1"/>
  <c r="K3581" i="1"/>
  <c r="H3582" i="1"/>
  <c r="I3582" i="1"/>
  <c r="J3582" i="1"/>
  <c r="K3582" i="1"/>
  <c r="H3583" i="1"/>
  <c r="I3583" i="1"/>
  <c r="J3583" i="1"/>
  <c r="K3583" i="1"/>
  <c r="H3584" i="1"/>
  <c r="I3584" i="1"/>
  <c r="J3584" i="1"/>
  <c r="K3584" i="1"/>
  <c r="H3585" i="1"/>
  <c r="I3585" i="1"/>
  <c r="J3585" i="1"/>
  <c r="K3585" i="1"/>
  <c r="H3586" i="1"/>
  <c r="I3586" i="1"/>
  <c r="J3586" i="1"/>
  <c r="K3586" i="1"/>
  <c r="H3587" i="1"/>
  <c r="I3587" i="1"/>
  <c r="J3587" i="1"/>
  <c r="K3587" i="1"/>
  <c r="H3588" i="1"/>
  <c r="I3588" i="1"/>
  <c r="J3588" i="1"/>
  <c r="K3588" i="1"/>
  <c r="H3589" i="1"/>
  <c r="I3589" i="1"/>
  <c r="J3589" i="1"/>
  <c r="K3589" i="1"/>
  <c r="H3590" i="1"/>
  <c r="I3590" i="1"/>
  <c r="J3590" i="1"/>
  <c r="K3590" i="1"/>
  <c r="H3591" i="1"/>
  <c r="I3591" i="1"/>
  <c r="J3591" i="1"/>
  <c r="K3591" i="1"/>
  <c r="H3592" i="1"/>
  <c r="I3592" i="1"/>
  <c r="J3592" i="1"/>
  <c r="K3592" i="1"/>
  <c r="H3593" i="1"/>
  <c r="I3593" i="1"/>
  <c r="J3593" i="1"/>
  <c r="K3593" i="1"/>
  <c r="H3594" i="1"/>
  <c r="I3594" i="1"/>
  <c r="J3594" i="1"/>
  <c r="K3594" i="1"/>
  <c r="H3595" i="1"/>
  <c r="I3595" i="1"/>
  <c r="J3595" i="1"/>
  <c r="K3595" i="1"/>
  <c r="H3596" i="1"/>
  <c r="I3596" i="1"/>
  <c r="J3596" i="1"/>
  <c r="K3596" i="1"/>
  <c r="H3597" i="1"/>
  <c r="I3597" i="1"/>
  <c r="J3597" i="1"/>
  <c r="K3597" i="1"/>
  <c r="H3598" i="1"/>
  <c r="I3598" i="1"/>
  <c r="J3598" i="1"/>
  <c r="K3598" i="1"/>
  <c r="H3599" i="1"/>
  <c r="I3599" i="1"/>
  <c r="J3599" i="1"/>
  <c r="K3599" i="1"/>
  <c r="H3600" i="1"/>
  <c r="I3600" i="1"/>
  <c r="J3600" i="1"/>
  <c r="K3600" i="1"/>
  <c r="H3601" i="1"/>
  <c r="I3601" i="1"/>
  <c r="J3601" i="1"/>
  <c r="K3601" i="1"/>
  <c r="H3602" i="1"/>
  <c r="I3602" i="1"/>
  <c r="J3602" i="1"/>
  <c r="K3602" i="1"/>
  <c r="H3603" i="1"/>
  <c r="I3603" i="1"/>
  <c r="J3603" i="1"/>
  <c r="K3603" i="1"/>
  <c r="H3604" i="1"/>
  <c r="I3604" i="1"/>
  <c r="J3604" i="1"/>
  <c r="K3604" i="1"/>
  <c r="H3605" i="1"/>
  <c r="I3605" i="1"/>
  <c r="J3605" i="1"/>
  <c r="K3605" i="1"/>
  <c r="H3606" i="1"/>
  <c r="I3606" i="1"/>
  <c r="J3606" i="1"/>
  <c r="K3606" i="1"/>
  <c r="H3607" i="1"/>
  <c r="I3607" i="1"/>
  <c r="J3607" i="1"/>
  <c r="K3607" i="1"/>
  <c r="H3608" i="1"/>
  <c r="I3608" i="1"/>
  <c r="J3608" i="1"/>
  <c r="K3608" i="1"/>
  <c r="H3609" i="1"/>
  <c r="I3609" i="1"/>
  <c r="J3609" i="1"/>
  <c r="K3609" i="1"/>
  <c r="H3610" i="1"/>
  <c r="I3610" i="1"/>
  <c r="J3610" i="1"/>
  <c r="K3610" i="1"/>
  <c r="H3611" i="1"/>
  <c r="I3611" i="1"/>
  <c r="J3611" i="1"/>
  <c r="K3611" i="1"/>
  <c r="H3612" i="1"/>
  <c r="I3612" i="1"/>
  <c r="J3612" i="1"/>
  <c r="K3612" i="1"/>
  <c r="H3613" i="1"/>
  <c r="I3613" i="1"/>
  <c r="J3613" i="1"/>
  <c r="K3613" i="1"/>
  <c r="H3614" i="1"/>
  <c r="I3614" i="1"/>
  <c r="J3614" i="1"/>
  <c r="K3614" i="1"/>
  <c r="H3615" i="1"/>
  <c r="I3615" i="1"/>
  <c r="J3615" i="1"/>
  <c r="K3615" i="1"/>
  <c r="H3616" i="1"/>
  <c r="I3616" i="1"/>
  <c r="J3616" i="1"/>
  <c r="K3616" i="1"/>
  <c r="H3617" i="1"/>
  <c r="I3617" i="1"/>
  <c r="J3617" i="1"/>
  <c r="K3617" i="1"/>
  <c r="H3618" i="1"/>
  <c r="I3618" i="1"/>
  <c r="J3618" i="1"/>
  <c r="K3618" i="1"/>
  <c r="H3619" i="1"/>
  <c r="I3619" i="1"/>
  <c r="J3619" i="1"/>
  <c r="K3619" i="1"/>
  <c r="H3620" i="1"/>
  <c r="I3620" i="1"/>
  <c r="J3620" i="1"/>
  <c r="K3620" i="1"/>
  <c r="H3621" i="1"/>
  <c r="I3621" i="1"/>
  <c r="J3621" i="1"/>
  <c r="K3621" i="1"/>
  <c r="H3622" i="1"/>
  <c r="I3622" i="1"/>
  <c r="J3622" i="1"/>
  <c r="K3622" i="1"/>
  <c r="H3623" i="1"/>
  <c r="I3623" i="1"/>
  <c r="J3623" i="1"/>
  <c r="K3623" i="1"/>
  <c r="H3624" i="1"/>
  <c r="I3624" i="1"/>
  <c r="J3624" i="1"/>
  <c r="K3624" i="1"/>
  <c r="H3625" i="1"/>
  <c r="I3625" i="1"/>
  <c r="J3625" i="1"/>
  <c r="K3625" i="1"/>
  <c r="H3626" i="1"/>
  <c r="I3626" i="1"/>
  <c r="J3626" i="1"/>
  <c r="K3626" i="1"/>
  <c r="H3627" i="1"/>
  <c r="I3627" i="1"/>
  <c r="J3627" i="1"/>
  <c r="K3627" i="1"/>
  <c r="H3628" i="1"/>
  <c r="I3628" i="1"/>
  <c r="J3628" i="1"/>
  <c r="K3628" i="1"/>
  <c r="H3629" i="1"/>
  <c r="I3629" i="1"/>
  <c r="J3629" i="1"/>
  <c r="K3629" i="1"/>
  <c r="H3630" i="1"/>
  <c r="I3630" i="1"/>
  <c r="J3630" i="1"/>
  <c r="K3630" i="1"/>
  <c r="H3631" i="1"/>
  <c r="I3631" i="1"/>
  <c r="J3631" i="1"/>
  <c r="K3631" i="1"/>
  <c r="H3632" i="1"/>
  <c r="I3632" i="1"/>
  <c r="J3632" i="1"/>
  <c r="K3632" i="1"/>
  <c r="H3633" i="1"/>
  <c r="I3633" i="1"/>
  <c r="J3633" i="1"/>
  <c r="K3633" i="1"/>
  <c r="H3634" i="1"/>
  <c r="I3634" i="1"/>
  <c r="J3634" i="1"/>
  <c r="K3634" i="1"/>
  <c r="H3635" i="1"/>
  <c r="I3635" i="1"/>
  <c r="J3635" i="1"/>
  <c r="K3635" i="1"/>
  <c r="H3636" i="1"/>
  <c r="I3636" i="1"/>
  <c r="J3636" i="1"/>
  <c r="K3636" i="1"/>
  <c r="H3637" i="1"/>
  <c r="I3637" i="1"/>
  <c r="J3637" i="1"/>
  <c r="K3637" i="1"/>
  <c r="H3638" i="1"/>
  <c r="I3638" i="1"/>
  <c r="J3638" i="1"/>
  <c r="K3638" i="1"/>
  <c r="H3639" i="1"/>
  <c r="I3639" i="1"/>
  <c r="J3639" i="1"/>
  <c r="K3639" i="1"/>
  <c r="H3640" i="1"/>
  <c r="I3640" i="1"/>
  <c r="J3640" i="1"/>
  <c r="K3640" i="1"/>
  <c r="H3641" i="1"/>
  <c r="I3641" i="1"/>
  <c r="J3641" i="1"/>
  <c r="K3641" i="1"/>
  <c r="H3642" i="1"/>
  <c r="I3642" i="1"/>
  <c r="J3642" i="1"/>
  <c r="K3642" i="1"/>
  <c r="H3643" i="1"/>
  <c r="I3643" i="1"/>
  <c r="J3643" i="1"/>
  <c r="K3643" i="1"/>
  <c r="H3644" i="1"/>
  <c r="I3644" i="1"/>
  <c r="J3644" i="1"/>
  <c r="K3644" i="1"/>
  <c r="H3645" i="1"/>
  <c r="I3645" i="1"/>
  <c r="J3645" i="1"/>
  <c r="K3645" i="1"/>
  <c r="H3646" i="1"/>
  <c r="I3646" i="1"/>
  <c r="J3646" i="1"/>
  <c r="K3646" i="1"/>
  <c r="H3647" i="1"/>
  <c r="I3647" i="1"/>
  <c r="J3647" i="1"/>
  <c r="K3647" i="1"/>
  <c r="H3648" i="1"/>
  <c r="I3648" i="1"/>
  <c r="J3648" i="1"/>
  <c r="K3648" i="1"/>
  <c r="H3649" i="1"/>
  <c r="I3649" i="1"/>
  <c r="J3649" i="1"/>
  <c r="K3649" i="1"/>
  <c r="H3650" i="1"/>
  <c r="I3650" i="1"/>
  <c r="J3650" i="1"/>
  <c r="K3650" i="1"/>
  <c r="H3651" i="1"/>
  <c r="I3651" i="1"/>
  <c r="J3651" i="1"/>
  <c r="K3651" i="1"/>
  <c r="H3652" i="1"/>
  <c r="I3652" i="1"/>
  <c r="J3652" i="1"/>
  <c r="K3652" i="1"/>
  <c r="H3653" i="1"/>
  <c r="I3653" i="1"/>
  <c r="J3653" i="1"/>
  <c r="K3653" i="1"/>
  <c r="H3654" i="1"/>
  <c r="I3654" i="1"/>
  <c r="J3654" i="1"/>
  <c r="K3654" i="1"/>
  <c r="H3655" i="1"/>
  <c r="I3655" i="1"/>
  <c r="J3655" i="1"/>
  <c r="K3655" i="1"/>
  <c r="H3656" i="1"/>
  <c r="I3656" i="1"/>
  <c r="J3656" i="1"/>
  <c r="K3656" i="1"/>
  <c r="H3657" i="1"/>
  <c r="I3657" i="1"/>
  <c r="J3657" i="1"/>
  <c r="K3657" i="1"/>
  <c r="H3658" i="1"/>
  <c r="I3658" i="1"/>
  <c r="J3658" i="1"/>
  <c r="K3658" i="1"/>
  <c r="H3659" i="1"/>
  <c r="I3659" i="1"/>
  <c r="J3659" i="1"/>
  <c r="K3659" i="1"/>
  <c r="H3660" i="1"/>
  <c r="I3660" i="1"/>
  <c r="J3660" i="1"/>
  <c r="K3660" i="1"/>
  <c r="H3661" i="1"/>
  <c r="I3661" i="1"/>
  <c r="J3661" i="1"/>
  <c r="K3661" i="1"/>
  <c r="H3662" i="1"/>
  <c r="I3662" i="1"/>
  <c r="J3662" i="1"/>
  <c r="K3662" i="1"/>
  <c r="H3663" i="1"/>
  <c r="I3663" i="1"/>
  <c r="J3663" i="1"/>
  <c r="K3663" i="1"/>
  <c r="H3664" i="1"/>
  <c r="I3664" i="1"/>
  <c r="J3664" i="1"/>
  <c r="K3664" i="1"/>
  <c r="H3665" i="1"/>
  <c r="I3665" i="1"/>
  <c r="J3665" i="1"/>
  <c r="K3665" i="1"/>
  <c r="H3666" i="1"/>
  <c r="I3666" i="1"/>
  <c r="J3666" i="1"/>
  <c r="K3666" i="1"/>
  <c r="H3667" i="1"/>
  <c r="I3667" i="1"/>
  <c r="J3667" i="1"/>
  <c r="K3667" i="1"/>
  <c r="H3668" i="1"/>
  <c r="I3668" i="1"/>
  <c r="J3668" i="1"/>
  <c r="K3668" i="1"/>
  <c r="H3669" i="1"/>
  <c r="I3669" i="1"/>
  <c r="J3669" i="1"/>
  <c r="K3669" i="1"/>
  <c r="H3670" i="1"/>
  <c r="I3670" i="1"/>
  <c r="J3670" i="1"/>
  <c r="K3670" i="1"/>
  <c r="H3671" i="1"/>
  <c r="I3671" i="1"/>
  <c r="J3671" i="1"/>
  <c r="K3671" i="1"/>
  <c r="H3672" i="1"/>
  <c r="I3672" i="1"/>
  <c r="J3672" i="1"/>
  <c r="K3672" i="1"/>
  <c r="H3673" i="1"/>
  <c r="I3673" i="1"/>
  <c r="J3673" i="1"/>
  <c r="K3673" i="1"/>
  <c r="H3674" i="1"/>
  <c r="I3674" i="1"/>
  <c r="J3674" i="1"/>
  <c r="K3674" i="1"/>
  <c r="H3675" i="1"/>
  <c r="I3675" i="1"/>
  <c r="J3675" i="1"/>
  <c r="K3675" i="1"/>
  <c r="H3676" i="1"/>
  <c r="I3676" i="1"/>
  <c r="J3676" i="1"/>
  <c r="K3676" i="1"/>
  <c r="H3677" i="1"/>
  <c r="I3677" i="1"/>
  <c r="J3677" i="1"/>
  <c r="K3677" i="1"/>
  <c r="H3678" i="1"/>
  <c r="I3678" i="1"/>
  <c r="J3678" i="1"/>
  <c r="K3678" i="1"/>
  <c r="H3679" i="1"/>
  <c r="I3679" i="1"/>
  <c r="J3679" i="1"/>
  <c r="K3679" i="1"/>
  <c r="H3680" i="1"/>
  <c r="I3680" i="1"/>
  <c r="J3680" i="1"/>
  <c r="K3680" i="1"/>
  <c r="H3681" i="1"/>
  <c r="I3681" i="1"/>
  <c r="J3681" i="1"/>
  <c r="K3681" i="1"/>
  <c r="H3682" i="1"/>
  <c r="I3682" i="1"/>
  <c r="J3682" i="1"/>
  <c r="K3682" i="1"/>
  <c r="H3683" i="1"/>
  <c r="I3683" i="1"/>
  <c r="J3683" i="1"/>
  <c r="K3683" i="1"/>
  <c r="H3684" i="1"/>
  <c r="I3684" i="1"/>
  <c r="J3684" i="1"/>
  <c r="K3684" i="1"/>
  <c r="H3685" i="1"/>
  <c r="I3685" i="1"/>
  <c r="J3685" i="1"/>
  <c r="K3685" i="1"/>
  <c r="H3686" i="1"/>
  <c r="I3686" i="1"/>
  <c r="J3686" i="1"/>
  <c r="K3686" i="1"/>
  <c r="H3687" i="1"/>
  <c r="I3687" i="1"/>
  <c r="J3687" i="1"/>
  <c r="K3687" i="1"/>
  <c r="H3688" i="1"/>
  <c r="I3688" i="1"/>
  <c r="J3688" i="1"/>
  <c r="K3688" i="1"/>
  <c r="H3689" i="1"/>
  <c r="I3689" i="1"/>
  <c r="J3689" i="1"/>
  <c r="K3689" i="1"/>
  <c r="H3690" i="1"/>
  <c r="I3690" i="1"/>
  <c r="J3690" i="1"/>
  <c r="K3690" i="1"/>
  <c r="H3691" i="1"/>
  <c r="I3691" i="1"/>
  <c r="J3691" i="1"/>
  <c r="K3691" i="1"/>
  <c r="H3692" i="1"/>
  <c r="I3692" i="1"/>
  <c r="J3692" i="1"/>
  <c r="K3692" i="1"/>
  <c r="H3693" i="1"/>
  <c r="I3693" i="1"/>
  <c r="J3693" i="1"/>
  <c r="K3693" i="1"/>
  <c r="H3694" i="1"/>
  <c r="I3694" i="1"/>
  <c r="J3694" i="1"/>
  <c r="K3694" i="1"/>
  <c r="H3695" i="1"/>
  <c r="I3695" i="1"/>
  <c r="J3695" i="1"/>
  <c r="K3695" i="1"/>
  <c r="H3696" i="1"/>
  <c r="I3696" i="1"/>
  <c r="J3696" i="1"/>
  <c r="K3696" i="1"/>
  <c r="H3697" i="1"/>
  <c r="I3697" i="1"/>
  <c r="J3697" i="1"/>
  <c r="K3697" i="1"/>
  <c r="H3698" i="1"/>
  <c r="I3698" i="1"/>
  <c r="J3698" i="1"/>
  <c r="K3698" i="1"/>
  <c r="H3699" i="1"/>
  <c r="I3699" i="1"/>
  <c r="J3699" i="1"/>
  <c r="K3699" i="1"/>
  <c r="H3700" i="1"/>
  <c r="I3700" i="1"/>
  <c r="J3700" i="1"/>
  <c r="K3700" i="1"/>
  <c r="H3701" i="1"/>
  <c r="I3701" i="1"/>
  <c r="J3701" i="1"/>
  <c r="K3701" i="1"/>
  <c r="H3702" i="1"/>
  <c r="I3702" i="1"/>
  <c r="J3702" i="1"/>
  <c r="K3702" i="1"/>
  <c r="H3703" i="1"/>
  <c r="I3703" i="1"/>
  <c r="J3703" i="1"/>
  <c r="K3703" i="1"/>
  <c r="H3704" i="1"/>
  <c r="I3704" i="1"/>
  <c r="J3704" i="1"/>
  <c r="K3704" i="1"/>
  <c r="H3705" i="1"/>
  <c r="I3705" i="1"/>
  <c r="J3705" i="1"/>
  <c r="K3705" i="1"/>
  <c r="H3706" i="1"/>
  <c r="I3706" i="1"/>
  <c r="J3706" i="1"/>
  <c r="K3706" i="1"/>
  <c r="H3707" i="1"/>
  <c r="I3707" i="1"/>
  <c r="J3707" i="1"/>
  <c r="K3707" i="1"/>
  <c r="H3708" i="1"/>
  <c r="I3708" i="1"/>
  <c r="J3708" i="1"/>
  <c r="K3708" i="1"/>
  <c r="H3709" i="1"/>
  <c r="I3709" i="1"/>
  <c r="J3709" i="1"/>
  <c r="K3709" i="1"/>
  <c r="H3710" i="1"/>
  <c r="I3710" i="1"/>
  <c r="J3710" i="1"/>
  <c r="K3710" i="1"/>
  <c r="H3711" i="1"/>
  <c r="I3711" i="1"/>
  <c r="J3711" i="1"/>
  <c r="K3711" i="1"/>
  <c r="H3712" i="1"/>
  <c r="I3712" i="1"/>
  <c r="J3712" i="1"/>
  <c r="K3712" i="1"/>
  <c r="H3713" i="1"/>
  <c r="I3713" i="1"/>
  <c r="J3713" i="1"/>
  <c r="K3713" i="1"/>
  <c r="H3714" i="1"/>
  <c r="I3714" i="1"/>
  <c r="J3714" i="1"/>
  <c r="K3714" i="1"/>
  <c r="H3715" i="1"/>
  <c r="I3715" i="1"/>
  <c r="J3715" i="1"/>
  <c r="K3715" i="1"/>
  <c r="H3716" i="1"/>
  <c r="I3716" i="1"/>
  <c r="J3716" i="1"/>
  <c r="K3716" i="1"/>
  <c r="H3717" i="1"/>
  <c r="I3717" i="1"/>
  <c r="J3717" i="1"/>
  <c r="K3717" i="1"/>
  <c r="H3718" i="1"/>
  <c r="I3718" i="1"/>
  <c r="J3718" i="1"/>
  <c r="K3718" i="1"/>
  <c r="H3719" i="1"/>
  <c r="I3719" i="1"/>
  <c r="J3719" i="1"/>
  <c r="K3719" i="1"/>
  <c r="H3720" i="1"/>
  <c r="I3720" i="1"/>
  <c r="J3720" i="1"/>
  <c r="K3720" i="1"/>
  <c r="H3721" i="1"/>
  <c r="I3721" i="1"/>
  <c r="J3721" i="1"/>
  <c r="K3721" i="1"/>
  <c r="H3722" i="1"/>
  <c r="I3722" i="1"/>
  <c r="J3722" i="1"/>
  <c r="K3722" i="1"/>
  <c r="H3723" i="1"/>
  <c r="I3723" i="1"/>
  <c r="J3723" i="1"/>
  <c r="K3723" i="1"/>
  <c r="H3724" i="1"/>
  <c r="I3724" i="1"/>
  <c r="J3724" i="1"/>
  <c r="K3724" i="1"/>
  <c r="H3725" i="1"/>
  <c r="I3725" i="1"/>
  <c r="J3725" i="1"/>
  <c r="K3725" i="1"/>
  <c r="H3726" i="1"/>
  <c r="I3726" i="1"/>
  <c r="J3726" i="1"/>
  <c r="K3726" i="1"/>
  <c r="H3727" i="1"/>
  <c r="I3727" i="1"/>
  <c r="J3727" i="1"/>
  <c r="K3727" i="1"/>
  <c r="H3728" i="1"/>
  <c r="I3728" i="1"/>
  <c r="J3728" i="1"/>
  <c r="K3728" i="1"/>
  <c r="H3729" i="1"/>
  <c r="I3729" i="1"/>
  <c r="J3729" i="1"/>
  <c r="K3729" i="1"/>
  <c r="H3730" i="1"/>
  <c r="I3730" i="1"/>
  <c r="J3730" i="1"/>
  <c r="K3730" i="1"/>
  <c r="H3731" i="1"/>
  <c r="I3731" i="1"/>
  <c r="J3731" i="1"/>
  <c r="K3731" i="1"/>
  <c r="H3732" i="1"/>
  <c r="I3732" i="1"/>
  <c r="J3732" i="1"/>
  <c r="K3732" i="1"/>
  <c r="H3733" i="1"/>
  <c r="I3733" i="1"/>
  <c r="J3733" i="1"/>
  <c r="K3733" i="1"/>
  <c r="H3734" i="1"/>
  <c r="I3734" i="1"/>
  <c r="J3734" i="1"/>
  <c r="K3734" i="1"/>
  <c r="H3735" i="1"/>
  <c r="I3735" i="1"/>
  <c r="J3735" i="1"/>
  <c r="K3735" i="1"/>
  <c r="H3736" i="1"/>
  <c r="I3736" i="1"/>
  <c r="J3736" i="1"/>
  <c r="K3736" i="1"/>
  <c r="H3737" i="1"/>
  <c r="I3737" i="1"/>
  <c r="J3737" i="1"/>
  <c r="K3737" i="1"/>
  <c r="H3738" i="1"/>
  <c r="I3738" i="1"/>
  <c r="J3738" i="1"/>
  <c r="K3738" i="1"/>
  <c r="H3739" i="1"/>
  <c r="I3739" i="1"/>
  <c r="J3739" i="1"/>
  <c r="K3739" i="1"/>
  <c r="H3740" i="1"/>
  <c r="I3740" i="1"/>
  <c r="J3740" i="1"/>
  <c r="K3740" i="1"/>
  <c r="H3741" i="1"/>
  <c r="I3741" i="1"/>
  <c r="J3741" i="1"/>
  <c r="K3741" i="1"/>
  <c r="H3742" i="1"/>
  <c r="I3742" i="1"/>
  <c r="J3742" i="1"/>
  <c r="K3742" i="1"/>
  <c r="H3743" i="1"/>
  <c r="I3743" i="1"/>
  <c r="J3743" i="1"/>
  <c r="K3743" i="1"/>
  <c r="H3744" i="1"/>
  <c r="I3744" i="1"/>
  <c r="J3744" i="1"/>
  <c r="K3744" i="1"/>
  <c r="H3745" i="1"/>
  <c r="I3745" i="1"/>
  <c r="J3745" i="1"/>
  <c r="K3745" i="1"/>
  <c r="H3746" i="1"/>
  <c r="I3746" i="1"/>
  <c r="J3746" i="1"/>
  <c r="K3746" i="1"/>
  <c r="H3747" i="1"/>
  <c r="I3747" i="1"/>
  <c r="J3747" i="1"/>
  <c r="K3747" i="1"/>
  <c r="H3748" i="1"/>
  <c r="I3748" i="1"/>
  <c r="J3748" i="1"/>
  <c r="K3748" i="1"/>
  <c r="H3749" i="1"/>
  <c r="I3749" i="1"/>
  <c r="J3749" i="1"/>
  <c r="K3749" i="1"/>
  <c r="H3750" i="1"/>
  <c r="I3750" i="1"/>
  <c r="J3750" i="1"/>
  <c r="K3750" i="1"/>
  <c r="H3751" i="1"/>
  <c r="I3751" i="1"/>
  <c r="J3751" i="1"/>
  <c r="K3751" i="1"/>
  <c r="H3752" i="1"/>
  <c r="I3752" i="1"/>
  <c r="J3752" i="1"/>
  <c r="K3752" i="1"/>
  <c r="H3753" i="1"/>
  <c r="I3753" i="1"/>
  <c r="J3753" i="1"/>
  <c r="K3753" i="1"/>
  <c r="H3754" i="1"/>
  <c r="I3754" i="1"/>
  <c r="J3754" i="1"/>
  <c r="K3754" i="1"/>
  <c r="H3755" i="1"/>
  <c r="I3755" i="1"/>
  <c r="J3755" i="1"/>
  <c r="K3755" i="1"/>
  <c r="H3756" i="1"/>
  <c r="I3756" i="1"/>
  <c r="J3756" i="1"/>
  <c r="K3756" i="1"/>
  <c r="H3757" i="1"/>
  <c r="I3757" i="1"/>
  <c r="J3757" i="1"/>
  <c r="K3757" i="1"/>
  <c r="H3758" i="1"/>
  <c r="I3758" i="1"/>
  <c r="J3758" i="1"/>
  <c r="K3758" i="1"/>
  <c r="H3759" i="1"/>
  <c r="I3759" i="1"/>
  <c r="J3759" i="1"/>
  <c r="K3759" i="1"/>
  <c r="H3760" i="1"/>
  <c r="I3760" i="1"/>
  <c r="J3760" i="1"/>
  <c r="K3760" i="1"/>
  <c r="H3761" i="1"/>
  <c r="I3761" i="1"/>
  <c r="J3761" i="1"/>
  <c r="K3761" i="1"/>
  <c r="H3762" i="1"/>
  <c r="I3762" i="1"/>
  <c r="J3762" i="1"/>
  <c r="K3762" i="1"/>
  <c r="H3763" i="1"/>
  <c r="I3763" i="1"/>
  <c r="J3763" i="1"/>
  <c r="K3763" i="1"/>
  <c r="H3764" i="1"/>
  <c r="I3764" i="1"/>
  <c r="J3764" i="1"/>
  <c r="K3764" i="1"/>
  <c r="H3765" i="1"/>
  <c r="I3765" i="1"/>
  <c r="J3765" i="1"/>
  <c r="K3765" i="1"/>
  <c r="H3766" i="1"/>
  <c r="I3766" i="1"/>
  <c r="J3766" i="1"/>
  <c r="K3766" i="1"/>
  <c r="H3767" i="1"/>
  <c r="I3767" i="1"/>
  <c r="J3767" i="1"/>
  <c r="K3767" i="1"/>
  <c r="H3768" i="1"/>
  <c r="I3768" i="1"/>
  <c r="J3768" i="1"/>
  <c r="K3768" i="1"/>
  <c r="H3769" i="1"/>
  <c r="I3769" i="1"/>
  <c r="J3769" i="1"/>
  <c r="K3769" i="1"/>
  <c r="H3770" i="1"/>
  <c r="I3770" i="1"/>
  <c r="J3770" i="1"/>
  <c r="K3770" i="1"/>
  <c r="H3771" i="1"/>
  <c r="I3771" i="1"/>
  <c r="J3771" i="1"/>
  <c r="K3771" i="1"/>
  <c r="H3772" i="1"/>
  <c r="I3772" i="1"/>
  <c r="J3772" i="1"/>
  <c r="K3772" i="1"/>
  <c r="H3773" i="1"/>
  <c r="I3773" i="1"/>
  <c r="J3773" i="1"/>
  <c r="K3773" i="1"/>
  <c r="H3774" i="1"/>
  <c r="I3774" i="1"/>
  <c r="J3774" i="1"/>
  <c r="K3774" i="1"/>
  <c r="H3775" i="1"/>
  <c r="I3775" i="1"/>
  <c r="J3775" i="1"/>
  <c r="K3775" i="1"/>
  <c r="H3776" i="1"/>
  <c r="I3776" i="1"/>
  <c r="J3776" i="1"/>
  <c r="K3776" i="1"/>
  <c r="H3777" i="1"/>
  <c r="I3777" i="1"/>
  <c r="J3777" i="1"/>
  <c r="K3777" i="1"/>
  <c r="H3778" i="1"/>
  <c r="I3778" i="1"/>
  <c r="J3778" i="1"/>
  <c r="K3778" i="1"/>
  <c r="H3779" i="1"/>
  <c r="I3779" i="1"/>
  <c r="J3779" i="1"/>
  <c r="K3779" i="1"/>
  <c r="H3780" i="1"/>
  <c r="I3780" i="1"/>
  <c r="J3780" i="1"/>
  <c r="K3780" i="1"/>
  <c r="H3781" i="1"/>
  <c r="I3781" i="1"/>
  <c r="J3781" i="1"/>
  <c r="K3781" i="1"/>
  <c r="H3782" i="1"/>
  <c r="I3782" i="1"/>
  <c r="J3782" i="1"/>
  <c r="K3782" i="1"/>
  <c r="H3783" i="1"/>
  <c r="I3783" i="1"/>
  <c r="J3783" i="1"/>
  <c r="K3783" i="1"/>
  <c r="H3784" i="1"/>
  <c r="I3784" i="1"/>
  <c r="J3784" i="1"/>
  <c r="K3784" i="1"/>
  <c r="H3785" i="1"/>
  <c r="I3785" i="1"/>
  <c r="J3785" i="1"/>
  <c r="K3785" i="1"/>
  <c r="H3786" i="1"/>
  <c r="I3786" i="1"/>
  <c r="J3786" i="1"/>
  <c r="K3786" i="1"/>
  <c r="H3787" i="1"/>
  <c r="I3787" i="1"/>
  <c r="J3787" i="1"/>
  <c r="K3787" i="1"/>
  <c r="H3788" i="1"/>
  <c r="I3788" i="1"/>
  <c r="J3788" i="1"/>
  <c r="K3788" i="1"/>
  <c r="H3789" i="1"/>
  <c r="I3789" i="1"/>
  <c r="J3789" i="1"/>
  <c r="K3789" i="1"/>
  <c r="H3790" i="1"/>
  <c r="I3790" i="1"/>
  <c r="J3790" i="1"/>
  <c r="K3790" i="1"/>
  <c r="H3791" i="1"/>
  <c r="I3791" i="1"/>
  <c r="J3791" i="1"/>
  <c r="K3791" i="1"/>
  <c r="H3792" i="1"/>
  <c r="I3792" i="1"/>
  <c r="J3792" i="1"/>
  <c r="K3792" i="1"/>
  <c r="H3793" i="1"/>
  <c r="I3793" i="1"/>
  <c r="J3793" i="1"/>
  <c r="K3793" i="1"/>
  <c r="H3794" i="1"/>
  <c r="I3794" i="1"/>
  <c r="J3794" i="1"/>
  <c r="K3794" i="1"/>
  <c r="H3795" i="1"/>
  <c r="I3795" i="1"/>
  <c r="J3795" i="1"/>
  <c r="K3795" i="1"/>
  <c r="H3796" i="1"/>
  <c r="I3796" i="1"/>
  <c r="J3796" i="1"/>
  <c r="K3796" i="1"/>
  <c r="H3797" i="1"/>
  <c r="I3797" i="1"/>
  <c r="J3797" i="1"/>
  <c r="K3797" i="1"/>
  <c r="H3798" i="1"/>
  <c r="I3798" i="1"/>
  <c r="J3798" i="1"/>
  <c r="K3798" i="1"/>
  <c r="H3799" i="1"/>
  <c r="I3799" i="1"/>
  <c r="J3799" i="1"/>
  <c r="K3799" i="1"/>
  <c r="H3800" i="1"/>
  <c r="I3800" i="1"/>
  <c r="J3800" i="1"/>
  <c r="K3800" i="1"/>
  <c r="H3801" i="1"/>
  <c r="I3801" i="1"/>
  <c r="J3801" i="1"/>
  <c r="K3801" i="1"/>
  <c r="H3802" i="1"/>
  <c r="I3802" i="1"/>
  <c r="J3802" i="1"/>
  <c r="K3802" i="1"/>
  <c r="H3803" i="1"/>
  <c r="I3803" i="1"/>
  <c r="J3803" i="1"/>
  <c r="K3803" i="1"/>
  <c r="H3804" i="1"/>
  <c r="I3804" i="1"/>
  <c r="J3804" i="1"/>
  <c r="K3804" i="1"/>
  <c r="H3805" i="1"/>
  <c r="I3805" i="1"/>
  <c r="J3805" i="1"/>
  <c r="K3805" i="1"/>
  <c r="H3806" i="1"/>
  <c r="I3806" i="1"/>
  <c r="J3806" i="1"/>
  <c r="K3806" i="1"/>
  <c r="H3807" i="1"/>
  <c r="I3807" i="1"/>
  <c r="J3807" i="1"/>
  <c r="K3807" i="1"/>
  <c r="H3808" i="1"/>
  <c r="I3808" i="1"/>
  <c r="J3808" i="1"/>
  <c r="K3808" i="1"/>
  <c r="H3809" i="1"/>
  <c r="I3809" i="1"/>
  <c r="J3809" i="1"/>
  <c r="K3809" i="1"/>
  <c r="H3810" i="1"/>
  <c r="I3810" i="1"/>
  <c r="J3810" i="1"/>
  <c r="K3810" i="1"/>
  <c r="H3811" i="1"/>
  <c r="I3811" i="1"/>
  <c r="J3811" i="1"/>
  <c r="K3811" i="1"/>
  <c r="H3812" i="1"/>
  <c r="I3812" i="1"/>
  <c r="J3812" i="1"/>
  <c r="K3812" i="1"/>
  <c r="H3813" i="1"/>
  <c r="I3813" i="1"/>
  <c r="J3813" i="1"/>
  <c r="K3813" i="1"/>
  <c r="H3814" i="1"/>
  <c r="I3814" i="1"/>
  <c r="J3814" i="1"/>
  <c r="K3814" i="1"/>
  <c r="H3815" i="1"/>
  <c r="I3815" i="1"/>
  <c r="J3815" i="1"/>
  <c r="K3815" i="1"/>
  <c r="H3816" i="1"/>
  <c r="I3816" i="1"/>
  <c r="J3816" i="1"/>
  <c r="K3816" i="1"/>
  <c r="H3817" i="1"/>
  <c r="I3817" i="1"/>
  <c r="J3817" i="1"/>
  <c r="K3817" i="1"/>
  <c r="H3818" i="1"/>
  <c r="I3818" i="1"/>
  <c r="J3818" i="1"/>
  <c r="K3818" i="1"/>
  <c r="H3819" i="1"/>
  <c r="I3819" i="1"/>
  <c r="J3819" i="1"/>
  <c r="K3819" i="1"/>
  <c r="H3820" i="1"/>
  <c r="I3820" i="1"/>
  <c r="J3820" i="1"/>
  <c r="K3820" i="1"/>
  <c r="H3821" i="1"/>
  <c r="I3821" i="1"/>
  <c r="J3821" i="1"/>
  <c r="K3821" i="1"/>
  <c r="H3822" i="1"/>
  <c r="I3822" i="1"/>
  <c r="J3822" i="1"/>
  <c r="K3822" i="1"/>
  <c r="H3823" i="1"/>
  <c r="I3823" i="1"/>
  <c r="J3823" i="1"/>
  <c r="K3823" i="1"/>
  <c r="H3824" i="1"/>
  <c r="I3824" i="1"/>
  <c r="J3824" i="1"/>
  <c r="K3824" i="1"/>
  <c r="H3825" i="1"/>
  <c r="I3825" i="1"/>
  <c r="J3825" i="1"/>
  <c r="K3825" i="1"/>
  <c r="H3826" i="1"/>
  <c r="I3826" i="1"/>
  <c r="J3826" i="1"/>
  <c r="K3826" i="1"/>
  <c r="H3827" i="1"/>
  <c r="I3827" i="1"/>
  <c r="J3827" i="1"/>
  <c r="K3827" i="1"/>
  <c r="H3828" i="1"/>
  <c r="I3828" i="1"/>
  <c r="J3828" i="1"/>
  <c r="K3828" i="1"/>
  <c r="H3829" i="1"/>
  <c r="I3829" i="1"/>
  <c r="J3829" i="1"/>
  <c r="K3829" i="1"/>
  <c r="H3830" i="1"/>
  <c r="I3830" i="1"/>
  <c r="J3830" i="1"/>
  <c r="K3830" i="1"/>
  <c r="H3831" i="1"/>
  <c r="I3831" i="1"/>
  <c r="J3831" i="1"/>
  <c r="K3831" i="1"/>
  <c r="H3832" i="1"/>
  <c r="I3832" i="1"/>
  <c r="J3832" i="1"/>
  <c r="K3832" i="1"/>
  <c r="H3833" i="1"/>
  <c r="I3833" i="1"/>
  <c r="J3833" i="1"/>
  <c r="K3833" i="1"/>
  <c r="H3834" i="1"/>
  <c r="I3834" i="1"/>
  <c r="J3834" i="1"/>
  <c r="K3834" i="1"/>
  <c r="H3835" i="1"/>
  <c r="I3835" i="1"/>
  <c r="J3835" i="1"/>
  <c r="K3835" i="1"/>
  <c r="H3836" i="1"/>
  <c r="I3836" i="1"/>
  <c r="J3836" i="1"/>
  <c r="K3836" i="1"/>
  <c r="H3837" i="1"/>
  <c r="I3837" i="1"/>
  <c r="J3837" i="1"/>
  <c r="K3837" i="1"/>
  <c r="H3838" i="1"/>
  <c r="I3838" i="1"/>
  <c r="J3838" i="1"/>
  <c r="K3838" i="1"/>
  <c r="H3839" i="1"/>
  <c r="I3839" i="1"/>
  <c r="J3839" i="1"/>
  <c r="K3839" i="1"/>
  <c r="H3840" i="1"/>
  <c r="I3840" i="1"/>
  <c r="J3840" i="1"/>
  <c r="K3840" i="1"/>
  <c r="H3841" i="1"/>
  <c r="I3841" i="1"/>
  <c r="J3841" i="1"/>
  <c r="K3841" i="1"/>
  <c r="H3842" i="1"/>
  <c r="I3842" i="1"/>
  <c r="J3842" i="1"/>
  <c r="K3842" i="1"/>
  <c r="H3843" i="1"/>
  <c r="I3843" i="1"/>
  <c r="J3843" i="1"/>
  <c r="K3843" i="1"/>
  <c r="H3844" i="1"/>
  <c r="I3844" i="1"/>
  <c r="J3844" i="1"/>
  <c r="K3844" i="1"/>
  <c r="H3845" i="1"/>
  <c r="I3845" i="1"/>
  <c r="J3845" i="1"/>
  <c r="K3845" i="1"/>
  <c r="H3846" i="1"/>
  <c r="I3846" i="1"/>
  <c r="J3846" i="1"/>
  <c r="K3846" i="1"/>
  <c r="H3847" i="1"/>
  <c r="I3847" i="1"/>
  <c r="J3847" i="1"/>
  <c r="K3847" i="1"/>
  <c r="H3848" i="1"/>
  <c r="I3848" i="1"/>
  <c r="J3848" i="1"/>
  <c r="K3848" i="1"/>
  <c r="H3849" i="1"/>
  <c r="I3849" i="1"/>
  <c r="J3849" i="1"/>
  <c r="K3849" i="1"/>
  <c r="H3850" i="1"/>
  <c r="I3850" i="1"/>
  <c r="J3850" i="1"/>
  <c r="K3850" i="1"/>
  <c r="H3851" i="1"/>
  <c r="I3851" i="1"/>
  <c r="J3851" i="1"/>
  <c r="K3851" i="1"/>
  <c r="H3852" i="1"/>
  <c r="I3852" i="1"/>
  <c r="J3852" i="1"/>
  <c r="K3852" i="1"/>
  <c r="H3853" i="1"/>
  <c r="I3853" i="1"/>
  <c r="J3853" i="1"/>
  <c r="K3853" i="1"/>
  <c r="H3854" i="1"/>
  <c r="I3854" i="1"/>
  <c r="J3854" i="1"/>
  <c r="K3854" i="1"/>
  <c r="H3855" i="1"/>
  <c r="I3855" i="1"/>
  <c r="J3855" i="1"/>
  <c r="K3855" i="1"/>
  <c r="H3856" i="1"/>
  <c r="I3856" i="1"/>
  <c r="J3856" i="1"/>
  <c r="K3856" i="1"/>
  <c r="H3857" i="1"/>
  <c r="I3857" i="1"/>
  <c r="J3857" i="1"/>
  <c r="K3857" i="1"/>
  <c r="H3858" i="1"/>
  <c r="I3858" i="1"/>
  <c r="J3858" i="1"/>
  <c r="K3858" i="1"/>
  <c r="H3859" i="1"/>
  <c r="I3859" i="1"/>
  <c r="J3859" i="1"/>
  <c r="K3859" i="1"/>
  <c r="H3860" i="1"/>
  <c r="I3860" i="1"/>
  <c r="J3860" i="1"/>
  <c r="K3860" i="1"/>
  <c r="H3861" i="1"/>
  <c r="I3861" i="1"/>
  <c r="J3861" i="1"/>
  <c r="K3861" i="1"/>
  <c r="H3862" i="1"/>
  <c r="I3862" i="1"/>
  <c r="J3862" i="1"/>
  <c r="K3862" i="1"/>
  <c r="H3863" i="1"/>
  <c r="I3863" i="1"/>
  <c r="J3863" i="1"/>
  <c r="K3863" i="1"/>
  <c r="H3864" i="1"/>
  <c r="I3864" i="1"/>
  <c r="J3864" i="1"/>
  <c r="K3864" i="1"/>
  <c r="H3865" i="1"/>
  <c r="I3865" i="1"/>
  <c r="J3865" i="1"/>
  <c r="K3865" i="1"/>
  <c r="H3866" i="1"/>
  <c r="I3866" i="1"/>
  <c r="J3866" i="1"/>
  <c r="K3866" i="1"/>
  <c r="H3867" i="1"/>
  <c r="I3867" i="1"/>
  <c r="J3867" i="1"/>
  <c r="K3867" i="1"/>
  <c r="H3868" i="1"/>
  <c r="I3868" i="1"/>
  <c r="J3868" i="1"/>
  <c r="K3868" i="1"/>
  <c r="H3869" i="1"/>
  <c r="I3869" i="1"/>
  <c r="J3869" i="1"/>
  <c r="K3869" i="1"/>
  <c r="H3870" i="1"/>
  <c r="I3870" i="1"/>
  <c r="J3870" i="1"/>
  <c r="K3870" i="1"/>
  <c r="H3871" i="1"/>
  <c r="I3871" i="1"/>
  <c r="J3871" i="1"/>
  <c r="K3871" i="1"/>
  <c r="H3872" i="1"/>
  <c r="I3872" i="1"/>
  <c r="J3872" i="1"/>
  <c r="K3872" i="1"/>
  <c r="H3873" i="1"/>
  <c r="I3873" i="1"/>
  <c r="J3873" i="1"/>
  <c r="K3873" i="1"/>
  <c r="H3874" i="1"/>
  <c r="I3874" i="1"/>
  <c r="J3874" i="1"/>
  <c r="K3874" i="1"/>
  <c r="H3875" i="1"/>
  <c r="I3875" i="1"/>
  <c r="J3875" i="1"/>
  <c r="K3875" i="1"/>
  <c r="H3876" i="1"/>
  <c r="I3876" i="1"/>
  <c r="J3876" i="1"/>
  <c r="K3876" i="1"/>
  <c r="H3877" i="1"/>
  <c r="I3877" i="1"/>
  <c r="J3877" i="1"/>
  <c r="K3877" i="1"/>
  <c r="H3878" i="1"/>
  <c r="I3878" i="1"/>
  <c r="J3878" i="1"/>
  <c r="K3878" i="1"/>
  <c r="H3879" i="1"/>
  <c r="I3879" i="1"/>
  <c r="J3879" i="1"/>
  <c r="K3879" i="1"/>
  <c r="H3880" i="1"/>
  <c r="I3880" i="1"/>
  <c r="J3880" i="1"/>
  <c r="K3880" i="1"/>
  <c r="H3881" i="1"/>
  <c r="I3881" i="1"/>
  <c r="J3881" i="1"/>
  <c r="K3881" i="1"/>
  <c r="H3882" i="1"/>
  <c r="I3882" i="1"/>
  <c r="J3882" i="1"/>
  <c r="K3882" i="1"/>
  <c r="H3883" i="1"/>
  <c r="I3883" i="1"/>
  <c r="J3883" i="1"/>
  <c r="K3883" i="1"/>
  <c r="H3884" i="1"/>
  <c r="I3884" i="1"/>
  <c r="J3884" i="1"/>
  <c r="K3884" i="1"/>
  <c r="H3885" i="1"/>
  <c r="I3885" i="1"/>
  <c r="J3885" i="1"/>
  <c r="K3885" i="1"/>
  <c r="H3886" i="1"/>
  <c r="I3886" i="1"/>
  <c r="J3886" i="1"/>
  <c r="K3886" i="1"/>
  <c r="H3887" i="1"/>
  <c r="I3887" i="1"/>
  <c r="J3887" i="1"/>
  <c r="K3887" i="1"/>
  <c r="H3888" i="1"/>
  <c r="I3888" i="1"/>
  <c r="J3888" i="1"/>
  <c r="K3888" i="1"/>
  <c r="H3889" i="1"/>
  <c r="I3889" i="1"/>
  <c r="J3889" i="1"/>
  <c r="K3889" i="1"/>
  <c r="H3890" i="1"/>
  <c r="I3890" i="1"/>
  <c r="J3890" i="1"/>
  <c r="K3890" i="1"/>
  <c r="H3891" i="1"/>
  <c r="I3891" i="1"/>
  <c r="J3891" i="1"/>
  <c r="K3891" i="1"/>
  <c r="H3892" i="1"/>
  <c r="I3892" i="1"/>
  <c r="J3892" i="1"/>
  <c r="K3892" i="1"/>
  <c r="H3893" i="1"/>
  <c r="I3893" i="1"/>
  <c r="J3893" i="1"/>
  <c r="K3893" i="1"/>
  <c r="H3894" i="1"/>
  <c r="I3894" i="1"/>
  <c r="J3894" i="1"/>
  <c r="K3894" i="1"/>
  <c r="H3895" i="1"/>
  <c r="I3895" i="1"/>
  <c r="J3895" i="1"/>
  <c r="K3895" i="1"/>
  <c r="H3896" i="1"/>
  <c r="I3896" i="1"/>
  <c r="J3896" i="1"/>
  <c r="K3896" i="1"/>
  <c r="H3897" i="1"/>
  <c r="I3897" i="1"/>
  <c r="J3897" i="1"/>
  <c r="K3897" i="1"/>
  <c r="H3898" i="1"/>
  <c r="I3898" i="1"/>
  <c r="J3898" i="1"/>
  <c r="K3898" i="1"/>
  <c r="H3899" i="1"/>
  <c r="I3899" i="1"/>
  <c r="J3899" i="1"/>
  <c r="K3899" i="1"/>
  <c r="H3900" i="1"/>
  <c r="I3900" i="1"/>
  <c r="J3900" i="1"/>
  <c r="K3900" i="1"/>
  <c r="H3901" i="1"/>
  <c r="I3901" i="1"/>
  <c r="J3901" i="1"/>
  <c r="K3901" i="1"/>
  <c r="H3902" i="1"/>
  <c r="I3902" i="1"/>
  <c r="J3902" i="1"/>
  <c r="K3902" i="1"/>
  <c r="H3903" i="1"/>
  <c r="I3903" i="1"/>
  <c r="J3903" i="1"/>
  <c r="K3903" i="1"/>
  <c r="H3904" i="1"/>
  <c r="I3904" i="1"/>
  <c r="J3904" i="1"/>
  <c r="K3904" i="1"/>
  <c r="H3905" i="1"/>
  <c r="I3905" i="1"/>
  <c r="J3905" i="1"/>
  <c r="K3905" i="1"/>
  <c r="H3906" i="1"/>
  <c r="I3906" i="1"/>
  <c r="J3906" i="1"/>
  <c r="K3906" i="1"/>
  <c r="H3907" i="1"/>
  <c r="I3907" i="1"/>
  <c r="J3907" i="1"/>
  <c r="K3907" i="1"/>
  <c r="H3908" i="1"/>
  <c r="I3908" i="1"/>
  <c r="J3908" i="1"/>
  <c r="K3908" i="1"/>
  <c r="H3909" i="1"/>
  <c r="I3909" i="1"/>
  <c r="J3909" i="1"/>
  <c r="K3909" i="1"/>
  <c r="H3910" i="1"/>
  <c r="I3910" i="1"/>
  <c r="J3910" i="1"/>
  <c r="K3910" i="1"/>
  <c r="H3911" i="1"/>
  <c r="I3911" i="1"/>
  <c r="J3911" i="1"/>
  <c r="K3911" i="1"/>
  <c r="H3912" i="1"/>
  <c r="I3912" i="1"/>
  <c r="J3912" i="1"/>
  <c r="K3912" i="1"/>
  <c r="H3913" i="1"/>
  <c r="I3913" i="1"/>
  <c r="J3913" i="1"/>
  <c r="K3913" i="1"/>
  <c r="H3914" i="1"/>
  <c r="I3914" i="1"/>
  <c r="J3914" i="1"/>
  <c r="K3914" i="1"/>
  <c r="H3915" i="1"/>
  <c r="I3915" i="1"/>
  <c r="J3915" i="1"/>
  <c r="K3915" i="1"/>
  <c r="H3916" i="1"/>
  <c r="I3916" i="1"/>
  <c r="J3916" i="1"/>
  <c r="K3916" i="1"/>
  <c r="H3917" i="1"/>
  <c r="I3917" i="1"/>
  <c r="J3917" i="1"/>
  <c r="K3917" i="1"/>
  <c r="H3918" i="1"/>
  <c r="I3918" i="1"/>
  <c r="J3918" i="1"/>
  <c r="K3918" i="1"/>
  <c r="H3919" i="1"/>
  <c r="I3919" i="1"/>
  <c r="J3919" i="1"/>
  <c r="K3919" i="1"/>
  <c r="H3920" i="1"/>
  <c r="I3920" i="1"/>
  <c r="J3920" i="1"/>
  <c r="K3920" i="1"/>
  <c r="H3921" i="1"/>
  <c r="I3921" i="1"/>
  <c r="J3921" i="1"/>
  <c r="K3921" i="1"/>
  <c r="H3922" i="1"/>
  <c r="I3922" i="1"/>
  <c r="J3922" i="1"/>
  <c r="K3922" i="1"/>
  <c r="H3923" i="1"/>
  <c r="I3923" i="1"/>
  <c r="J3923" i="1"/>
  <c r="K3923" i="1"/>
  <c r="H3924" i="1"/>
  <c r="I3924" i="1"/>
  <c r="J3924" i="1"/>
  <c r="K3924" i="1"/>
  <c r="H3925" i="1"/>
  <c r="I3925" i="1"/>
  <c r="J3925" i="1"/>
  <c r="K3925" i="1"/>
  <c r="H3926" i="1"/>
  <c r="I3926" i="1"/>
  <c r="J3926" i="1"/>
  <c r="K3926" i="1"/>
  <c r="H3927" i="1"/>
  <c r="I3927" i="1"/>
  <c r="J3927" i="1"/>
  <c r="K3927" i="1"/>
  <c r="H3928" i="1"/>
  <c r="I3928" i="1"/>
  <c r="J3928" i="1"/>
  <c r="K3928" i="1"/>
  <c r="H3929" i="1"/>
  <c r="I3929" i="1"/>
  <c r="J3929" i="1"/>
  <c r="K3929" i="1"/>
  <c r="H3930" i="1"/>
  <c r="I3930" i="1"/>
  <c r="J3930" i="1"/>
  <c r="K3930" i="1"/>
  <c r="H3931" i="1"/>
  <c r="I3931" i="1"/>
  <c r="J3931" i="1"/>
  <c r="K3931" i="1"/>
  <c r="H3932" i="1"/>
  <c r="I3932" i="1"/>
  <c r="J3932" i="1"/>
  <c r="K3932" i="1"/>
  <c r="H3933" i="1"/>
  <c r="I3933" i="1"/>
  <c r="J3933" i="1"/>
  <c r="K3933" i="1"/>
  <c r="H3934" i="1"/>
  <c r="I3934" i="1"/>
  <c r="J3934" i="1"/>
  <c r="K3934" i="1"/>
  <c r="H3935" i="1"/>
  <c r="I3935" i="1"/>
  <c r="J3935" i="1"/>
  <c r="K3935" i="1"/>
  <c r="H3936" i="1"/>
  <c r="I3936" i="1"/>
  <c r="J3936" i="1"/>
  <c r="K3936" i="1"/>
  <c r="H3937" i="1"/>
  <c r="I3937" i="1"/>
  <c r="J3937" i="1"/>
  <c r="K3937" i="1"/>
  <c r="H3938" i="1"/>
  <c r="I3938" i="1"/>
  <c r="J3938" i="1"/>
  <c r="K3938" i="1"/>
  <c r="H3939" i="1"/>
  <c r="I3939" i="1"/>
  <c r="J3939" i="1"/>
  <c r="K3939" i="1"/>
  <c r="H3940" i="1"/>
  <c r="I3940" i="1"/>
  <c r="J3940" i="1"/>
  <c r="K3940" i="1"/>
  <c r="H3941" i="1"/>
  <c r="I3941" i="1"/>
  <c r="J3941" i="1"/>
  <c r="K3941" i="1"/>
  <c r="H3942" i="1"/>
  <c r="I3942" i="1"/>
  <c r="J3942" i="1"/>
  <c r="K3942" i="1"/>
  <c r="H3943" i="1"/>
  <c r="I3943" i="1"/>
  <c r="J3943" i="1"/>
  <c r="K3943" i="1"/>
  <c r="H3944" i="1"/>
  <c r="I3944" i="1"/>
  <c r="J3944" i="1"/>
  <c r="K3944" i="1"/>
  <c r="H3945" i="1"/>
  <c r="I3945" i="1"/>
  <c r="J3945" i="1"/>
  <c r="K3945" i="1"/>
  <c r="H3946" i="1"/>
  <c r="I3946" i="1"/>
  <c r="J3946" i="1"/>
  <c r="K3946" i="1"/>
  <c r="H3947" i="1"/>
  <c r="I3947" i="1"/>
  <c r="J3947" i="1"/>
  <c r="K3947" i="1"/>
  <c r="H3948" i="1"/>
  <c r="I3948" i="1"/>
  <c r="J3948" i="1"/>
  <c r="K3948" i="1"/>
  <c r="H3949" i="1"/>
  <c r="I3949" i="1"/>
  <c r="J3949" i="1"/>
  <c r="K3949" i="1"/>
  <c r="H3950" i="1"/>
  <c r="I3950" i="1"/>
  <c r="J3950" i="1"/>
  <c r="K3950" i="1"/>
  <c r="H3951" i="1"/>
  <c r="I3951" i="1"/>
  <c r="J3951" i="1"/>
  <c r="K3951" i="1"/>
  <c r="H3952" i="1"/>
  <c r="I3952" i="1"/>
  <c r="J3952" i="1"/>
  <c r="K3952" i="1"/>
  <c r="H3953" i="1"/>
  <c r="I3953" i="1"/>
  <c r="J3953" i="1"/>
  <c r="K3953" i="1"/>
  <c r="H3954" i="1"/>
  <c r="I3954" i="1"/>
  <c r="J3954" i="1"/>
  <c r="K3954" i="1"/>
  <c r="H3955" i="1"/>
  <c r="I3955" i="1"/>
  <c r="J3955" i="1"/>
  <c r="K3955" i="1"/>
  <c r="H3956" i="1"/>
  <c r="I3956" i="1"/>
  <c r="J3956" i="1"/>
  <c r="K3956" i="1"/>
  <c r="H3957" i="1"/>
  <c r="I3957" i="1"/>
  <c r="J3957" i="1"/>
  <c r="K3957" i="1"/>
  <c r="H3958" i="1"/>
  <c r="I3958" i="1"/>
  <c r="J3958" i="1"/>
  <c r="K3958" i="1"/>
  <c r="H3959" i="1"/>
  <c r="I3959" i="1"/>
  <c r="J3959" i="1"/>
  <c r="K3959" i="1"/>
  <c r="H3960" i="1"/>
  <c r="I3960" i="1"/>
  <c r="J3960" i="1"/>
  <c r="K3960" i="1"/>
  <c r="H3961" i="1"/>
  <c r="I3961" i="1"/>
  <c r="J3961" i="1"/>
  <c r="K3961" i="1"/>
  <c r="H3962" i="1"/>
  <c r="I3962" i="1"/>
  <c r="J3962" i="1"/>
  <c r="K3962" i="1"/>
  <c r="H3963" i="1"/>
  <c r="I3963" i="1"/>
  <c r="J3963" i="1"/>
  <c r="K3963" i="1"/>
  <c r="H3964" i="1"/>
  <c r="I3964" i="1"/>
  <c r="J3964" i="1"/>
  <c r="K3964" i="1"/>
  <c r="H3965" i="1"/>
  <c r="I3965" i="1"/>
  <c r="J3965" i="1"/>
  <c r="K3965" i="1"/>
  <c r="H3966" i="1"/>
  <c r="I3966" i="1"/>
  <c r="J3966" i="1"/>
  <c r="K3966" i="1"/>
  <c r="H3967" i="1"/>
  <c r="I3967" i="1"/>
  <c r="J3967" i="1"/>
  <c r="K3967" i="1"/>
  <c r="H3968" i="1"/>
  <c r="I3968" i="1"/>
  <c r="J3968" i="1"/>
  <c r="K3968" i="1"/>
  <c r="H3969" i="1"/>
  <c r="I3969" i="1"/>
  <c r="J3969" i="1"/>
  <c r="K3969" i="1"/>
  <c r="H3970" i="1"/>
  <c r="I3970" i="1"/>
  <c r="J3970" i="1"/>
  <c r="K3970" i="1"/>
  <c r="H3971" i="1"/>
  <c r="I3971" i="1"/>
  <c r="J3971" i="1"/>
  <c r="K3971" i="1"/>
  <c r="H3972" i="1"/>
  <c r="I3972" i="1"/>
  <c r="J3972" i="1"/>
  <c r="K3972" i="1"/>
  <c r="H3973" i="1"/>
  <c r="I3973" i="1"/>
  <c r="J3973" i="1"/>
  <c r="K3973" i="1"/>
  <c r="H3974" i="1"/>
  <c r="I3974" i="1"/>
  <c r="J3974" i="1"/>
  <c r="K3974" i="1"/>
  <c r="H3975" i="1"/>
  <c r="I3975" i="1"/>
  <c r="J3975" i="1"/>
  <c r="K3975" i="1"/>
  <c r="H3976" i="1"/>
  <c r="I3976" i="1"/>
  <c r="J3976" i="1"/>
  <c r="K3976" i="1"/>
  <c r="H3977" i="1"/>
  <c r="I3977" i="1"/>
  <c r="J3977" i="1"/>
  <c r="K3977" i="1"/>
  <c r="H3978" i="1"/>
  <c r="I3978" i="1"/>
  <c r="J3978" i="1"/>
  <c r="K3978" i="1"/>
  <c r="H3979" i="1"/>
  <c r="I3979" i="1"/>
  <c r="J3979" i="1"/>
  <c r="K3979" i="1"/>
  <c r="H3980" i="1"/>
  <c r="I3980" i="1"/>
  <c r="J3980" i="1"/>
  <c r="K3980" i="1"/>
  <c r="H3981" i="1"/>
  <c r="I3981" i="1"/>
  <c r="J3981" i="1"/>
  <c r="K3981" i="1"/>
  <c r="H3982" i="1"/>
  <c r="I3982" i="1"/>
  <c r="J3982" i="1"/>
  <c r="K3982" i="1"/>
  <c r="H3983" i="1"/>
  <c r="I3983" i="1"/>
  <c r="J3983" i="1"/>
  <c r="K3983" i="1"/>
  <c r="H3984" i="1"/>
  <c r="I3984" i="1"/>
  <c r="J3984" i="1"/>
  <c r="K3984" i="1"/>
  <c r="H3985" i="1"/>
  <c r="I3985" i="1"/>
  <c r="J3985" i="1"/>
  <c r="K3985" i="1"/>
  <c r="H3986" i="1"/>
  <c r="I3986" i="1"/>
  <c r="J3986" i="1"/>
  <c r="K3986" i="1"/>
  <c r="H3987" i="1"/>
  <c r="I3987" i="1"/>
  <c r="J3987" i="1"/>
  <c r="K3987" i="1"/>
  <c r="H3988" i="1"/>
  <c r="I3988" i="1"/>
  <c r="J3988" i="1"/>
  <c r="K3988" i="1"/>
  <c r="H3989" i="1"/>
  <c r="I3989" i="1"/>
  <c r="J3989" i="1"/>
  <c r="K3989" i="1"/>
  <c r="H3990" i="1"/>
  <c r="I3990" i="1"/>
  <c r="J3990" i="1"/>
  <c r="K3990" i="1"/>
  <c r="H3991" i="1"/>
  <c r="I3991" i="1"/>
  <c r="J3991" i="1"/>
  <c r="K3991" i="1"/>
  <c r="H3992" i="1"/>
  <c r="I3992" i="1"/>
  <c r="J3992" i="1"/>
  <c r="K3992" i="1"/>
  <c r="H3993" i="1"/>
  <c r="I3993" i="1"/>
  <c r="J3993" i="1"/>
  <c r="K3993" i="1"/>
  <c r="H3994" i="1"/>
  <c r="I3994" i="1"/>
  <c r="J3994" i="1"/>
  <c r="K3994" i="1"/>
  <c r="H3995" i="1"/>
  <c r="I3995" i="1"/>
  <c r="J3995" i="1"/>
  <c r="K3995" i="1"/>
  <c r="H3996" i="1"/>
  <c r="I3996" i="1"/>
  <c r="J3996" i="1"/>
  <c r="K3996" i="1"/>
  <c r="H3997" i="1"/>
  <c r="I3997" i="1"/>
  <c r="J3997" i="1"/>
  <c r="K3997" i="1"/>
  <c r="H3998" i="1"/>
  <c r="I3998" i="1"/>
  <c r="J3998" i="1"/>
  <c r="K3998" i="1"/>
  <c r="H3999" i="1"/>
  <c r="I3999" i="1"/>
  <c r="J3999" i="1"/>
  <c r="K3999" i="1"/>
  <c r="H4000" i="1"/>
  <c r="I4000" i="1"/>
  <c r="J4000" i="1"/>
  <c r="K4000" i="1"/>
  <c r="H4001" i="1"/>
  <c r="I4001" i="1"/>
  <c r="J4001" i="1"/>
  <c r="K4001" i="1"/>
  <c r="H4002" i="1"/>
  <c r="I4002" i="1"/>
  <c r="J4002" i="1"/>
  <c r="K4002" i="1"/>
  <c r="H4003" i="1"/>
  <c r="I4003" i="1"/>
  <c r="J4003" i="1"/>
  <c r="K4003" i="1"/>
  <c r="H4004" i="1"/>
  <c r="I4004" i="1"/>
  <c r="J4004" i="1"/>
  <c r="K4004" i="1"/>
  <c r="H4005" i="1"/>
  <c r="I4005" i="1"/>
  <c r="J4005" i="1"/>
  <c r="K4005" i="1"/>
  <c r="H4006" i="1"/>
  <c r="I4006" i="1"/>
  <c r="J4006" i="1"/>
  <c r="K4006" i="1"/>
  <c r="H4007" i="1"/>
  <c r="I4007" i="1"/>
  <c r="J4007" i="1"/>
  <c r="K4007" i="1"/>
  <c r="H4008" i="1"/>
  <c r="I4008" i="1"/>
  <c r="J4008" i="1"/>
  <c r="K4008" i="1"/>
  <c r="H4009" i="1"/>
  <c r="I4009" i="1"/>
  <c r="J4009" i="1"/>
  <c r="K4009" i="1"/>
  <c r="H4010" i="1"/>
  <c r="I4010" i="1"/>
  <c r="J4010" i="1"/>
  <c r="K4010" i="1"/>
  <c r="H4011" i="1"/>
  <c r="I4011" i="1"/>
  <c r="J4011" i="1"/>
  <c r="K4011" i="1"/>
  <c r="H4012" i="1"/>
  <c r="I4012" i="1"/>
  <c r="J4012" i="1"/>
  <c r="K4012" i="1"/>
  <c r="H4013" i="1"/>
  <c r="I4013" i="1"/>
  <c r="J4013" i="1"/>
  <c r="K4013" i="1"/>
  <c r="H4014" i="1"/>
  <c r="I4014" i="1"/>
  <c r="J4014" i="1"/>
  <c r="K4014" i="1"/>
  <c r="H4015" i="1"/>
  <c r="I4015" i="1"/>
  <c r="J4015" i="1"/>
  <c r="K4015" i="1"/>
  <c r="H4016" i="1"/>
  <c r="I4016" i="1"/>
  <c r="J4016" i="1"/>
  <c r="K4016" i="1"/>
  <c r="H4017" i="1"/>
  <c r="I4017" i="1"/>
  <c r="J4017" i="1"/>
  <c r="K4017" i="1"/>
  <c r="H4018" i="1"/>
  <c r="I4018" i="1"/>
  <c r="J4018" i="1"/>
  <c r="K4018" i="1"/>
  <c r="H4019" i="1"/>
  <c r="I4019" i="1"/>
  <c r="J4019" i="1"/>
  <c r="K4019" i="1"/>
  <c r="H4020" i="1"/>
  <c r="I4020" i="1"/>
  <c r="J4020" i="1"/>
  <c r="K4020" i="1"/>
  <c r="H4021" i="1"/>
  <c r="I4021" i="1"/>
  <c r="J4021" i="1"/>
  <c r="K4021" i="1"/>
  <c r="H4022" i="1"/>
  <c r="I4022" i="1"/>
  <c r="J4022" i="1"/>
  <c r="K4022" i="1"/>
  <c r="H4023" i="1"/>
  <c r="I4023" i="1"/>
  <c r="J4023" i="1"/>
  <c r="K4023" i="1"/>
  <c r="H4024" i="1"/>
  <c r="I4024" i="1"/>
  <c r="J4024" i="1"/>
  <c r="K4024" i="1"/>
  <c r="H4025" i="1"/>
  <c r="I4025" i="1"/>
  <c r="J4025" i="1"/>
  <c r="K4025" i="1"/>
  <c r="H4026" i="1"/>
  <c r="I4026" i="1"/>
  <c r="J4026" i="1"/>
  <c r="K4026" i="1"/>
  <c r="H4027" i="1"/>
  <c r="I4027" i="1"/>
  <c r="J4027" i="1"/>
  <c r="K4027" i="1"/>
  <c r="H4028" i="1"/>
  <c r="I4028" i="1"/>
  <c r="J4028" i="1"/>
  <c r="K4028" i="1"/>
  <c r="H4029" i="1"/>
  <c r="I4029" i="1"/>
  <c r="J4029" i="1"/>
  <c r="K4029" i="1"/>
  <c r="H4030" i="1"/>
  <c r="I4030" i="1"/>
  <c r="J4030" i="1"/>
  <c r="K4030" i="1"/>
  <c r="H4031" i="1"/>
  <c r="I4031" i="1"/>
  <c r="J4031" i="1"/>
  <c r="K4031" i="1"/>
  <c r="H4032" i="1"/>
  <c r="I4032" i="1"/>
  <c r="J4032" i="1"/>
  <c r="K4032" i="1"/>
  <c r="H4033" i="1"/>
  <c r="I4033" i="1"/>
  <c r="J4033" i="1"/>
  <c r="K4033" i="1"/>
  <c r="H4034" i="1"/>
  <c r="I4034" i="1"/>
  <c r="J4034" i="1"/>
  <c r="K4034" i="1"/>
  <c r="H4035" i="1"/>
  <c r="I4035" i="1"/>
  <c r="J4035" i="1"/>
  <c r="K4035" i="1"/>
  <c r="H4036" i="1"/>
  <c r="I4036" i="1"/>
  <c r="J4036" i="1"/>
  <c r="K4036" i="1"/>
  <c r="H4037" i="1"/>
  <c r="I4037" i="1"/>
  <c r="J4037" i="1"/>
  <c r="K4037" i="1"/>
  <c r="H4038" i="1"/>
  <c r="I4038" i="1"/>
  <c r="J4038" i="1"/>
  <c r="K4038" i="1"/>
  <c r="H4039" i="1"/>
  <c r="I4039" i="1"/>
  <c r="J4039" i="1"/>
  <c r="K4039" i="1"/>
  <c r="H4040" i="1"/>
  <c r="I4040" i="1"/>
  <c r="J4040" i="1"/>
  <c r="K4040" i="1"/>
  <c r="H4041" i="1"/>
  <c r="I4041" i="1"/>
  <c r="J4041" i="1"/>
  <c r="K4041" i="1"/>
  <c r="H4042" i="1"/>
  <c r="I4042" i="1"/>
  <c r="J4042" i="1"/>
  <c r="K4042" i="1"/>
  <c r="H4043" i="1"/>
  <c r="I4043" i="1"/>
  <c r="J4043" i="1"/>
  <c r="K4043" i="1"/>
  <c r="H4044" i="1"/>
  <c r="I4044" i="1"/>
  <c r="J4044" i="1"/>
  <c r="K4044" i="1"/>
  <c r="H4045" i="1"/>
  <c r="I4045" i="1"/>
  <c r="J4045" i="1"/>
  <c r="K4045" i="1"/>
  <c r="H4046" i="1"/>
  <c r="I4046" i="1"/>
  <c r="J4046" i="1"/>
  <c r="K4046" i="1"/>
  <c r="H4047" i="1"/>
  <c r="I4047" i="1"/>
  <c r="J4047" i="1"/>
  <c r="K4047" i="1"/>
  <c r="H4048" i="1"/>
  <c r="I4048" i="1"/>
  <c r="J4048" i="1"/>
  <c r="K4048" i="1"/>
  <c r="H4049" i="1"/>
  <c r="I4049" i="1"/>
  <c r="J4049" i="1"/>
  <c r="K4049" i="1"/>
  <c r="H4050" i="1"/>
  <c r="I4050" i="1"/>
  <c r="J4050" i="1"/>
  <c r="K4050" i="1"/>
  <c r="H4051" i="1"/>
  <c r="I4051" i="1"/>
  <c r="J4051" i="1"/>
  <c r="K4051" i="1"/>
  <c r="H4052" i="1"/>
  <c r="I4052" i="1"/>
  <c r="J4052" i="1"/>
  <c r="K4052" i="1"/>
  <c r="H4053" i="1"/>
  <c r="I4053" i="1"/>
  <c r="J4053" i="1"/>
  <c r="K4053" i="1"/>
  <c r="H4054" i="1"/>
  <c r="I4054" i="1"/>
  <c r="J4054" i="1"/>
  <c r="K4054" i="1"/>
  <c r="H4055" i="1"/>
  <c r="I4055" i="1"/>
  <c r="J4055" i="1"/>
  <c r="K4055" i="1"/>
  <c r="H4056" i="1"/>
  <c r="I4056" i="1"/>
  <c r="J4056" i="1"/>
  <c r="K4056" i="1"/>
  <c r="H4057" i="1"/>
  <c r="I4057" i="1"/>
  <c r="J4057" i="1"/>
  <c r="K4057" i="1"/>
  <c r="H4058" i="1"/>
  <c r="I4058" i="1"/>
  <c r="J4058" i="1"/>
  <c r="K4058" i="1"/>
  <c r="H4059" i="1"/>
  <c r="I4059" i="1"/>
  <c r="J4059" i="1"/>
  <c r="K4059" i="1"/>
  <c r="H4060" i="1"/>
  <c r="I4060" i="1"/>
  <c r="J4060" i="1"/>
  <c r="K4060" i="1"/>
  <c r="H4061" i="1"/>
  <c r="I4061" i="1"/>
  <c r="J4061" i="1"/>
  <c r="K4061" i="1"/>
  <c r="H4062" i="1"/>
  <c r="I4062" i="1"/>
  <c r="J4062" i="1"/>
  <c r="K4062" i="1"/>
  <c r="H4063" i="1"/>
  <c r="I4063" i="1"/>
  <c r="J4063" i="1"/>
  <c r="K4063" i="1"/>
  <c r="H4064" i="1"/>
  <c r="I4064" i="1"/>
  <c r="J4064" i="1"/>
  <c r="K4064" i="1"/>
  <c r="H4065" i="1"/>
  <c r="I4065" i="1"/>
  <c r="J4065" i="1"/>
  <c r="K4065" i="1"/>
  <c r="H4066" i="1"/>
  <c r="I4066" i="1"/>
  <c r="J4066" i="1"/>
  <c r="K4066" i="1"/>
  <c r="H4067" i="1"/>
  <c r="I4067" i="1"/>
  <c r="J4067" i="1"/>
  <c r="K4067" i="1"/>
  <c r="H4068" i="1"/>
  <c r="I4068" i="1"/>
  <c r="J4068" i="1"/>
  <c r="K4068" i="1"/>
  <c r="H4069" i="1"/>
  <c r="I4069" i="1"/>
  <c r="J4069" i="1"/>
  <c r="K4069" i="1"/>
  <c r="H4070" i="1"/>
  <c r="I4070" i="1"/>
  <c r="J4070" i="1"/>
  <c r="K4070" i="1"/>
  <c r="H4071" i="1"/>
  <c r="I4071" i="1"/>
  <c r="J4071" i="1"/>
  <c r="K4071" i="1"/>
  <c r="H4072" i="1"/>
  <c r="I4072" i="1"/>
  <c r="J4072" i="1"/>
  <c r="K4072" i="1"/>
  <c r="H4073" i="1"/>
  <c r="I4073" i="1"/>
  <c r="J4073" i="1"/>
  <c r="K4073" i="1"/>
  <c r="H4074" i="1"/>
  <c r="I4074" i="1"/>
  <c r="J4074" i="1"/>
  <c r="K4074" i="1"/>
  <c r="H4075" i="1"/>
  <c r="I4075" i="1"/>
  <c r="J4075" i="1"/>
  <c r="K4075" i="1"/>
  <c r="H4076" i="1"/>
  <c r="I4076" i="1"/>
  <c r="J4076" i="1"/>
  <c r="K4076" i="1"/>
  <c r="H4077" i="1"/>
  <c r="I4077" i="1"/>
  <c r="J4077" i="1"/>
  <c r="K4077" i="1"/>
  <c r="H4078" i="1"/>
  <c r="I4078" i="1"/>
  <c r="J4078" i="1"/>
  <c r="K4078" i="1"/>
  <c r="H4079" i="1"/>
  <c r="I4079" i="1"/>
  <c r="J4079" i="1"/>
  <c r="K4079" i="1"/>
  <c r="H4080" i="1"/>
  <c r="I4080" i="1"/>
  <c r="J4080" i="1"/>
  <c r="K4080" i="1"/>
  <c r="H4081" i="1"/>
  <c r="I4081" i="1"/>
  <c r="J4081" i="1"/>
  <c r="K4081" i="1"/>
  <c r="H4082" i="1"/>
  <c r="I4082" i="1"/>
  <c r="J4082" i="1"/>
  <c r="K4082" i="1"/>
  <c r="H4083" i="1"/>
  <c r="I4083" i="1"/>
  <c r="J4083" i="1"/>
  <c r="K4083" i="1"/>
  <c r="H4084" i="1"/>
  <c r="I4084" i="1"/>
  <c r="J4084" i="1"/>
  <c r="K4084" i="1"/>
  <c r="H4085" i="1"/>
  <c r="I4085" i="1"/>
  <c r="J4085" i="1"/>
  <c r="K4085" i="1"/>
  <c r="H4086" i="1"/>
  <c r="I4086" i="1"/>
  <c r="J4086" i="1"/>
  <c r="K4086" i="1"/>
  <c r="H4087" i="1"/>
  <c r="I4087" i="1"/>
  <c r="J4087" i="1"/>
  <c r="K4087" i="1"/>
  <c r="H4088" i="1"/>
  <c r="I4088" i="1"/>
  <c r="J4088" i="1"/>
  <c r="K4088" i="1"/>
  <c r="H4089" i="1"/>
  <c r="I4089" i="1"/>
  <c r="J4089" i="1"/>
  <c r="K4089" i="1"/>
  <c r="H4090" i="1"/>
  <c r="I4090" i="1"/>
  <c r="J4090" i="1"/>
  <c r="K4090" i="1"/>
  <c r="H4091" i="1"/>
  <c r="I4091" i="1"/>
  <c r="J4091" i="1"/>
  <c r="K4091" i="1"/>
  <c r="H4092" i="1"/>
  <c r="I4092" i="1"/>
  <c r="J4092" i="1"/>
  <c r="K4092" i="1"/>
  <c r="H4093" i="1"/>
  <c r="I4093" i="1"/>
  <c r="J4093" i="1"/>
  <c r="K4093" i="1"/>
  <c r="H4094" i="1"/>
  <c r="I4094" i="1"/>
  <c r="J4094" i="1"/>
  <c r="K4094" i="1"/>
  <c r="H4095" i="1"/>
  <c r="I4095" i="1"/>
  <c r="J4095" i="1"/>
  <c r="K4095" i="1"/>
  <c r="H4096" i="1"/>
  <c r="I4096" i="1"/>
  <c r="J4096" i="1"/>
  <c r="K4096" i="1"/>
  <c r="H4097" i="1"/>
  <c r="I4097" i="1"/>
  <c r="J4097" i="1"/>
  <c r="K4097" i="1"/>
  <c r="H4098" i="1"/>
  <c r="I4098" i="1"/>
  <c r="J4098" i="1"/>
  <c r="K4098" i="1"/>
  <c r="H4099" i="1"/>
  <c r="I4099" i="1"/>
  <c r="J4099" i="1"/>
  <c r="K4099" i="1"/>
  <c r="H4100" i="1"/>
  <c r="I4100" i="1"/>
  <c r="J4100" i="1"/>
  <c r="K4100" i="1"/>
  <c r="H4101" i="1"/>
  <c r="I4101" i="1"/>
  <c r="J4101" i="1"/>
  <c r="K4101" i="1"/>
  <c r="H4102" i="1"/>
  <c r="I4102" i="1"/>
  <c r="J4102" i="1"/>
  <c r="K4102" i="1"/>
  <c r="H4103" i="1"/>
  <c r="I4103" i="1"/>
  <c r="J4103" i="1"/>
  <c r="K4103" i="1"/>
  <c r="H4104" i="1"/>
  <c r="I4104" i="1"/>
  <c r="J4104" i="1"/>
  <c r="K4104" i="1"/>
  <c r="H4105" i="1"/>
  <c r="I4105" i="1"/>
  <c r="J4105" i="1"/>
  <c r="K4105" i="1"/>
  <c r="H4106" i="1"/>
  <c r="I4106" i="1"/>
  <c r="J4106" i="1"/>
  <c r="K4106" i="1"/>
  <c r="H4107" i="1"/>
  <c r="I4107" i="1"/>
  <c r="J4107" i="1"/>
  <c r="K4107" i="1"/>
  <c r="H4108" i="1"/>
  <c r="I4108" i="1"/>
  <c r="J4108" i="1"/>
  <c r="K4108" i="1"/>
  <c r="H4109" i="1"/>
  <c r="I4109" i="1"/>
  <c r="J4109" i="1"/>
  <c r="K4109" i="1"/>
  <c r="H4110" i="1"/>
  <c r="I4110" i="1"/>
  <c r="J4110" i="1"/>
  <c r="K4110" i="1"/>
  <c r="H4111" i="1"/>
  <c r="I4111" i="1"/>
  <c r="J4111" i="1"/>
  <c r="K4111" i="1"/>
  <c r="H4112" i="1"/>
  <c r="I4112" i="1"/>
  <c r="J4112" i="1"/>
  <c r="K4112" i="1"/>
  <c r="H4113" i="1"/>
  <c r="I4113" i="1"/>
  <c r="J4113" i="1"/>
  <c r="K4113" i="1"/>
  <c r="H4114" i="1"/>
  <c r="I4114" i="1"/>
  <c r="J4114" i="1"/>
  <c r="K4114" i="1"/>
  <c r="H4115" i="1"/>
  <c r="I4115" i="1"/>
  <c r="J4115" i="1"/>
  <c r="K4115" i="1"/>
  <c r="H4116" i="1"/>
  <c r="I4116" i="1"/>
  <c r="J4116" i="1"/>
  <c r="K4116" i="1"/>
  <c r="H4117" i="1"/>
  <c r="I4117" i="1"/>
  <c r="J4117" i="1"/>
  <c r="K4117" i="1"/>
  <c r="H4118" i="1"/>
  <c r="I4118" i="1"/>
  <c r="J4118" i="1"/>
  <c r="K4118" i="1"/>
  <c r="H4119" i="1"/>
  <c r="I4119" i="1"/>
  <c r="J4119" i="1"/>
  <c r="K4119" i="1"/>
  <c r="H4120" i="1"/>
  <c r="I4120" i="1"/>
  <c r="J4120" i="1"/>
  <c r="K4120" i="1"/>
  <c r="H4121" i="1"/>
  <c r="I4121" i="1"/>
  <c r="J4121" i="1"/>
  <c r="K4121" i="1"/>
  <c r="H4122" i="1"/>
  <c r="I4122" i="1"/>
  <c r="J4122" i="1"/>
  <c r="K4122" i="1"/>
  <c r="H4123" i="1"/>
  <c r="I4123" i="1"/>
  <c r="J4123" i="1"/>
  <c r="K4123" i="1"/>
  <c r="H4124" i="1"/>
  <c r="I4124" i="1"/>
  <c r="J4124" i="1"/>
  <c r="K4124" i="1"/>
  <c r="H4125" i="1"/>
  <c r="I4125" i="1"/>
  <c r="J4125" i="1"/>
  <c r="K4125" i="1"/>
  <c r="H4126" i="1"/>
  <c r="I4126" i="1"/>
  <c r="J4126" i="1"/>
  <c r="K4126" i="1"/>
  <c r="H4127" i="1"/>
  <c r="I4127" i="1"/>
  <c r="J4127" i="1"/>
  <c r="K4127" i="1"/>
  <c r="H4128" i="1"/>
  <c r="I4128" i="1"/>
  <c r="J4128" i="1"/>
  <c r="K4128" i="1"/>
  <c r="H4129" i="1"/>
  <c r="I4129" i="1"/>
  <c r="J4129" i="1"/>
  <c r="K4129" i="1"/>
  <c r="H4130" i="1"/>
  <c r="I4130" i="1"/>
  <c r="J4130" i="1"/>
  <c r="K4130" i="1"/>
  <c r="H4131" i="1"/>
  <c r="I4131" i="1"/>
  <c r="J4131" i="1"/>
  <c r="K4131" i="1"/>
  <c r="H4132" i="1"/>
  <c r="I4132" i="1"/>
  <c r="J4132" i="1"/>
  <c r="K4132" i="1"/>
  <c r="H4133" i="1"/>
  <c r="I4133" i="1"/>
  <c r="J4133" i="1"/>
  <c r="K4133" i="1"/>
  <c r="H4134" i="1"/>
  <c r="I4134" i="1"/>
  <c r="J4134" i="1"/>
  <c r="K4134" i="1"/>
  <c r="H4135" i="1"/>
  <c r="I4135" i="1"/>
  <c r="J4135" i="1"/>
  <c r="K4135" i="1"/>
  <c r="H4136" i="1"/>
  <c r="I4136" i="1"/>
  <c r="J4136" i="1"/>
  <c r="K4136" i="1"/>
  <c r="H4137" i="1"/>
  <c r="I4137" i="1"/>
  <c r="J4137" i="1"/>
  <c r="K4137" i="1"/>
  <c r="H4138" i="1"/>
  <c r="I4138" i="1"/>
  <c r="J4138" i="1"/>
  <c r="K4138" i="1"/>
  <c r="H4139" i="1"/>
  <c r="I4139" i="1"/>
  <c r="J4139" i="1"/>
  <c r="K4139" i="1"/>
  <c r="H4140" i="1"/>
  <c r="I4140" i="1"/>
  <c r="J4140" i="1"/>
  <c r="K4140" i="1"/>
  <c r="H4141" i="1"/>
  <c r="I4141" i="1"/>
  <c r="J4141" i="1"/>
  <c r="K4141" i="1"/>
  <c r="H4142" i="1"/>
  <c r="I4142" i="1"/>
  <c r="J4142" i="1"/>
  <c r="K4142" i="1"/>
  <c r="H4143" i="1"/>
  <c r="I4143" i="1"/>
  <c r="J4143" i="1"/>
  <c r="K4143" i="1"/>
  <c r="H4144" i="1"/>
  <c r="I4144" i="1"/>
  <c r="J4144" i="1"/>
  <c r="K4144" i="1"/>
  <c r="H4145" i="1"/>
  <c r="I4145" i="1"/>
  <c r="J4145" i="1"/>
  <c r="K4145" i="1"/>
  <c r="H4146" i="1"/>
  <c r="I4146" i="1"/>
  <c r="J4146" i="1"/>
  <c r="K4146" i="1"/>
  <c r="H4147" i="1"/>
  <c r="I4147" i="1"/>
  <c r="J4147" i="1"/>
  <c r="K4147" i="1"/>
  <c r="H4148" i="1"/>
  <c r="I4148" i="1"/>
  <c r="J4148" i="1"/>
  <c r="K4148" i="1"/>
  <c r="H4149" i="1"/>
  <c r="I4149" i="1"/>
  <c r="J4149" i="1"/>
  <c r="K4149" i="1"/>
  <c r="H4150" i="1"/>
  <c r="I4150" i="1"/>
  <c r="J4150" i="1"/>
  <c r="K4150" i="1"/>
  <c r="H4151" i="1"/>
  <c r="I4151" i="1"/>
  <c r="J4151" i="1"/>
  <c r="K4151" i="1"/>
  <c r="H4152" i="1"/>
  <c r="I4152" i="1"/>
  <c r="J4152" i="1"/>
  <c r="K4152" i="1"/>
  <c r="H4153" i="1"/>
  <c r="I4153" i="1"/>
  <c r="J4153" i="1"/>
  <c r="K4153" i="1"/>
  <c r="H4154" i="1"/>
  <c r="I4154" i="1"/>
  <c r="J4154" i="1"/>
  <c r="K4154" i="1"/>
  <c r="H4155" i="1"/>
  <c r="I4155" i="1"/>
  <c r="J4155" i="1"/>
  <c r="K4155" i="1"/>
  <c r="H4156" i="1"/>
  <c r="I4156" i="1"/>
  <c r="J4156" i="1"/>
  <c r="K4156" i="1"/>
  <c r="H4157" i="1"/>
  <c r="I4157" i="1"/>
  <c r="J4157" i="1"/>
  <c r="K4157" i="1"/>
  <c r="H4158" i="1"/>
  <c r="I4158" i="1"/>
  <c r="J4158" i="1"/>
  <c r="K4158" i="1"/>
  <c r="H4159" i="1"/>
  <c r="I4159" i="1"/>
  <c r="J4159" i="1"/>
  <c r="K4159" i="1"/>
  <c r="H4160" i="1"/>
  <c r="I4160" i="1"/>
  <c r="J4160" i="1"/>
  <c r="K4160" i="1"/>
  <c r="H4161" i="1"/>
  <c r="I4161" i="1"/>
  <c r="J4161" i="1"/>
  <c r="K4161" i="1"/>
  <c r="H4162" i="1"/>
  <c r="I4162" i="1"/>
  <c r="J4162" i="1"/>
  <c r="K4162" i="1"/>
  <c r="H4163" i="1"/>
  <c r="I4163" i="1"/>
  <c r="J4163" i="1"/>
  <c r="K4163" i="1"/>
  <c r="H4164" i="1"/>
  <c r="I4164" i="1"/>
  <c r="J4164" i="1"/>
  <c r="K4164" i="1"/>
  <c r="H4165" i="1"/>
  <c r="I4165" i="1"/>
  <c r="J4165" i="1"/>
  <c r="K4165" i="1"/>
  <c r="H4166" i="1"/>
  <c r="I4166" i="1"/>
  <c r="J4166" i="1"/>
  <c r="K4166" i="1"/>
  <c r="H4167" i="1"/>
  <c r="I4167" i="1"/>
  <c r="J4167" i="1"/>
  <c r="K4167" i="1"/>
  <c r="H4168" i="1"/>
  <c r="I4168" i="1"/>
  <c r="J4168" i="1"/>
  <c r="K4168" i="1"/>
  <c r="H4169" i="1"/>
  <c r="I4169" i="1"/>
  <c r="J4169" i="1"/>
  <c r="K4169" i="1"/>
  <c r="H4170" i="1"/>
  <c r="I4170" i="1"/>
  <c r="J4170" i="1"/>
  <c r="K4170" i="1"/>
  <c r="H4171" i="1"/>
  <c r="I4171" i="1"/>
  <c r="J4171" i="1"/>
  <c r="K4171" i="1"/>
  <c r="H4172" i="1"/>
  <c r="I4172" i="1"/>
  <c r="J4172" i="1"/>
  <c r="K4172" i="1"/>
  <c r="H4173" i="1"/>
  <c r="I4173" i="1"/>
  <c r="J4173" i="1"/>
  <c r="K4173" i="1"/>
  <c r="H4174" i="1"/>
  <c r="I4174" i="1"/>
  <c r="J4174" i="1"/>
  <c r="K4174" i="1"/>
  <c r="H4175" i="1"/>
  <c r="I4175" i="1"/>
  <c r="J4175" i="1"/>
  <c r="K4175" i="1"/>
  <c r="H4176" i="1"/>
  <c r="I4176" i="1"/>
  <c r="J4176" i="1"/>
  <c r="K4176" i="1"/>
  <c r="H4177" i="1"/>
  <c r="I4177" i="1"/>
  <c r="J4177" i="1"/>
  <c r="K4177" i="1"/>
  <c r="H4178" i="1"/>
  <c r="I4178" i="1"/>
  <c r="J4178" i="1"/>
  <c r="K4178" i="1"/>
  <c r="H4179" i="1"/>
  <c r="I4179" i="1"/>
  <c r="J4179" i="1"/>
  <c r="K4179" i="1"/>
  <c r="H4180" i="1"/>
  <c r="I4180" i="1"/>
  <c r="J4180" i="1"/>
  <c r="K4180" i="1"/>
  <c r="H4181" i="1"/>
  <c r="I4181" i="1"/>
  <c r="J4181" i="1"/>
  <c r="K4181" i="1"/>
  <c r="H4182" i="1"/>
  <c r="I4182" i="1"/>
  <c r="J4182" i="1"/>
  <c r="K4182" i="1"/>
  <c r="H4183" i="1"/>
  <c r="I4183" i="1"/>
  <c r="J4183" i="1"/>
  <c r="K4183" i="1"/>
  <c r="H4184" i="1"/>
  <c r="I4184" i="1"/>
  <c r="J4184" i="1"/>
  <c r="K4184" i="1"/>
  <c r="H4185" i="1"/>
  <c r="I4185" i="1"/>
  <c r="J4185" i="1"/>
  <c r="K4185" i="1"/>
  <c r="H4186" i="1"/>
  <c r="I4186" i="1"/>
  <c r="J4186" i="1"/>
  <c r="K4186" i="1"/>
  <c r="H4187" i="1"/>
  <c r="I4187" i="1"/>
  <c r="J4187" i="1"/>
  <c r="K4187" i="1"/>
  <c r="H4188" i="1"/>
  <c r="I4188" i="1"/>
  <c r="J4188" i="1"/>
  <c r="K4188" i="1"/>
  <c r="H4189" i="1"/>
  <c r="I4189" i="1"/>
  <c r="J4189" i="1"/>
  <c r="K4189" i="1"/>
  <c r="H4190" i="1"/>
  <c r="I4190" i="1"/>
  <c r="J4190" i="1"/>
  <c r="K4190" i="1"/>
  <c r="H4191" i="1"/>
  <c r="I4191" i="1"/>
  <c r="J4191" i="1"/>
  <c r="K4191" i="1"/>
  <c r="H4192" i="1"/>
  <c r="I4192" i="1"/>
  <c r="J4192" i="1"/>
  <c r="K4192" i="1"/>
  <c r="H4193" i="1"/>
  <c r="I4193" i="1"/>
  <c r="J4193" i="1"/>
  <c r="K4193" i="1"/>
  <c r="H4194" i="1"/>
  <c r="I4194" i="1"/>
  <c r="J4194" i="1"/>
  <c r="K4194" i="1"/>
  <c r="H4195" i="1"/>
  <c r="I4195" i="1"/>
  <c r="J4195" i="1"/>
  <c r="K4195" i="1"/>
  <c r="H4196" i="1"/>
  <c r="I4196" i="1"/>
  <c r="J4196" i="1"/>
  <c r="K4196" i="1"/>
  <c r="H4197" i="1"/>
  <c r="I4197" i="1"/>
  <c r="J4197" i="1"/>
  <c r="K4197" i="1"/>
  <c r="H4198" i="1"/>
  <c r="I4198" i="1"/>
  <c r="J4198" i="1"/>
  <c r="K4198" i="1"/>
  <c r="H4199" i="1"/>
  <c r="I4199" i="1"/>
  <c r="J4199" i="1"/>
  <c r="K4199" i="1"/>
  <c r="H4200" i="1"/>
  <c r="I4200" i="1"/>
  <c r="J4200" i="1"/>
  <c r="K4200" i="1"/>
  <c r="H4201" i="1"/>
  <c r="I4201" i="1"/>
  <c r="J4201" i="1"/>
  <c r="K4201" i="1"/>
  <c r="H4202" i="1"/>
  <c r="I4202" i="1"/>
  <c r="J4202" i="1"/>
  <c r="K4202" i="1"/>
  <c r="H4203" i="1"/>
  <c r="I4203" i="1"/>
  <c r="J4203" i="1"/>
  <c r="K4203" i="1"/>
  <c r="H4204" i="1"/>
  <c r="I4204" i="1"/>
  <c r="J4204" i="1"/>
  <c r="K4204" i="1"/>
  <c r="H4205" i="1"/>
  <c r="I4205" i="1"/>
  <c r="J4205" i="1"/>
  <c r="K4205" i="1"/>
  <c r="H4206" i="1"/>
  <c r="I4206" i="1"/>
  <c r="J4206" i="1"/>
  <c r="K4206" i="1"/>
  <c r="H4207" i="1"/>
  <c r="I4207" i="1"/>
  <c r="J4207" i="1"/>
  <c r="K4207" i="1"/>
  <c r="H4208" i="1"/>
  <c r="I4208" i="1"/>
  <c r="J4208" i="1"/>
  <c r="K4208" i="1"/>
  <c r="H4209" i="1"/>
  <c r="I4209" i="1"/>
  <c r="J4209" i="1"/>
  <c r="K4209" i="1"/>
  <c r="H4210" i="1"/>
  <c r="I4210" i="1"/>
  <c r="J4210" i="1"/>
  <c r="K4210" i="1"/>
  <c r="H4211" i="1"/>
  <c r="I4211" i="1"/>
  <c r="J4211" i="1"/>
  <c r="K4211" i="1"/>
  <c r="H4212" i="1"/>
  <c r="I4212" i="1"/>
  <c r="J4212" i="1"/>
  <c r="K4212" i="1"/>
  <c r="H4213" i="1"/>
  <c r="I4213" i="1"/>
  <c r="J4213" i="1"/>
  <c r="K4213" i="1"/>
  <c r="H4214" i="1"/>
  <c r="I4214" i="1"/>
  <c r="J4214" i="1"/>
  <c r="K4214" i="1"/>
  <c r="H4215" i="1"/>
  <c r="I4215" i="1"/>
  <c r="J4215" i="1"/>
  <c r="K4215" i="1"/>
  <c r="H4216" i="1"/>
  <c r="I4216" i="1"/>
  <c r="J4216" i="1"/>
  <c r="K4216" i="1"/>
  <c r="H4217" i="1"/>
  <c r="I4217" i="1"/>
  <c r="J4217" i="1"/>
  <c r="K4217" i="1"/>
  <c r="H4218" i="1"/>
  <c r="I4218" i="1"/>
  <c r="J4218" i="1"/>
  <c r="K4218" i="1"/>
  <c r="H4219" i="1"/>
  <c r="I4219" i="1"/>
  <c r="J4219" i="1"/>
  <c r="K4219" i="1"/>
  <c r="H4220" i="1"/>
  <c r="I4220" i="1"/>
  <c r="J4220" i="1"/>
  <c r="K4220" i="1"/>
  <c r="H4221" i="1"/>
  <c r="I4221" i="1"/>
  <c r="J4221" i="1"/>
  <c r="K4221" i="1"/>
  <c r="H4222" i="1"/>
  <c r="I4222" i="1"/>
  <c r="J4222" i="1"/>
  <c r="K4222" i="1"/>
  <c r="H4223" i="1"/>
  <c r="I4223" i="1"/>
  <c r="J4223" i="1"/>
  <c r="K4223" i="1"/>
  <c r="H4224" i="1"/>
  <c r="I4224" i="1"/>
  <c r="J4224" i="1"/>
  <c r="K4224" i="1"/>
  <c r="H4225" i="1"/>
  <c r="I4225" i="1"/>
  <c r="J4225" i="1"/>
  <c r="K4225" i="1"/>
  <c r="H4226" i="1"/>
  <c r="I4226" i="1"/>
  <c r="J4226" i="1"/>
  <c r="K4226" i="1"/>
  <c r="H4227" i="1"/>
  <c r="I4227" i="1"/>
  <c r="J4227" i="1"/>
  <c r="K4227" i="1"/>
  <c r="H4228" i="1"/>
  <c r="I4228" i="1"/>
  <c r="J4228" i="1"/>
  <c r="K4228" i="1"/>
  <c r="H4229" i="1"/>
  <c r="I4229" i="1"/>
  <c r="J4229" i="1"/>
  <c r="K4229" i="1"/>
  <c r="H4230" i="1"/>
  <c r="I4230" i="1"/>
  <c r="J4230" i="1"/>
  <c r="K4230" i="1"/>
  <c r="H4231" i="1"/>
  <c r="I4231" i="1"/>
  <c r="J4231" i="1"/>
  <c r="K4231" i="1"/>
  <c r="H4232" i="1"/>
  <c r="I4232" i="1"/>
  <c r="J4232" i="1"/>
  <c r="K4232" i="1"/>
  <c r="H4233" i="1"/>
  <c r="I4233" i="1"/>
  <c r="J4233" i="1"/>
  <c r="K4233" i="1"/>
  <c r="H4234" i="1"/>
  <c r="I4234" i="1"/>
  <c r="J4234" i="1"/>
  <c r="K4234" i="1"/>
  <c r="H4235" i="1"/>
  <c r="I4235" i="1"/>
  <c r="J4235" i="1"/>
  <c r="K4235" i="1"/>
  <c r="H4236" i="1"/>
  <c r="I4236" i="1"/>
  <c r="J4236" i="1"/>
  <c r="K4236" i="1"/>
  <c r="H4237" i="1"/>
  <c r="I4237" i="1"/>
  <c r="J4237" i="1"/>
  <c r="K4237" i="1"/>
  <c r="H4238" i="1"/>
  <c r="I4238" i="1"/>
  <c r="J4238" i="1"/>
  <c r="K4238" i="1"/>
  <c r="H4239" i="1"/>
  <c r="I4239" i="1"/>
  <c r="J4239" i="1"/>
  <c r="K4239" i="1"/>
  <c r="H4240" i="1"/>
  <c r="I4240" i="1"/>
  <c r="J4240" i="1"/>
  <c r="K4240" i="1"/>
  <c r="H4241" i="1"/>
  <c r="I4241" i="1"/>
  <c r="J4241" i="1"/>
  <c r="K4241" i="1"/>
  <c r="H4242" i="1"/>
  <c r="I4242" i="1"/>
  <c r="J4242" i="1"/>
  <c r="K4242" i="1"/>
  <c r="H4243" i="1"/>
  <c r="I4243" i="1"/>
  <c r="J4243" i="1"/>
  <c r="K4243" i="1"/>
  <c r="H4244" i="1"/>
  <c r="I4244" i="1"/>
  <c r="J4244" i="1"/>
  <c r="K4244" i="1"/>
  <c r="H4245" i="1"/>
  <c r="I4245" i="1"/>
  <c r="J4245" i="1"/>
  <c r="K4245" i="1"/>
  <c r="H4246" i="1"/>
  <c r="I4246" i="1"/>
  <c r="J4246" i="1"/>
  <c r="K4246" i="1"/>
  <c r="H4247" i="1"/>
  <c r="I4247" i="1"/>
  <c r="J4247" i="1"/>
  <c r="K4247" i="1"/>
  <c r="H4248" i="1"/>
  <c r="I4248" i="1"/>
  <c r="J4248" i="1"/>
  <c r="K4248" i="1"/>
  <c r="H4249" i="1"/>
  <c r="I4249" i="1"/>
  <c r="J4249" i="1"/>
  <c r="K4249" i="1"/>
  <c r="H4250" i="1"/>
  <c r="I4250" i="1"/>
  <c r="J4250" i="1"/>
  <c r="K4250" i="1"/>
  <c r="H4251" i="1"/>
  <c r="I4251" i="1"/>
  <c r="J4251" i="1"/>
  <c r="K4251" i="1"/>
  <c r="H4252" i="1"/>
  <c r="I4252" i="1"/>
  <c r="J4252" i="1"/>
  <c r="K4252" i="1"/>
  <c r="H4253" i="1"/>
  <c r="I4253" i="1"/>
  <c r="J4253" i="1"/>
  <c r="K4253" i="1"/>
  <c r="H4254" i="1"/>
  <c r="I4254" i="1"/>
  <c r="J4254" i="1"/>
  <c r="K4254" i="1"/>
  <c r="H4255" i="1"/>
  <c r="I4255" i="1"/>
  <c r="J4255" i="1"/>
  <c r="K4255" i="1"/>
  <c r="H4256" i="1"/>
  <c r="I4256" i="1"/>
  <c r="J4256" i="1"/>
  <c r="K4256" i="1"/>
  <c r="H4257" i="1"/>
  <c r="I4257" i="1"/>
  <c r="J4257" i="1"/>
  <c r="K4257" i="1"/>
  <c r="H4258" i="1"/>
  <c r="I4258" i="1"/>
  <c r="J4258" i="1"/>
  <c r="K4258" i="1"/>
  <c r="H4259" i="1"/>
  <c r="I4259" i="1"/>
  <c r="J4259" i="1"/>
  <c r="K4259" i="1"/>
  <c r="H4260" i="1"/>
  <c r="I4260" i="1"/>
  <c r="J4260" i="1"/>
  <c r="K4260" i="1"/>
  <c r="H4261" i="1"/>
  <c r="I4261" i="1"/>
  <c r="J4261" i="1"/>
  <c r="K4261" i="1"/>
  <c r="H4262" i="1"/>
  <c r="I4262" i="1"/>
  <c r="J4262" i="1"/>
  <c r="K4262" i="1"/>
  <c r="H4263" i="1"/>
  <c r="I4263" i="1"/>
  <c r="J4263" i="1"/>
  <c r="K4263" i="1"/>
  <c r="H4264" i="1"/>
  <c r="I4264" i="1"/>
  <c r="J4264" i="1"/>
  <c r="K4264" i="1"/>
  <c r="H4265" i="1"/>
  <c r="I4265" i="1"/>
  <c r="J4265" i="1"/>
  <c r="K4265" i="1"/>
  <c r="H4266" i="1"/>
  <c r="I4266" i="1"/>
  <c r="J4266" i="1"/>
  <c r="K4266" i="1"/>
  <c r="H4267" i="1"/>
  <c r="I4267" i="1"/>
  <c r="J4267" i="1"/>
  <c r="K4267" i="1"/>
  <c r="H4268" i="1"/>
  <c r="I4268" i="1"/>
  <c r="J4268" i="1"/>
  <c r="K4268" i="1"/>
  <c r="H4269" i="1"/>
  <c r="I4269" i="1"/>
  <c r="J4269" i="1"/>
  <c r="K4269" i="1"/>
  <c r="H4270" i="1"/>
  <c r="I4270" i="1"/>
  <c r="J4270" i="1"/>
  <c r="K4270" i="1"/>
  <c r="H4271" i="1"/>
  <c r="I4271" i="1"/>
  <c r="J4271" i="1"/>
  <c r="K4271" i="1"/>
  <c r="H4272" i="1"/>
  <c r="I4272" i="1"/>
  <c r="J4272" i="1"/>
  <c r="K4272" i="1"/>
  <c r="H4273" i="1"/>
  <c r="I4273" i="1"/>
  <c r="J4273" i="1"/>
  <c r="K4273" i="1"/>
  <c r="H4274" i="1"/>
  <c r="I4274" i="1"/>
  <c r="J4274" i="1"/>
  <c r="K4274" i="1"/>
  <c r="H4275" i="1"/>
  <c r="I4275" i="1"/>
  <c r="J4275" i="1"/>
  <c r="K4275" i="1"/>
  <c r="H4276" i="1"/>
  <c r="I4276" i="1"/>
  <c r="J4276" i="1"/>
  <c r="K4276" i="1"/>
  <c r="H4277" i="1"/>
  <c r="I4277" i="1"/>
  <c r="J4277" i="1"/>
  <c r="K4277" i="1"/>
  <c r="H4278" i="1"/>
  <c r="I4278" i="1"/>
  <c r="J4278" i="1"/>
  <c r="K4278" i="1"/>
  <c r="H4279" i="1"/>
  <c r="I4279" i="1"/>
  <c r="J4279" i="1"/>
  <c r="K4279" i="1"/>
  <c r="H4280" i="1"/>
  <c r="I4280" i="1"/>
  <c r="J4280" i="1"/>
  <c r="K4280" i="1"/>
  <c r="H4281" i="1"/>
  <c r="I4281" i="1"/>
  <c r="J4281" i="1"/>
  <c r="K4281" i="1"/>
  <c r="H4282" i="1"/>
  <c r="I4282" i="1"/>
  <c r="J4282" i="1"/>
  <c r="K4282" i="1"/>
  <c r="H4283" i="1"/>
  <c r="I4283" i="1"/>
  <c r="J4283" i="1"/>
  <c r="K4283" i="1"/>
  <c r="H4284" i="1"/>
  <c r="I4284" i="1"/>
  <c r="J4284" i="1"/>
  <c r="K4284" i="1"/>
  <c r="H4285" i="1"/>
  <c r="I4285" i="1"/>
  <c r="J4285" i="1"/>
  <c r="K4285" i="1"/>
  <c r="H4286" i="1"/>
  <c r="I4286" i="1"/>
  <c r="J4286" i="1"/>
  <c r="K4286" i="1"/>
  <c r="H4287" i="1"/>
  <c r="I4287" i="1"/>
  <c r="J4287" i="1"/>
  <c r="K4287" i="1"/>
  <c r="H4288" i="1"/>
  <c r="I4288" i="1"/>
  <c r="J4288" i="1"/>
  <c r="K4288" i="1"/>
  <c r="H4289" i="1"/>
  <c r="I4289" i="1"/>
  <c r="J4289" i="1"/>
  <c r="K4289" i="1"/>
  <c r="H4290" i="1"/>
  <c r="I4290" i="1"/>
  <c r="J4290" i="1"/>
  <c r="K4290" i="1"/>
  <c r="H4291" i="1"/>
  <c r="I4291" i="1"/>
  <c r="J4291" i="1"/>
  <c r="K4291" i="1"/>
  <c r="H4292" i="1"/>
  <c r="I4292" i="1"/>
  <c r="J4292" i="1"/>
  <c r="K4292" i="1"/>
  <c r="H4293" i="1"/>
  <c r="I4293" i="1"/>
  <c r="J4293" i="1"/>
  <c r="K4293" i="1"/>
  <c r="H4294" i="1"/>
  <c r="I4294" i="1"/>
  <c r="J4294" i="1"/>
  <c r="K4294" i="1"/>
  <c r="H4295" i="1"/>
  <c r="I4295" i="1"/>
  <c r="J4295" i="1"/>
  <c r="K4295" i="1"/>
  <c r="H4296" i="1"/>
  <c r="I4296" i="1"/>
  <c r="J4296" i="1"/>
  <c r="K4296" i="1"/>
  <c r="H4297" i="1"/>
  <c r="I4297" i="1"/>
  <c r="J4297" i="1"/>
  <c r="K4297" i="1"/>
  <c r="H4298" i="1"/>
  <c r="I4298" i="1"/>
  <c r="J4298" i="1"/>
  <c r="K4298" i="1"/>
  <c r="H4299" i="1"/>
  <c r="I4299" i="1"/>
  <c r="J4299" i="1"/>
  <c r="K4299" i="1"/>
  <c r="H4300" i="1"/>
  <c r="I4300" i="1"/>
  <c r="J4300" i="1"/>
  <c r="K4300" i="1"/>
  <c r="H4301" i="1"/>
  <c r="I4301" i="1"/>
  <c r="J4301" i="1"/>
  <c r="K4301" i="1"/>
  <c r="H4302" i="1"/>
  <c r="I4302" i="1"/>
  <c r="J4302" i="1"/>
  <c r="K4302" i="1"/>
  <c r="H4303" i="1"/>
  <c r="I4303" i="1"/>
  <c r="J4303" i="1"/>
  <c r="K4303" i="1"/>
  <c r="H4304" i="1"/>
  <c r="I4304" i="1"/>
  <c r="J4304" i="1"/>
  <c r="K4304" i="1"/>
  <c r="H4305" i="1"/>
  <c r="I4305" i="1"/>
  <c r="J4305" i="1"/>
  <c r="K4305" i="1"/>
  <c r="H4306" i="1"/>
  <c r="I4306" i="1"/>
  <c r="J4306" i="1"/>
  <c r="K4306" i="1"/>
  <c r="H4307" i="1"/>
  <c r="I4307" i="1"/>
  <c r="J4307" i="1"/>
  <c r="K4307" i="1"/>
  <c r="H4308" i="1"/>
  <c r="I4308" i="1"/>
  <c r="J4308" i="1"/>
  <c r="K4308" i="1"/>
  <c r="H4309" i="1"/>
  <c r="I4309" i="1"/>
  <c r="J4309" i="1"/>
  <c r="K4309" i="1"/>
  <c r="H4310" i="1"/>
  <c r="I4310" i="1"/>
  <c r="J4310" i="1"/>
  <c r="K4310" i="1"/>
  <c r="H4311" i="1"/>
  <c r="I4311" i="1"/>
  <c r="J4311" i="1"/>
  <c r="K4311" i="1"/>
  <c r="H4312" i="1"/>
  <c r="I4312" i="1"/>
  <c r="J4312" i="1"/>
  <c r="K4312" i="1"/>
  <c r="H4313" i="1"/>
  <c r="I4313" i="1"/>
  <c r="J4313" i="1"/>
  <c r="K4313" i="1"/>
  <c r="H4314" i="1"/>
  <c r="I4314" i="1"/>
  <c r="J4314" i="1"/>
  <c r="K4314" i="1"/>
  <c r="H4315" i="1"/>
  <c r="I4315" i="1"/>
  <c r="J4315" i="1"/>
  <c r="K4315" i="1"/>
  <c r="H4316" i="1"/>
  <c r="I4316" i="1"/>
  <c r="J4316" i="1"/>
  <c r="K4316" i="1"/>
  <c r="H4317" i="1"/>
  <c r="I4317" i="1"/>
  <c r="J4317" i="1"/>
  <c r="K4317" i="1"/>
  <c r="H4318" i="1"/>
  <c r="I4318" i="1"/>
  <c r="J4318" i="1"/>
  <c r="K4318" i="1"/>
  <c r="H4319" i="1"/>
  <c r="I4319" i="1"/>
  <c r="J4319" i="1"/>
  <c r="K4319" i="1"/>
  <c r="H4320" i="1"/>
  <c r="I4320" i="1"/>
  <c r="J4320" i="1"/>
  <c r="K4320" i="1"/>
  <c r="H4321" i="1"/>
  <c r="I4321" i="1"/>
  <c r="J4321" i="1"/>
  <c r="K4321" i="1"/>
  <c r="H4322" i="1"/>
  <c r="I4322" i="1"/>
  <c r="J4322" i="1"/>
  <c r="K4322" i="1"/>
  <c r="H4323" i="1"/>
  <c r="I4323" i="1"/>
  <c r="J4323" i="1"/>
  <c r="K4323" i="1"/>
  <c r="H4324" i="1"/>
  <c r="I4324" i="1"/>
  <c r="J4324" i="1"/>
  <c r="K4324" i="1"/>
  <c r="H4325" i="1"/>
  <c r="I4325" i="1"/>
  <c r="J4325" i="1"/>
  <c r="K4325" i="1"/>
  <c r="H4326" i="1"/>
  <c r="I4326" i="1"/>
  <c r="J4326" i="1"/>
  <c r="K4326" i="1"/>
  <c r="H4327" i="1"/>
  <c r="I4327" i="1"/>
  <c r="J4327" i="1"/>
  <c r="K4327" i="1"/>
  <c r="H4328" i="1"/>
  <c r="I4328" i="1"/>
  <c r="J4328" i="1"/>
  <c r="K4328" i="1"/>
  <c r="H4329" i="1"/>
  <c r="I4329" i="1"/>
  <c r="J4329" i="1"/>
  <c r="K4329" i="1"/>
  <c r="H4330" i="1"/>
  <c r="I4330" i="1"/>
  <c r="J4330" i="1"/>
  <c r="K4330" i="1"/>
  <c r="H4331" i="1"/>
  <c r="I4331" i="1"/>
  <c r="J4331" i="1"/>
  <c r="K4331" i="1"/>
  <c r="H4332" i="1"/>
  <c r="I4332" i="1"/>
  <c r="J4332" i="1"/>
  <c r="K4332" i="1"/>
  <c r="H4333" i="1"/>
  <c r="I4333" i="1"/>
  <c r="J4333" i="1"/>
  <c r="K4333" i="1"/>
  <c r="H4334" i="1"/>
  <c r="I4334" i="1"/>
  <c r="J4334" i="1"/>
  <c r="K4334" i="1"/>
  <c r="H4335" i="1"/>
  <c r="I4335" i="1"/>
  <c r="J4335" i="1"/>
  <c r="K4335" i="1"/>
  <c r="H4336" i="1"/>
  <c r="I4336" i="1"/>
  <c r="J4336" i="1"/>
  <c r="K4336" i="1"/>
  <c r="H4337" i="1"/>
  <c r="I4337" i="1"/>
  <c r="J4337" i="1"/>
  <c r="K4337" i="1"/>
  <c r="H4338" i="1"/>
  <c r="I4338" i="1"/>
  <c r="J4338" i="1"/>
  <c r="K4338" i="1"/>
  <c r="H4339" i="1"/>
  <c r="I4339" i="1"/>
  <c r="J4339" i="1"/>
  <c r="K4339" i="1"/>
  <c r="H4340" i="1"/>
  <c r="I4340" i="1"/>
  <c r="J4340" i="1"/>
  <c r="K4340" i="1"/>
  <c r="H4341" i="1"/>
  <c r="I4341" i="1"/>
  <c r="J4341" i="1"/>
  <c r="K4341" i="1"/>
  <c r="H4342" i="1"/>
  <c r="I4342" i="1"/>
  <c r="J4342" i="1"/>
  <c r="K4342" i="1"/>
  <c r="H4343" i="1"/>
  <c r="I4343" i="1"/>
  <c r="J4343" i="1"/>
  <c r="K4343" i="1"/>
  <c r="H4344" i="1"/>
  <c r="I4344" i="1"/>
  <c r="J4344" i="1"/>
  <c r="K4344" i="1"/>
  <c r="H4345" i="1"/>
  <c r="I4345" i="1"/>
  <c r="J4345" i="1"/>
  <c r="K4345" i="1"/>
  <c r="H4346" i="1"/>
  <c r="I4346" i="1"/>
  <c r="J4346" i="1"/>
  <c r="K4346" i="1"/>
  <c r="H4347" i="1"/>
  <c r="I4347" i="1"/>
  <c r="J4347" i="1"/>
  <c r="K4347" i="1"/>
  <c r="H4348" i="1"/>
  <c r="I4348" i="1"/>
  <c r="J4348" i="1"/>
  <c r="K4348" i="1"/>
  <c r="H4349" i="1"/>
  <c r="I4349" i="1"/>
  <c r="J4349" i="1"/>
  <c r="K4349" i="1"/>
  <c r="H4350" i="1"/>
  <c r="I4350" i="1"/>
  <c r="J4350" i="1"/>
  <c r="K4350" i="1"/>
  <c r="H4351" i="1"/>
  <c r="I4351" i="1"/>
  <c r="J4351" i="1"/>
  <c r="K4351" i="1"/>
  <c r="H4352" i="1"/>
  <c r="I4352" i="1"/>
  <c r="J4352" i="1"/>
  <c r="K4352" i="1"/>
  <c r="H4353" i="1"/>
  <c r="I4353" i="1"/>
  <c r="J4353" i="1"/>
  <c r="K4353" i="1"/>
  <c r="H4354" i="1"/>
  <c r="I4354" i="1"/>
  <c r="J4354" i="1"/>
  <c r="K4354" i="1"/>
  <c r="H4355" i="1"/>
  <c r="I4355" i="1"/>
  <c r="J4355" i="1"/>
  <c r="K4355" i="1"/>
  <c r="H4356" i="1"/>
  <c r="I4356" i="1"/>
  <c r="J4356" i="1"/>
  <c r="K4356" i="1"/>
  <c r="H4357" i="1"/>
  <c r="I4357" i="1"/>
  <c r="J4357" i="1"/>
  <c r="K4357" i="1"/>
  <c r="H4358" i="1"/>
  <c r="I4358" i="1"/>
  <c r="J4358" i="1"/>
  <c r="K4358" i="1"/>
  <c r="H4359" i="1"/>
  <c r="I4359" i="1"/>
  <c r="J4359" i="1"/>
  <c r="K4359" i="1"/>
  <c r="H4360" i="1"/>
  <c r="I4360" i="1"/>
  <c r="J4360" i="1"/>
  <c r="K4360" i="1"/>
  <c r="H4361" i="1"/>
  <c r="I4361" i="1"/>
  <c r="J4361" i="1"/>
  <c r="K4361" i="1"/>
  <c r="H4362" i="1"/>
  <c r="I4362" i="1"/>
  <c r="J4362" i="1"/>
  <c r="K4362" i="1"/>
  <c r="H4363" i="1"/>
  <c r="I4363" i="1"/>
  <c r="J4363" i="1"/>
  <c r="K4363" i="1"/>
  <c r="H4364" i="1"/>
  <c r="I4364" i="1"/>
  <c r="J4364" i="1"/>
  <c r="K4364" i="1"/>
  <c r="H4365" i="1"/>
  <c r="I4365" i="1"/>
  <c r="J4365" i="1"/>
  <c r="K4365" i="1"/>
  <c r="H4366" i="1"/>
  <c r="I4366" i="1"/>
  <c r="J4366" i="1"/>
  <c r="K4366" i="1"/>
  <c r="H4367" i="1"/>
  <c r="I4367" i="1"/>
  <c r="J4367" i="1"/>
  <c r="K4367" i="1"/>
  <c r="H4368" i="1"/>
  <c r="I4368" i="1"/>
  <c r="J4368" i="1"/>
  <c r="K4368" i="1"/>
  <c r="H4369" i="1"/>
  <c r="I4369" i="1"/>
  <c r="J4369" i="1"/>
  <c r="K4369" i="1"/>
  <c r="H4370" i="1"/>
  <c r="I4370" i="1"/>
  <c r="J4370" i="1"/>
  <c r="K4370" i="1"/>
  <c r="H4371" i="1"/>
  <c r="I4371" i="1"/>
  <c r="J4371" i="1"/>
  <c r="K4371" i="1"/>
  <c r="H4372" i="1"/>
  <c r="I4372" i="1"/>
  <c r="J4372" i="1"/>
  <c r="K4372" i="1"/>
  <c r="H4373" i="1"/>
  <c r="I4373" i="1"/>
  <c r="J4373" i="1"/>
  <c r="K4373" i="1"/>
  <c r="H4374" i="1"/>
  <c r="I4374" i="1"/>
  <c r="J4374" i="1"/>
  <c r="K4374" i="1"/>
  <c r="H4375" i="1"/>
  <c r="I4375" i="1"/>
  <c r="J4375" i="1"/>
  <c r="K4375" i="1"/>
  <c r="H4376" i="1"/>
  <c r="I4376" i="1"/>
  <c r="J4376" i="1"/>
  <c r="K4376" i="1"/>
  <c r="H4377" i="1"/>
  <c r="I4377" i="1"/>
  <c r="J4377" i="1"/>
  <c r="K4377" i="1"/>
  <c r="H4378" i="1"/>
  <c r="I4378" i="1"/>
  <c r="J4378" i="1"/>
  <c r="K4378" i="1"/>
  <c r="H4379" i="1"/>
  <c r="I4379" i="1"/>
  <c r="J4379" i="1"/>
  <c r="K4379" i="1"/>
  <c r="H4380" i="1"/>
  <c r="I4380" i="1"/>
  <c r="J4380" i="1"/>
  <c r="K4380" i="1"/>
  <c r="H4381" i="1"/>
  <c r="I4381" i="1"/>
  <c r="J4381" i="1"/>
  <c r="K4381" i="1"/>
  <c r="H4382" i="1"/>
  <c r="I4382" i="1"/>
  <c r="J4382" i="1"/>
  <c r="K4382" i="1"/>
  <c r="H4383" i="1"/>
  <c r="I4383" i="1"/>
  <c r="J4383" i="1"/>
  <c r="K4383" i="1"/>
  <c r="H4384" i="1"/>
  <c r="I4384" i="1"/>
  <c r="J4384" i="1"/>
  <c r="K4384" i="1"/>
  <c r="H4385" i="1"/>
  <c r="I4385" i="1"/>
  <c r="J4385" i="1"/>
  <c r="K4385" i="1"/>
  <c r="H4386" i="1"/>
  <c r="I4386" i="1"/>
  <c r="J4386" i="1"/>
  <c r="K4386" i="1"/>
  <c r="H4387" i="1"/>
  <c r="I4387" i="1"/>
  <c r="J4387" i="1"/>
  <c r="K4387" i="1"/>
  <c r="H4388" i="1"/>
  <c r="I4388" i="1"/>
  <c r="J4388" i="1"/>
  <c r="K4388" i="1"/>
  <c r="H4389" i="1"/>
  <c r="I4389" i="1"/>
  <c r="J4389" i="1"/>
  <c r="K4389" i="1"/>
  <c r="H4390" i="1"/>
  <c r="I4390" i="1"/>
  <c r="J4390" i="1"/>
  <c r="K4390" i="1"/>
  <c r="H4391" i="1"/>
  <c r="I4391" i="1"/>
  <c r="J4391" i="1"/>
  <c r="K4391" i="1"/>
  <c r="H4392" i="1"/>
  <c r="I4392" i="1"/>
  <c r="J4392" i="1"/>
  <c r="K4392" i="1"/>
  <c r="H4393" i="1"/>
  <c r="I4393" i="1"/>
  <c r="J4393" i="1"/>
  <c r="K4393" i="1"/>
  <c r="H4394" i="1"/>
  <c r="I4394" i="1"/>
  <c r="J4394" i="1"/>
  <c r="K4394" i="1"/>
  <c r="H4395" i="1"/>
  <c r="I4395" i="1"/>
  <c r="J4395" i="1"/>
  <c r="K4395" i="1"/>
  <c r="H4396" i="1"/>
  <c r="I4396" i="1"/>
  <c r="J4396" i="1"/>
  <c r="K4396" i="1"/>
  <c r="H4397" i="1"/>
  <c r="I4397" i="1"/>
  <c r="J4397" i="1"/>
  <c r="K4397" i="1"/>
  <c r="H4398" i="1"/>
  <c r="I4398" i="1"/>
  <c r="J4398" i="1"/>
  <c r="K4398" i="1"/>
  <c r="H4399" i="1"/>
  <c r="I4399" i="1"/>
  <c r="J4399" i="1"/>
  <c r="K4399" i="1"/>
  <c r="H4400" i="1"/>
  <c r="I4400" i="1"/>
  <c r="J4400" i="1"/>
  <c r="K4400" i="1"/>
  <c r="H4401" i="1"/>
  <c r="I4401" i="1"/>
  <c r="J4401" i="1"/>
  <c r="K4401" i="1"/>
  <c r="H4402" i="1"/>
  <c r="I4402" i="1"/>
  <c r="J4402" i="1"/>
  <c r="K4402" i="1"/>
  <c r="H4403" i="1"/>
  <c r="I4403" i="1"/>
  <c r="J4403" i="1"/>
  <c r="K4403" i="1"/>
  <c r="H4404" i="1"/>
  <c r="I4404" i="1"/>
  <c r="J4404" i="1"/>
  <c r="K4404" i="1"/>
  <c r="H4405" i="1"/>
  <c r="I4405" i="1"/>
  <c r="J4405" i="1"/>
  <c r="K4405" i="1"/>
  <c r="H4406" i="1"/>
  <c r="I4406" i="1"/>
  <c r="J4406" i="1"/>
  <c r="K4406" i="1"/>
  <c r="H4407" i="1"/>
  <c r="I4407" i="1"/>
  <c r="J4407" i="1"/>
  <c r="K4407" i="1"/>
  <c r="H4408" i="1"/>
  <c r="I4408" i="1"/>
  <c r="J4408" i="1"/>
  <c r="K4408" i="1"/>
  <c r="H4409" i="1"/>
  <c r="I4409" i="1"/>
  <c r="J4409" i="1"/>
  <c r="K4409" i="1"/>
  <c r="H4410" i="1"/>
  <c r="I4410" i="1"/>
  <c r="J4410" i="1"/>
  <c r="K4410" i="1"/>
  <c r="H4411" i="1"/>
  <c r="I4411" i="1"/>
  <c r="J4411" i="1"/>
  <c r="K4411" i="1"/>
  <c r="H4412" i="1"/>
  <c r="I4412" i="1"/>
  <c r="J4412" i="1"/>
  <c r="K4412" i="1"/>
  <c r="H4413" i="1"/>
  <c r="I4413" i="1"/>
  <c r="J4413" i="1"/>
  <c r="K4413" i="1"/>
  <c r="H4414" i="1"/>
  <c r="I4414" i="1"/>
  <c r="J4414" i="1"/>
  <c r="K4414" i="1"/>
  <c r="H4415" i="1"/>
  <c r="I4415" i="1"/>
  <c r="J4415" i="1"/>
  <c r="K4415" i="1"/>
  <c r="H4416" i="1"/>
  <c r="I4416" i="1"/>
  <c r="J4416" i="1"/>
  <c r="K4416" i="1"/>
  <c r="H4417" i="1"/>
  <c r="I4417" i="1"/>
  <c r="J4417" i="1"/>
  <c r="K4417" i="1"/>
  <c r="H4418" i="1"/>
  <c r="I4418" i="1"/>
  <c r="J4418" i="1"/>
  <c r="K4418" i="1"/>
  <c r="H4419" i="1"/>
  <c r="I4419" i="1"/>
  <c r="J4419" i="1"/>
  <c r="K4419" i="1"/>
  <c r="H4420" i="1"/>
  <c r="I4420" i="1"/>
  <c r="J4420" i="1"/>
  <c r="K4420" i="1"/>
  <c r="H4421" i="1"/>
  <c r="I4421" i="1"/>
  <c r="J4421" i="1"/>
  <c r="K4421" i="1"/>
  <c r="H4422" i="1"/>
  <c r="I4422" i="1"/>
  <c r="J4422" i="1"/>
  <c r="K4422" i="1"/>
  <c r="H4423" i="1"/>
  <c r="I4423" i="1"/>
  <c r="J4423" i="1"/>
  <c r="K4423" i="1"/>
  <c r="H4424" i="1"/>
  <c r="I4424" i="1"/>
  <c r="J4424" i="1"/>
  <c r="K4424" i="1"/>
  <c r="H4425" i="1"/>
  <c r="I4425" i="1"/>
  <c r="J4425" i="1"/>
  <c r="K4425" i="1"/>
  <c r="H4426" i="1"/>
  <c r="I4426" i="1"/>
  <c r="J4426" i="1"/>
  <c r="K4426" i="1"/>
  <c r="H4427" i="1"/>
  <c r="I4427" i="1"/>
  <c r="J4427" i="1"/>
  <c r="K4427" i="1"/>
  <c r="H4428" i="1"/>
  <c r="I4428" i="1"/>
  <c r="J4428" i="1"/>
  <c r="K4428" i="1"/>
  <c r="H4429" i="1"/>
  <c r="I4429" i="1"/>
  <c r="J4429" i="1"/>
  <c r="K4429" i="1"/>
  <c r="H4430" i="1"/>
  <c r="I4430" i="1"/>
  <c r="J4430" i="1"/>
  <c r="K4430" i="1"/>
  <c r="H4431" i="1"/>
  <c r="I4431" i="1"/>
  <c r="J4431" i="1"/>
  <c r="K4431" i="1"/>
  <c r="H4432" i="1"/>
  <c r="I4432" i="1"/>
  <c r="J4432" i="1"/>
  <c r="K4432" i="1"/>
  <c r="H4433" i="1"/>
  <c r="I4433" i="1"/>
  <c r="J4433" i="1"/>
  <c r="K4433" i="1"/>
  <c r="H4434" i="1"/>
  <c r="I4434" i="1"/>
  <c r="J4434" i="1"/>
  <c r="K4434" i="1"/>
  <c r="H4435" i="1"/>
  <c r="I4435" i="1"/>
  <c r="J4435" i="1"/>
  <c r="K4435" i="1"/>
  <c r="H4436" i="1"/>
  <c r="I4436" i="1"/>
  <c r="J4436" i="1"/>
  <c r="K4436" i="1"/>
  <c r="H4437" i="1"/>
  <c r="I4437" i="1"/>
  <c r="J4437" i="1"/>
  <c r="K4437" i="1"/>
  <c r="H4438" i="1"/>
  <c r="I4438" i="1"/>
  <c r="J4438" i="1"/>
  <c r="K4438" i="1"/>
  <c r="H4439" i="1"/>
  <c r="I4439" i="1"/>
  <c r="J4439" i="1"/>
  <c r="K4439" i="1"/>
  <c r="H4440" i="1"/>
  <c r="I4440" i="1"/>
  <c r="J4440" i="1"/>
  <c r="K4440" i="1"/>
  <c r="H4441" i="1"/>
  <c r="I4441" i="1"/>
  <c r="J4441" i="1"/>
  <c r="K4441" i="1"/>
  <c r="H4442" i="1"/>
  <c r="I4442" i="1"/>
  <c r="J4442" i="1"/>
  <c r="K4442" i="1"/>
  <c r="H4443" i="1"/>
  <c r="I4443" i="1"/>
  <c r="J4443" i="1"/>
  <c r="K4443" i="1"/>
  <c r="H4444" i="1"/>
  <c r="I4444" i="1"/>
  <c r="J4444" i="1"/>
  <c r="K4444" i="1"/>
  <c r="H4445" i="1"/>
  <c r="I4445" i="1"/>
  <c r="J4445" i="1"/>
  <c r="K4445" i="1"/>
  <c r="H4446" i="1"/>
  <c r="I4446" i="1"/>
  <c r="J4446" i="1"/>
  <c r="K4446" i="1"/>
  <c r="H4447" i="1"/>
  <c r="I4447" i="1"/>
  <c r="J4447" i="1"/>
  <c r="K4447" i="1"/>
  <c r="H4448" i="1"/>
  <c r="I4448" i="1"/>
  <c r="J4448" i="1"/>
  <c r="K4448" i="1"/>
  <c r="H4449" i="1"/>
  <c r="I4449" i="1"/>
  <c r="J4449" i="1"/>
  <c r="K4449" i="1"/>
  <c r="H4450" i="1"/>
  <c r="I4450" i="1"/>
  <c r="J4450" i="1"/>
  <c r="K4450" i="1"/>
  <c r="H4451" i="1"/>
  <c r="I4451" i="1"/>
  <c r="J4451" i="1"/>
  <c r="K4451" i="1"/>
  <c r="H4452" i="1"/>
  <c r="I4452" i="1"/>
  <c r="J4452" i="1"/>
  <c r="K4452" i="1"/>
  <c r="H4453" i="1"/>
  <c r="I4453" i="1"/>
  <c r="J4453" i="1"/>
  <c r="K4453" i="1"/>
  <c r="H4454" i="1"/>
  <c r="I4454" i="1"/>
  <c r="J4454" i="1"/>
  <c r="K4454" i="1"/>
  <c r="H4455" i="1"/>
  <c r="I4455" i="1"/>
  <c r="J4455" i="1"/>
  <c r="K4455" i="1"/>
  <c r="H4456" i="1"/>
  <c r="I4456" i="1"/>
  <c r="J4456" i="1"/>
  <c r="K4456" i="1"/>
  <c r="H4457" i="1"/>
  <c r="I4457" i="1"/>
  <c r="J4457" i="1"/>
  <c r="K4457" i="1"/>
  <c r="H4458" i="1"/>
  <c r="I4458" i="1"/>
  <c r="J4458" i="1"/>
  <c r="K4458" i="1"/>
  <c r="H4459" i="1"/>
  <c r="I4459" i="1"/>
  <c r="J4459" i="1"/>
  <c r="K4459" i="1"/>
  <c r="H4460" i="1"/>
  <c r="I4460" i="1"/>
  <c r="J4460" i="1"/>
  <c r="K4460" i="1"/>
  <c r="H4461" i="1"/>
  <c r="I4461" i="1"/>
  <c r="J4461" i="1"/>
  <c r="K4461" i="1"/>
  <c r="H4462" i="1"/>
  <c r="I4462" i="1"/>
  <c r="J4462" i="1"/>
  <c r="K4462" i="1"/>
  <c r="H4463" i="1"/>
  <c r="I4463" i="1"/>
  <c r="J4463" i="1"/>
  <c r="K4463" i="1"/>
  <c r="H4464" i="1"/>
  <c r="I4464" i="1"/>
  <c r="J4464" i="1"/>
  <c r="K4464" i="1"/>
  <c r="H4465" i="1"/>
  <c r="I4465" i="1"/>
  <c r="J4465" i="1"/>
  <c r="K4465" i="1"/>
  <c r="H4466" i="1"/>
  <c r="I4466" i="1"/>
  <c r="J4466" i="1"/>
  <c r="K4466" i="1"/>
  <c r="H4467" i="1"/>
  <c r="I4467" i="1"/>
  <c r="J4467" i="1"/>
  <c r="K4467" i="1"/>
  <c r="H4468" i="1"/>
  <c r="I4468" i="1"/>
  <c r="J4468" i="1"/>
  <c r="K4468" i="1"/>
  <c r="H4469" i="1"/>
  <c r="I4469" i="1"/>
  <c r="J4469" i="1"/>
  <c r="K4469" i="1"/>
  <c r="H4470" i="1"/>
  <c r="I4470" i="1"/>
  <c r="J4470" i="1"/>
  <c r="K4470" i="1"/>
  <c r="H4471" i="1"/>
  <c r="I4471" i="1"/>
  <c r="J4471" i="1"/>
  <c r="K4471" i="1"/>
  <c r="H4472" i="1"/>
  <c r="I4472" i="1"/>
  <c r="J4472" i="1"/>
  <c r="K4472" i="1"/>
  <c r="H4473" i="1"/>
  <c r="I4473" i="1"/>
  <c r="J4473" i="1"/>
  <c r="K4473" i="1"/>
  <c r="H4474" i="1"/>
  <c r="I4474" i="1"/>
  <c r="J4474" i="1"/>
  <c r="K4474" i="1"/>
  <c r="H4475" i="1"/>
  <c r="I4475" i="1"/>
  <c r="J4475" i="1"/>
  <c r="K4475" i="1"/>
  <c r="H4476" i="1"/>
  <c r="I4476" i="1"/>
  <c r="J4476" i="1"/>
  <c r="K4476" i="1"/>
  <c r="H4477" i="1"/>
  <c r="I4477" i="1"/>
  <c r="J4477" i="1"/>
  <c r="K4477" i="1"/>
  <c r="H4478" i="1"/>
  <c r="I4478" i="1"/>
  <c r="J4478" i="1"/>
  <c r="K4478" i="1"/>
  <c r="H4479" i="1"/>
  <c r="I4479" i="1"/>
  <c r="J4479" i="1"/>
  <c r="K4479" i="1"/>
  <c r="H4480" i="1"/>
  <c r="I4480" i="1"/>
  <c r="J4480" i="1"/>
  <c r="K4480" i="1"/>
  <c r="H4481" i="1"/>
  <c r="I4481" i="1"/>
  <c r="J4481" i="1"/>
  <c r="K4481" i="1"/>
  <c r="H4482" i="1"/>
  <c r="I4482" i="1"/>
  <c r="J4482" i="1"/>
  <c r="K4482" i="1"/>
  <c r="H4483" i="1"/>
  <c r="I4483" i="1"/>
  <c r="J4483" i="1"/>
  <c r="K4483" i="1"/>
  <c r="H4484" i="1"/>
  <c r="I4484" i="1"/>
  <c r="J4484" i="1"/>
  <c r="K4484" i="1"/>
  <c r="H4485" i="1"/>
  <c r="I4485" i="1"/>
  <c r="J4485" i="1"/>
  <c r="K4485" i="1"/>
  <c r="H4486" i="1"/>
  <c r="I4486" i="1"/>
  <c r="J4486" i="1"/>
  <c r="K4486" i="1"/>
  <c r="H4487" i="1"/>
  <c r="I4487" i="1"/>
  <c r="J4487" i="1"/>
  <c r="K4487" i="1"/>
  <c r="H4488" i="1"/>
  <c r="I4488" i="1"/>
  <c r="J4488" i="1"/>
  <c r="K4488" i="1"/>
  <c r="H4489" i="1"/>
  <c r="I4489" i="1"/>
  <c r="J4489" i="1"/>
  <c r="K4489" i="1"/>
  <c r="H4490" i="1"/>
  <c r="I4490" i="1"/>
  <c r="J4490" i="1"/>
  <c r="K4490" i="1"/>
  <c r="H4491" i="1"/>
  <c r="I4491" i="1"/>
  <c r="J4491" i="1"/>
  <c r="K4491" i="1"/>
  <c r="H4492" i="1"/>
  <c r="I4492" i="1"/>
  <c r="J4492" i="1"/>
  <c r="K4492" i="1"/>
  <c r="H4493" i="1"/>
  <c r="I4493" i="1"/>
  <c r="J4493" i="1"/>
  <c r="K4493" i="1"/>
  <c r="H4494" i="1"/>
  <c r="I4494" i="1"/>
  <c r="J4494" i="1"/>
  <c r="K4494" i="1"/>
  <c r="H4495" i="1"/>
  <c r="I4495" i="1"/>
  <c r="J4495" i="1"/>
  <c r="K4495" i="1"/>
  <c r="H4496" i="1"/>
  <c r="I4496" i="1"/>
  <c r="J4496" i="1"/>
  <c r="K4496" i="1"/>
  <c r="H4497" i="1"/>
  <c r="I4497" i="1"/>
  <c r="J4497" i="1"/>
  <c r="K4497" i="1"/>
  <c r="H4498" i="1"/>
  <c r="I4498" i="1"/>
  <c r="J4498" i="1"/>
  <c r="K4498" i="1"/>
  <c r="H4499" i="1"/>
  <c r="I4499" i="1"/>
  <c r="J4499" i="1"/>
  <c r="K4499" i="1"/>
  <c r="H4500" i="1"/>
  <c r="I4500" i="1"/>
  <c r="J4500" i="1"/>
  <c r="K4500" i="1"/>
  <c r="H4501" i="1"/>
  <c r="I4501" i="1"/>
  <c r="J4501" i="1"/>
  <c r="K4501" i="1"/>
  <c r="H4502" i="1"/>
  <c r="I4502" i="1"/>
  <c r="J4502" i="1"/>
  <c r="K4502" i="1"/>
  <c r="H4503" i="1"/>
  <c r="I4503" i="1"/>
  <c r="J4503" i="1"/>
  <c r="K4503" i="1"/>
  <c r="H4504" i="1"/>
  <c r="I4504" i="1"/>
  <c r="J4504" i="1"/>
  <c r="K4504" i="1"/>
  <c r="H4505" i="1"/>
  <c r="I4505" i="1"/>
  <c r="J4505" i="1"/>
  <c r="K4505" i="1"/>
  <c r="H4506" i="1"/>
  <c r="I4506" i="1"/>
  <c r="J4506" i="1"/>
  <c r="K4506" i="1"/>
  <c r="H4507" i="1"/>
  <c r="I4507" i="1"/>
  <c r="J4507" i="1"/>
  <c r="K4507" i="1"/>
  <c r="H4508" i="1"/>
  <c r="I4508" i="1"/>
  <c r="J4508" i="1"/>
  <c r="K4508" i="1"/>
  <c r="H4509" i="1"/>
  <c r="I4509" i="1"/>
  <c r="J4509" i="1"/>
  <c r="K4509" i="1"/>
  <c r="H4510" i="1"/>
  <c r="I4510" i="1"/>
  <c r="J4510" i="1"/>
  <c r="K4510" i="1"/>
  <c r="H4511" i="1"/>
  <c r="I4511" i="1"/>
  <c r="J4511" i="1"/>
  <c r="K4511" i="1"/>
  <c r="H4512" i="1"/>
  <c r="I4512" i="1"/>
  <c r="J4512" i="1"/>
  <c r="K4512" i="1"/>
  <c r="H4513" i="1"/>
  <c r="I4513" i="1"/>
  <c r="J4513" i="1"/>
  <c r="K4513" i="1"/>
  <c r="H4514" i="1"/>
  <c r="I4514" i="1"/>
  <c r="J4514" i="1"/>
  <c r="K4514" i="1"/>
  <c r="H4515" i="1"/>
  <c r="I4515" i="1"/>
  <c r="J4515" i="1"/>
  <c r="K4515" i="1"/>
  <c r="H4516" i="1"/>
  <c r="I4516" i="1"/>
  <c r="J4516" i="1"/>
  <c r="K4516" i="1"/>
  <c r="H4517" i="1"/>
  <c r="I4517" i="1"/>
  <c r="J4517" i="1"/>
  <c r="K4517" i="1"/>
  <c r="H4518" i="1"/>
  <c r="I4518" i="1"/>
  <c r="J4518" i="1"/>
  <c r="K4518" i="1"/>
  <c r="H4519" i="1"/>
  <c r="I4519" i="1"/>
  <c r="J4519" i="1"/>
  <c r="K4519" i="1"/>
  <c r="H4520" i="1"/>
  <c r="I4520" i="1"/>
  <c r="J4520" i="1"/>
  <c r="K4520" i="1"/>
  <c r="H4521" i="1"/>
  <c r="I4521" i="1"/>
  <c r="J4521" i="1"/>
  <c r="K4521" i="1"/>
  <c r="H4522" i="1"/>
  <c r="I4522" i="1"/>
  <c r="J4522" i="1"/>
  <c r="K4522" i="1"/>
  <c r="H4523" i="1"/>
  <c r="I4523" i="1"/>
  <c r="J4523" i="1"/>
  <c r="K4523" i="1"/>
  <c r="H4524" i="1"/>
  <c r="I4524" i="1"/>
  <c r="J4524" i="1"/>
  <c r="K4524" i="1"/>
  <c r="H4525" i="1"/>
  <c r="I4525" i="1"/>
  <c r="J4525" i="1"/>
  <c r="K4525" i="1"/>
  <c r="H4526" i="1"/>
  <c r="I4526" i="1"/>
  <c r="J4526" i="1"/>
  <c r="K4526" i="1"/>
  <c r="H4527" i="1"/>
  <c r="I4527" i="1"/>
  <c r="J4527" i="1"/>
  <c r="K4527" i="1"/>
  <c r="H4528" i="1"/>
  <c r="I4528" i="1"/>
  <c r="J4528" i="1"/>
  <c r="K4528" i="1"/>
  <c r="H4529" i="1"/>
  <c r="I4529" i="1"/>
  <c r="J4529" i="1"/>
  <c r="K4529" i="1"/>
  <c r="H4530" i="1"/>
  <c r="I4530" i="1"/>
  <c r="J4530" i="1"/>
  <c r="K4530" i="1"/>
  <c r="H4531" i="1"/>
  <c r="I4531" i="1"/>
  <c r="J4531" i="1"/>
  <c r="K4531" i="1"/>
  <c r="H4532" i="1"/>
  <c r="I4532" i="1"/>
  <c r="J4532" i="1"/>
  <c r="K4532" i="1"/>
  <c r="H4533" i="1"/>
  <c r="I4533" i="1"/>
  <c r="J4533" i="1"/>
  <c r="K4533" i="1"/>
  <c r="H4534" i="1"/>
  <c r="I4534" i="1"/>
  <c r="J4534" i="1"/>
  <c r="K4534" i="1"/>
  <c r="H4535" i="1"/>
  <c r="I4535" i="1"/>
  <c r="J4535" i="1"/>
  <c r="K4535" i="1"/>
  <c r="H4536" i="1"/>
  <c r="I4536" i="1"/>
  <c r="J4536" i="1"/>
  <c r="K4536" i="1"/>
  <c r="H4537" i="1"/>
  <c r="I4537" i="1"/>
  <c r="J4537" i="1"/>
  <c r="K4537" i="1"/>
  <c r="H4538" i="1"/>
  <c r="I4538" i="1"/>
  <c r="J4538" i="1"/>
  <c r="K4538" i="1"/>
  <c r="H4539" i="1"/>
  <c r="I4539" i="1"/>
  <c r="J4539" i="1"/>
  <c r="K4539" i="1"/>
  <c r="H4540" i="1"/>
  <c r="I4540" i="1"/>
  <c r="J4540" i="1"/>
  <c r="K4540" i="1"/>
  <c r="H4541" i="1"/>
  <c r="I4541" i="1"/>
  <c r="J4541" i="1"/>
  <c r="K4541" i="1"/>
  <c r="H4542" i="1"/>
  <c r="I4542" i="1"/>
  <c r="J4542" i="1"/>
  <c r="K4542" i="1"/>
  <c r="H4543" i="1"/>
  <c r="I4543" i="1"/>
  <c r="J4543" i="1"/>
  <c r="K4543" i="1"/>
  <c r="H4544" i="1"/>
  <c r="I4544" i="1"/>
  <c r="J4544" i="1"/>
  <c r="K4544" i="1"/>
  <c r="H4545" i="1"/>
  <c r="I4545" i="1"/>
  <c r="J4545" i="1"/>
  <c r="K4545" i="1"/>
  <c r="H4546" i="1"/>
  <c r="I4546" i="1"/>
  <c r="J4546" i="1"/>
  <c r="K4546" i="1"/>
  <c r="H4547" i="1"/>
  <c r="I4547" i="1"/>
  <c r="J4547" i="1"/>
  <c r="K4547" i="1"/>
  <c r="H4548" i="1"/>
  <c r="I4548" i="1"/>
  <c r="J4548" i="1"/>
  <c r="K4548" i="1"/>
  <c r="H4549" i="1"/>
  <c r="I4549" i="1"/>
  <c r="J4549" i="1"/>
  <c r="K4549" i="1"/>
  <c r="H4550" i="1"/>
  <c r="I4550" i="1"/>
  <c r="J4550" i="1"/>
  <c r="K4550" i="1"/>
  <c r="H4551" i="1"/>
  <c r="I4551" i="1"/>
  <c r="J4551" i="1"/>
  <c r="K4551" i="1"/>
  <c r="H4552" i="1"/>
  <c r="I4552" i="1"/>
  <c r="J4552" i="1"/>
  <c r="K4552" i="1"/>
  <c r="H4553" i="1"/>
  <c r="I4553" i="1"/>
  <c r="J4553" i="1"/>
  <c r="K4553" i="1"/>
  <c r="H4554" i="1"/>
  <c r="I4554" i="1"/>
  <c r="J4554" i="1"/>
  <c r="K4554" i="1"/>
  <c r="H4555" i="1"/>
  <c r="I4555" i="1"/>
  <c r="J4555" i="1"/>
  <c r="K4555" i="1"/>
  <c r="H4556" i="1"/>
  <c r="I4556" i="1"/>
  <c r="J4556" i="1"/>
  <c r="K4556" i="1"/>
  <c r="H4557" i="1"/>
  <c r="I4557" i="1"/>
  <c r="J4557" i="1"/>
  <c r="K4557" i="1"/>
  <c r="H4558" i="1"/>
  <c r="I4558" i="1"/>
  <c r="J4558" i="1"/>
  <c r="K4558" i="1"/>
  <c r="H4559" i="1"/>
  <c r="I4559" i="1"/>
  <c r="J4559" i="1"/>
  <c r="K4559" i="1"/>
  <c r="H4560" i="1"/>
  <c r="I4560" i="1"/>
  <c r="J4560" i="1"/>
  <c r="K4560" i="1"/>
  <c r="H4561" i="1"/>
  <c r="I4561" i="1"/>
  <c r="J4561" i="1"/>
  <c r="K4561" i="1"/>
  <c r="H4562" i="1"/>
  <c r="I4562" i="1"/>
  <c r="J4562" i="1"/>
  <c r="K4562" i="1"/>
  <c r="H4563" i="1"/>
  <c r="I4563" i="1"/>
  <c r="J4563" i="1"/>
  <c r="K4563" i="1"/>
  <c r="H4564" i="1"/>
  <c r="I4564" i="1"/>
  <c r="J4564" i="1"/>
  <c r="K4564" i="1"/>
  <c r="H4565" i="1"/>
  <c r="I4565" i="1"/>
  <c r="J4565" i="1"/>
  <c r="K4565" i="1"/>
  <c r="H4566" i="1"/>
  <c r="I4566" i="1"/>
  <c r="J4566" i="1"/>
  <c r="K4566" i="1"/>
  <c r="H4567" i="1"/>
  <c r="I4567" i="1"/>
  <c r="J4567" i="1"/>
  <c r="K4567" i="1"/>
  <c r="H4568" i="1"/>
  <c r="I4568" i="1"/>
  <c r="J4568" i="1"/>
  <c r="K4568" i="1"/>
  <c r="H4569" i="1"/>
  <c r="I4569" i="1"/>
  <c r="J4569" i="1"/>
  <c r="K4569" i="1"/>
  <c r="H4570" i="1"/>
  <c r="I4570" i="1"/>
  <c r="J4570" i="1"/>
  <c r="K4570" i="1"/>
  <c r="H4571" i="1"/>
  <c r="I4571" i="1"/>
  <c r="J4571" i="1"/>
  <c r="K4571" i="1"/>
  <c r="H4572" i="1"/>
  <c r="I4572" i="1"/>
  <c r="J4572" i="1"/>
  <c r="K4572" i="1"/>
  <c r="H4573" i="1"/>
  <c r="I4573" i="1"/>
  <c r="J4573" i="1"/>
  <c r="K4573" i="1"/>
  <c r="H4574" i="1"/>
  <c r="I4574" i="1"/>
  <c r="J4574" i="1"/>
  <c r="K4574" i="1"/>
  <c r="H4575" i="1"/>
  <c r="I4575" i="1"/>
  <c r="J4575" i="1"/>
  <c r="K4575" i="1"/>
  <c r="H4576" i="1"/>
  <c r="I4576" i="1"/>
  <c r="J4576" i="1"/>
  <c r="K4576" i="1"/>
  <c r="H4577" i="1"/>
  <c r="I4577" i="1"/>
  <c r="J4577" i="1"/>
  <c r="K4577" i="1"/>
  <c r="H4578" i="1"/>
  <c r="I4578" i="1"/>
  <c r="J4578" i="1"/>
  <c r="K4578" i="1"/>
  <c r="H4579" i="1"/>
  <c r="I4579" i="1"/>
  <c r="J4579" i="1"/>
  <c r="K4579" i="1"/>
  <c r="H4580" i="1"/>
  <c r="I4580" i="1"/>
  <c r="J4580" i="1"/>
  <c r="K4580" i="1"/>
  <c r="H4581" i="1"/>
  <c r="I4581" i="1"/>
  <c r="J4581" i="1"/>
  <c r="K4581" i="1"/>
  <c r="H4582" i="1"/>
  <c r="I4582" i="1"/>
  <c r="J4582" i="1"/>
  <c r="K4582" i="1"/>
  <c r="H4583" i="1"/>
  <c r="I4583" i="1"/>
  <c r="J4583" i="1"/>
  <c r="K4583" i="1"/>
  <c r="H4584" i="1"/>
  <c r="I4584" i="1"/>
  <c r="J4584" i="1"/>
  <c r="K4584" i="1"/>
  <c r="H4585" i="1"/>
  <c r="I4585" i="1"/>
  <c r="J4585" i="1"/>
  <c r="K4585" i="1"/>
  <c r="H4586" i="1"/>
  <c r="I4586" i="1"/>
  <c r="J4586" i="1"/>
  <c r="K4586" i="1"/>
  <c r="H4587" i="1"/>
  <c r="I4587" i="1"/>
  <c r="J4587" i="1"/>
  <c r="K4587" i="1"/>
  <c r="H4588" i="1"/>
  <c r="I4588" i="1"/>
  <c r="J4588" i="1"/>
  <c r="K4588" i="1"/>
  <c r="H4589" i="1"/>
  <c r="I4589" i="1"/>
  <c r="J4589" i="1"/>
  <c r="K4589" i="1"/>
  <c r="H4590" i="1"/>
  <c r="I4590" i="1"/>
  <c r="J4590" i="1"/>
  <c r="K4590" i="1"/>
  <c r="H4591" i="1"/>
  <c r="I4591" i="1"/>
  <c r="J4591" i="1"/>
  <c r="K4591" i="1"/>
  <c r="H4592" i="1"/>
  <c r="I4592" i="1"/>
  <c r="J4592" i="1"/>
  <c r="K4592" i="1"/>
  <c r="H4593" i="1"/>
  <c r="I4593" i="1"/>
  <c r="J4593" i="1"/>
  <c r="K4593" i="1"/>
  <c r="H4594" i="1"/>
  <c r="I4594" i="1"/>
  <c r="J4594" i="1"/>
  <c r="K4594" i="1"/>
  <c r="H4595" i="1"/>
  <c r="I4595" i="1"/>
  <c r="J4595" i="1"/>
  <c r="K4595" i="1"/>
  <c r="H4596" i="1"/>
  <c r="I4596" i="1"/>
  <c r="J4596" i="1"/>
  <c r="K4596" i="1"/>
  <c r="H4597" i="1"/>
  <c r="I4597" i="1"/>
  <c r="J4597" i="1"/>
  <c r="K4597" i="1"/>
  <c r="H4598" i="1"/>
  <c r="I4598" i="1"/>
  <c r="J4598" i="1"/>
  <c r="K4598" i="1"/>
  <c r="H4599" i="1"/>
  <c r="I4599" i="1"/>
  <c r="J4599" i="1"/>
  <c r="K4599" i="1"/>
  <c r="H4600" i="1"/>
  <c r="I4600" i="1"/>
  <c r="J4600" i="1"/>
  <c r="K4600" i="1"/>
  <c r="H4601" i="1"/>
  <c r="I4601" i="1"/>
  <c r="J4601" i="1"/>
  <c r="K4601" i="1"/>
  <c r="H4602" i="1"/>
  <c r="I4602" i="1"/>
  <c r="J4602" i="1"/>
  <c r="K4602" i="1"/>
  <c r="H4603" i="1"/>
  <c r="I4603" i="1"/>
  <c r="J4603" i="1"/>
  <c r="K4603" i="1"/>
  <c r="H4604" i="1"/>
  <c r="I4604" i="1"/>
  <c r="J4604" i="1"/>
  <c r="K4604" i="1"/>
  <c r="H4605" i="1"/>
  <c r="I4605" i="1"/>
  <c r="J4605" i="1"/>
  <c r="K4605" i="1"/>
  <c r="H4606" i="1"/>
  <c r="I4606" i="1"/>
  <c r="J4606" i="1"/>
  <c r="K4606" i="1"/>
  <c r="H4607" i="1"/>
  <c r="I4607" i="1"/>
  <c r="J4607" i="1"/>
  <c r="K4607" i="1"/>
  <c r="H4608" i="1"/>
  <c r="I4608" i="1"/>
  <c r="J4608" i="1"/>
  <c r="K4608" i="1"/>
  <c r="H4609" i="1"/>
  <c r="I4609" i="1"/>
  <c r="J4609" i="1"/>
  <c r="K4609" i="1"/>
  <c r="H4610" i="1"/>
  <c r="I4610" i="1"/>
  <c r="J4610" i="1"/>
  <c r="K4610" i="1"/>
  <c r="H4611" i="1"/>
  <c r="I4611" i="1"/>
  <c r="J4611" i="1"/>
  <c r="K4611" i="1"/>
  <c r="H4612" i="1"/>
  <c r="I4612" i="1"/>
  <c r="J4612" i="1"/>
  <c r="K4612" i="1"/>
  <c r="H4613" i="1"/>
  <c r="I4613" i="1"/>
  <c r="J4613" i="1"/>
  <c r="K4613" i="1"/>
  <c r="H4614" i="1"/>
  <c r="I4614" i="1"/>
  <c r="J4614" i="1"/>
  <c r="K4614" i="1"/>
  <c r="H4615" i="1"/>
  <c r="I4615" i="1"/>
  <c r="J4615" i="1"/>
  <c r="K4615" i="1"/>
  <c r="H4616" i="1"/>
  <c r="I4616" i="1"/>
  <c r="J4616" i="1"/>
  <c r="K4616" i="1"/>
  <c r="H4617" i="1"/>
  <c r="I4617" i="1"/>
  <c r="J4617" i="1"/>
  <c r="K4617" i="1"/>
  <c r="H4618" i="1"/>
  <c r="I4618" i="1"/>
  <c r="J4618" i="1"/>
  <c r="K4618" i="1"/>
  <c r="H4619" i="1"/>
  <c r="I4619" i="1"/>
  <c r="J4619" i="1"/>
  <c r="K4619" i="1"/>
  <c r="H4620" i="1"/>
  <c r="I4620" i="1"/>
  <c r="J4620" i="1"/>
  <c r="K4620" i="1"/>
  <c r="H4621" i="1"/>
  <c r="I4621" i="1"/>
  <c r="J4621" i="1"/>
  <c r="K4621" i="1"/>
  <c r="H4622" i="1"/>
  <c r="I4622" i="1"/>
  <c r="J4622" i="1"/>
  <c r="K4622" i="1"/>
  <c r="H4623" i="1"/>
  <c r="I4623" i="1"/>
  <c r="J4623" i="1"/>
  <c r="K4623" i="1"/>
  <c r="H4624" i="1"/>
  <c r="I4624" i="1"/>
  <c r="J4624" i="1"/>
  <c r="K4624" i="1"/>
  <c r="H4625" i="1"/>
  <c r="I4625" i="1"/>
  <c r="J4625" i="1"/>
  <c r="K4625" i="1"/>
  <c r="H4626" i="1"/>
  <c r="I4626" i="1"/>
  <c r="J4626" i="1"/>
  <c r="K4626" i="1"/>
  <c r="H4627" i="1"/>
  <c r="I4627" i="1"/>
  <c r="J4627" i="1"/>
  <c r="K4627" i="1"/>
  <c r="H4628" i="1"/>
  <c r="I4628" i="1"/>
  <c r="J4628" i="1"/>
  <c r="K4628" i="1"/>
  <c r="H4629" i="1"/>
  <c r="I4629" i="1"/>
  <c r="J4629" i="1"/>
  <c r="K4629" i="1"/>
  <c r="H4630" i="1"/>
  <c r="I4630" i="1"/>
  <c r="J4630" i="1"/>
  <c r="K4630" i="1"/>
  <c r="H4631" i="1"/>
  <c r="I4631" i="1"/>
  <c r="J4631" i="1"/>
  <c r="K4631" i="1"/>
  <c r="H4632" i="1"/>
  <c r="I4632" i="1"/>
  <c r="J4632" i="1"/>
  <c r="K4632" i="1"/>
  <c r="H4633" i="1"/>
  <c r="I4633" i="1"/>
  <c r="J4633" i="1"/>
  <c r="K4633" i="1"/>
  <c r="H4634" i="1"/>
  <c r="I4634" i="1"/>
  <c r="J4634" i="1"/>
  <c r="K4634" i="1"/>
  <c r="H4635" i="1"/>
  <c r="I4635" i="1"/>
  <c r="J4635" i="1"/>
  <c r="K4635" i="1"/>
  <c r="H4636" i="1"/>
  <c r="I4636" i="1"/>
  <c r="J4636" i="1"/>
  <c r="K4636" i="1"/>
  <c r="H4637" i="1"/>
  <c r="I4637" i="1"/>
  <c r="J4637" i="1"/>
  <c r="K4637" i="1"/>
  <c r="H4638" i="1"/>
  <c r="I4638" i="1"/>
  <c r="J4638" i="1"/>
  <c r="K4638" i="1"/>
  <c r="H4639" i="1"/>
  <c r="I4639" i="1"/>
  <c r="J4639" i="1"/>
  <c r="K4639" i="1"/>
  <c r="H4640" i="1"/>
  <c r="I4640" i="1"/>
  <c r="J4640" i="1"/>
  <c r="K4640" i="1"/>
  <c r="H4641" i="1"/>
  <c r="I4641" i="1"/>
  <c r="J4641" i="1"/>
  <c r="K4641" i="1"/>
  <c r="H4642" i="1"/>
  <c r="I4642" i="1"/>
  <c r="J4642" i="1"/>
  <c r="K4642" i="1"/>
  <c r="H4643" i="1"/>
  <c r="I4643" i="1"/>
  <c r="J4643" i="1"/>
  <c r="K4643" i="1"/>
  <c r="H4644" i="1"/>
  <c r="I4644" i="1"/>
  <c r="J4644" i="1"/>
  <c r="K4644" i="1"/>
  <c r="H4645" i="1"/>
  <c r="I4645" i="1"/>
  <c r="J4645" i="1"/>
  <c r="K4645" i="1"/>
  <c r="H4646" i="1"/>
  <c r="I4646" i="1"/>
  <c r="J4646" i="1"/>
  <c r="K4646" i="1"/>
  <c r="H4647" i="1"/>
  <c r="I4647" i="1"/>
  <c r="J4647" i="1"/>
  <c r="K4647" i="1"/>
  <c r="H4648" i="1"/>
  <c r="I4648" i="1"/>
  <c r="J4648" i="1"/>
  <c r="K4648" i="1"/>
  <c r="H4649" i="1"/>
  <c r="I4649" i="1"/>
  <c r="J4649" i="1"/>
  <c r="K4649" i="1"/>
  <c r="H4650" i="1"/>
  <c r="I4650" i="1"/>
  <c r="J4650" i="1"/>
  <c r="K4650" i="1"/>
  <c r="H4651" i="1"/>
  <c r="I4651" i="1"/>
  <c r="J4651" i="1"/>
  <c r="K4651" i="1"/>
  <c r="H4652" i="1"/>
  <c r="I4652" i="1"/>
  <c r="J4652" i="1"/>
  <c r="K4652" i="1"/>
  <c r="H4653" i="1"/>
  <c r="I4653" i="1"/>
  <c r="J4653" i="1"/>
  <c r="K4653" i="1"/>
  <c r="H4654" i="1"/>
  <c r="I4654" i="1"/>
  <c r="J4654" i="1"/>
  <c r="K4654" i="1"/>
  <c r="H4655" i="1"/>
  <c r="I4655" i="1"/>
  <c r="J4655" i="1"/>
  <c r="K4655" i="1"/>
  <c r="H4656" i="1"/>
  <c r="I4656" i="1"/>
  <c r="J4656" i="1"/>
  <c r="K4656" i="1"/>
  <c r="H4657" i="1"/>
  <c r="I4657" i="1"/>
  <c r="J4657" i="1"/>
  <c r="K4657" i="1"/>
  <c r="H4658" i="1"/>
  <c r="I4658" i="1"/>
  <c r="J4658" i="1"/>
  <c r="K4658" i="1"/>
  <c r="H4659" i="1"/>
  <c r="I4659" i="1"/>
  <c r="J4659" i="1"/>
  <c r="K4659" i="1"/>
  <c r="H4660" i="1"/>
  <c r="I4660" i="1"/>
  <c r="J4660" i="1"/>
  <c r="K4660" i="1"/>
  <c r="H4661" i="1"/>
  <c r="I4661" i="1"/>
  <c r="J4661" i="1"/>
  <c r="K4661" i="1"/>
  <c r="H4662" i="1"/>
  <c r="I4662" i="1"/>
  <c r="J4662" i="1"/>
  <c r="K4662" i="1"/>
  <c r="H4663" i="1"/>
  <c r="I4663" i="1"/>
  <c r="J4663" i="1"/>
  <c r="K4663" i="1"/>
  <c r="H4664" i="1"/>
  <c r="I4664" i="1"/>
  <c r="J4664" i="1"/>
  <c r="K4664" i="1"/>
  <c r="H4665" i="1"/>
  <c r="I4665" i="1"/>
  <c r="J4665" i="1"/>
  <c r="K4665" i="1"/>
  <c r="H4666" i="1"/>
  <c r="I4666" i="1"/>
  <c r="J4666" i="1"/>
  <c r="K4666" i="1"/>
  <c r="H4667" i="1"/>
  <c r="I4667" i="1"/>
  <c r="J4667" i="1"/>
  <c r="K4667" i="1"/>
  <c r="H4668" i="1"/>
  <c r="I4668" i="1"/>
  <c r="J4668" i="1"/>
  <c r="K4668" i="1"/>
  <c r="H4669" i="1"/>
  <c r="I4669" i="1"/>
  <c r="J4669" i="1"/>
  <c r="K4669" i="1"/>
  <c r="H4670" i="1"/>
  <c r="I4670" i="1"/>
  <c r="J4670" i="1"/>
  <c r="K4670" i="1"/>
  <c r="H4671" i="1"/>
  <c r="I4671" i="1"/>
  <c r="J4671" i="1"/>
  <c r="K4671" i="1"/>
  <c r="H4672" i="1"/>
  <c r="I4672" i="1"/>
  <c r="J4672" i="1"/>
  <c r="K4672" i="1"/>
  <c r="H4673" i="1"/>
  <c r="I4673" i="1"/>
  <c r="J4673" i="1"/>
  <c r="K4673" i="1"/>
  <c r="H4674" i="1"/>
  <c r="I4674" i="1"/>
  <c r="J4674" i="1"/>
  <c r="K4674" i="1"/>
  <c r="H4675" i="1"/>
  <c r="I4675" i="1"/>
  <c r="J4675" i="1"/>
  <c r="K4675" i="1"/>
  <c r="H4676" i="1"/>
  <c r="I4676" i="1"/>
  <c r="J4676" i="1"/>
  <c r="K4676" i="1"/>
  <c r="H4677" i="1"/>
  <c r="I4677" i="1"/>
  <c r="J4677" i="1"/>
  <c r="K4677" i="1"/>
  <c r="H4678" i="1"/>
  <c r="I4678" i="1"/>
  <c r="J4678" i="1"/>
  <c r="K4678" i="1"/>
  <c r="H4679" i="1"/>
  <c r="I4679" i="1"/>
  <c r="J4679" i="1"/>
  <c r="K4679" i="1"/>
  <c r="H4680" i="1"/>
  <c r="I4680" i="1"/>
  <c r="J4680" i="1"/>
  <c r="K4680" i="1"/>
  <c r="H4681" i="1"/>
  <c r="I4681" i="1"/>
  <c r="J4681" i="1"/>
  <c r="K4681" i="1"/>
  <c r="H4682" i="1"/>
  <c r="I4682" i="1"/>
  <c r="J4682" i="1"/>
  <c r="K4682" i="1"/>
  <c r="H4683" i="1"/>
  <c r="I4683" i="1"/>
  <c r="J4683" i="1"/>
  <c r="K4683" i="1"/>
  <c r="H4684" i="1"/>
  <c r="I4684" i="1"/>
  <c r="J4684" i="1"/>
  <c r="K4684" i="1"/>
  <c r="H4685" i="1"/>
  <c r="I4685" i="1"/>
  <c r="J4685" i="1"/>
  <c r="K4685" i="1"/>
  <c r="H4686" i="1"/>
  <c r="I4686" i="1"/>
  <c r="J4686" i="1"/>
  <c r="K4686" i="1"/>
  <c r="H4687" i="1"/>
  <c r="I4687" i="1"/>
  <c r="J4687" i="1"/>
  <c r="K4687" i="1"/>
  <c r="H4688" i="1"/>
  <c r="I4688" i="1"/>
  <c r="J4688" i="1"/>
  <c r="K4688" i="1"/>
  <c r="H4689" i="1"/>
  <c r="I4689" i="1"/>
  <c r="J4689" i="1"/>
  <c r="K4689" i="1"/>
  <c r="H4690" i="1"/>
  <c r="I4690" i="1"/>
  <c r="J4690" i="1"/>
  <c r="K4690" i="1"/>
  <c r="H4691" i="1"/>
  <c r="I4691" i="1"/>
  <c r="J4691" i="1"/>
  <c r="K4691" i="1"/>
  <c r="H4692" i="1"/>
  <c r="I4692" i="1"/>
  <c r="J4692" i="1"/>
  <c r="K4692" i="1"/>
  <c r="H4693" i="1"/>
  <c r="I4693" i="1"/>
  <c r="J4693" i="1"/>
  <c r="K4693" i="1"/>
  <c r="H4694" i="1"/>
  <c r="I4694" i="1"/>
  <c r="J4694" i="1"/>
  <c r="K4694" i="1"/>
  <c r="H4695" i="1"/>
  <c r="I4695" i="1"/>
  <c r="J4695" i="1"/>
  <c r="K4695" i="1"/>
  <c r="H4696" i="1"/>
  <c r="I4696" i="1"/>
  <c r="J4696" i="1"/>
  <c r="K4696" i="1"/>
  <c r="H4697" i="1"/>
  <c r="I4697" i="1"/>
  <c r="J4697" i="1"/>
  <c r="K4697" i="1"/>
  <c r="H4698" i="1"/>
  <c r="I4698" i="1"/>
  <c r="J4698" i="1"/>
  <c r="K4698" i="1"/>
  <c r="H4699" i="1"/>
  <c r="I4699" i="1"/>
  <c r="J4699" i="1"/>
  <c r="K4699" i="1"/>
  <c r="H4700" i="1"/>
  <c r="I4700" i="1"/>
  <c r="J4700" i="1"/>
  <c r="K4700" i="1"/>
  <c r="H4701" i="1"/>
  <c r="I4701" i="1"/>
  <c r="J4701" i="1"/>
  <c r="K4701" i="1"/>
  <c r="H4702" i="1"/>
  <c r="I4702" i="1"/>
  <c r="J4702" i="1"/>
  <c r="K4702" i="1"/>
  <c r="H4703" i="1"/>
  <c r="I4703" i="1"/>
  <c r="J4703" i="1"/>
  <c r="K4703" i="1"/>
  <c r="H4704" i="1"/>
  <c r="I4704" i="1"/>
  <c r="J4704" i="1"/>
  <c r="K4704" i="1"/>
  <c r="H4705" i="1"/>
  <c r="I4705" i="1"/>
  <c r="J4705" i="1"/>
  <c r="K4705" i="1"/>
  <c r="H4706" i="1"/>
  <c r="I4706" i="1"/>
  <c r="J4706" i="1"/>
  <c r="K4706" i="1"/>
  <c r="H4707" i="1"/>
  <c r="I4707" i="1"/>
  <c r="J4707" i="1"/>
  <c r="K4707" i="1"/>
  <c r="H4708" i="1"/>
  <c r="I4708" i="1"/>
  <c r="J4708" i="1"/>
  <c r="K4708" i="1"/>
  <c r="H4709" i="1"/>
  <c r="I4709" i="1"/>
  <c r="J4709" i="1"/>
  <c r="K4709" i="1"/>
  <c r="H4710" i="1"/>
  <c r="I4710" i="1"/>
  <c r="J4710" i="1"/>
  <c r="K4710" i="1"/>
  <c r="H4711" i="1"/>
  <c r="I4711" i="1"/>
  <c r="J4711" i="1"/>
  <c r="K4711" i="1"/>
  <c r="H4712" i="1"/>
  <c r="I4712" i="1"/>
  <c r="J4712" i="1"/>
  <c r="K4712" i="1"/>
  <c r="H4713" i="1"/>
  <c r="I4713" i="1"/>
  <c r="J4713" i="1"/>
  <c r="K4713" i="1"/>
  <c r="H4714" i="1"/>
  <c r="I4714" i="1"/>
  <c r="J4714" i="1"/>
  <c r="K4714" i="1"/>
  <c r="H4715" i="1"/>
  <c r="I4715" i="1"/>
  <c r="J4715" i="1"/>
  <c r="K4715" i="1"/>
  <c r="H4716" i="1"/>
  <c r="I4716" i="1"/>
  <c r="J4716" i="1"/>
  <c r="K4716" i="1"/>
  <c r="H4717" i="1"/>
  <c r="I4717" i="1"/>
  <c r="J4717" i="1"/>
  <c r="K4717" i="1"/>
  <c r="H4718" i="1"/>
  <c r="I4718" i="1"/>
  <c r="J4718" i="1"/>
  <c r="K4718" i="1"/>
  <c r="H4719" i="1"/>
  <c r="I4719" i="1"/>
  <c r="J4719" i="1"/>
  <c r="K4719" i="1"/>
  <c r="H4720" i="1"/>
  <c r="I4720" i="1"/>
  <c r="J4720" i="1"/>
  <c r="K4720" i="1"/>
  <c r="H4721" i="1"/>
  <c r="I4721" i="1"/>
  <c r="J4721" i="1"/>
  <c r="K4721" i="1"/>
  <c r="H4722" i="1"/>
  <c r="I4722" i="1"/>
  <c r="J4722" i="1"/>
  <c r="K4722" i="1"/>
  <c r="H4723" i="1"/>
  <c r="I4723" i="1"/>
  <c r="J4723" i="1"/>
  <c r="K4723" i="1"/>
  <c r="H4724" i="1"/>
  <c r="I4724" i="1"/>
  <c r="J4724" i="1"/>
  <c r="K4724" i="1"/>
  <c r="H4725" i="1"/>
  <c r="I4725" i="1"/>
  <c r="J4725" i="1"/>
  <c r="K4725" i="1"/>
  <c r="H4726" i="1"/>
  <c r="I4726" i="1"/>
  <c r="J4726" i="1"/>
  <c r="K4726" i="1"/>
  <c r="H4727" i="1"/>
  <c r="I4727" i="1"/>
  <c r="J4727" i="1"/>
  <c r="K4727" i="1"/>
  <c r="H4728" i="1"/>
  <c r="I4728" i="1"/>
  <c r="J4728" i="1"/>
  <c r="K4728" i="1"/>
  <c r="H4729" i="1"/>
  <c r="I4729" i="1"/>
  <c r="J4729" i="1"/>
  <c r="K4729" i="1"/>
  <c r="H4730" i="1"/>
  <c r="I4730" i="1"/>
  <c r="J4730" i="1"/>
  <c r="K4730" i="1"/>
  <c r="H4731" i="1"/>
  <c r="I4731" i="1"/>
  <c r="J4731" i="1"/>
  <c r="K4731" i="1"/>
  <c r="H4732" i="1"/>
  <c r="I4732" i="1"/>
  <c r="J4732" i="1"/>
  <c r="K4732" i="1"/>
  <c r="H4733" i="1"/>
  <c r="I4733" i="1"/>
  <c r="J4733" i="1"/>
  <c r="K4733" i="1"/>
  <c r="H4734" i="1"/>
  <c r="I4734" i="1"/>
  <c r="J4734" i="1"/>
  <c r="K4734" i="1"/>
  <c r="H4735" i="1"/>
  <c r="I4735" i="1"/>
  <c r="J4735" i="1"/>
  <c r="K4735" i="1"/>
  <c r="H4736" i="1"/>
  <c r="I4736" i="1"/>
  <c r="J4736" i="1"/>
  <c r="K4736" i="1"/>
  <c r="H4737" i="1"/>
  <c r="I4737" i="1"/>
  <c r="J4737" i="1"/>
  <c r="K4737" i="1"/>
  <c r="H4738" i="1"/>
  <c r="I4738" i="1"/>
  <c r="J4738" i="1"/>
  <c r="K4738" i="1"/>
  <c r="H4739" i="1"/>
  <c r="I4739" i="1"/>
  <c r="J4739" i="1"/>
  <c r="K4739" i="1"/>
  <c r="H4740" i="1"/>
  <c r="I4740" i="1"/>
  <c r="J4740" i="1"/>
  <c r="K4740" i="1"/>
  <c r="H4741" i="1"/>
  <c r="I4741" i="1"/>
  <c r="J4741" i="1"/>
  <c r="K4741" i="1"/>
  <c r="H4742" i="1"/>
  <c r="I4742" i="1"/>
  <c r="J4742" i="1"/>
  <c r="K4742" i="1"/>
  <c r="H4743" i="1"/>
  <c r="I4743" i="1"/>
  <c r="J4743" i="1"/>
  <c r="K4743" i="1"/>
  <c r="H4744" i="1"/>
  <c r="I4744" i="1"/>
  <c r="J4744" i="1"/>
  <c r="K4744" i="1"/>
  <c r="H4745" i="1"/>
  <c r="I4745" i="1"/>
  <c r="J4745" i="1"/>
  <c r="K4745" i="1"/>
  <c r="H4746" i="1"/>
  <c r="I4746" i="1"/>
  <c r="J4746" i="1"/>
  <c r="K4746" i="1"/>
  <c r="H4747" i="1"/>
  <c r="I4747" i="1"/>
  <c r="J4747" i="1"/>
  <c r="K4747" i="1"/>
  <c r="H4748" i="1"/>
  <c r="I4748" i="1"/>
  <c r="J4748" i="1"/>
  <c r="K4748" i="1"/>
  <c r="H4749" i="1"/>
  <c r="I4749" i="1"/>
  <c r="J4749" i="1"/>
  <c r="K4749" i="1"/>
  <c r="H4750" i="1"/>
  <c r="I4750" i="1"/>
  <c r="J4750" i="1"/>
  <c r="K4750" i="1"/>
  <c r="H4751" i="1"/>
  <c r="I4751" i="1"/>
  <c r="J4751" i="1"/>
  <c r="K4751" i="1"/>
  <c r="H4752" i="1"/>
  <c r="I4752" i="1"/>
  <c r="J4752" i="1"/>
  <c r="K4752" i="1"/>
  <c r="H4753" i="1"/>
  <c r="I4753" i="1"/>
  <c r="J4753" i="1"/>
  <c r="K4753" i="1"/>
  <c r="H4754" i="1"/>
  <c r="I4754" i="1"/>
  <c r="J4754" i="1"/>
  <c r="K4754" i="1"/>
  <c r="H4755" i="1"/>
  <c r="I4755" i="1"/>
  <c r="J4755" i="1"/>
  <c r="K4755" i="1"/>
  <c r="H4756" i="1"/>
  <c r="I4756" i="1"/>
  <c r="J4756" i="1"/>
  <c r="K4756" i="1"/>
  <c r="H4757" i="1"/>
  <c r="I4757" i="1"/>
  <c r="J4757" i="1"/>
  <c r="K4757" i="1"/>
  <c r="H4758" i="1"/>
  <c r="I4758" i="1"/>
  <c r="J4758" i="1"/>
  <c r="K4758" i="1"/>
  <c r="H4759" i="1"/>
  <c r="I4759" i="1"/>
  <c r="J4759" i="1"/>
  <c r="K4759" i="1"/>
  <c r="H4760" i="1"/>
  <c r="I4760" i="1"/>
  <c r="J4760" i="1"/>
  <c r="K4760" i="1"/>
  <c r="H4761" i="1"/>
  <c r="I4761" i="1"/>
  <c r="J4761" i="1"/>
  <c r="K4761" i="1"/>
  <c r="H4762" i="1"/>
  <c r="I4762" i="1"/>
  <c r="J4762" i="1"/>
  <c r="K4762" i="1"/>
  <c r="H4763" i="1"/>
  <c r="I4763" i="1"/>
  <c r="J4763" i="1"/>
  <c r="K4763" i="1"/>
  <c r="H4764" i="1"/>
  <c r="I4764" i="1"/>
  <c r="J4764" i="1"/>
  <c r="K4764" i="1"/>
  <c r="H4765" i="1"/>
  <c r="I4765" i="1"/>
  <c r="J4765" i="1"/>
  <c r="K4765" i="1"/>
  <c r="H4766" i="1"/>
  <c r="I4766" i="1"/>
  <c r="J4766" i="1"/>
  <c r="K4766" i="1"/>
  <c r="H4767" i="1"/>
  <c r="I4767" i="1"/>
  <c r="J4767" i="1"/>
  <c r="K4767" i="1"/>
  <c r="H4768" i="1"/>
  <c r="I4768" i="1"/>
  <c r="J4768" i="1"/>
  <c r="K4768" i="1"/>
  <c r="H4769" i="1"/>
  <c r="I4769" i="1"/>
  <c r="J4769" i="1"/>
  <c r="K4769" i="1"/>
  <c r="H4770" i="1"/>
  <c r="I4770" i="1"/>
  <c r="J4770" i="1"/>
  <c r="K4770" i="1"/>
  <c r="H4771" i="1"/>
  <c r="I4771" i="1"/>
  <c r="J4771" i="1"/>
  <c r="K4771" i="1"/>
  <c r="H4772" i="1"/>
  <c r="I4772" i="1"/>
  <c r="J4772" i="1"/>
  <c r="K4772" i="1"/>
  <c r="H4773" i="1"/>
  <c r="I4773" i="1"/>
  <c r="J4773" i="1"/>
  <c r="K4773" i="1"/>
  <c r="H4774" i="1"/>
  <c r="I4774" i="1"/>
  <c r="J4774" i="1"/>
  <c r="K4774" i="1"/>
  <c r="H4775" i="1"/>
  <c r="I4775" i="1"/>
  <c r="J4775" i="1"/>
  <c r="K4775" i="1"/>
  <c r="H4776" i="1"/>
  <c r="I4776" i="1"/>
  <c r="J4776" i="1"/>
  <c r="K4776" i="1"/>
  <c r="H4777" i="1"/>
  <c r="I4777" i="1"/>
  <c r="J4777" i="1"/>
  <c r="K4777" i="1"/>
  <c r="H4778" i="1"/>
  <c r="I4778" i="1"/>
  <c r="J4778" i="1"/>
  <c r="K4778" i="1"/>
  <c r="H4779" i="1"/>
  <c r="I4779" i="1"/>
  <c r="J4779" i="1"/>
  <c r="K4779" i="1"/>
  <c r="H4780" i="1"/>
  <c r="I4780" i="1"/>
  <c r="J4780" i="1"/>
  <c r="K4780" i="1"/>
  <c r="H4781" i="1"/>
  <c r="I4781" i="1"/>
  <c r="J4781" i="1"/>
  <c r="K4781" i="1"/>
  <c r="H4782" i="1"/>
  <c r="I4782" i="1"/>
  <c r="J4782" i="1"/>
  <c r="K4782" i="1"/>
  <c r="H4783" i="1"/>
  <c r="I4783" i="1"/>
  <c r="J4783" i="1"/>
  <c r="K4783" i="1"/>
  <c r="H4784" i="1"/>
  <c r="I4784" i="1"/>
  <c r="J4784" i="1"/>
  <c r="K4784" i="1"/>
  <c r="H4785" i="1"/>
  <c r="I4785" i="1"/>
  <c r="J4785" i="1"/>
  <c r="K4785" i="1"/>
  <c r="H4786" i="1"/>
  <c r="I4786" i="1"/>
  <c r="J4786" i="1"/>
  <c r="K4786" i="1"/>
  <c r="H4787" i="1"/>
  <c r="I4787" i="1"/>
  <c r="J4787" i="1"/>
  <c r="K4787" i="1"/>
  <c r="H4788" i="1"/>
  <c r="I4788" i="1"/>
  <c r="J4788" i="1"/>
  <c r="K4788" i="1"/>
  <c r="H4789" i="1"/>
  <c r="I4789" i="1"/>
  <c r="J4789" i="1"/>
  <c r="K4789" i="1"/>
  <c r="H4790" i="1"/>
  <c r="I4790" i="1"/>
  <c r="J4790" i="1"/>
  <c r="K4790" i="1"/>
  <c r="H4791" i="1"/>
  <c r="I4791" i="1"/>
  <c r="J4791" i="1"/>
  <c r="K4791" i="1"/>
  <c r="H4792" i="1"/>
  <c r="I4792" i="1"/>
  <c r="J4792" i="1"/>
  <c r="K4792" i="1"/>
  <c r="H4793" i="1"/>
  <c r="I4793" i="1"/>
  <c r="J4793" i="1"/>
  <c r="K4793" i="1"/>
  <c r="H4794" i="1"/>
  <c r="I4794" i="1"/>
  <c r="J4794" i="1"/>
  <c r="K4794" i="1"/>
  <c r="H4795" i="1"/>
  <c r="I4795" i="1"/>
  <c r="J4795" i="1"/>
  <c r="K4795" i="1"/>
  <c r="H4796" i="1"/>
  <c r="I4796" i="1"/>
  <c r="J4796" i="1"/>
  <c r="K4796" i="1"/>
  <c r="H4797" i="1"/>
  <c r="I4797" i="1"/>
  <c r="J4797" i="1"/>
  <c r="K4797" i="1"/>
  <c r="H4798" i="1"/>
  <c r="I4798" i="1"/>
  <c r="J4798" i="1"/>
  <c r="K4798" i="1"/>
  <c r="H4799" i="1"/>
  <c r="I4799" i="1"/>
  <c r="J4799" i="1"/>
  <c r="K4799" i="1"/>
  <c r="H4800" i="1"/>
  <c r="I4800" i="1"/>
  <c r="J4800" i="1"/>
  <c r="K4800" i="1"/>
  <c r="H4801" i="1"/>
  <c r="I4801" i="1"/>
  <c r="J4801" i="1"/>
  <c r="K4801" i="1"/>
  <c r="H4802" i="1"/>
  <c r="I4802" i="1"/>
  <c r="J4802" i="1"/>
  <c r="K4802" i="1"/>
  <c r="H4803" i="1"/>
  <c r="I4803" i="1"/>
  <c r="J4803" i="1"/>
  <c r="K4803" i="1"/>
  <c r="H4804" i="1"/>
  <c r="I4804" i="1"/>
  <c r="J4804" i="1"/>
  <c r="K4804" i="1"/>
  <c r="H4805" i="1"/>
  <c r="I4805" i="1"/>
  <c r="J4805" i="1"/>
  <c r="K4805" i="1"/>
  <c r="H4806" i="1"/>
  <c r="I4806" i="1"/>
  <c r="J4806" i="1"/>
  <c r="K4806" i="1"/>
  <c r="H4807" i="1"/>
  <c r="I4807" i="1"/>
  <c r="J4807" i="1"/>
  <c r="K4807" i="1"/>
  <c r="H4808" i="1"/>
  <c r="I4808" i="1"/>
  <c r="J4808" i="1"/>
  <c r="K4808" i="1"/>
  <c r="H4809" i="1"/>
  <c r="I4809" i="1"/>
  <c r="J4809" i="1"/>
  <c r="K4809" i="1"/>
  <c r="H4810" i="1"/>
  <c r="I4810" i="1"/>
  <c r="J4810" i="1"/>
  <c r="K4810" i="1"/>
  <c r="H4811" i="1"/>
  <c r="I4811" i="1"/>
  <c r="J4811" i="1"/>
  <c r="K4811" i="1"/>
  <c r="H4812" i="1"/>
  <c r="I4812" i="1"/>
  <c r="J4812" i="1"/>
  <c r="K4812" i="1"/>
  <c r="H4813" i="1"/>
  <c r="I4813" i="1"/>
  <c r="J4813" i="1"/>
  <c r="K4813" i="1"/>
  <c r="H4814" i="1"/>
  <c r="I4814" i="1"/>
  <c r="J4814" i="1"/>
  <c r="K4814" i="1"/>
  <c r="H4815" i="1"/>
  <c r="I4815" i="1"/>
  <c r="J4815" i="1"/>
  <c r="K4815" i="1"/>
  <c r="H4816" i="1"/>
  <c r="I4816" i="1"/>
  <c r="J4816" i="1"/>
  <c r="K4816" i="1"/>
  <c r="H4817" i="1"/>
  <c r="I4817" i="1"/>
  <c r="J4817" i="1"/>
  <c r="K4817" i="1"/>
  <c r="H4818" i="1"/>
  <c r="I4818" i="1"/>
  <c r="J4818" i="1"/>
  <c r="K4818" i="1"/>
  <c r="H4819" i="1"/>
  <c r="I4819" i="1"/>
  <c r="J4819" i="1"/>
  <c r="K4819" i="1"/>
  <c r="H4820" i="1"/>
  <c r="I4820" i="1"/>
  <c r="J4820" i="1"/>
  <c r="K4820" i="1"/>
  <c r="H4821" i="1"/>
  <c r="I4821" i="1"/>
  <c r="J4821" i="1"/>
  <c r="K4821" i="1"/>
  <c r="H4822" i="1"/>
  <c r="I4822" i="1"/>
  <c r="J4822" i="1"/>
  <c r="K4822" i="1"/>
  <c r="H4823" i="1"/>
  <c r="I4823" i="1"/>
  <c r="J4823" i="1"/>
  <c r="K4823" i="1"/>
  <c r="H4824" i="1"/>
  <c r="I4824" i="1"/>
  <c r="J4824" i="1"/>
  <c r="K4824" i="1"/>
  <c r="H4825" i="1"/>
  <c r="I4825" i="1"/>
  <c r="J4825" i="1"/>
  <c r="K4825" i="1"/>
  <c r="H4826" i="1"/>
  <c r="I4826" i="1"/>
  <c r="J4826" i="1"/>
  <c r="K4826" i="1"/>
  <c r="H4827" i="1"/>
  <c r="I4827" i="1"/>
  <c r="J4827" i="1"/>
  <c r="K4827" i="1"/>
  <c r="H4828" i="1"/>
  <c r="I4828" i="1"/>
  <c r="J4828" i="1"/>
  <c r="K4828" i="1"/>
  <c r="H4829" i="1"/>
  <c r="I4829" i="1"/>
  <c r="J4829" i="1"/>
  <c r="K4829" i="1"/>
  <c r="H4830" i="1"/>
  <c r="I4830" i="1"/>
  <c r="J4830" i="1"/>
  <c r="K4830" i="1"/>
  <c r="H4831" i="1"/>
  <c r="I4831" i="1"/>
  <c r="J4831" i="1"/>
  <c r="K4831" i="1"/>
  <c r="H4832" i="1"/>
  <c r="I4832" i="1"/>
  <c r="J4832" i="1"/>
  <c r="K4832" i="1"/>
  <c r="H4833" i="1"/>
  <c r="I4833" i="1"/>
  <c r="J4833" i="1"/>
  <c r="K4833" i="1"/>
  <c r="H4834" i="1"/>
  <c r="I4834" i="1"/>
  <c r="J4834" i="1"/>
  <c r="K4834" i="1"/>
  <c r="H4835" i="1"/>
  <c r="I4835" i="1"/>
  <c r="J4835" i="1"/>
  <c r="K4835" i="1"/>
  <c r="H4836" i="1"/>
  <c r="I4836" i="1"/>
  <c r="J4836" i="1"/>
  <c r="K4836" i="1"/>
  <c r="H4837" i="1"/>
  <c r="I4837" i="1"/>
  <c r="J4837" i="1"/>
  <c r="K4837" i="1"/>
  <c r="H4838" i="1"/>
  <c r="I4838" i="1"/>
  <c r="J4838" i="1"/>
  <c r="K4838" i="1"/>
  <c r="H4839" i="1"/>
  <c r="I4839" i="1"/>
  <c r="J4839" i="1"/>
  <c r="K4839" i="1"/>
  <c r="H4840" i="1"/>
  <c r="I4840" i="1"/>
  <c r="J4840" i="1"/>
  <c r="K4840" i="1"/>
  <c r="H4841" i="1"/>
  <c r="I4841" i="1"/>
  <c r="J4841" i="1"/>
  <c r="K4841" i="1"/>
  <c r="H4842" i="1"/>
  <c r="I4842" i="1"/>
  <c r="J4842" i="1"/>
  <c r="K4842" i="1"/>
  <c r="H4843" i="1"/>
  <c r="I4843" i="1"/>
  <c r="J4843" i="1"/>
  <c r="K4843" i="1"/>
  <c r="H4844" i="1"/>
  <c r="I4844" i="1"/>
  <c r="J4844" i="1"/>
  <c r="K4844" i="1"/>
  <c r="H4845" i="1"/>
  <c r="I4845" i="1"/>
  <c r="J4845" i="1"/>
  <c r="K4845" i="1"/>
  <c r="H4846" i="1"/>
  <c r="I4846" i="1"/>
  <c r="J4846" i="1"/>
  <c r="K4846" i="1"/>
  <c r="H4847" i="1"/>
  <c r="I4847" i="1"/>
  <c r="J4847" i="1"/>
  <c r="K4847" i="1"/>
  <c r="H4848" i="1"/>
  <c r="I4848" i="1"/>
  <c r="J4848" i="1"/>
  <c r="K4848" i="1"/>
  <c r="H4849" i="1"/>
  <c r="I4849" i="1"/>
  <c r="J4849" i="1"/>
  <c r="K4849" i="1"/>
  <c r="H4850" i="1"/>
  <c r="I4850" i="1"/>
  <c r="J4850" i="1"/>
  <c r="K4850" i="1"/>
  <c r="H4851" i="1"/>
  <c r="I4851" i="1"/>
  <c r="J4851" i="1"/>
  <c r="K4851" i="1"/>
  <c r="H4852" i="1"/>
  <c r="I4852" i="1"/>
  <c r="J4852" i="1"/>
  <c r="K4852" i="1"/>
  <c r="H4853" i="1"/>
  <c r="I4853" i="1"/>
  <c r="J4853" i="1"/>
  <c r="K4853" i="1"/>
  <c r="H4854" i="1"/>
  <c r="I4854" i="1"/>
  <c r="J4854" i="1"/>
  <c r="K4854" i="1"/>
  <c r="H4855" i="1"/>
  <c r="I4855" i="1"/>
  <c r="J4855" i="1"/>
  <c r="K4855" i="1"/>
  <c r="H4856" i="1"/>
  <c r="I4856" i="1"/>
  <c r="J4856" i="1"/>
  <c r="K4856" i="1"/>
  <c r="H4857" i="1"/>
  <c r="I4857" i="1"/>
  <c r="J4857" i="1"/>
  <c r="K4857" i="1"/>
  <c r="H4858" i="1"/>
  <c r="I4858" i="1"/>
  <c r="J4858" i="1"/>
  <c r="K4858" i="1"/>
  <c r="H4859" i="1"/>
  <c r="I4859" i="1"/>
  <c r="J4859" i="1"/>
  <c r="K4859" i="1"/>
  <c r="H4860" i="1"/>
  <c r="I4860" i="1"/>
  <c r="J4860" i="1"/>
  <c r="K4860" i="1"/>
  <c r="H4861" i="1"/>
  <c r="I4861" i="1"/>
  <c r="J4861" i="1"/>
  <c r="K4861" i="1"/>
  <c r="H4862" i="1"/>
  <c r="I4862" i="1"/>
  <c r="J4862" i="1"/>
  <c r="K4862" i="1"/>
  <c r="H4863" i="1"/>
  <c r="I4863" i="1"/>
  <c r="J4863" i="1"/>
  <c r="K4863" i="1"/>
  <c r="H4864" i="1"/>
  <c r="I4864" i="1"/>
  <c r="J4864" i="1"/>
  <c r="K4864" i="1"/>
  <c r="H4865" i="1"/>
  <c r="I4865" i="1"/>
  <c r="J4865" i="1"/>
  <c r="K4865" i="1"/>
  <c r="H4866" i="1"/>
  <c r="I4866" i="1"/>
  <c r="J4866" i="1"/>
  <c r="K4866" i="1"/>
  <c r="H4867" i="1"/>
  <c r="I4867" i="1"/>
  <c r="J4867" i="1"/>
  <c r="K4867" i="1"/>
  <c r="H4868" i="1"/>
  <c r="I4868" i="1"/>
  <c r="J4868" i="1"/>
  <c r="K4868" i="1"/>
  <c r="H4869" i="1"/>
  <c r="I4869" i="1"/>
  <c r="J4869" i="1"/>
  <c r="K4869" i="1"/>
  <c r="H4870" i="1"/>
  <c r="I4870" i="1"/>
  <c r="J4870" i="1"/>
  <c r="K4870" i="1"/>
  <c r="H4871" i="1"/>
  <c r="I4871" i="1"/>
  <c r="J4871" i="1"/>
  <c r="K4871" i="1"/>
  <c r="H4872" i="1"/>
  <c r="I4872" i="1"/>
  <c r="J4872" i="1"/>
  <c r="K4872" i="1"/>
  <c r="H4873" i="1"/>
  <c r="I4873" i="1"/>
  <c r="J4873" i="1"/>
  <c r="K4873" i="1"/>
  <c r="H4874" i="1"/>
  <c r="I4874" i="1"/>
  <c r="J4874" i="1"/>
  <c r="K4874" i="1"/>
  <c r="H4875" i="1"/>
  <c r="I4875" i="1"/>
  <c r="J4875" i="1"/>
  <c r="K4875" i="1"/>
  <c r="H4876" i="1"/>
  <c r="I4876" i="1"/>
  <c r="J4876" i="1"/>
  <c r="K4876" i="1"/>
  <c r="H4877" i="1"/>
  <c r="I4877" i="1"/>
  <c r="J4877" i="1"/>
  <c r="K4877" i="1"/>
  <c r="H4878" i="1"/>
  <c r="I4878" i="1"/>
  <c r="J4878" i="1"/>
  <c r="K4878" i="1"/>
  <c r="H4879" i="1"/>
  <c r="I4879" i="1"/>
  <c r="J4879" i="1"/>
  <c r="K4879" i="1"/>
  <c r="H4880" i="1"/>
  <c r="I4880" i="1"/>
  <c r="J4880" i="1"/>
  <c r="K4880" i="1"/>
  <c r="H4881" i="1"/>
  <c r="I4881" i="1"/>
  <c r="J4881" i="1"/>
  <c r="K4881" i="1"/>
  <c r="H4882" i="1"/>
  <c r="I4882" i="1"/>
  <c r="J4882" i="1"/>
  <c r="K4882" i="1"/>
  <c r="H4883" i="1"/>
  <c r="I4883" i="1"/>
  <c r="J4883" i="1"/>
  <c r="K4883" i="1"/>
  <c r="H4884" i="1"/>
  <c r="I4884" i="1"/>
  <c r="J4884" i="1"/>
  <c r="K4884" i="1"/>
  <c r="H4885" i="1"/>
  <c r="I4885" i="1"/>
  <c r="J4885" i="1"/>
  <c r="K4885" i="1"/>
  <c r="H4886" i="1"/>
  <c r="I4886" i="1"/>
  <c r="J4886" i="1"/>
  <c r="K4886" i="1"/>
  <c r="H4887" i="1"/>
  <c r="I4887" i="1"/>
  <c r="J4887" i="1"/>
  <c r="K4887" i="1"/>
  <c r="H4888" i="1"/>
  <c r="I4888" i="1"/>
  <c r="J4888" i="1"/>
  <c r="K4888" i="1"/>
  <c r="H4889" i="1"/>
  <c r="I4889" i="1"/>
  <c r="J4889" i="1"/>
  <c r="K4889" i="1"/>
  <c r="H4890" i="1"/>
  <c r="I4890" i="1"/>
  <c r="J4890" i="1"/>
  <c r="K4890" i="1"/>
  <c r="H4891" i="1"/>
  <c r="I4891" i="1"/>
  <c r="J4891" i="1"/>
  <c r="K4891" i="1"/>
  <c r="H4892" i="1"/>
  <c r="I4892" i="1"/>
  <c r="J4892" i="1"/>
  <c r="K4892" i="1"/>
  <c r="H4893" i="1"/>
  <c r="I4893" i="1"/>
  <c r="J4893" i="1"/>
  <c r="K4893" i="1"/>
  <c r="H4894" i="1"/>
  <c r="I4894" i="1"/>
  <c r="J4894" i="1"/>
  <c r="K4894" i="1"/>
  <c r="H4895" i="1"/>
  <c r="I4895" i="1"/>
  <c r="J4895" i="1"/>
  <c r="K4895" i="1"/>
  <c r="H4896" i="1"/>
  <c r="I4896" i="1"/>
  <c r="J4896" i="1"/>
  <c r="K4896" i="1"/>
  <c r="H4897" i="1"/>
  <c r="I4897" i="1"/>
  <c r="J4897" i="1"/>
  <c r="K4897" i="1"/>
  <c r="H4898" i="1"/>
  <c r="I4898" i="1"/>
  <c r="J4898" i="1"/>
  <c r="K4898" i="1"/>
  <c r="H4899" i="1"/>
  <c r="I4899" i="1"/>
  <c r="J4899" i="1"/>
  <c r="K4899" i="1"/>
  <c r="H4900" i="1"/>
  <c r="I4900" i="1"/>
  <c r="J4900" i="1"/>
  <c r="K4900" i="1"/>
  <c r="H4901" i="1"/>
  <c r="I4901" i="1"/>
  <c r="J4901" i="1"/>
  <c r="K4901" i="1"/>
  <c r="H4902" i="1"/>
  <c r="I4902" i="1"/>
  <c r="J4902" i="1"/>
  <c r="K4902" i="1"/>
  <c r="H4903" i="1"/>
  <c r="I4903" i="1"/>
  <c r="J4903" i="1"/>
  <c r="K4903" i="1"/>
  <c r="H4904" i="1"/>
  <c r="I4904" i="1"/>
  <c r="J4904" i="1"/>
  <c r="K4904" i="1"/>
  <c r="H4905" i="1"/>
  <c r="I4905" i="1"/>
  <c r="J4905" i="1"/>
  <c r="K4905" i="1"/>
  <c r="H4906" i="1"/>
  <c r="I4906" i="1"/>
  <c r="J4906" i="1"/>
  <c r="K4906" i="1"/>
  <c r="H4907" i="1"/>
  <c r="I4907" i="1"/>
  <c r="J4907" i="1"/>
  <c r="K4907" i="1"/>
  <c r="H4908" i="1"/>
  <c r="I4908" i="1"/>
  <c r="J4908" i="1"/>
  <c r="K4908" i="1"/>
  <c r="H4909" i="1"/>
  <c r="I4909" i="1"/>
  <c r="J4909" i="1"/>
  <c r="K4909" i="1"/>
  <c r="H4910" i="1"/>
  <c r="I4910" i="1"/>
  <c r="J4910" i="1"/>
  <c r="K4910" i="1"/>
  <c r="H4911" i="1"/>
  <c r="I4911" i="1"/>
  <c r="J4911" i="1"/>
  <c r="K4911" i="1"/>
  <c r="H4912" i="1"/>
  <c r="I4912" i="1"/>
  <c r="J4912" i="1"/>
  <c r="K4912" i="1"/>
  <c r="H4913" i="1"/>
  <c r="I4913" i="1"/>
  <c r="J4913" i="1"/>
  <c r="K4913" i="1"/>
  <c r="H4914" i="1"/>
  <c r="I4914" i="1"/>
  <c r="J4914" i="1"/>
  <c r="K4914" i="1"/>
  <c r="H4915" i="1"/>
  <c r="I4915" i="1"/>
  <c r="J4915" i="1"/>
  <c r="K4915" i="1"/>
  <c r="H4916" i="1"/>
  <c r="I4916" i="1"/>
  <c r="J4916" i="1"/>
  <c r="K4916" i="1"/>
  <c r="H4917" i="1"/>
  <c r="I4917" i="1"/>
  <c r="J4917" i="1"/>
  <c r="K4917" i="1"/>
  <c r="H4918" i="1"/>
  <c r="I4918" i="1"/>
  <c r="J4918" i="1"/>
  <c r="K4918" i="1"/>
  <c r="H4919" i="1"/>
  <c r="I4919" i="1"/>
  <c r="J4919" i="1"/>
  <c r="K4919" i="1"/>
  <c r="H4920" i="1"/>
  <c r="I4920" i="1"/>
  <c r="J4920" i="1"/>
  <c r="K4920" i="1"/>
  <c r="H4921" i="1"/>
  <c r="I4921" i="1"/>
  <c r="J4921" i="1"/>
  <c r="K4921" i="1"/>
  <c r="H4922" i="1"/>
  <c r="I4922" i="1"/>
  <c r="J4922" i="1"/>
  <c r="K4922" i="1"/>
  <c r="H4923" i="1"/>
  <c r="I4923" i="1"/>
  <c r="J4923" i="1"/>
  <c r="K4923" i="1"/>
  <c r="H4924" i="1"/>
  <c r="I4924" i="1"/>
  <c r="J4924" i="1"/>
  <c r="K4924" i="1"/>
  <c r="H4925" i="1"/>
  <c r="I4925" i="1"/>
  <c r="J4925" i="1"/>
  <c r="K4925" i="1"/>
  <c r="H4926" i="1"/>
  <c r="I4926" i="1"/>
  <c r="J4926" i="1"/>
  <c r="K4926" i="1"/>
  <c r="H4927" i="1"/>
  <c r="I4927" i="1"/>
  <c r="J4927" i="1"/>
  <c r="K4927" i="1"/>
  <c r="H4928" i="1"/>
  <c r="I4928" i="1"/>
  <c r="J4928" i="1"/>
  <c r="K4928" i="1"/>
  <c r="H4929" i="1"/>
  <c r="I4929" i="1"/>
  <c r="J4929" i="1"/>
  <c r="K4929" i="1"/>
  <c r="H4930" i="1"/>
  <c r="I4930" i="1"/>
  <c r="J4930" i="1"/>
  <c r="K4930" i="1"/>
  <c r="H4931" i="1"/>
  <c r="I4931" i="1"/>
  <c r="J4931" i="1"/>
  <c r="K4931" i="1"/>
  <c r="H4932" i="1"/>
  <c r="I4932" i="1"/>
  <c r="J4932" i="1"/>
  <c r="K4932" i="1"/>
  <c r="H4933" i="1"/>
  <c r="I4933" i="1"/>
  <c r="J4933" i="1"/>
  <c r="K4933" i="1"/>
  <c r="H4934" i="1"/>
  <c r="I4934" i="1"/>
  <c r="J4934" i="1"/>
  <c r="K4934" i="1"/>
  <c r="H4935" i="1"/>
  <c r="I4935" i="1"/>
  <c r="J4935" i="1"/>
  <c r="K4935" i="1"/>
  <c r="H4936" i="1"/>
  <c r="I4936" i="1"/>
  <c r="J4936" i="1"/>
  <c r="K4936" i="1"/>
  <c r="H4937" i="1"/>
  <c r="I4937" i="1"/>
  <c r="J4937" i="1"/>
  <c r="K4937" i="1"/>
  <c r="H4938" i="1"/>
  <c r="I4938" i="1"/>
  <c r="J4938" i="1"/>
  <c r="K4938" i="1"/>
  <c r="H4939" i="1"/>
  <c r="I4939" i="1"/>
  <c r="J4939" i="1"/>
  <c r="K4939" i="1"/>
  <c r="H4940" i="1"/>
  <c r="I4940" i="1"/>
  <c r="J4940" i="1"/>
  <c r="K4940" i="1"/>
  <c r="H4941" i="1"/>
  <c r="I4941" i="1"/>
  <c r="J4941" i="1"/>
  <c r="K4941" i="1"/>
  <c r="H4942" i="1"/>
  <c r="I4942" i="1"/>
  <c r="J4942" i="1"/>
  <c r="K4942" i="1"/>
  <c r="H4943" i="1"/>
  <c r="I4943" i="1"/>
  <c r="J4943" i="1"/>
  <c r="K4943" i="1"/>
  <c r="H4944" i="1"/>
  <c r="I4944" i="1"/>
  <c r="J4944" i="1"/>
  <c r="K4944" i="1"/>
  <c r="H4945" i="1"/>
  <c r="I4945" i="1"/>
  <c r="J4945" i="1"/>
  <c r="K4945" i="1"/>
  <c r="H4946" i="1"/>
  <c r="I4946" i="1"/>
  <c r="J4946" i="1"/>
  <c r="K4946" i="1"/>
  <c r="H4947" i="1"/>
  <c r="I4947" i="1"/>
  <c r="J4947" i="1"/>
  <c r="K4947" i="1"/>
  <c r="H4948" i="1"/>
  <c r="I4948" i="1"/>
  <c r="J4948" i="1"/>
  <c r="K4948" i="1"/>
  <c r="H4949" i="1"/>
  <c r="I4949" i="1"/>
  <c r="J4949" i="1"/>
  <c r="K4949" i="1"/>
  <c r="H4950" i="1"/>
  <c r="I4950" i="1"/>
  <c r="J4950" i="1"/>
  <c r="K4950" i="1"/>
  <c r="H4951" i="1"/>
  <c r="I4951" i="1"/>
  <c r="J4951" i="1"/>
  <c r="K4951" i="1"/>
  <c r="H4952" i="1"/>
  <c r="I4952" i="1"/>
  <c r="J4952" i="1"/>
  <c r="K4952" i="1"/>
  <c r="H4953" i="1"/>
  <c r="I4953" i="1"/>
  <c r="J4953" i="1"/>
  <c r="K4953" i="1"/>
  <c r="H4954" i="1"/>
  <c r="I4954" i="1"/>
  <c r="J4954" i="1"/>
  <c r="K4954" i="1"/>
  <c r="H4955" i="1"/>
  <c r="I4955" i="1"/>
  <c r="J4955" i="1"/>
  <c r="K4955" i="1"/>
  <c r="H4956" i="1"/>
  <c r="I4956" i="1"/>
  <c r="J4956" i="1"/>
  <c r="K4956" i="1"/>
  <c r="H4957" i="1"/>
  <c r="I4957" i="1"/>
  <c r="J4957" i="1"/>
  <c r="K4957" i="1"/>
  <c r="H4958" i="1"/>
  <c r="I4958" i="1"/>
  <c r="J4958" i="1"/>
  <c r="K4958" i="1"/>
  <c r="H4959" i="1"/>
  <c r="I4959" i="1"/>
  <c r="J4959" i="1"/>
  <c r="K4959" i="1"/>
  <c r="H4960" i="1"/>
  <c r="I4960" i="1"/>
  <c r="J4960" i="1"/>
  <c r="K4960" i="1"/>
  <c r="H4961" i="1"/>
  <c r="I4961" i="1"/>
  <c r="J4961" i="1"/>
  <c r="K4961" i="1"/>
  <c r="H4962" i="1"/>
  <c r="I4962" i="1"/>
  <c r="J4962" i="1"/>
  <c r="K4962" i="1"/>
  <c r="H4963" i="1"/>
  <c r="I4963" i="1"/>
  <c r="J4963" i="1"/>
  <c r="K4963" i="1"/>
  <c r="H4964" i="1"/>
  <c r="I4964" i="1"/>
  <c r="J4964" i="1"/>
  <c r="K4964" i="1"/>
  <c r="H4965" i="1"/>
  <c r="I4965" i="1"/>
  <c r="J4965" i="1"/>
  <c r="K4965" i="1"/>
  <c r="H4966" i="1"/>
  <c r="I4966" i="1"/>
  <c r="J4966" i="1"/>
  <c r="K4966" i="1"/>
  <c r="H4967" i="1"/>
  <c r="I4967" i="1"/>
  <c r="J4967" i="1"/>
  <c r="K4967" i="1"/>
  <c r="H4968" i="1"/>
  <c r="I4968" i="1"/>
  <c r="J4968" i="1"/>
  <c r="K4968" i="1"/>
  <c r="H4969" i="1"/>
  <c r="I4969" i="1"/>
  <c r="J4969" i="1"/>
  <c r="K4969" i="1"/>
  <c r="H4970" i="1"/>
  <c r="I4970" i="1"/>
  <c r="J4970" i="1"/>
  <c r="K4970" i="1"/>
  <c r="H4971" i="1"/>
  <c r="I4971" i="1"/>
  <c r="J4971" i="1"/>
  <c r="K4971" i="1"/>
  <c r="H4972" i="1"/>
  <c r="I4972" i="1"/>
  <c r="J4972" i="1"/>
  <c r="K4972" i="1"/>
  <c r="H4973" i="1"/>
  <c r="I4973" i="1"/>
  <c r="J4973" i="1"/>
  <c r="K4973" i="1"/>
  <c r="H4974" i="1"/>
  <c r="I4974" i="1"/>
  <c r="J4974" i="1"/>
  <c r="K4974" i="1"/>
  <c r="H4975" i="1"/>
  <c r="I4975" i="1"/>
  <c r="J4975" i="1"/>
  <c r="K4975" i="1"/>
  <c r="H4976" i="1"/>
  <c r="I4976" i="1"/>
  <c r="J4976" i="1"/>
  <c r="K4976" i="1"/>
  <c r="H4977" i="1"/>
  <c r="I4977" i="1"/>
  <c r="J4977" i="1"/>
  <c r="K4977" i="1"/>
  <c r="H4978" i="1"/>
  <c r="I4978" i="1"/>
  <c r="J4978" i="1"/>
  <c r="K4978" i="1"/>
  <c r="H4979" i="1"/>
  <c r="I4979" i="1"/>
  <c r="J4979" i="1"/>
  <c r="K4979" i="1"/>
  <c r="H4980" i="1"/>
  <c r="I4980" i="1"/>
  <c r="J4980" i="1"/>
  <c r="K4980" i="1"/>
  <c r="H4981" i="1"/>
  <c r="I4981" i="1"/>
  <c r="J4981" i="1"/>
  <c r="K4981" i="1"/>
  <c r="H4982" i="1"/>
  <c r="I4982" i="1"/>
  <c r="J4982" i="1"/>
  <c r="K4982" i="1"/>
  <c r="H4983" i="1"/>
  <c r="I4983" i="1"/>
  <c r="J4983" i="1"/>
  <c r="K4983" i="1"/>
  <c r="H4984" i="1"/>
  <c r="I4984" i="1"/>
  <c r="J4984" i="1"/>
  <c r="K4984" i="1"/>
  <c r="H4985" i="1"/>
  <c r="I4985" i="1"/>
  <c r="J4985" i="1"/>
  <c r="K4985" i="1"/>
  <c r="H4986" i="1"/>
  <c r="I4986" i="1"/>
  <c r="J4986" i="1"/>
  <c r="K4986" i="1"/>
  <c r="H4987" i="1"/>
  <c r="I4987" i="1"/>
  <c r="J4987" i="1"/>
  <c r="K4987" i="1"/>
  <c r="H4988" i="1"/>
  <c r="I4988" i="1"/>
  <c r="J4988" i="1"/>
  <c r="K4988" i="1"/>
  <c r="H4989" i="1"/>
  <c r="I4989" i="1"/>
  <c r="J4989" i="1"/>
  <c r="K4989" i="1"/>
  <c r="H4990" i="1"/>
  <c r="I4990" i="1"/>
  <c r="J4990" i="1"/>
  <c r="K4990" i="1"/>
  <c r="H4991" i="1"/>
  <c r="I4991" i="1"/>
  <c r="J4991" i="1"/>
  <c r="K4991" i="1"/>
  <c r="H4992" i="1"/>
  <c r="I4992" i="1"/>
  <c r="J4992" i="1"/>
  <c r="K4992" i="1"/>
  <c r="H4993" i="1"/>
  <c r="I4993" i="1"/>
  <c r="J4993" i="1"/>
  <c r="K4993" i="1"/>
  <c r="H4994" i="1"/>
  <c r="I4994" i="1"/>
  <c r="J4994" i="1"/>
  <c r="K4994" i="1"/>
  <c r="H4995" i="1"/>
  <c r="I4995" i="1"/>
  <c r="J4995" i="1"/>
  <c r="K4995" i="1"/>
  <c r="H4996" i="1"/>
  <c r="I4996" i="1"/>
  <c r="J4996" i="1"/>
  <c r="K4996" i="1"/>
  <c r="H4997" i="1"/>
  <c r="I4997" i="1"/>
  <c r="J4997" i="1"/>
  <c r="K4997" i="1"/>
  <c r="H4998" i="1"/>
  <c r="I4998" i="1"/>
  <c r="J4998" i="1"/>
  <c r="K4998" i="1"/>
  <c r="H4999" i="1"/>
  <c r="I4999" i="1"/>
  <c r="J4999" i="1"/>
  <c r="K4999" i="1"/>
  <c r="H5000" i="1"/>
  <c r="I5000" i="1"/>
  <c r="J5000" i="1"/>
  <c r="K5000" i="1"/>
  <c r="H5001" i="1"/>
  <c r="I5001" i="1"/>
  <c r="J5001" i="1"/>
  <c r="K5001" i="1"/>
  <c r="H5002" i="1"/>
  <c r="I5002" i="1"/>
  <c r="J5002" i="1"/>
  <c r="K5002" i="1"/>
  <c r="H5003" i="1"/>
  <c r="I5003" i="1"/>
  <c r="J5003" i="1"/>
  <c r="K5003" i="1"/>
  <c r="H5004" i="1"/>
  <c r="I5004" i="1"/>
  <c r="J5004" i="1"/>
  <c r="K5004" i="1"/>
  <c r="H5005" i="1"/>
  <c r="I5005" i="1"/>
  <c r="J5005" i="1"/>
  <c r="K5005" i="1"/>
  <c r="H5006" i="1"/>
  <c r="I5006" i="1"/>
  <c r="J5006" i="1"/>
  <c r="K5006" i="1"/>
  <c r="H5007" i="1"/>
  <c r="I5007" i="1"/>
  <c r="J5007" i="1"/>
  <c r="K5007" i="1"/>
  <c r="H5008" i="1"/>
  <c r="I5008" i="1"/>
  <c r="J5008" i="1"/>
  <c r="K5008" i="1"/>
  <c r="H5009" i="1"/>
  <c r="I5009" i="1"/>
  <c r="J5009" i="1"/>
  <c r="K5009" i="1"/>
  <c r="H5010" i="1"/>
  <c r="I5010" i="1"/>
  <c r="J5010" i="1"/>
  <c r="K5010" i="1"/>
  <c r="H5011" i="1"/>
  <c r="I5011" i="1"/>
  <c r="J5011" i="1"/>
  <c r="K5011" i="1"/>
  <c r="H5012" i="1"/>
  <c r="I5012" i="1"/>
  <c r="J5012" i="1"/>
  <c r="K5012" i="1"/>
  <c r="H5013" i="1"/>
  <c r="I5013" i="1"/>
  <c r="J5013" i="1"/>
  <c r="K5013" i="1"/>
  <c r="H5014" i="1"/>
  <c r="I5014" i="1"/>
  <c r="J5014" i="1"/>
  <c r="K5014" i="1"/>
  <c r="H5015" i="1"/>
  <c r="I5015" i="1"/>
  <c r="J5015" i="1"/>
  <c r="K5015" i="1"/>
  <c r="H5016" i="1"/>
  <c r="I5016" i="1"/>
  <c r="J5016" i="1"/>
  <c r="K5016" i="1"/>
  <c r="H5017" i="1"/>
  <c r="I5017" i="1"/>
  <c r="J5017" i="1"/>
  <c r="K5017" i="1"/>
  <c r="H5018" i="1"/>
  <c r="I5018" i="1"/>
  <c r="J5018" i="1"/>
  <c r="K5018" i="1"/>
  <c r="H5019" i="1"/>
  <c r="I5019" i="1"/>
  <c r="J5019" i="1"/>
  <c r="K5019" i="1"/>
  <c r="H5020" i="1"/>
  <c r="I5020" i="1"/>
  <c r="J5020" i="1"/>
  <c r="K5020" i="1"/>
  <c r="H5021" i="1"/>
  <c r="I5021" i="1"/>
  <c r="J5021" i="1"/>
  <c r="K5021" i="1"/>
  <c r="H5022" i="1"/>
  <c r="I5022" i="1"/>
  <c r="J5022" i="1"/>
  <c r="K5022" i="1"/>
  <c r="H5023" i="1"/>
  <c r="I5023" i="1"/>
  <c r="J5023" i="1"/>
  <c r="K5023" i="1"/>
  <c r="H5024" i="1"/>
  <c r="I5024" i="1"/>
  <c r="J5024" i="1"/>
  <c r="K5024" i="1"/>
  <c r="H5025" i="1"/>
  <c r="I5025" i="1"/>
  <c r="J5025" i="1"/>
  <c r="K5025" i="1"/>
  <c r="H5026" i="1"/>
  <c r="I5026" i="1"/>
  <c r="J5026" i="1"/>
  <c r="K5026" i="1"/>
  <c r="H5027" i="1"/>
  <c r="I5027" i="1"/>
  <c r="J5027" i="1"/>
  <c r="K5027" i="1"/>
  <c r="H5028" i="1"/>
  <c r="I5028" i="1"/>
  <c r="J5028" i="1"/>
  <c r="K5028" i="1"/>
  <c r="H5029" i="1"/>
  <c r="I5029" i="1"/>
  <c r="J5029" i="1"/>
  <c r="K5029" i="1"/>
  <c r="H5030" i="1"/>
  <c r="I5030" i="1"/>
  <c r="J5030" i="1"/>
  <c r="K5030" i="1"/>
  <c r="H5031" i="1"/>
  <c r="I5031" i="1"/>
  <c r="J5031" i="1"/>
  <c r="K5031" i="1"/>
  <c r="H5032" i="1"/>
  <c r="I5032" i="1"/>
  <c r="J5032" i="1"/>
  <c r="K5032" i="1"/>
  <c r="H5033" i="1"/>
  <c r="I5033" i="1"/>
  <c r="J5033" i="1"/>
  <c r="K5033" i="1"/>
  <c r="H5034" i="1"/>
  <c r="I5034" i="1"/>
  <c r="J5034" i="1"/>
  <c r="K5034" i="1"/>
  <c r="H5035" i="1"/>
  <c r="I5035" i="1"/>
  <c r="J5035" i="1"/>
  <c r="K5035" i="1"/>
  <c r="H5036" i="1"/>
  <c r="I5036" i="1"/>
  <c r="J5036" i="1"/>
  <c r="K5036" i="1"/>
  <c r="H5037" i="1"/>
  <c r="I5037" i="1"/>
  <c r="J5037" i="1"/>
  <c r="K5037" i="1"/>
  <c r="H5038" i="1"/>
  <c r="I5038" i="1"/>
  <c r="J5038" i="1"/>
  <c r="K5038" i="1"/>
  <c r="H5039" i="1"/>
  <c r="I5039" i="1"/>
  <c r="J5039" i="1"/>
  <c r="K5039" i="1"/>
  <c r="H5040" i="1"/>
  <c r="I5040" i="1"/>
  <c r="J5040" i="1"/>
  <c r="K5040" i="1"/>
  <c r="H5041" i="1"/>
  <c r="I5041" i="1"/>
  <c r="J5041" i="1"/>
  <c r="K5041" i="1"/>
  <c r="H5042" i="1"/>
  <c r="I5042" i="1"/>
  <c r="J5042" i="1"/>
  <c r="K5042" i="1"/>
  <c r="H5043" i="1"/>
  <c r="I5043" i="1"/>
  <c r="J5043" i="1"/>
  <c r="K5043" i="1"/>
  <c r="H5044" i="1"/>
  <c r="I5044" i="1"/>
  <c r="J5044" i="1"/>
  <c r="K5044" i="1"/>
  <c r="H5045" i="1"/>
  <c r="I5045" i="1"/>
  <c r="J5045" i="1"/>
  <c r="K5045" i="1"/>
  <c r="H5046" i="1"/>
  <c r="I5046" i="1"/>
  <c r="J5046" i="1"/>
  <c r="K5046" i="1"/>
  <c r="H5047" i="1"/>
  <c r="I5047" i="1"/>
  <c r="J5047" i="1"/>
  <c r="K5047" i="1"/>
  <c r="H5048" i="1"/>
  <c r="I5048" i="1"/>
  <c r="J5048" i="1"/>
  <c r="K5048" i="1"/>
  <c r="H5049" i="1"/>
  <c r="I5049" i="1"/>
  <c r="J5049" i="1"/>
  <c r="K5049" i="1"/>
  <c r="H5050" i="1"/>
  <c r="I5050" i="1"/>
  <c r="J5050" i="1"/>
  <c r="K5050" i="1"/>
  <c r="H5051" i="1"/>
  <c r="I5051" i="1"/>
  <c r="J5051" i="1"/>
  <c r="K5051" i="1"/>
  <c r="H5052" i="1"/>
  <c r="I5052" i="1"/>
  <c r="J5052" i="1"/>
  <c r="K5052" i="1"/>
  <c r="H5053" i="1"/>
  <c r="I5053" i="1"/>
  <c r="J5053" i="1"/>
  <c r="K5053" i="1"/>
  <c r="H5054" i="1"/>
  <c r="I5054" i="1"/>
  <c r="J5054" i="1"/>
  <c r="K5054" i="1"/>
  <c r="H5055" i="1"/>
  <c r="I5055" i="1"/>
  <c r="J5055" i="1"/>
  <c r="K5055" i="1"/>
  <c r="H5056" i="1"/>
  <c r="I5056" i="1"/>
  <c r="J5056" i="1"/>
  <c r="K5056" i="1"/>
  <c r="H5057" i="1"/>
  <c r="I5057" i="1"/>
  <c r="J5057" i="1"/>
  <c r="K5057" i="1"/>
  <c r="H5058" i="1"/>
  <c r="I5058" i="1"/>
  <c r="J5058" i="1"/>
  <c r="K5058" i="1"/>
  <c r="H5059" i="1"/>
  <c r="I5059" i="1"/>
  <c r="J5059" i="1"/>
  <c r="K5059" i="1"/>
  <c r="H5060" i="1"/>
  <c r="I5060" i="1"/>
  <c r="J5060" i="1"/>
  <c r="K5060" i="1"/>
  <c r="H5061" i="1"/>
  <c r="I5061" i="1"/>
  <c r="J5061" i="1"/>
  <c r="K5061" i="1"/>
  <c r="H5062" i="1"/>
  <c r="I5062" i="1"/>
  <c r="J5062" i="1"/>
  <c r="K5062" i="1"/>
  <c r="H5063" i="1"/>
  <c r="I5063" i="1"/>
  <c r="J5063" i="1"/>
  <c r="K5063" i="1"/>
  <c r="H5064" i="1"/>
  <c r="I5064" i="1"/>
  <c r="J5064" i="1"/>
  <c r="K5064" i="1"/>
  <c r="H5065" i="1"/>
  <c r="I5065" i="1"/>
  <c r="J5065" i="1"/>
  <c r="K5065" i="1"/>
  <c r="H5066" i="1"/>
  <c r="I5066" i="1"/>
  <c r="J5066" i="1"/>
  <c r="K5066" i="1"/>
  <c r="H5067" i="1"/>
  <c r="I5067" i="1"/>
  <c r="J5067" i="1"/>
  <c r="K5067" i="1"/>
  <c r="H5068" i="1"/>
  <c r="I5068" i="1"/>
  <c r="J5068" i="1"/>
  <c r="K5068" i="1"/>
  <c r="H5069" i="1"/>
  <c r="I5069" i="1"/>
  <c r="J5069" i="1"/>
  <c r="K5069" i="1"/>
  <c r="H5070" i="1"/>
  <c r="I5070" i="1"/>
  <c r="J5070" i="1"/>
  <c r="K5070" i="1"/>
  <c r="H5071" i="1"/>
  <c r="I5071" i="1"/>
  <c r="J5071" i="1"/>
  <c r="K5071" i="1"/>
  <c r="H5072" i="1"/>
  <c r="I5072" i="1"/>
  <c r="J5072" i="1"/>
  <c r="K5072" i="1"/>
  <c r="H5073" i="1"/>
  <c r="I5073" i="1"/>
  <c r="J5073" i="1"/>
  <c r="K5073" i="1"/>
  <c r="H5074" i="1"/>
  <c r="I5074" i="1"/>
  <c r="J5074" i="1"/>
  <c r="K5074" i="1"/>
  <c r="H5075" i="1"/>
  <c r="I5075" i="1"/>
  <c r="J5075" i="1"/>
  <c r="K5075" i="1"/>
  <c r="H5076" i="1"/>
  <c r="I5076" i="1"/>
  <c r="J5076" i="1"/>
  <c r="K5076" i="1"/>
  <c r="H5077" i="1"/>
  <c r="I5077" i="1"/>
  <c r="J5077" i="1"/>
  <c r="K5077" i="1"/>
  <c r="H5078" i="1"/>
  <c r="I5078" i="1"/>
  <c r="J5078" i="1"/>
  <c r="K5078" i="1"/>
  <c r="H5079" i="1"/>
  <c r="I5079" i="1"/>
  <c r="J5079" i="1"/>
  <c r="K5079" i="1"/>
  <c r="H5080" i="1"/>
  <c r="I5080" i="1"/>
  <c r="J5080" i="1"/>
  <c r="K5080" i="1"/>
  <c r="H5081" i="1"/>
  <c r="I5081" i="1"/>
  <c r="J5081" i="1"/>
  <c r="K5081" i="1"/>
  <c r="H5082" i="1"/>
  <c r="I5082" i="1"/>
  <c r="J5082" i="1"/>
  <c r="K5082" i="1"/>
  <c r="H5083" i="1"/>
  <c r="I5083" i="1"/>
  <c r="J5083" i="1"/>
  <c r="K5083" i="1"/>
  <c r="H5084" i="1"/>
  <c r="I5084" i="1"/>
  <c r="J5084" i="1"/>
  <c r="K5084" i="1"/>
  <c r="H5085" i="1"/>
  <c r="I5085" i="1"/>
  <c r="J5085" i="1"/>
  <c r="K5085" i="1"/>
  <c r="H5086" i="1"/>
  <c r="I5086" i="1"/>
  <c r="J5086" i="1"/>
  <c r="K5086" i="1"/>
  <c r="H5087" i="1"/>
  <c r="I5087" i="1"/>
  <c r="J5087" i="1"/>
  <c r="K5087" i="1"/>
  <c r="H5088" i="1"/>
  <c r="I5088" i="1"/>
  <c r="J5088" i="1"/>
  <c r="K5088" i="1"/>
  <c r="H5089" i="1"/>
  <c r="I5089" i="1"/>
  <c r="J5089" i="1"/>
  <c r="K5089" i="1"/>
  <c r="H5090" i="1"/>
  <c r="I5090" i="1"/>
  <c r="J5090" i="1"/>
  <c r="K5090" i="1"/>
  <c r="H5091" i="1"/>
  <c r="I5091" i="1"/>
  <c r="J5091" i="1"/>
  <c r="K5091" i="1"/>
  <c r="H5092" i="1"/>
  <c r="I5092" i="1"/>
  <c r="J5092" i="1"/>
  <c r="K5092" i="1"/>
  <c r="H5093" i="1"/>
  <c r="I5093" i="1"/>
  <c r="J5093" i="1"/>
  <c r="K5093" i="1"/>
  <c r="H5094" i="1"/>
  <c r="I5094" i="1"/>
  <c r="J5094" i="1"/>
  <c r="K5094" i="1"/>
  <c r="H5095" i="1"/>
  <c r="I5095" i="1"/>
  <c r="J5095" i="1"/>
  <c r="K5095" i="1"/>
  <c r="H5096" i="1"/>
  <c r="I5096" i="1"/>
  <c r="J5096" i="1"/>
  <c r="K5096" i="1"/>
  <c r="H5097" i="1"/>
  <c r="I5097" i="1"/>
  <c r="J5097" i="1"/>
  <c r="K5097" i="1"/>
  <c r="H5098" i="1"/>
  <c r="I5098" i="1"/>
  <c r="J5098" i="1"/>
  <c r="K5098" i="1"/>
  <c r="H5099" i="1"/>
  <c r="I5099" i="1"/>
  <c r="J5099" i="1"/>
  <c r="K5099" i="1"/>
  <c r="H5100" i="1"/>
  <c r="I5100" i="1"/>
  <c r="J5100" i="1"/>
  <c r="K5100" i="1"/>
  <c r="H5101" i="1"/>
  <c r="I5101" i="1"/>
  <c r="J5101" i="1"/>
  <c r="K5101" i="1"/>
  <c r="H5102" i="1"/>
  <c r="I5102" i="1"/>
  <c r="J5102" i="1"/>
  <c r="K5102" i="1"/>
  <c r="H5103" i="1"/>
  <c r="I5103" i="1"/>
  <c r="J5103" i="1"/>
  <c r="K5103" i="1"/>
  <c r="H5104" i="1"/>
  <c r="I5104" i="1"/>
  <c r="J5104" i="1"/>
  <c r="K5104" i="1"/>
  <c r="H5105" i="1"/>
  <c r="I5105" i="1"/>
  <c r="J5105" i="1"/>
  <c r="K5105" i="1"/>
  <c r="H5106" i="1"/>
  <c r="I5106" i="1"/>
  <c r="J5106" i="1"/>
  <c r="K5106" i="1"/>
  <c r="H5107" i="1"/>
  <c r="I5107" i="1"/>
  <c r="J5107" i="1"/>
  <c r="K5107" i="1"/>
  <c r="H5108" i="1"/>
  <c r="I5108" i="1"/>
  <c r="J5108" i="1"/>
  <c r="K5108" i="1"/>
  <c r="H5109" i="1"/>
  <c r="I5109" i="1"/>
  <c r="J5109" i="1"/>
  <c r="K5109" i="1"/>
  <c r="H5110" i="1"/>
  <c r="I5110" i="1"/>
  <c r="J5110" i="1"/>
  <c r="K5110" i="1"/>
  <c r="H5111" i="1"/>
  <c r="I5111" i="1"/>
  <c r="J5111" i="1"/>
  <c r="K5111" i="1"/>
  <c r="H5112" i="1"/>
  <c r="I5112" i="1"/>
  <c r="J5112" i="1"/>
  <c r="K5112" i="1"/>
  <c r="H5113" i="1"/>
  <c r="I5113" i="1"/>
  <c r="J5113" i="1"/>
  <c r="K5113" i="1"/>
  <c r="H5114" i="1"/>
  <c r="I5114" i="1"/>
  <c r="J5114" i="1"/>
  <c r="K5114" i="1"/>
  <c r="H5115" i="1"/>
  <c r="I5115" i="1"/>
  <c r="J5115" i="1"/>
  <c r="K5115" i="1"/>
  <c r="H5116" i="1"/>
  <c r="I5116" i="1"/>
  <c r="J5116" i="1"/>
  <c r="K5116" i="1"/>
  <c r="H5117" i="1"/>
  <c r="I5117" i="1"/>
  <c r="J5117" i="1"/>
  <c r="K5117" i="1"/>
  <c r="H5118" i="1"/>
  <c r="I5118" i="1"/>
  <c r="J5118" i="1"/>
  <c r="K5118" i="1"/>
  <c r="H5119" i="1"/>
  <c r="I5119" i="1"/>
  <c r="J5119" i="1"/>
  <c r="K5119" i="1"/>
  <c r="H5120" i="1"/>
  <c r="I5120" i="1"/>
  <c r="J5120" i="1"/>
  <c r="K5120" i="1"/>
  <c r="H5121" i="1"/>
  <c r="I5121" i="1"/>
  <c r="J5121" i="1"/>
  <c r="K5121" i="1"/>
  <c r="H5122" i="1"/>
  <c r="I5122" i="1"/>
  <c r="J5122" i="1"/>
  <c r="K5122" i="1"/>
  <c r="H5123" i="1"/>
  <c r="I5123" i="1"/>
  <c r="J5123" i="1"/>
  <c r="K5123" i="1"/>
  <c r="H5124" i="1"/>
  <c r="I5124" i="1"/>
  <c r="J5124" i="1"/>
  <c r="K5124" i="1"/>
  <c r="H5125" i="1"/>
  <c r="I5125" i="1"/>
  <c r="J5125" i="1"/>
  <c r="K5125" i="1"/>
  <c r="H5126" i="1"/>
  <c r="I5126" i="1"/>
  <c r="J5126" i="1"/>
  <c r="K5126" i="1"/>
  <c r="H5127" i="1"/>
  <c r="I5127" i="1"/>
  <c r="J5127" i="1"/>
  <c r="K5127" i="1"/>
  <c r="H5128" i="1"/>
  <c r="I5128" i="1"/>
  <c r="J5128" i="1"/>
  <c r="K5128" i="1"/>
  <c r="H5129" i="1"/>
  <c r="I5129" i="1"/>
  <c r="J5129" i="1"/>
  <c r="K5129" i="1"/>
  <c r="H5130" i="1"/>
  <c r="I5130" i="1"/>
  <c r="J5130" i="1"/>
  <c r="K5130" i="1"/>
  <c r="H5131" i="1"/>
  <c r="I5131" i="1"/>
  <c r="J5131" i="1"/>
  <c r="K5131" i="1"/>
  <c r="H5132" i="1"/>
  <c r="I5132" i="1"/>
  <c r="J5132" i="1"/>
  <c r="K5132" i="1"/>
  <c r="H5133" i="1"/>
  <c r="I5133" i="1"/>
  <c r="J5133" i="1"/>
  <c r="K5133" i="1"/>
  <c r="H5134" i="1"/>
  <c r="I5134" i="1"/>
  <c r="J5134" i="1"/>
  <c r="K5134" i="1"/>
  <c r="H5135" i="1"/>
  <c r="I5135" i="1"/>
  <c r="J5135" i="1"/>
  <c r="K5135" i="1"/>
  <c r="H5136" i="1"/>
  <c r="I5136" i="1"/>
  <c r="J5136" i="1"/>
  <c r="K5136" i="1"/>
  <c r="H5137" i="1"/>
  <c r="I5137" i="1"/>
  <c r="J5137" i="1"/>
  <c r="K5137" i="1"/>
  <c r="H5138" i="1"/>
  <c r="I5138" i="1"/>
  <c r="J5138" i="1"/>
  <c r="K5138" i="1"/>
  <c r="H5139" i="1"/>
  <c r="I5139" i="1"/>
  <c r="J5139" i="1"/>
  <c r="K5139" i="1"/>
  <c r="H5140" i="1"/>
  <c r="I5140" i="1"/>
  <c r="J5140" i="1"/>
  <c r="K5140" i="1"/>
  <c r="H5141" i="1"/>
  <c r="I5141" i="1"/>
  <c r="J5141" i="1"/>
  <c r="K5141" i="1"/>
  <c r="H5142" i="1"/>
  <c r="I5142" i="1"/>
  <c r="J5142" i="1"/>
  <c r="K5142" i="1"/>
  <c r="H5143" i="1"/>
  <c r="I5143" i="1"/>
  <c r="J5143" i="1"/>
  <c r="K5143" i="1"/>
  <c r="H5144" i="1"/>
  <c r="I5144" i="1"/>
  <c r="J5144" i="1"/>
  <c r="K5144" i="1"/>
  <c r="H5145" i="1"/>
  <c r="I5145" i="1"/>
  <c r="J5145" i="1"/>
  <c r="K5145" i="1"/>
  <c r="H5146" i="1"/>
  <c r="I5146" i="1"/>
  <c r="J5146" i="1"/>
  <c r="K5146" i="1"/>
  <c r="H5147" i="1"/>
  <c r="I5147" i="1"/>
  <c r="J5147" i="1"/>
  <c r="K5147" i="1"/>
  <c r="H5148" i="1"/>
  <c r="I5148" i="1"/>
  <c r="J5148" i="1"/>
  <c r="K5148" i="1"/>
  <c r="H5149" i="1"/>
  <c r="I5149" i="1"/>
  <c r="J5149" i="1"/>
  <c r="K5149" i="1"/>
  <c r="H5150" i="1"/>
  <c r="I5150" i="1"/>
  <c r="J5150" i="1"/>
  <c r="K5150" i="1"/>
  <c r="H5151" i="1"/>
  <c r="I5151" i="1"/>
  <c r="J5151" i="1"/>
  <c r="K5151" i="1"/>
  <c r="H5152" i="1"/>
  <c r="I5152" i="1"/>
  <c r="J5152" i="1"/>
  <c r="K5152" i="1"/>
  <c r="H5153" i="1"/>
  <c r="I5153" i="1"/>
  <c r="J5153" i="1"/>
  <c r="K5153" i="1"/>
  <c r="H5154" i="1"/>
  <c r="I5154" i="1"/>
  <c r="J5154" i="1"/>
  <c r="K5154" i="1"/>
  <c r="H5155" i="1"/>
  <c r="I5155" i="1"/>
  <c r="J5155" i="1"/>
  <c r="K5155" i="1"/>
  <c r="H5156" i="1"/>
  <c r="I5156" i="1"/>
  <c r="J5156" i="1"/>
  <c r="K5156" i="1"/>
  <c r="H5157" i="1"/>
  <c r="I5157" i="1"/>
  <c r="J5157" i="1"/>
  <c r="K5157" i="1"/>
  <c r="H5158" i="1"/>
  <c r="I5158" i="1"/>
  <c r="J5158" i="1"/>
  <c r="K5158" i="1"/>
  <c r="H5159" i="1"/>
  <c r="I5159" i="1"/>
  <c r="J5159" i="1"/>
  <c r="K5159" i="1"/>
  <c r="H5160" i="1"/>
  <c r="I5160" i="1"/>
  <c r="J5160" i="1"/>
  <c r="K5160" i="1"/>
  <c r="H5161" i="1"/>
  <c r="I5161" i="1"/>
  <c r="J5161" i="1"/>
  <c r="K5161" i="1"/>
  <c r="H5162" i="1"/>
  <c r="I5162" i="1"/>
  <c r="J5162" i="1"/>
  <c r="K5162" i="1"/>
  <c r="H5163" i="1"/>
  <c r="I5163" i="1"/>
  <c r="J5163" i="1"/>
  <c r="K5163" i="1"/>
  <c r="H5164" i="1"/>
  <c r="I5164" i="1"/>
  <c r="J5164" i="1"/>
  <c r="K5164" i="1"/>
  <c r="H5165" i="1"/>
  <c r="I5165" i="1"/>
  <c r="J5165" i="1"/>
  <c r="K5165" i="1"/>
  <c r="H5166" i="1"/>
  <c r="I5166" i="1"/>
  <c r="J5166" i="1"/>
  <c r="K5166" i="1"/>
  <c r="H5167" i="1"/>
  <c r="I5167" i="1"/>
  <c r="J5167" i="1"/>
  <c r="K5167" i="1"/>
  <c r="H5168" i="1"/>
  <c r="I5168" i="1"/>
  <c r="J5168" i="1"/>
  <c r="K5168" i="1"/>
  <c r="H5169" i="1"/>
  <c r="I5169" i="1"/>
  <c r="J5169" i="1"/>
  <c r="K5169" i="1"/>
  <c r="H5170" i="1"/>
  <c r="I5170" i="1"/>
  <c r="J5170" i="1"/>
  <c r="K5170" i="1"/>
  <c r="H5171" i="1"/>
  <c r="I5171" i="1"/>
  <c r="J5171" i="1"/>
  <c r="K5171" i="1"/>
  <c r="H5172" i="1"/>
  <c r="I5172" i="1"/>
  <c r="J5172" i="1"/>
  <c r="K5172" i="1"/>
  <c r="H5173" i="1"/>
  <c r="I5173" i="1"/>
  <c r="J5173" i="1"/>
  <c r="K5173" i="1"/>
  <c r="H5174" i="1"/>
  <c r="I5174" i="1"/>
  <c r="J5174" i="1"/>
  <c r="K5174" i="1"/>
  <c r="H5175" i="1"/>
  <c r="I5175" i="1"/>
  <c r="J5175" i="1"/>
  <c r="K5175" i="1"/>
  <c r="H5176" i="1"/>
  <c r="I5176" i="1"/>
  <c r="J5176" i="1"/>
  <c r="K5176" i="1"/>
  <c r="H5177" i="1"/>
  <c r="I5177" i="1"/>
  <c r="J5177" i="1"/>
  <c r="K5177" i="1"/>
  <c r="H5178" i="1"/>
  <c r="I5178" i="1"/>
  <c r="J5178" i="1"/>
  <c r="K5178" i="1"/>
  <c r="H5179" i="1"/>
  <c r="I5179" i="1"/>
  <c r="J5179" i="1"/>
  <c r="K5179" i="1"/>
  <c r="H5180" i="1"/>
  <c r="I5180" i="1"/>
  <c r="J5180" i="1"/>
  <c r="K5180" i="1"/>
  <c r="H5181" i="1"/>
  <c r="I5181" i="1"/>
  <c r="J5181" i="1"/>
  <c r="K5181" i="1"/>
  <c r="H5182" i="1"/>
  <c r="I5182" i="1"/>
  <c r="J5182" i="1"/>
  <c r="K5182" i="1"/>
  <c r="H5183" i="1"/>
  <c r="I5183" i="1"/>
  <c r="J5183" i="1"/>
  <c r="K5183" i="1"/>
  <c r="H5184" i="1"/>
  <c r="I5184" i="1"/>
  <c r="J5184" i="1"/>
  <c r="K5184" i="1"/>
  <c r="H5185" i="1"/>
  <c r="I5185" i="1"/>
  <c r="J5185" i="1"/>
  <c r="K5185" i="1"/>
  <c r="H5186" i="1"/>
  <c r="I5186" i="1"/>
  <c r="J5186" i="1"/>
  <c r="K5186" i="1"/>
  <c r="H5187" i="1"/>
  <c r="I5187" i="1"/>
  <c r="J5187" i="1"/>
  <c r="K5187" i="1"/>
  <c r="H5188" i="1"/>
  <c r="I5188" i="1"/>
  <c r="J5188" i="1"/>
  <c r="K5188" i="1"/>
  <c r="H5189" i="1"/>
  <c r="I5189" i="1"/>
  <c r="J5189" i="1"/>
  <c r="K5189" i="1"/>
  <c r="H5190" i="1"/>
  <c r="I5190" i="1"/>
  <c r="J5190" i="1"/>
  <c r="K5190" i="1"/>
  <c r="H5191" i="1"/>
  <c r="I5191" i="1"/>
  <c r="J5191" i="1"/>
  <c r="K5191" i="1"/>
  <c r="H5192" i="1"/>
  <c r="I5192" i="1"/>
  <c r="J5192" i="1"/>
  <c r="K5192" i="1"/>
  <c r="H5193" i="1"/>
  <c r="I5193" i="1"/>
  <c r="J5193" i="1"/>
  <c r="K5193" i="1"/>
  <c r="H5194" i="1"/>
  <c r="I5194" i="1"/>
  <c r="J5194" i="1"/>
  <c r="K5194" i="1"/>
  <c r="H5195" i="1"/>
  <c r="I5195" i="1"/>
  <c r="J5195" i="1"/>
  <c r="K5195" i="1"/>
  <c r="H5196" i="1"/>
  <c r="I5196" i="1"/>
  <c r="J5196" i="1"/>
  <c r="K5196" i="1"/>
  <c r="H5197" i="1"/>
  <c r="I5197" i="1"/>
  <c r="J5197" i="1"/>
  <c r="K5197" i="1"/>
  <c r="H5198" i="1"/>
  <c r="I5198" i="1"/>
  <c r="J5198" i="1"/>
  <c r="K5198" i="1"/>
  <c r="H5199" i="1"/>
  <c r="I5199" i="1"/>
  <c r="J5199" i="1"/>
  <c r="K5199" i="1"/>
  <c r="H5200" i="1"/>
  <c r="I5200" i="1"/>
  <c r="J5200" i="1"/>
  <c r="K5200" i="1"/>
  <c r="H5201" i="1"/>
  <c r="I5201" i="1"/>
  <c r="J5201" i="1"/>
  <c r="K5201" i="1"/>
  <c r="H5202" i="1"/>
  <c r="I5202" i="1"/>
  <c r="J5202" i="1"/>
  <c r="K5202" i="1"/>
  <c r="H5203" i="1"/>
  <c r="I5203" i="1"/>
  <c r="J5203" i="1"/>
  <c r="K5203" i="1"/>
  <c r="H5204" i="1"/>
  <c r="I5204" i="1"/>
  <c r="J5204" i="1"/>
  <c r="K5204" i="1"/>
  <c r="H5205" i="1"/>
  <c r="I5205" i="1"/>
  <c r="J5205" i="1"/>
  <c r="K5205" i="1"/>
  <c r="H5206" i="1"/>
  <c r="I5206" i="1"/>
  <c r="J5206" i="1"/>
  <c r="K5206" i="1"/>
  <c r="H5207" i="1"/>
  <c r="I5207" i="1"/>
  <c r="J5207" i="1"/>
  <c r="K5207" i="1"/>
  <c r="H5208" i="1"/>
  <c r="I5208" i="1"/>
  <c r="J5208" i="1"/>
  <c r="K5208" i="1"/>
  <c r="H5209" i="1"/>
  <c r="I5209" i="1"/>
  <c r="J5209" i="1"/>
  <c r="K5209" i="1"/>
  <c r="H5210" i="1"/>
  <c r="I5210" i="1"/>
  <c r="J5210" i="1"/>
  <c r="K5210" i="1"/>
  <c r="H5211" i="1"/>
  <c r="I5211" i="1"/>
  <c r="J5211" i="1"/>
  <c r="K5211" i="1"/>
  <c r="H5212" i="1"/>
  <c r="I5212" i="1"/>
  <c r="J5212" i="1"/>
  <c r="K5212" i="1"/>
  <c r="H5213" i="1"/>
  <c r="I5213" i="1"/>
  <c r="J5213" i="1"/>
  <c r="K5213" i="1"/>
  <c r="H5214" i="1"/>
  <c r="I5214" i="1"/>
  <c r="J5214" i="1"/>
  <c r="K5214" i="1"/>
  <c r="H5215" i="1"/>
  <c r="I5215" i="1"/>
  <c r="J5215" i="1"/>
  <c r="K5215" i="1"/>
  <c r="H5216" i="1"/>
  <c r="I5216" i="1"/>
  <c r="J5216" i="1"/>
  <c r="K5216" i="1"/>
  <c r="H5217" i="1"/>
  <c r="I5217" i="1"/>
  <c r="J5217" i="1"/>
  <c r="K5217" i="1"/>
  <c r="H5218" i="1"/>
  <c r="I5218" i="1"/>
  <c r="J5218" i="1"/>
  <c r="K5218" i="1"/>
  <c r="H5219" i="1"/>
  <c r="I5219" i="1"/>
  <c r="J5219" i="1"/>
  <c r="K5219" i="1"/>
  <c r="H5220" i="1"/>
  <c r="I5220" i="1"/>
  <c r="J5220" i="1"/>
  <c r="K5220" i="1"/>
  <c r="H5221" i="1"/>
  <c r="I5221" i="1"/>
  <c r="J5221" i="1"/>
  <c r="K5221" i="1"/>
  <c r="H5222" i="1"/>
  <c r="I5222" i="1"/>
  <c r="J5222" i="1"/>
  <c r="K5222" i="1"/>
  <c r="H5223" i="1"/>
  <c r="I5223" i="1"/>
  <c r="J5223" i="1"/>
  <c r="K5223" i="1"/>
  <c r="H5224" i="1"/>
  <c r="I5224" i="1"/>
  <c r="J5224" i="1"/>
  <c r="K5224" i="1"/>
  <c r="H5225" i="1"/>
  <c r="I5225" i="1"/>
  <c r="J5225" i="1"/>
  <c r="K5225" i="1"/>
  <c r="H5226" i="1"/>
  <c r="I5226" i="1"/>
  <c r="J5226" i="1"/>
  <c r="K5226" i="1"/>
  <c r="H5227" i="1"/>
  <c r="I5227" i="1"/>
  <c r="J5227" i="1"/>
  <c r="K5227" i="1"/>
  <c r="H5228" i="1"/>
  <c r="I5228" i="1"/>
  <c r="J5228" i="1"/>
  <c r="K5228" i="1"/>
  <c r="H5229" i="1"/>
  <c r="I5229" i="1"/>
  <c r="J5229" i="1"/>
  <c r="K5229" i="1"/>
  <c r="H5230" i="1"/>
  <c r="I5230" i="1"/>
  <c r="J5230" i="1"/>
  <c r="K5230" i="1"/>
  <c r="H5231" i="1"/>
  <c r="I5231" i="1"/>
  <c r="J5231" i="1"/>
  <c r="K5231" i="1"/>
  <c r="H5232" i="1"/>
  <c r="I5232" i="1"/>
  <c r="J5232" i="1"/>
  <c r="K5232" i="1"/>
  <c r="H5233" i="1"/>
  <c r="I5233" i="1"/>
  <c r="J5233" i="1"/>
  <c r="K5233" i="1"/>
  <c r="H5234" i="1"/>
  <c r="I5234" i="1"/>
  <c r="J5234" i="1"/>
  <c r="K5234" i="1"/>
  <c r="H5235" i="1"/>
  <c r="I5235" i="1"/>
  <c r="J5235" i="1"/>
  <c r="K5235" i="1"/>
  <c r="H5236" i="1"/>
  <c r="I5236" i="1"/>
  <c r="J5236" i="1"/>
  <c r="K5236" i="1"/>
  <c r="H5237" i="1"/>
  <c r="I5237" i="1"/>
  <c r="J5237" i="1"/>
  <c r="K5237" i="1"/>
  <c r="H5238" i="1"/>
  <c r="I5238" i="1"/>
  <c r="J5238" i="1"/>
  <c r="K5238" i="1"/>
  <c r="H5239" i="1"/>
  <c r="I5239" i="1"/>
  <c r="J5239" i="1"/>
  <c r="K5239" i="1"/>
  <c r="H5240" i="1"/>
  <c r="I5240" i="1"/>
  <c r="J5240" i="1"/>
  <c r="K5240" i="1"/>
  <c r="H5241" i="1"/>
  <c r="I5241" i="1"/>
  <c r="J5241" i="1"/>
  <c r="K5241" i="1"/>
  <c r="H5242" i="1"/>
  <c r="I5242" i="1"/>
  <c r="J5242" i="1"/>
  <c r="K5242" i="1"/>
  <c r="H5243" i="1"/>
  <c r="I5243" i="1"/>
  <c r="J5243" i="1"/>
  <c r="K5243" i="1"/>
  <c r="H5244" i="1"/>
  <c r="I5244" i="1"/>
  <c r="J5244" i="1"/>
  <c r="K5244" i="1"/>
  <c r="H5245" i="1"/>
  <c r="I5245" i="1"/>
  <c r="J5245" i="1"/>
  <c r="K5245" i="1"/>
  <c r="H5246" i="1"/>
  <c r="I5246" i="1"/>
  <c r="J5246" i="1"/>
  <c r="K5246" i="1"/>
  <c r="H5247" i="1"/>
  <c r="I5247" i="1"/>
  <c r="J5247" i="1"/>
  <c r="K5247" i="1"/>
  <c r="H5248" i="1"/>
  <c r="I5248" i="1"/>
  <c r="J5248" i="1"/>
  <c r="K5248" i="1"/>
  <c r="H5249" i="1"/>
  <c r="I5249" i="1"/>
  <c r="J5249" i="1"/>
  <c r="K5249" i="1"/>
  <c r="H5250" i="1"/>
  <c r="I5250" i="1"/>
  <c r="J5250" i="1"/>
  <c r="K5250" i="1"/>
  <c r="H5251" i="1"/>
  <c r="I5251" i="1"/>
  <c r="J5251" i="1"/>
  <c r="K5251" i="1"/>
  <c r="H5252" i="1"/>
  <c r="I5252" i="1"/>
  <c r="J5252" i="1"/>
  <c r="K5252" i="1"/>
  <c r="H5253" i="1"/>
  <c r="I5253" i="1"/>
  <c r="J5253" i="1"/>
  <c r="K5253" i="1"/>
  <c r="H5254" i="1"/>
  <c r="I5254" i="1"/>
  <c r="J5254" i="1"/>
  <c r="K5254" i="1"/>
  <c r="H5255" i="1"/>
  <c r="I5255" i="1"/>
  <c r="J5255" i="1"/>
  <c r="K5255" i="1"/>
  <c r="H5256" i="1"/>
  <c r="I5256" i="1"/>
  <c r="J5256" i="1"/>
  <c r="K5256" i="1"/>
  <c r="H5257" i="1"/>
  <c r="I5257" i="1"/>
  <c r="J5257" i="1"/>
  <c r="K5257" i="1"/>
  <c r="H5258" i="1"/>
  <c r="I5258" i="1"/>
  <c r="J5258" i="1"/>
  <c r="K5258" i="1"/>
  <c r="H5259" i="1"/>
  <c r="I5259" i="1"/>
  <c r="J5259" i="1"/>
  <c r="K5259" i="1"/>
  <c r="H5260" i="1"/>
  <c r="I5260" i="1"/>
  <c r="J5260" i="1"/>
  <c r="K5260" i="1"/>
  <c r="H5261" i="1"/>
  <c r="I5261" i="1"/>
  <c r="J5261" i="1"/>
  <c r="K5261" i="1"/>
  <c r="H5262" i="1"/>
  <c r="I5262" i="1"/>
  <c r="J5262" i="1"/>
  <c r="K5262" i="1"/>
  <c r="H5263" i="1"/>
  <c r="I5263" i="1"/>
  <c r="J5263" i="1"/>
  <c r="K5263" i="1"/>
  <c r="H5264" i="1"/>
  <c r="I5264" i="1"/>
  <c r="J5264" i="1"/>
  <c r="K5264" i="1"/>
  <c r="H5265" i="1"/>
  <c r="I5265" i="1"/>
  <c r="J5265" i="1"/>
  <c r="K5265" i="1"/>
  <c r="H5266" i="1"/>
  <c r="I5266" i="1"/>
  <c r="J5266" i="1"/>
  <c r="K5266" i="1"/>
  <c r="H5267" i="1"/>
  <c r="I5267" i="1"/>
  <c r="J5267" i="1"/>
  <c r="K5267" i="1"/>
  <c r="H5268" i="1"/>
  <c r="I5268" i="1"/>
  <c r="J5268" i="1"/>
  <c r="K5268" i="1"/>
  <c r="H5269" i="1"/>
  <c r="I5269" i="1"/>
  <c r="J5269" i="1"/>
  <c r="K5269" i="1"/>
  <c r="H5270" i="1"/>
  <c r="I5270" i="1"/>
  <c r="J5270" i="1"/>
  <c r="K5270" i="1"/>
  <c r="H5271" i="1"/>
  <c r="I5271" i="1"/>
  <c r="J5271" i="1"/>
  <c r="K5271" i="1"/>
  <c r="H5272" i="1"/>
  <c r="I5272" i="1"/>
  <c r="J5272" i="1"/>
  <c r="K5272" i="1"/>
  <c r="H5273" i="1"/>
  <c r="I5273" i="1"/>
  <c r="J5273" i="1"/>
  <c r="K5273" i="1"/>
  <c r="H5274" i="1"/>
  <c r="I5274" i="1"/>
  <c r="J5274" i="1"/>
  <c r="K5274" i="1"/>
  <c r="H5275" i="1"/>
  <c r="I5275" i="1"/>
  <c r="J5275" i="1"/>
  <c r="K5275" i="1"/>
  <c r="H5276" i="1"/>
  <c r="I5276" i="1"/>
  <c r="J5276" i="1"/>
  <c r="K5276" i="1"/>
  <c r="H5277" i="1"/>
  <c r="I5277" i="1"/>
  <c r="J5277" i="1"/>
  <c r="K5277" i="1"/>
  <c r="H5278" i="1"/>
  <c r="I5278" i="1"/>
  <c r="J5278" i="1"/>
  <c r="K5278" i="1"/>
  <c r="H5279" i="1"/>
  <c r="I5279" i="1"/>
  <c r="J5279" i="1"/>
  <c r="K5279" i="1"/>
  <c r="H5280" i="1"/>
  <c r="I5280" i="1"/>
  <c r="J5280" i="1"/>
  <c r="K5280" i="1"/>
  <c r="H5281" i="1"/>
  <c r="I5281" i="1"/>
  <c r="J5281" i="1"/>
  <c r="K5281" i="1"/>
  <c r="H5282" i="1"/>
  <c r="I5282" i="1"/>
  <c r="J5282" i="1"/>
  <c r="K5282" i="1"/>
  <c r="H5283" i="1"/>
  <c r="I5283" i="1"/>
  <c r="J5283" i="1"/>
  <c r="K5283" i="1"/>
  <c r="H5284" i="1"/>
  <c r="I5284" i="1"/>
  <c r="J5284" i="1"/>
  <c r="K5284" i="1"/>
  <c r="H5285" i="1"/>
  <c r="I5285" i="1"/>
  <c r="J5285" i="1"/>
  <c r="K5285" i="1"/>
  <c r="H5286" i="1"/>
  <c r="I5286" i="1"/>
  <c r="J5286" i="1"/>
  <c r="K5286" i="1"/>
  <c r="H5287" i="1"/>
  <c r="I5287" i="1"/>
  <c r="J5287" i="1"/>
  <c r="K5287" i="1"/>
  <c r="H5288" i="1"/>
  <c r="I5288" i="1"/>
  <c r="J5288" i="1"/>
  <c r="K5288" i="1"/>
  <c r="H5289" i="1"/>
  <c r="I5289" i="1"/>
  <c r="J5289" i="1"/>
  <c r="K5289" i="1"/>
  <c r="H5290" i="1"/>
  <c r="I5290" i="1"/>
  <c r="J5290" i="1"/>
  <c r="K5290" i="1"/>
  <c r="H5291" i="1"/>
  <c r="I5291" i="1"/>
  <c r="J5291" i="1"/>
  <c r="K5291" i="1"/>
  <c r="H5292" i="1"/>
  <c r="I5292" i="1"/>
  <c r="J5292" i="1"/>
  <c r="K5292" i="1"/>
  <c r="H5293" i="1"/>
  <c r="I5293" i="1"/>
  <c r="J5293" i="1"/>
  <c r="K5293" i="1"/>
  <c r="H5294" i="1"/>
  <c r="I5294" i="1"/>
  <c r="J5294" i="1"/>
  <c r="K5294" i="1"/>
  <c r="H5295" i="1"/>
  <c r="I5295" i="1"/>
  <c r="J5295" i="1"/>
  <c r="K5295" i="1"/>
  <c r="H5296" i="1"/>
  <c r="I5296" i="1"/>
  <c r="J5296" i="1"/>
  <c r="K5296" i="1"/>
  <c r="H5297" i="1"/>
  <c r="I5297" i="1"/>
  <c r="J5297" i="1"/>
  <c r="K5297" i="1"/>
  <c r="H5298" i="1"/>
  <c r="I5298" i="1"/>
  <c r="J5298" i="1"/>
  <c r="K5298" i="1"/>
  <c r="H5299" i="1"/>
  <c r="I5299" i="1"/>
  <c r="J5299" i="1"/>
  <c r="K5299" i="1"/>
  <c r="H5300" i="1"/>
  <c r="I5300" i="1"/>
  <c r="J5300" i="1"/>
  <c r="K5300" i="1"/>
  <c r="H5301" i="1"/>
  <c r="I5301" i="1"/>
  <c r="J5301" i="1"/>
  <c r="K5301" i="1"/>
  <c r="H5302" i="1"/>
  <c r="I5302" i="1"/>
  <c r="J5302" i="1"/>
  <c r="K5302" i="1"/>
  <c r="H5303" i="1"/>
  <c r="I5303" i="1"/>
  <c r="J5303" i="1"/>
  <c r="K5303" i="1"/>
  <c r="H5304" i="1"/>
  <c r="I5304" i="1"/>
  <c r="J5304" i="1"/>
  <c r="K5304" i="1"/>
  <c r="H5305" i="1"/>
  <c r="I5305" i="1"/>
  <c r="J5305" i="1"/>
  <c r="K5305" i="1"/>
  <c r="H5306" i="1"/>
  <c r="I5306" i="1"/>
  <c r="J5306" i="1"/>
  <c r="K5306" i="1"/>
  <c r="H5307" i="1"/>
  <c r="I5307" i="1"/>
  <c r="J5307" i="1"/>
  <c r="K5307" i="1"/>
  <c r="H5308" i="1"/>
  <c r="I5308" i="1"/>
  <c r="J5308" i="1"/>
  <c r="K5308" i="1"/>
  <c r="H5309" i="1"/>
  <c r="I5309" i="1"/>
  <c r="J5309" i="1"/>
  <c r="K5309" i="1"/>
  <c r="H5310" i="1"/>
  <c r="I5310" i="1"/>
  <c r="J5310" i="1"/>
  <c r="K5310" i="1"/>
  <c r="H5311" i="1"/>
  <c r="I5311" i="1"/>
  <c r="J5311" i="1"/>
  <c r="K5311" i="1"/>
  <c r="H5312" i="1"/>
  <c r="I5312" i="1"/>
  <c r="J5312" i="1"/>
  <c r="K5312" i="1"/>
  <c r="H5313" i="1"/>
  <c r="I5313" i="1"/>
  <c r="J5313" i="1"/>
  <c r="K5313" i="1"/>
  <c r="H5314" i="1"/>
  <c r="I5314" i="1"/>
  <c r="J5314" i="1"/>
  <c r="K5314" i="1"/>
  <c r="H5315" i="1"/>
  <c r="I5315" i="1"/>
  <c r="J5315" i="1"/>
  <c r="K5315" i="1"/>
  <c r="H5316" i="1"/>
  <c r="I5316" i="1"/>
  <c r="J5316" i="1"/>
  <c r="K5316" i="1"/>
  <c r="H5317" i="1"/>
  <c r="I5317" i="1"/>
  <c r="J5317" i="1"/>
  <c r="K5317" i="1"/>
  <c r="H5318" i="1"/>
  <c r="I5318" i="1"/>
  <c r="J5318" i="1"/>
  <c r="K5318" i="1"/>
  <c r="H5319" i="1"/>
  <c r="I5319" i="1"/>
  <c r="J5319" i="1"/>
  <c r="K5319" i="1"/>
  <c r="H5320" i="1"/>
  <c r="I5320" i="1"/>
  <c r="J5320" i="1"/>
  <c r="K5320" i="1"/>
  <c r="H5321" i="1"/>
  <c r="I5321" i="1"/>
  <c r="J5321" i="1"/>
  <c r="K5321" i="1"/>
  <c r="H5322" i="1"/>
  <c r="I5322" i="1"/>
  <c r="J5322" i="1"/>
  <c r="K5322" i="1"/>
  <c r="H5323" i="1"/>
  <c r="I5323" i="1"/>
  <c r="J5323" i="1"/>
  <c r="K5323" i="1"/>
  <c r="H5324" i="1"/>
  <c r="I5324" i="1"/>
  <c r="J5324" i="1"/>
  <c r="K5324" i="1"/>
  <c r="H5325" i="1"/>
  <c r="I5325" i="1"/>
  <c r="J5325" i="1"/>
  <c r="K5325" i="1"/>
  <c r="H5326" i="1"/>
  <c r="I5326" i="1"/>
  <c r="J5326" i="1"/>
  <c r="K5326" i="1"/>
  <c r="H5327" i="1"/>
  <c r="I5327" i="1"/>
  <c r="J5327" i="1"/>
  <c r="K5327" i="1"/>
  <c r="H5328" i="1"/>
  <c r="I5328" i="1"/>
  <c r="J5328" i="1"/>
  <c r="K5328" i="1"/>
  <c r="H5329" i="1"/>
  <c r="I5329" i="1"/>
  <c r="J5329" i="1"/>
  <c r="K5329" i="1"/>
  <c r="H5330" i="1"/>
  <c r="I5330" i="1"/>
  <c r="J5330" i="1"/>
  <c r="K5330" i="1"/>
  <c r="H5331" i="1"/>
  <c r="I5331" i="1"/>
  <c r="J5331" i="1"/>
  <c r="K5331" i="1"/>
  <c r="H5332" i="1"/>
  <c r="I5332" i="1"/>
  <c r="J5332" i="1"/>
  <c r="K5332" i="1"/>
  <c r="H5333" i="1"/>
  <c r="I5333" i="1"/>
  <c r="J5333" i="1"/>
  <c r="K5333" i="1"/>
  <c r="H5334" i="1"/>
  <c r="I5334" i="1"/>
  <c r="J5334" i="1"/>
  <c r="K5334" i="1"/>
  <c r="H5335" i="1"/>
  <c r="I5335" i="1"/>
  <c r="J5335" i="1"/>
  <c r="K5335" i="1"/>
  <c r="H5336" i="1"/>
  <c r="I5336" i="1"/>
  <c r="J5336" i="1"/>
  <c r="K5336" i="1"/>
  <c r="H5337" i="1"/>
  <c r="I5337" i="1"/>
  <c r="J5337" i="1"/>
  <c r="K5337" i="1"/>
  <c r="H5338" i="1"/>
  <c r="I5338" i="1"/>
  <c r="J5338" i="1"/>
  <c r="K5338" i="1"/>
  <c r="H5339" i="1"/>
  <c r="I5339" i="1"/>
  <c r="J5339" i="1"/>
  <c r="K5339" i="1"/>
  <c r="H5340" i="1"/>
  <c r="I5340" i="1"/>
  <c r="J5340" i="1"/>
  <c r="K5340" i="1"/>
  <c r="H5341" i="1"/>
  <c r="I5341" i="1"/>
  <c r="J5341" i="1"/>
  <c r="K5341" i="1"/>
  <c r="H5342" i="1"/>
  <c r="I5342" i="1"/>
  <c r="J5342" i="1"/>
  <c r="K5342" i="1"/>
  <c r="H5343" i="1"/>
  <c r="I5343" i="1"/>
  <c r="J5343" i="1"/>
  <c r="K5343" i="1"/>
  <c r="H5344" i="1"/>
  <c r="I5344" i="1"/>
  <c r="J5344" i="1"/>
  <c r="K5344" i="1"/>
  <c r="H5345" i="1"/>
  <c r="I5345" i="1"/>
  <c r="J5345" i="1"/>
  <c r="K5345" i="1"/>
  <c r="H5346" i="1"/>
  <c r="I5346" i="1"/>
  <c r="J5346" i="1"/>
  <c r="K5346" i="1"/>
  <c r="H5347" i="1"/>
  <c r="I5347" i="1"/>
  <c r="J5347" i="1"/>
  <c r="K5347" i="1"/>
  <c r="H5348" i="1"/>
  <c r="I5348" i="1"/>
  <c r="J5348" i="1"/>
  <c r="K5348" i="1"/>
  <c r="H5349" i="1"/>
  <c r="I5349" i="1"/>
  <c r="J5349" i="1"/>
  <c r="K5349" i="1"/>
  <c r="H5350" i="1"/>
  <c r="I5350" i="1"/>
  <c r="J5350" i="1"/>
  <c r="K5350" i="1"/>
  <c r="H5351" i="1"/>
  <c r="I5351" i="1"/>
  <c r="J5351" i="1"/>
  <c r="K5351" i="1"/>
  <c r="H5352" i="1"/>
  <c r="I5352" i="1"/>
  <c r="J5352" i="1"/>
  <c r="K5352" i="1"/>
  <c r="H5353" i="1"/>
  <c r="I5353" i="1"/>
  <c r="J5353" i="1"/>
  <c r="K5353" i="1"/>
  <c r="H5354" i="1"/>
  <c r="I5354" i="1"/>
  <c r="J5354" i="1"/>
  <c r="K5354" i="1"/>
  <c r="H5355" i="1"/>
  <c r="I5355" i="1"/>
  <c r="J5355" i="1"/>
  <c r="K5355" i="1"/>
  <c r="H5356" i="1"/>
  <c r="I5356" i="1"/>
  <c r="J5356" i="1"/>
  <c r="K5356" i="1"/>
  <c r="H5357" i="1"/>
  <c r="I5357" i="1"/>
  <c r="J5357" i="1"/>
  <c r="K5357" i="1"/>
  <c r="H5358" i="1"/>
  <c r="I5358" i="1"/>
  <c r="J5358" i="1"/>
  <c r="K5358" i="1"/>
  <c r="H5359" i="1"/>
  <c r="I5359" i="1"/>
  <c r="J5359" i="1"/>
  <c r="K5359" i="1"/>
  <c r="H5360" i="1"/>
  <c r="I5360" i="1"/>
  <c r="J5360" i="1"/>
  <c r="K5360" i="1"/>
  <c r="H5361" i="1"/>
  <c r="I5361" i="1"/>
  <c r="J5361" i="1"/>
  <c r="K5361" i="1"/>
  <c r="H5362" i="1"/>
  <c r="I5362" i="1"/>
  <c r="J5362" i="1"/>
  <c r="K5362" i="1"/>
  <c r="H5363" i="1"/>
  <c r="I5363" i="1"/>
  <c r="J5363" i="1"/>
  <c r="K5363" i="1"/>
  <c r="H5364" i="1"/>
  <c r="I5364" i="1"/>
  <c r="J5364" i="1"/>
  <c r="K5364" i="1"/>
  <c r="H5365" i="1"/>
  <c r="I5365" i="1"/>
  <c r="J5365" i="1"/>
  <c r="K5365" i="1"/>
  <c r="H5366" i="1"/>
  <c r="I5366" i="1"/>
  <c r="J5366" i="1"/>
  <c r="K5366" i="1"/>
  <c r="H5367" i="1"/>
  <c r="I5367" i="1"/>
  <c r="J5367" i="1"/>
  <c r="K5367" i="1"/>
  <c r="H5368" i="1"/>
  <c r="I5368" i="1"/>
  <c r="J5368" i="1"/>
  <c r="K5368" i="1"/>
  <c r="H5369" i="1"/>
  <c r="I5369" i="1"/>
  <c r="J5369" i="1"/>
  <c r="K5369" i="1"/>
  <c r="H5370" i="1"/>
  <c r="I5370" i="1"/>
  <c r="J5370" i="1"/>
  <c r="K5370" i="1"/>
  <c r="H5371" i="1"/>
  <c r="I5371" i="1"/>
  <c r="J5371" i="1"/>
  <c r="K5371" i="1"/>
  <c r="H5372" i="1"/>
  <c r="I5372" i="1"/>
  <c r="J5372" i="1"/>
  <c r="K5372" i="1"/>
  <c r="H5373" i="1"/>
  <c r="I5373" i="1"/>
  <c r="J5373" i="1"/>
  <c r="K5373" i="1"/>
  <c r="H5374" i="1"/>
  <c r="I5374" i="1"/>
  <c r="J5374" i="1"/>
  <c r="K5374" i="1"/>
  <c r="H5375" i="1"/>
  <c r="I5375" i="1"/>
  <c r="J5375" i="1"/>
  <c r="K5375" i="1"/>
  <c r="H5376" i="1"/>
  <c r="I5376" i="1"/>
  <c r="J5376" i="1"/>
  <c r="K5376" i="1"/>
  <c r="H5377" i="1"/>
  <c r="I5377" i="1"/>
  <c r="J5377" i="1"/>
  <c r="K5377" i="1"/>
  <c r="H5378" i="1"/>
  <c r="I5378" i="1"/>
  <c r="J5378" i="1"/>
  <c r="K5378" i="1"/>
  <c r="H5379" i="1"/>
  <c r="I5379" i="1"/>
  <c r="J5379" i="1"/>
  <c r="K5379" i="1"/>
  <c r="H5380" i="1"/>
  <c r="I5380" i="1"/>
  <c r="J5380" i="1"/>
  <c r="K5380" i="1"/>
  <c r="H5381" i="1"/>
  <c r="I5381" i="1"/>
  <c r="J5381" i="1"/>
  <c r="K5381" i="1"/>
  <c r="H5382" i="1"/>
  <c r="I5382" i="1"/>
  <c r="J5382" i="1"/>
  <c r="K5382" i="1"/>
  <c r="H5383" i="1"/>
  <c r="I5383" i="1"/>
  <c r="J5383" i="1"/>
  <c r="K5383" i="1"/>
  <c r="H5384" i="1"/>
  <c r="I5384" i="1"/>
  <c r="J5384" i="1"/>
  <c r="K5384" i="1"/>
  <c r="H5385" i="1"/>
  <c r="I5385" i="1"/>
  <c r="J5385" i="1"/>
  <c r="K5385" i="1"/>
  <c r="H5386" i="1"/>
  <c r="I5386" i="1"/>
  <c r="J5386" i="1"/>
  <c r="K5386" i="1"/>
  <c r="H5387" i="1"/>
  <c r="I5387" i="1"/>
  <c r="J5387" i="1"/>
  <c r="K5387" i="1"/>
  <c r="H5388" i="1"/>
  <c r="I5388" i="1"/>
  <c r="J5388" i="1"/>
  <c r="K5388" i="1"/>
  <c r="H5389" i="1"/>
  <c r="I5389" i="1"/>
  <c r="J5389" i="1"/>
  <c r="K5389" i="1"/>
  <c r="H5390" i="1"/>
  <c r="I5390" i="1"/>
  <c r="J5390" i="1"/>
  <c r="K5390" i="1"/>
  <c r="H5391" i="1"/>
  <c r="I5391" i="1"/>
  <c r="J5391" i="1"/>
  <c r="K5391" i="1"/>
  <c r="H5392" i="1"/>
  <c r="I5392" i="1"/>
  <c r="J5392" i="1"/>
  <c r="K5392" i="1"/>
  <c r="H5393" i="1"/>
  <c r="I5393" i="1"/>
  <c r="J5393" i="1"/>
  <c r="K5393" i="1"/>
  <c r="H5394" i="1"/>
  <c r="I5394" i="1"/>
  <c r="J5394" i="1"/>
  <c r="K5394" i="1"/>
  <c r="H5395" i="1"/>
  <c r="I5395" i="1"/>
  <c r="J5395" i="1"/>
  <c r="K5395" i="1"/>
  <c r="H5396" i="1"/>
  <c r="I5396" i="1"/>
  <c r="J5396" i="1"/>
  <c r="K5396" i="1"/>
  <c r="H5397" i="1"/>
  <c r="I5397" i="1"/>
  <c r="J5397" i="1"/>
  <c r="K5397" i="1"/>
  <c r="H5398" i="1"/>
  <c r="I5398" i="1"/>
  <c r="J5398" i="1"/>
  <c r="K5398" i="1"/>
  <c r="H5399" i="1"/>
  <c r="I5399" i="1"/>
  <c r="J5399" i="1"/>
  <c r="K5399" i="1"/>
  <c r="H5400" i="1"/>
  <c r="I5400" i="1"/>
  <c r="J5400" i="1"/>
  <c r="K5400" i="1"/>
  <c r="H5401" i="1"/>
  <c r="I5401" i="1"/>
  <c r="J5401" i="1"/>
  <c r="K5401" i="1"/>
  <c r="H5402" i="1"/>
  <c r="I5402" i="1"/>
  <c r="J5402" i="1"/>
  <c r="K5402" i="1"/>
  <c r="H5403" i="1"/>
  <c r="I5403" i="1"/>
  <c r="J5403" i="1"/>
  <c r="K5403" i="1"/>
  <c r="H5404" i="1"/>
  <c r="I5404" i="1"/>
  <c r="J5404" i="1"/>
  <c r="K5404" i="1"/>
  <c r="H5405" i="1"/>
  <c r="I5405" i="1"/>
  <c r="J5405" i="1"/>
  <c r="K5405" i="1"/>
  <c r="H5406" i="1"/>
  <c r="I5406" i="1"/>
  <c r="J5406" i="1"/>
  <c r="K5406" i="1"/>
  <c r="H5407" i="1"/>
  <c r="I5407" i="1"/>
  <c r="J5407" i="1"/>
  <c r="K5407" i="1"/>
  <c r="H5408" i="1"/>
  <c r="I5408" i="1"/>
  <c r="J5408" i="1"/>
  <c r="K5408" i="1"/>
  <c r="H5409" i="1"/>
  <c r="I5409" i="1"/>
  <c r="J5409" i="1"/>
  <c r="K5409" i="1"/>
  <c r="H5410" i="1"/>
  <c r="I5410" i="1"/>
  <c r="J5410" i="1"/>
  <c r="K5410" i="1"/>
  <c r="H5411" i="1"/>
  <c r="I5411" i="1"/>
  <c r="J5411" i="1"/>
  <c r="K5411" i="1"/>
  <c r="H5412" i="1"/>
  <c r="I5412" i="1"/>
  <c r="J5412" i="1"/>
  <c r="K5412" i="1"/>
  <c r="H5413" i="1"/>
  <c r="I5413" i="1"/>
  <c r="J5413" i="1"/>
  <c r="K5413" i="1"/>
  <c r="H5414" i="1"/>
  <c r="I5414" i="1"/>
  <c r="J5414" i="1"/>
  <c r="K5414" i="1"/>
  <c r="H5415" i="1"/>
  <c r="I5415" i="1"/>
  <c r="J5415" i="1"/>
  <c r="K5415" i="1"/>
  <c r="H5416" i="1"/>
  <c r="I5416" i="1"/>
  <c r="J5416" i="1"/>
  <c r="K5416" i="1"/>
  <c r="H5417" i="1"/>
  <c r="I5417" i="1"/>
  <c r="J5417" i="1"/>
  <c r="K5417" i="1"/>
  <c r="H5418" i="1"/>
  <c r="I5418" i="1"/>
  <c r="J5418" i="1"/>
  <c r="K5418" i="1"/>
  <c r="H5419" i="1"/>
  <c r="I5419" i="1"/>
  <c r="J5419" i="1"/>
  <c r="K5419" i="1"/>
  <c r="H5420" i="1"/>
  <c r="I5420" i="1"/>
  <c r="J5420" i="1"/>
  <c r="K5420" i="1"/>
  <c r="H5421" i="1"/>
  <c r="I5421" i="1"/>
  <c r="J5421" i="1"/>
  <c r="K5421" i="1"/>
  <c r="H5422" i="1"/>
  <c r="I5422" i="1"/>
  <c r="J5422" i="1"/>
  <c r="K5422" i="1"/>
  <c r="H5423" i="1"/>
  <c r="I5423" i="1"/>
  <c r="J5423" i="1"/>
  <c r="K5423" i="1"/>
  <c r="H5424" i="1"/>
  <c r="I5424" i="1"/>
  <c r="J5424" i="1"/>
  <c r="K5424" i="1"/>
  <c r="H5425" i="1"/>
  <c r="I5425" i="1"/>
  <c r="J5425" i="1"/>
  <c r="K5425" i="1"/>
  <c r="H5426" i="1"/>
  <c r="I5426" i="1"/>
  <c r="J5426" i="1"/>
  <c r="K5426" i="1"/>
  <c r="H5427" i="1"/>
  <c r="I5427" i="1"/>
  <c r="J5427" i="1"/>
  <c r="K5427" i="1"/>
  <c r="H5428" i="1"/>
  <c r="I5428" i="1"/>
  <c r="J5428" i="1"/>
  <c r="K5428" i="1"/>
  <c r="H5429" i="1"/>
  <c r="I5429" i="1"/>
  <c r="J5429" i="1"/>
  <c r="K5429" i="1"/>
  <c r="H5430" i="1"/>
  <c r="I5430" i="1"/>
  <c r="J5430" i="1"/>
  <c r="K5430" i="1"/>
  <c r="H5431" i="1"/>
  <c r="I5431" i="1"/>
  <c r="J5431" i="1"/>
  <c r="K5431" i="1"/>
  <c r="H5432" i="1"/>
  <c r="I5432" i="1"/>
  <c r="J5432" i="1"/>
  <c r="K5432" i="1"/>
  <c r="H5433" i="1"/>
  <c r="I5433" i="1"/>
  <c r="J5433" i="1"/>
  <c r="K5433" i="1"/>
  <c r="H5434" i="1"/>
  <c r="I5434" i="1"/>
  <c r="J5434" i="1"/>
  <c r="K5434" i="1"/>
  <c r="H5435" i="1"/>
  <c r="I5435" i="1"/>
  <c r="J5435" i="1"/>
  <c r="K5435" i="1"/>
  <c r="H5436" i="1"/>
  <c r="I5436" i="1"/>
  <c r="J5436" i="1"/>
  <c r="K5436" i="1"/>
  <c r="H5437" i="1"/>
  <c r="I5437" i="1"/>
  <c r="J5437" i="1"/>
  <c r="K5437" i="1"/>
  <c r="H5438" i="1"/>
  <c r="I5438" i="1"/>
  <c r="J5438" i="1"/>
  <c r="K5438" i="1"/>
  <c r="H5439" i="1"/>
  <c r="I5439" i="1"/>
  <c r="J5439" i="1"/>
  <c r="K5439" i="1"/>
  <c r="H5440" i="1"/>
  <c r="I5440" i="1"/>
  <c r="J5440" i="1"/>
  <c r="K5440" i="1"/>
  <c r="H5441" i="1"/>
  <c r="I5441" i="1"/>
  <c r="J5441" i="1"/>
  <c r="K5441" i="1"/>
  <c r="H5442" i="1"/>
  <c r="I5442" i="1"/>
  <c r="J5442" i="1"/>
  <c r="K5442" i="1"/>
  <c r="H5443" i="1"/>
  <c r="I5443" i="1"/>
  <c r="J5443" i="1"/>
  <c r="K5443" i="1"/>
  <c r="H5444" i="1"/>
  <c r="I5444" i="1"/>
  <c r="J5444" i="1"/>
  <c r="K5444" i="1"/>
  <c r="H5445" i="1"/>
  <c r="I5445" i="1"/>
  <c r="J5445" i="1"/>
  <c r="K5445" i="1"/>
  <c r="H5446" i="1"/>
  <c r="I5446" i="1"/>
  <c r="J5446" i="1"/>
  <c r="K5446" i="1"/>
  <c r="H5447" i="1"/>
  <c r="I5447" i="1"/>
  <c r="J5447" i="1"/>
  <c r="K5447" i="1"/>
  <c r="H5448" i="1"/>
  <c r="I5448" i="1"/>
  <c r="J5448" i="1"/>
  <c r="K5448" i="1"/>
  <c r="H5449" i="1"/>
  <c r="I5449" i="1"/>
  <c r="J5449" i="1"/>
  <c r="K5449" i="1"/>
  <c r="H5450" i="1"/>
  <c r="I5450" i="1"/>
  <c r="J5450" i="1"/>
  <c r="K5450" i="1"/>
  <c r="H5451" i="1"/>
  <c r="I5451" i="1"/>
  <c r="J5451" i="1"/>
  <c r="K5451" i="1"/>
  <c r="H5452" i="1"/>
  <c r="I5452" i="1"/>
  <c r="J5452" i="1"/>
  <c r="K5452" i="1"/>
  <c r="H5453" i="1"/>
  <c r="I5453" i="1"/>
  <c r="J5453" i="1"/>
  <c r="K5453" i="1"/>
  <c r="H5454" i="1"/>
  <c r="I5454" i="1"/>
  <c r="J5454" i="1"/>
  <c r="K5454" i="1"/>
  <c r="H5455" i="1"/>
  <c r="I5455" i="1"/>
  <c r="J5455" i="1"/>
  <c r="K5455" i="1"/>
  <c r="H5456" i="1"/>
  <c r="I5456" i="1"/>
  <c r="J5456" i="1"/>
  <c r="K5456" i="1"/>
  <c r="H5457" i="1"/>
  <c r="I5457" i="1"/>
  <c r="J5457" i="1"/>
  <c r="K5457" i="1"/>
  <c r="H5458" i="1"/>
  <c r="I5458" i="1"/>
  <c r="J5458" i="1"/>
  <c r="K5458" i="1"/>
  <c r="H5459" i="1"/>
  <c r="I5459" i="1"/>
  <c r="J5459" i="1"/>
  <c r="K5459" i="1"/>
  <c r="H5460" i="1"/>
  <c r="I5460" i="1"/>
  <c r="J5460" i="1"/>
  <c r="K5460" i="1"/>
  <c r="H5461" i="1"/>
  <c r="I5461" i="1"/>
  <c r="J5461" i="1"/>
  <c r="K5461" i="1"/>
  <c r="H5462" i="1"/>
  <c r="I5462" i="1"/>
  <c r="J5462" i="1"/>
  <c r="K5462" i="1"/>
  <c r="H5463" i="1"/>
  <c r="I5463" i="1"/>
  <c r="J5463" i="1"/>
  <c r="K5463" i="1"/>
  <c r="H5464" i="1"/>
  <c r="I5464" i="1"/>
  <c r="J5464" i="1"/>
  <c r="K5464" i="1"/>
  <c r="H5465" i="1"/>
  <c r="I5465" i="1"/>
  <c r="J5465" i="1"/>
  <c r="K5465" i="1"/>
  <c r="H5466" i="1"/>
  <c r="I5466" i="1"/>
  <c r="J5466" i="1"/>
  <c r="K5466" i="1"/>
  <c r="H5467" i="1"/>
  <c r="I5467" i="1"/>
  <c r="J5467" i="1"/>
  <c r="K5467" i="1"/>
  <c r="H5468" i="1"/>
  <c r="I5468" i="1"/>
  <c r="J5468" i="1"/>
  <c r="K5468" i="1"/>
  <c r="H5469" i="1"/>
  <c r="I5469" i="1"/>
  <c r="J5469" i="1"/>
  <c r="K5469" i="1"/>
  <c r="H5470" i="1"/>
  <c r="I5470" i="1"/>
  <c r="J5470" i="1"/>
  <c r="K5470" i="1"/>
  <c r="H5471" i="1"/>
  <c r="I5471" i="1"/>
  <c r="J5471" i="1"/>
  <c r="K5471" i="1"/>
  <c r="H5472" i="1"/>
  <c r="I5472" i="1"/>
  <c r="J5472" i="1"/>
  <c r="K5472" i="1"/>
  <c r="H5473" i="1"/>
  <c r="I5473" i="1"/>
  <c r="J5473" i="1"/>
  <c r="K5473" i="1"/>
  <c r="H5474" i="1"/>
  <c r="I5474" i="1"/>
  <c r="J5474" i="1"/>
  <c r="K5474" i="1"/>
  <c r="H5475" i="1"/>
  <c r="I5475" i="1"/>
  <c r="J5475" i="1"/>
  <c r="K5475" i="1"/>
  <c r="H5476" i="1"/>
  <c r="I5476" i="1"/>
  <c r="J5476" i="1"/>
  <c r="K5476" i="1"/>
  <c r="H5477" i="1"/>
  <c r="I5477" i="1"/>
  <c r="J5477" i="1"/>
  <c r="K5477" i="1"/>
  <c r="H5478" i="1"/>
  <c r="I5478" i="1"/>
  <c r="J5478" i="1"/>
  <c r="K5478" i="1"/>
  <c r="H5479" i="1"/>
  <c r="I5479" i="1"/>
  <c r="J5479" i="1"/>
  <c r="K5479" i="1"/>
  <c r="H5480" i="1"/>
  <c r="I5480" i="1"/>
  <c r="J5480" i="1"/>
  <c r="K5480" i="1"/>
  <c r="H5481" i="1"/>
  <c r="I5481" i="1"/>
  <c r="J5481" i="1"/>
  <c r="K5481" i="1"/>
  <c r="H5482" i="1"/>
  <c r="I5482" i="1"/>
  <c r="J5482" i="1"/>
  <c r="K5482" i="1"/>
  <c r="H5483" i="1"/>
  <c r="I5483" i="1"/>
  <c r="J5483" i="1"/>
  <c r="K5483" i="1"/>
  <c r="H5484" i="1"/>
  <c r="I5484" i="1"/>
  <c r="J5484" i="1"/>
  <c r="K5484" i="1"/>
  <c r="H5485" i="1"/>
  <c r="I5485" i="1"/>
  <c r="J5485" i="1"/>
  <c r="K5485" i="1"/>
  <c r="H5486" i="1"/>
  <c r="I5486" i="1"/>
  <c r="J5486" i="1"/>
  <c r="K5486" i="1"/>
  <c r="H5487" i="1"/>
  <c r="I5487" i="1"/>
  <c r="J5487" i="1"/>
  <c r="K5487" i="1"/>
  <c r="H5488" i="1"/>
  <c r="I5488" i="1"/>
  <c r="J5488" i="1"/>
  <c r="K5488" i="1"/>
  <c r="H5489" i="1"/>
  <c r="I5489" i="1"/>
  <c r="J5489" i="1"/>
  <c r="K5489" i="1"/>
  <c r="H5490" i="1"/>
  <c r="I5490" i="1"/>
  <c r="J5490" i="1"/>
  <c r="K5490" i="1"/>
  <c r="H5491" i="1"/>
  <c r="I5491" i="1"/>
  <c r="J5491" i="1"/>
  <c r="K5491" i="1"/>
  <c r="H5492" i="1"/>
  <c r="I5492" i="1"/>
  <c r="J5492" i="1"/>
  <c r="K5492" i="1"/>
  <c r="H5493" i="1"/>
  <c r="I5493" i="1"/>
  <c r="J5493" i="1"/>
  <c r="K5493" i="1"/>
  <c r="H5494" i="1"/>
  <c r="I5494" i="1"/>
  <c r="J5494" i="1"/>
  <c r="K5494" i="1"/>
  <c r="H5495" i="1"/>
  <c r="I5495" i="1"/>
  <c r="J5495" i="1"/>
  <c r="K5495" i="1"/>
  <c r="H5496" i="1"/>
  <c r="I5496" i="1"/>
  <c r="J5496" i="1"/>
  <c r="K5496" i="1"/>
  <c r="H5497" i="1"/>
  <c r="I5497" i="1"/>
  <c r="J5497" i="1"/>
  <c r="K5497" i="1"/>
  <c r="H5498" i="1"/>
  <c r="I5498" i="1"/>
  <c r="J5498" i="1"/>
  <c r="K5498" i="1"/>
  <c r="H5499" i="1"/>
  <c r="I5499" i="1"/>
  <c r="J5499" i="1"/>
  <c r="K5499" i="1"/>
  <c r="H5500" i="1"/>
  <c r="I5500" i="1"/>
  <c r="J5500" i="1"/>
  <c r="K5500" i="1"/>
  <c r="H5501" i="1"/>
  <c r="I5501" i="1"/>
  <c r="J5501" i="1"/>
  <c r="K5501" i="1"/>
  <c r="H5502" i="1"/>
  <c r="I5502" i="1"/>
  <c r="J5502" i="1"/>
  <c r="K5502" i="1"/>
  <c r="H5503" i="1"/>
  <c r="I5503" i="1"/>
  <c r="J5503" i="1"/>
  <c r="K5503" i="1"/>
  <c r="H5504" i="1"/>
  <c r="I5504" i="1"/>
  <c r="J5504" i="1"/>
  <c r="K5504" i="1"/>
  <c r="H5505" i="1"/>
  <c r="I5505" i="1"/>
  <c r="J5505" i="1"/>
  <c r="K5505" i="1"/>
  <c r="H5506" i="1"/>
  <c r="I5506" i="1"/>
  <c r="J5506" i="1"/>
  <c r="K5506" i="1"/>
  <c r="H5507" i="1"/>
  <c r="I5507" i="1"/>
  <c r="J5507" i="1"/>
  <c r="K5507" i="1"/>
  <c r="H5508" i="1"/>
  <c r="I5508" i="1"/>
  <c r="J5508" i="1"/>
  <c r="K5508" i="1"/>
  <c r="H5509" i="1"/>
  <c r="I5509" i="1"/>
  <c r="J5509" i="1"/>
  <c r="K5509" i="1"/>
  <c r="H5510" i="1"/>
  <c r="I5510" i="1"/>
  <c r="J5510" i="1"/>
  <c r="K5510" i="1"/>
  <c r="H5511" i="1"/>
  <c r="I5511" i="1"/>
  <c r="J5511" i="1"/>
  <c r="K5511" i="1"/>
  <c r="H5512" i="1"/>
  <c r="I5512" i="1"/>
  <c r="J5512" i="1"/>
  <c r="K5512" i="1"/>
  <c r="H5513" i="1"/>
  <c r="I5513" i="1"/>
  <c r="J5513" i="1"/>
  <c r="K5513" i="1"/>
  <c r="H5514" i="1"/>
  <c r="I5514" i="1"/>
  <c r="J5514" i="1"/>
  <c r="K5514" i="1"/>
  <c r="H5515" i="1"/>
  <c r="I5515" i="1"/>
  <c r="J5515" i="1"/>
  <c r="K5515" i="1"/>
  <c r="H5516" i="1"/>
  <c r="I5516" i="1"/>
  <c r="J5516" i="1"/>
  <c r="K5516" i="1"/>
  <c r="H5517" i="1"/>
  <c r="I5517" i="1"/>
  <c r="J5517" i="1"/>
  <c r="K5517" i="1"/>
  <c r="H5518" i="1"/>
  <c r="I5518" i="1"/>
  <c r="J5518" i="1"/>
  <c r="K5518" i="1"/>
  <c r="H5519" i="1"/>
  <c r="I5519" i="1"/>
  <c r="J5519" i="1"/>
  <c r="K5519" i="1"/>
  <c r="H5520" i="1"/>
  <c r="I5520" i="1"/>
  <c r="J5520" i="1"/>
  <c r="K5520" i="1"/>
  <c r="H5521" i="1"/>
  <c r="I5521" i="1"/>
  <c r="J5521" i="1"/>
  <c r="K5521" i="1"/>
  <c r="H5522" i="1"/>
  <c r="I5522" i="1"/>
  <c r="J5522" i="1"/>
  <c r="K5522" i="1"/>
  <c r="H5523" i="1"/>
  <c r="I5523" i="1"/>
  <c r="J5523" i="1"/>
  <c r="K5523" i="1"/>
  <c r="H5524" i="1"/>
  <c r="I5524" i="1"/>
  <c r="J5524" i="1"/>
  <c r="K5524" i="1"/>
  <c r="H5525" i="1"/>
  <c r="I5525" i="1"/>
  <c r="J5525" i="1"/>
  <c r="K5525" i="1"/>
  <c r="H5526" i="1"/>
  <c r="I5526" i="1"/>
  <c r="J5526" i="1"/>
  <c r="K5526" i="1"/>
  <c r="H5527" i="1"/>
  <c r="I5527" i="1"/>
  <c r="J5527" i="1"/>
  <c r="K5527" i="1"/>
  <c r="H5528" i="1"/>
  <c r="I5528" i="1"/>
  <c r="J5528" i="1"/>
  <c r="K5528" i="1"/>
  <c r="H5529" i="1"/>
  <c r="I5529" i="1"/>
  <c r="J5529" i="1"/>
  <c r="K5529" i="1"/>
  <c r="H5530" i="1"/>
  <c r="I5530" i="1"/>
  <c r="J5530" i="1"/>
  <c r="K5530" i="1"/>
  <c r="H5531" i="1"/>
  <c r="I5531" i="1"/>
  <c r="J5531" i="1"/>
  <c r="K5531" i="1"/>
  <c r="H5532" i="1"/>
  <c r="I5532" i="1"/>
  <c r="J5532" i="1"/>
  <c r="K5532" i="1"/>
  <c r="H5533" i="1"/>
  <c r="I5533" i="1"/>
  <c r="J5533" i="1"/>
  <c r="K5533" i="1"/>
  <c r="H5534" i="1"/>
  <c r="I5534" i="1"/>
  <c r="J5534" i="1"/>
  <c r="K5534" i="1"/>
  <c r="H5535" i="1"/>
  <c r="I5535" i="1"/>
  <c r="J5535" i="1"/>
  <c r="K5535" i="1"/>
  <c r="H5536" i="1"/>
  <c r="I5536" i="1"/>
  <c r="J5536" i="1"/>
  <c r="K5536" i="1"/>
  <c r="H5537" i="1"/>
  <c r="I5537" i="1"/>
  <c r="J5537" i="1"/>
  <c r="K5537" i="1"/>
  <c r="H5538" i="1"/>
  <c r="I5538" i="1"/>
  <c r="J5538" i="1"/>
  <c r="K5538" i="1"/>
  <c r="H5539" i="1"/>
  <c r="I5539" i="1"/>
  <c r="J5539" i="1"/>
  <c r="K5539" i="1"/>
  <c r="H5540" i="1"/>
  <c r="I5540" i="1"/>
  <c r="J5540" i="1"/>
  <c r="K5540" i="1"/>
  <c r="H5541" i="1"/>
  <c r="I5541" i="1"/>
  <c r="J5541" i="1"/>
  <c r="K5541" i="1"/>
  <c r="H5542" i="1"/>
  <c r="I5542" i="1"/>
  <c r="J5542" i="1"/>
  <c r="K5542" i="1"/>
  <c r="H5543" i="1"/>
  <c r="I5543" i="1"/>
  <c r="J5543" i="1"/>
  <c r="K5543" i="1"/>
  <c r="H5544" i="1"/>
  <c r="I5544" i="1"/>
  <c r="J5544" i="1"/>
  <c r="K5544" i="1"/>
  <c r="H5545" i="1"/>
  <c r="I5545" i="1"/>
  <c r="J5545" i="1"/>
  <c r="K5545" i="1"/>
  <c r="H5546" i="1"/>
  <c r="I5546" i="1"/>
  <c r="J5546" i="1"/>
  <c r="K5546" i="1"/>
  <c r="H5547" i="1"/>
  <c r="I5547" i="1"/>
  <c r="J5547" i="1"/>
  <c r="K5547" i="1"/>
  <c r="H5548" i="1"/>
  <c r="I5548" i="1"/>
  <c r="J5548" i="1"/>
  <c r="K5548" i="1"/>
  <c r="H5549" i="1"/>
  <c r="I5549" i="1"/>
  <c r="J5549" i="1"/>
  <c r="K5549" i="1"/>
  <c r="H5550" i="1"/>
  <c r="I5550" i="1"/>
  <c r="J5550" i="1"/>
  <c r="K5550" i="1"/>
  <c r="H5551" i="1"/>
  <c r="I5551" i="1"/>
  <c r="J5551" i="1"/>
  <c r="K5551" i="1"/>
  <c r="H5552" i="1"/>
  <c r="I5552" i="1"/>
  <c r="J5552" i="1"/>
  <c r="K5552" i="1"/>
  <c r="H5553" i="1"/>
  <c r="I5553" i="1"/>
  <c r="J5553" i="1"/>
  <c r="K5553" i="1"/>
  <c r="H5554" i="1"/>
  <c r="I5554" i="1"/>
  <c r="J5554" i="1"/>
  <c r="K5554" i="1"/>
  <c r="H5555" i="1"/>
  <c r="I5555" i="1"/>
  <c r="J5555" i="1"/>
  <c r="K5555" i="1"/>
  <c r="H5556" i="1"/>
  <c r="I5556" i="1"/>
  <c r="J5556" i="1"/>
  <c r="K5556" i="1"/>
  <c r="H5557" i="1"/>
  <c r="I5557" i="1"/>
  <c r="J5557" i="1"/>
  <c r="K5557" i="1"/>
  <c r="H5558" i="1"/>
  <c r="I5558" i="1"/>
  <c r="J5558" i="1"/>
  <c r="K5558" i="1"/>
  <c r="H5559" i="1"/>
  <c r="I5559" i="1"/>
  <c r="J5559" i="1"/>
  <c r="K5559" i="1"/>
  <c r="H5560" i="1"/>
  <c r="I5560" i="1"/>
  <c r="J5560" i="1"/>
  <c r="K5560" i="1"/>
  <c r="H5561" i="1"/>
  <c r="I5561" i="1"/>
  <c r="J5561" i="1"/>
  <c r="K5561" i="1"/>
  <c r="H5562" i="1"/>
  <c r="I5562" i="1"/>
  <c r="J5562" i="1"/>
  <c r="K5562" i="1"/>
  <c r="H5563" i="1"/>
  <c r="I5563" i="1"/>
  <c r="J5563" i="1"/>
  <c r="K5563" i="1"/>
  <c r="H5564" i="1"/>
  <c r="I5564" i="1"/>
  <c r="J5564" i="1"/>
  <c r="K5564" i="1"/>
  <c r="H5565" i="1"/>
  <c r="I5565" i="1"/>
  <c r="J5565" i="1"/>
  <c r="K5565" i="1"/>
  <c r="H5566" i="1"/>
  <c r="I5566" i="1"/>
  <c r="J5566" i="1"/>
  <c r="K5566" i="1"/>
  <c r="H5567" i="1"/>
  <c r="I5567" i="1"/>
  <c r="J5567" i="1"/>
  <c r="K5567" i="1"/>
  <c r="H5568" i="1"/>
  <c r="I5568" i="1"/>
  <c r="J5568" i="1"/>
  <c r="K5568" i="1"/>
  <c r="H5569" i="1"/>
  <c r="I5569" i="1"/>
  <c r="J5569" i="1"/>
  <c r="K5569" i="1"/>
  <c r="H5570" i="1"/>
  <c r="I5570" i="1"/>
  <c r="J5570" i="1"/>
  <c r="K5570" i="1"/>
  <c r="H5571" i="1"/>
  <c r="I5571" i="1"/>
  <c r="J5571" i="1"/>
  <c r="K5571" i="1"/>
  <c r="H5572" i="1"/>
  <c r="I5572" i="1"/>
  <c r="J5572" i="1"/>
  <c r="K5572" i="1"/>
  <c r="H5573" i="1"/>
  <c r="I5573" i="1"/>
  <c r="J5573" i="1"/>
  <c r="K5573" i="1"/>
  <c r="H5574" i="1"/>
  <c r="I5574" i="1"/>
  <c r="J5574" i="1"/>
  <c r="K5574" i="1"/>
  <c r="H5575" i="1"/>
  <c r="I5575" i="1"/>
  <c r="J5575" i="1"/>
  <c r="K5575" i="1"/>
  <c r="H5576" i="1"/>
  <c r="I5576" i="1"/>
  <c r="J5576" i="1"/>
  <c r="K5576" i="1"/>
  <c r="H5577" i="1"/>
  <c r="I5577" i="1"/>
  <c r="J5577" i="1"/>
  <c r="K5577" i="1"/>
  <c r="H5578" i="1"/>
  <c r="I5578" i="1"/>
  <c r="J5578" i="1"/>
  <c r="K5578" i="1"/>
  <c r="H5579" i="1"/>
  <c r="I5579" i="1"/>
  <c r="J5579" i="1"/>
  <c r="K5579" i="1"/>
  <c r="H5580" i="1"/>
  <c r="I5580" i="1"/>
  <c r="J5580" i="1"/>
  <c r="K5580" i="1"/>
  <c r="H5581" i="1"/>
  <c r="I5581" i="1"/>
  <c r="J5581" i="1"/>
  <c r="K5581" i="1"/>
  <c r="H5582" i="1"/>
  <c r="I5582" i="1"/>
  <c r="J5582" i="1"/>
  <c r="K5582" i="1"/>
  <c r="H5583" i="1"/>
  <c r="I5583" i="1"/>
  <c r="J5583" i="1"/>
  <c r="K5583" i="1"/>
  <c r="H5584" i="1"/>
  <c r="I5584" i="1"/>
  <c r="J5584" i="1"/>
  <c r="K5584" i="1"/>
  <c r="H5585" i="1"/>
  <c r="I5585" i="1"/>
  <c r="J5585" i="1"/>
  <c r="K5585" i="1"/>
  <c r="H5586" i="1"/>
  <c r="I5586" i="1"/>
  <c r="J5586" i="1"/>
  <c r="K5586" i="1"/>
  <c r="H5587" i="1"/>
  <c r="I5587" i="1"/>
  <c r="J5587" i="1"/>
  <c r="K5587" i="1"/>
  <c r="H5588" i="1"/>
  <c r="I5588" i="1"/>
  <c r="J5588" i="1"/>
  <c r="K5588" i="1"/>
  <c r="H5589" i="1"/>
  <c r="I5589" i="1"/>
  <c r="J5589" i="1"/>
  <c r="K5589" i="1"/>
  <c r="H5590" i="1"/>
  <c r="I5590" i="1"/>
  <c r="J5590" i="1"/>
  <c r="K5590" i="1"/>
  <c r="H5591" i="1"/>
  <c r="I5591" i="1"/>
  <c r="J5591" i="1"/>
  <c r="K5591" i="1"/>
  <c r="H5592" i="1"/>
  <c r="I5592" i="1"/>
  <c r="J5592" i="1"/>
  <c r="K5592" i="1"/>
  <c r="H5593" i="1"/>
  <c r="I5593" i="1"/>
  <c r="J5593" i="1"/>
  <c r="K5593" i="1"/>
  <c r="H5594" i="1"/>
  <c r="I5594" i="1"/>
  <c r="J5594" i="1"/>
  <c r="K5594" i="1"/>
  <c r="H5595" i="1"/>
  <c r="I5595" i="1"/>
  <c r="J5595" i="1"/>
  <c r="K5595" i="1"/>
  <c r="H5596" i="1"/>
  <c r="I5596" i="1"/>
  <c r="J5596" i="1"/>
  <c r="K5596" i="1"/>
  <c r="H5597" i="1"/>
  <c r="I5597" i="1"/>
  <c r="J5597" i="1"/>
  <c r="K5597" i="1"/>
  <c r="H5598" i="1"/>
  <c r="I5598" i="1"/>
  <c r="J5598" i="1"/>
  <c r="K5598" i="1"/>
  <c r="H5599" i="1"/>
  <c r="I5599" i="1"/>
  <c r="J5599" i="1"/>
  <c r="K5599" i="1"/>
  <c r="H5600" i="1"/>
  <c r="I5600" i="1"/>
  <c r="J5600" i="1"/>
  <c r="K5600" i="1"/>
  <c r="H5601" i="1"/>
  <c r="I5601" i="1"/>
  <c r="J5601" i="1"/>
  <c r="K5601" i="1"/>
  <c r="H5602" i="1"/>
  <c r="I5602" i="1"/>
  <c r="J5602" i="1"/>
  <c r="K5602" i="1"/>
  <c r="H5603" i="1"/>
  <c r="I5603" i="1"/>
  <c r="J5603" i="1"/>
  <c r="K5603" i="1"/>
  <c r="H5604" i="1"/>
  <c r="I5604" i="1"/>
  <c r="J5604" i="1"/>
  <c r="K5604" i="1"/>
  <c r="H5605" i="1"/>
  <c r="I5605" i="1"/>
  <c r="J5605" i="1"/>
  <c r="K5605" i="1"/>
  <c r="H5606" i="1"/>
  <c r="I5606" i="1"/>
  <c r="J5606" i="1"/>
  <c r="K5606" i="1"/>
  <c r="H5607" i="1"/>
  <c r="I5607" i="1"/>
  <c r="J5607" i="1"/>
  <c r="K5607" i="1"/>
  <c r="H5608" i="1"/>
  <c r="I5608" i="1"/>
  <c r="J5608" i="1"/>
  <c r="K5608" i="1"/>
  <c r="H5609" i="1"/>
  <c r="I5609" i="1"/>
  <c r="J5609" i="1"/>
  <c r="K5609" i="1"/>
  <c r="H5610" i="1"/>
  <c r="I5610" i="1"/>
  <c r="J5610" i="1"/>
  <c r="K5610" i="1"/>
  <c r="H5611" i="1"/>
  <c r="I5611" i="1"/>
  <c r="J5611" i="1"/>
  <c r="K5611" i="1"/>
  <c r="H5612" i="1"/>
  <c r="I5612" i="1"/>
  <c r="J5612" i="1"/>
  <c r="K5612" i="1"/>
  <c r="H5613" i="1"/>
  <c r="I5613" i="1"/>
  <c r="J5613" i="1"/>
  <c r="K5613" i="1"/>
  <c r="H5614" i="1"/>
  <c r="I5614" i="1"/>
  <c r="J5614" i="1"/>
  <c r="K5614" i="1"/>
  <c r="H5615" i="1"/>
  <c r="I5615" i="1"/>
  <c r="J5615" i="1"/>
  <c r="K5615" i="1"/>
  <c r="H5616" i="1"/>
  <c r="I5616" i="1"/>
  <c r="J5616" i="1"/>
  <c r="K5616" i="1"/>
  <c r="H5617" i="1"/>
  <c r="I5617" i="1"/>
  <c r="J5617" i="1"/>
  <c r="K5617" i="1"/>
  <c r="H5618" i="1"/>
  <c r="I5618" i="1"/>
  <c r="J5618" i="1"/>
  <c r="K5618" i="1"/>
  <c r="H5619" i="1"/>
  <c r="I5619" i="1"/>
  <c r="J5619" i="1"/>
  <c r="K5619" i="1"/>
  <c r="H5620" i="1"/>
  <c r="I5620" i="1"/>
  <c r="J5620" i="1"/>
  <c r="K5620" i="1"/>
  <c r="H5621" i="1"/>
  <c r="I5621" i="1"/>
  <c r="J5621" i="1"/>
  <c r="K5621" i="1"/>
  <c r="H5622" i="1"/>
  <c r="I5622" i="1"/>
  <c r="J5622" i="1"/>
  <c r="K5622" i="1"/>
  <c r="H5623" i="1"/>
  <c r="I5623" i="1"/>
  <c r="J5623" i="1"/>
  <c r="K5623" i="1"/>
  <c r="H5624" i="1"/>
  <c r="I5624" i="1"/>
  <c r="J5624" i="1"/>
  <c r="K5624" i="1"/>
  <c r="H5625" i="1"/>
  <c r="I5625" i="1"/>
  <c r="J5625" i="1"/>
  <c r="K5625" i="1"/>
  <c r="H5626" i="1"/>
  <c r="I5626" i="1"/>
  <c r="J5626" i="1"/>
  <c r="K5626" i="1"/>
  <c r="H5627" i="1"/>
  <c r="I5627" i="1"/>
  <c r="J5627" i="1"/>
  <c r="K5627" i="1"/>
  <c r="H5628" i="1"/>
  <c r="I5628" i="1"/>
  <c r="J5628" i="1"/>
  <c r="K5628" i="1"/>
  <c r="H5629" i="1"/>
  <c r="I5629" i="1"/>
  <c r="J5629" i="1"/>
  <c r="K5629" i="1"/>
  <c r="H5630" i="1"/>
  <c r="I5630" i="1"/>
  <c r="J5630" i="1"/>
  <c r="K5630" i="1"/>
  <c r="H5631" i="1"/>
  <c r="I5631" i="1"/>
  <c r="J5631" i="1"/>
  <c r="K5631" i="1"/>
  <c r="H5632" i="1"/>
  <c r="I5632" i="1"/>
  <c r="J5632" i="1"/>
  <c r="K5632" i="1"/>
  <c r="H5633" i="1"/>
  <c r="I5633" i="1"/>
  <c r="J5633" i="1"/>
  <c r="K5633" i="1"/>
  <c r="H5634" i="1"/>
  <c r="I5634" i="1"/>
  <c r="J5634" i="1"/>
  <c r="K5634" i="1"/>
  <c r="H5635" i="1"/>
  <c r="I5635" i="1"/>
  <c r="J5635" i="1"/>
  <c r="K5635" i="1"/>
  <c r="H5636" i="1"/>
  <c r="I5636" i="1"/>
  <c r="J5636" i="1"/>
  <c r="K5636" i="1"/>
  <c r="H5637" i="1"/>
  <c r="I5637" i="1"/>
  <c r="J5637" i="1"/>
  <c r="K5637" i="1"/>
  <c r="H5638" i="1"/>
  <c r="I5638" i="1"/>
  <c r="J5638" i="1"/>
  <c r="K5638" i="1"/>
  <c r="H5639" i="1"/>
  <c r="I5639" i="1"/>
  <c r="J5639" i="1"/>
  <c r="K5639" i="1"/>
  <c r="H5640" i="1"/>
  <c r="I5640" i="1"/>
  <c r="J5640" i="1"/>
  <c r="K5640" i="1"/>
  <c r="H5641" i="1"/>
  <c r="I5641" i="1"/>
  <c r="J5641" i="1"/>
  <c r="K5641" i="1"/>
  <c r="H5642" i="1"/>
  <c r="I5642" i="1"/>
  <c r="J5642" i="1"/>
  <c r="K5642" i="1"/>
  <c r="H5643" i="1"/>
  <c r="I5643" i="1"/>
  <c r="J5643" i="1"/>
  <c r="K5643" i="1"/>
  <c r="H5644" i="1"/>
  <c r="I5644" i="1"/>
  <c r="J5644" i="1"/>
  <c r="K5644" i="1"/>
  <c r="H5645" i="1"/>
  <c r="I5645" i="1"/>
  <c r="J5645" i="1"/>
  <c r="K5645" i="1"/>
  <c r="H5646" i="1"/>
  <c r="I5646" i="1"/>
  <c r="J5646" i="1"/>
  <c r="K5646" i="1"/>
  <c r="H5647" i="1"/>
  <c r="I5647" i="1"/>
  <c r="J5647" i="1"/>
  <c r="K5647" i="1"/>
  <c r="H5648" i="1"/>
  <c r="I5648" i="1"/>
  <c r="J5648" i="1"/>
  <c r="K5648" i="1"/>
  <c r="H5649" i="1"/>
  <c r="I5649" i="1"/>
  <c r="J5649" i="1"/>
  <c r="K5649" i="1"/>
  <c r="H5650" i="1"/>
  <c r="I5650" i="1"/>
  <c r="J5650" i="1"/>
  <c r="K5650" i="1"/>
  <c r="H5651" i="1"/>
  <c r="I5651" i="1"/>
  <c r="J5651" i="1"/>
  <c r="K5651" i="1"/>
  <c r="H5652" i="1"/>
  <c r="I5652" i="1"/>
  <c r="J5652" i="1"/>
  <c r="K5652" i="1"/>
  <c r="H5653" i="1"/>
  <c r="I5653" i="1"/>
  <c r="J5653" i="1"/>
  <c r="K5653" i="1"/>
  <c r="H5654" i="1"/>
  <c r="I5654" i="1"/>
  <c r="J5654" i="1"/>
  <c r="K5654" i="1"/>
  <c r="H5655" i="1"/>
  <c r="I5655" i="1"/>
  <c r="J5655" i="1"/>
  <c r="K5655" i="1"/>
  <c r="H5656" i="1"/>
  <c r="I5656" i="1"/>
  <c r="J5656" i="1"/>
  <c r="K5656" i="1"/>
  <c r="H5657" i="1"/>
  <c r="I5657" i="1"/>
  <c r="J5657" i="1"/>
  <c r="K5657" i="1"/>
  <c r="H5658" i="1"/>
  <c r="I5658" i="1"/>
  <c r="J5658" i="1"/>
  <c r="K5658" i="1"/>
  <c r="H5659" i="1"/>
  <c r="I5659" i="1"/>
  <c r="J5659" i="1"/>
  <c r="K5659" i="1"/>
  <c r="H5660" i="1"/>
  <c r="I5660" i="1"/>
  <c r="J5660" i="1"/>
  <c r="K5660" i="1"/>
  <c r="H5661" i="1"/>
  <c r="I5661" i="1"/>
  <c r="J5661" i="1"/>
  <c r="K5661" i="1"/>
  <c r="H5662" i="1"/>
  <c r="I5662" i="1"/>
  <c r="J5662" i="1"/>
  <c r="K5662" i="1"/>
  <c r="H5663" i="1"/>
  <c r="I5663" i="1"/>
  <c r="J5663" i="1"/>
  <c r="K5663" i="1"/>
  <c r="H5664" i="1"/>
  <c r="I5664" i="1"/>
  <c r="J5664" i="1"/>
  <c r="K5664" i="1"/>
  <c r="H5665" i="1"/>
  <c r="I5665" i="1"/>
  <c r="J5665" i="1"/>
  <c r="K5665" i="1"/>
  <c r="H5666" i="1"/>
  <c r="I5666" i="1"/>
  <c r="J5666" i="1"/>
  <c r="K5666" i="1"/>
  <c r="H5667" i="1"/>
  <c r="I5667" i="1"/>
  <c r="J5667" i="1"/>
  <c r="K5667" i="1"/>
  <c r="H5668" i="1"/>
  <c r="I5668" i="1"/>
  <c r="J5668" i="1"/>
  <c r="K5668" i="1"/>
  <c r="H5669" i="1"/>
  <c r="I5669" i="1"/>
  <c r="J5669" i="1"/>
  <c r="K5669" i="1"/>
  <c r="H5670" i="1"/>
  <c r="I5670" i="1"/>
  <c r="J5670" i="1"/>
  <c r="K5670" i="1"/>
  <c r="H5671" i="1"/>
  <c r="I5671" i="1"/>
  <c r="J5671" i="1"/>
  <c r="K5671" i="1"/>
  <c r="H5672" i="1"/>
  <c r="I5672" i="1"/>
  <c r="J5672" i="1"/>
  <c r="K5672" i="1"/>
  <c r="H5673" i="1"/>
  <c r="I5673" i="1"/>
  <c r="J5673" i="1"/>
  <c r="K5673" i="1"/>
  <c r="H5674" i="1"/>
  <c r="I5674" i="1"/>
  <c r="J5674" i="1"/>
  <c r="K5674" i="1"/>
  <c r="H5675" i="1"/>
  <c r="I5675" i="1"/>
  <c r="J5675" i="1"/>
  <c r="K5675" i="1"/>
  <c r="H5676" i="1"/>
  <c r="I5676" i="1"/>
  <c r="J5676" i="1"/>
  <c r="K5676" i="1"/>
  <c r="H5677" i="1"/>
  <c r="I5677" i="1"/>
  <c r="J5677" i="1"/>
  <c r="K5677" i="1"/>
  <c r="H5678" i="1"/>
  <c r="I5678" i="1"/>
  <c r="J5678" i="1"/>
  <c r="K5678" i="1"/>
  <c r="H5679" i="1"/>
  <c r="I5679" i="1"/>
  <c r="J5679" i="1"/>
  <c r="K5679" i="1"/>
  <c r="H5680" i="1"/>
  <c r="I5680" i="1"/>
  <c r="J5680" i="1"/>
  <c r="K5680" i="1"/>
  <c r="H5681" i="1"/>
  <c r="I5681" i="1"/>
  <c r="J5681" i="1"/>
  <c r="K5681" i="1"/>
  <c r="H5682" i="1"/>
  <c r="I5682" i="1"/>
  <c r="J5682" i="1"/>
  <c r="K5682" i="1"/>
  <c r="H5683" i="1"/>
  <c r="I5683" i="1"/>
  <c r="J5683" i="1"/>
  <c r="K5683" i="1"/>
  <c r="H5684" i="1"/>
  <c r="I5684" i="1"/>
  <c r="J5684" i="1"/>
  <c r="K5684" i="1"/>
  <c r="H5685" i="1"/>
  <c r="I5685" i="1"/>
  <c r="J5685" i="1"/>
  <c r="K5685" i="1"/>
  <c r="H5686" i="1"/>
  <c r="I5686" i="1"/>
  <c r="J5686" i="1"/>
  <c r="K5686" i="1"/>
  <c r="H5687" i="1"/>
  <c r="I5687" i="1"/>
  <c r="J5687" i="1"/>
  <c r="K5687" i="1"/>
  <c r="H5688" i="1"/>
  <c r="I5688" i="1"/>
  <c r="J5688" i="1"/>
  <c r="K5688" i="1"/>
  <c r="H5689" i="1"/>
  <c r="I5689" i="1"/>
  <c r="J5689" i="1"/>
  <c r="K5689" i="1"/>
  <c r="H5690" i="1"/>
  <c r="I5690" i="1"/>
  <c r="J5690" i="1"/>
  <c r="K5690" i="1"/>
  <c r="H5691" i="1"/>
  <c r="I5691" i="1"/>
  <c r="J5691" i="1"/>
  <c r="K5691" i="1"/>
  <c r="H5692" i="1"/>
  <c r="I5692" i="1"/>
  <c r="J5692" i="1"/>
  <c r="K5692" i="1"/>
  <c r="H5693" i="1"/>
  <c r="I5693" i="1"/>
  <c r="J5693" i="1"/>
  <c r="K5693" i="1"/>
  <c r="H5694" i="1"/>
  <c r="I5694" i="1"/>
  <c r="J5694" i="1"/>
  <c r="K5694" i="1"/>
  <c r="H5695" i="1"/>
  <c r="I5695" i="1"/>
  <c r="J5695" i="1"/>
  <c r="K5695" i="1"/>
  <c r="H5696" i="1"/>
  <c r="I5696" i="1"/>
  <c r="J5696" i="1"/>
  <c r="K5696" i="1"/>
  <c r="H5697" i="1"/>
  <c r="I5697" i="1"/>
  <c r="J5697" i="1"/>
  <c r="K5697" i="1"/>
  <c r="H5698" i="1"/>
  <c r="I5698" i="1"/>
  <c r="J5698" i="1"/>
  <c r="K5698" i="1"/>
  <c r="H5699" i="1"/>
  <c r="I5699" i="1"/>
  <c r="J5699" i="1"/>
  <c r="K5699" i="1"/>
  <c r="H5700" i="1"/>
  <c r="I5700" i="1"/>
  <c r="J5700" i="1"/>
  <c r="K5700" i="1"/>
  <c r="H5701" i="1"/>
  <c r="I5701" i="1"/>
  <c r="J5701" i="1"/>
  <c r="K5701" i="1"/>
  <c r="H5702" i="1"/>
  <c r="I5702" i="1"/>
  <c r="J5702" i="1"/>
  <c r="K5702" i="1"/>
  <c r="H5703" i="1"/>
  <c r="I5703" i="1"/>
  <c r="J5703" i="1"/>
  <c r="K5703" i="1"/>
  <c r="H5704" i="1"/>
  <c r="I5704" i="1"/>
  <c r="J5704" i="1"/>
  <c r="K5704" i="1"/>
  <c r="H5705" i="1"/>
  <c r="I5705" i="1"/>
  <c r="J5705" i="1"/>
  <c r="K5705" i="1"/>
  <c r="H5706" i="1"/>
  <c r="I5706" i="1"/>
  <c r="J5706" i="1"/>
  <c r="K5706" i="1"/>
  <c r="H5707" i="1"/>
  <c r="I5707" i="1"/>
  <c r="J5707" i="1"/>
  <c r="K5707" i="1"/>
  <c r="H5708" i="1"/>
  <c r="I5708" i="1"/>
  <c r="J5708" i="1"/>
  <c r="K5708" i="1"/>
  <c r="H5709" i="1"/>
  <c r="I5709" i="1"/>
  <c r="J5709" i="1"/>
  <c r="K5709" i="1"/>
  <c r="H5710" i="1"/>
  <c r="I5710" i="1"/>
  <c r="J5710" i="1"/>
  <c r="K5710" i="1"/>
  <c r="H5711" i="1"/>
  <c r="I5711" i="1"/>
  <c r="J5711" i="1"/>
  <c r="K5711" i="1"/>
  <c r="H5712" i="1"/>
  <c r="I5712" i="1"/>
  <c r="J5712" i="1"/>
  <c r="K5712" i="1"/>
  <c r="H5713" i="1"/>
  <c r="I5713" i="1"/>
  <c r="J5713" i="1"/>
  <c r="K5713" i="1"/>
  <c r="H5714" i="1"/>
  <c r="I5714" i="1"/>
  <c r="J5714" i="1"/>
  <c r="K5714" i="1"/>
  <c r="H5715" i="1"/>
  <c r="I5715" i="1"/>
  <c r="J5715" i="1"/>
  <c r="K5715" i="1"/>
  <c r="H5716" i="1"/>
  <c r="I5716" i="1"/>
  <c r="J5716" i="1"/>
  <c r="K5716" i="1"/>
  <c r="H5717" i="1"/>
  <c r="I5717" i="1"/>
  <c r="J5717" i="1"/>
  <c r="K5717" i="1"/>
  <c r="H5718" i="1"/>
  <c r="I5718" i="1"/>
  <c r="J5718" i="1"/>
  <c r="K5718" i="1"/>
  <c r="H5719" i="1"/>
  <c r="I5719" i="1"/>
  <c r="J5719" i="1"/>
  <c r="K5719" i="1"/>
  <c r="H5720" i="1"/>
  <c r="I5720" i="1"/>
  <c r="J5720" i="1"/>
  <c r="K5720" i="1"/>
  <c r="H5721" i="1"/>
  <c r="I5721" i="1"/>
  <c r="J5721" i="1"/>
  <c r="K5721" i="1"/>
  <c r="H5722" i="1"/>
  <c r="I5722" i="1"/>
  <c r="J5722" i="1"/>
  <c r="K5722" i="1"/>
  <c r="H5723" i="1"/>
  <c r="I5723" i="1"/>
  <c r="J5723" i="1"/>
  <c r="K5723" i="1"/>
  <c r="H5724" i="1"/>
  <c r="I5724" i="1"/>
  <c r="J5724" i="1"/>
  <c r="K5724" i="1"/>
  <c r="H5725" i="1"/>
  <c r="I5725" i="1"/>
  <c r="J5725" i="1"/>
  <c r="K5725" i="1"/>
  <c r="H5726" i="1"/>
  <c r="I5726" i="1"/>
  <c r="J5726" i="1"/>
  <c r="K5726" i="1"/>
  <c r="H5727" i="1"/>
  <c r="I5727" i="1"/>
  <c r="J5727" i="1"/>
  <c r="K5727" i="1"/>
  <c r="H5728" i="1"/>
  <c r="I5728" i="1"/>
  <c r="J5728" i="1"/>
  <c r="K5728" i="1"/>
  <c r="H5729" i="1"/>
  <c r="I5729" i="1"/>
  <c r="J5729" i="1"/>
  <c r="K5729" i="1"/>
  <c r="H5730" i="1"/>
  <c r="I5730" i="1"/>
  <c r="J5730" i="1"/>
  <c r="K5730" i="1"/>
  <c r="H5731" i="1"/>
  <c r="I5731" i="1"/>
  <c r="J5731" i="1"/>
  <c r="K5731" i="1"/>
  <c r="H5732" i="1"/>
  <c r="I5732" i="1"/>
  <c r="J5732" i="1"/>
  <c r="K5732" i="1"/>
  <c r="H5733" i="1"/>
  <c r="I5733" i="1"/>
  <c r="J5733" i="1"/>
  <c r="K5733" i="1"/>
  <c r="H5734" i="1"/>
  <c r="I5734" i="1"/>
  <c r="J5734" i="1"/>
  <c r="K5734" i="1"/>
  <c r="H5735" i="1"/>
  <c r="I5735" i="1"/>
  <c r="J5735" i="1"/>
  <c r="K5735" i="1"/>
  <c r="H5736" i="1"/>
  <c r="I5736" i="1"/>
  <c r="J5736" i="1"/>
  <c r="K5736" i="1"/>
  <c r="H5737" i="1"/>
  <c r="I5737" i="1"/>
  <c r="J5737" i="1"/>
  <c r="K5737" i="1"/>
  <c r="H5738" i="1"/>
  <c r="I5738" i="1"/>
  <c r="J5738" i="1"/>
  <c r="K5738" i="1"/>
  <c r="H5739" i="1"/>
  <c r="I5739" i="1"/>
  <c r="J5739" i="1"/>
  <c r="K5739" i="1"/>
  <c r="H5740" i="1"/>
  <c r="I5740" i="1"/>
  <c r="J5740" i="1"/>
  <c r="K5740" i="1"/>
  <c r="H5741" i="1"/>
  <c r="I5741" i="1"/>
  <c r="J5741" i="1"/>
  <c r="K5741" i="1"/>
  <c r="H5742" i="1"/>
  <c r="I5742" i="1"/>
  <c r="J5742" i="1"/>
  <c r="K5742" i="1"/>
  <c r="H5743" i="1"/>
  <c r="I5743" i="1"/>
  <c r="J5743" i="1"/>
  <c r="K5743" i="1"/>
  <c r="H5744" i="1"/>
  <c r="I5744" i="1"/>
  <c r="J5744" i="1"/>
  <c r="K5744" i="1"/>
  <c r="H5745" i="1"/>
  <c r="I5745" i="1"/>
  <c r="J5745" i="1"/>
  <c r="K5745" i="1"/>
  <c r="H5746" i="1"/>
  <c r="I5746" i="1"/>
  <c r="J5746" i="1"/>
  <c r="K5746" i="1"/>
  <c r="H5747" i="1"/>
  <c r="I5747" i="1"/>
  <c r="J5747" i="1"/>
  <c r="K5747" i="1"/>
  <c r="H5748" i="1"/>
  <c r="I5748" i="1"/>
  <c r="J5748" i="1"/>
  <c r="K5748" i="1"/>
  <c r="H5749" i="1"/>
  <c r="I5749" i="1"/>
  <c r="J5749" i="1"/>
  <c r="K5749" i="1"/>
  <c r="H5750" i="1"/>
  <c r="I5750" i="1"/>
  <c r="J5750" i="1"/>
  <c r="K5750" i="1"/>
  <c r="H5751" i="1"/>
  <c r="I5751" i="1"/>
  <c r="J5751" i="1"/>
  <c r="K5751" i="1"/>
  <c r="H5752" i="1"/>
  <c r="I5752" i="1"/>
  <c r="J5752" i="1"/>
  <c r="K5752" i="1"/>
  <c r="H5753" i="1"/>
  <c r="I5753" i="1"/>
  <c r="J5753" i="1"/>
  <c r="K5753" i="1"/>
  <c r="H5754" i="1"/>
  <c r="I5754" i="1"/>
  <c r="J5754" i="1"/>
  <c r="K5754" i="1"/>
  <c r="H5755" i="1"/>
  <c r="I5755" i="1"/>
  <c r="J5755" i="1"/>
  <c r="K5755" i="1"/>
  <c r="H5756" i="1"/>
  <c r="I5756" i="1"/>
  <c r="J5756" i="1"/>
  <c r="K5756" i="1"/>
  <c r="H5757" i="1"/>
  <c r="I5757" i="1"/>
  <c r="J5757" i="1"/>
  <c r="K5757" i="1"/>
  <c r="H5758" i="1"/>
  <c r="I5758" i="1"/>
  <c r="J5758" i="1"/>
  <c r="K5758" i="1"/>
  <c r="H5759" i="1"/>
  <c r="I5759" i="1"/>
  <c r="J5759" i="1"/>
  <c r="K5759" i="1"/>
  <c r="H5760" i="1"/>
  <c r="I5760" i="1"/>
  <c r="J5760" i="1"/>
  <c r="K5760" i="1"/>
  <c r="H5761" i="1"/>
  <c r="I5761" i="1"/>
  <c r="J5761" i="1"/>
  <c r="K5761" i="1"/>
  <c r="H5762" i="1"/>
  <c r="I5762" i="1"/>
  <c r="J5762" i="1"/>
  <c r="K5762" i="1"/>
  <c r="H5763" i="1"/>
  <c r="I5763" i="1"/>
  <c r="J5763" i="1"/>
  <c r="K5763" i="1"/>
  <c r="H5764" i="1"/>
  <c r="I5764" i="1"/>
  <c r="J5764" i="1"/>
  <c r="K5764" i="1"/>
  <c r="H5765" i="1"/>
  <c r="I5765" i="1"/>
  <c r="J5765" i="1"/>
  <c r="K5765" i="1"/>
  <c r="H5766" i="1"/>
  <c r="I5766" i="1"/>
  <c r="J5766" i="1"/>
  <c r="K5766" i="1"/>
  <c r="H5767" i="1"/>
  <c r="I5767" i="1"/>
  <c r="J5767" i="1"/>
  <c r="K5767" i="1"/>
  <c r="H5768" i="1"/>
  <c r="I5768" i="1"/>
  <c r="J5768" i="1"/>
  <c r="K5768" i="1"/>
  <c r="H5769" i="1"/>
  <c r="I5769" i="1"/>
  <c r="J5769" i="1"/>
  <c r="K5769" i="1"/>
  <c r="H5770" i="1"/>
  <c r="I5770" i="1"/>
  <c r="J5770" i="1"/>
  <c r="K5770" i="1"/>
  <c r="H5771" i="1"/>
  <c r="I5771" i="1"/>
  <c r="J5771" i="1"/>
  <c r="K5771" i="1"/>
  <c r="H5772" i="1"/>
  <c r="I5772" i="1"/>
  <c r="J5772" i="1"/>
  <c r="K5772" i="1"/>
  <c r="H5773" i="1"/>
  <c r="I5773" i="1"/>
  <c r="J5773" i="1"/>
  <c r="K5773" i="1"/>
  <c r="H5774" i="1"/>
  <c r="I5774" i="1"/>
  <c r="J5774" i="1"/>
  <c r="K5774" i="1"/>
  <c r="H5775" i="1"/>
  <c r="I5775" i="1"/>
  <c r="J5775" i="1"/>
  <c r="K5775" i="1"/>
  <c r="H5776" i="1"/>
  <c r="I5776" i="1"/>
  <c r="J5776" i="1"/>
  <c r="K5776" i="1"/>
  <c r="H5777" i="1"/>
  <c r="I5777" i="1"/>
  <c r="J5777" i="1"/>
  <c r="K5777" i="1"/>
  <c r="H5778" i="1"/>
  <c r="I5778" i="1"/>
  <c r="J5778" i="1"/>
  <c r="K5778" i="1"/>
  <c r="H5779" i="1"/>
  <c r="I5779" i="1"/>
  <c r="J5779" i="1"/>
  <c r="K5779" i="1"/>
  <c r="H5780" i="1"/>
  <c r="I5780" i="1"/>
  <c r="J5780" i="1"/>
  <c r="K5780" i="1"/>
  <c r="H5781" i="1"/>
  <c r="I5781" i="1"/>
  <c r="J5781" i="1"/>
  <c r="K5781" i="1"/>
  <c r="H5782" i="1"/>
  <c r="I5782" i="1"/>
  <c r="J5782" i="1"/>
  <c r="K5782" i="1"/>
  <c r="H5783" i="1"/>
  <c r="I5783" i="1"/>
  <c r="J5783" i="1"/>
  <c r="K5783" i="1"/>
  <c r="H5784" i="1"/>
  <c r="I5784" i="1"/>
  <c r="J5784" i="1"/>
  <c r="K5784" i="1"/>
  <c r="H5785" i="1"/>
  <c r="I5785" i="1"/>
  <c r="J5785" i="1"/>
  <c r="K5785" i="1"/>
  <c r="H5786" i="1"/>
  <c r="I5786" i="1"/>
  <c r="J5786" i="1"/>
  <c r="K5786" i="1"/>
  <c r="H5787" i="1"/>
  <c r="I5787" i="1"/>
  <c r="J5787" i="1"/>
  <c r="K5787" i="1"/>
  <c r="H5788" i="1"/>
  <c r="I5788" i="1"/>
  <c r="J5788" i="1"/>
  <c r="K5788" i="1"/>
  <c r="H5789" i="1"/>
  <c r="I5789" i="1"/>
  <c r="J5789" i="1"/>
  <c r="K5789" i="1"/>
  <c r="H5790" i="1"/>
  <c r="I5790" i="1"/>
  <c r="J5790" i="1"/>
  <c r="K5790" i="1"/>
  <c r="H5791" i="1"/>
  <c r="I5791" i="1"/>
  <c r="J5791" i="1"/>
  <c r="K5791" i="1"/>
  <c r="H5792" i="1"/>
  <c r="I5792" i="1"/>
  <c r="J5792" i="1"/>
  <c r="K5792" i="1"/>
  <c r="H5793" i="1"/>
  <c r="I5793" i="1"/>
  <c r="J5793" i="1"/>
  <c r="K5793" i="1"/>
  <c r="H5794" i="1"/>
  <c r="I5794" i="1"/>
  <c r="J5794" i="1"/>
  <c r="K5794" i="1"/>
  <c r="H5795" i="1"/>
  <c r="I5795" i="1"/>
  <c r="J5795" i="1"/>
  <c r="K5795" i="1"/>
  <c r="H5796" i="1"/>
  <c r="I5796" i="1"/>
  <c r="J5796" i="1"/>
  <c r="K5796" i="1"/>
  <c r="H5797" i="1"/>
  <c r="I5797" i="1"/>
  <c r="J5797" i="1"/>
  <c r="K5797" i="1"/>
  <c r="H5798" i="1"/>
  <c r="I5798" i="1"/>
  <c r="J5798" i="1"/>
  <c r="K5798" i="1"/>
  <c r="H5799" i="1"/>
  <c r="I5799" i="1"/>
  <c r="J5799" i="1"/>
  <c r="K5799" i="1"/>
  <c r="H5800" i="1"/>
  <c r="I5800" i="1"/>
  <c r="J5800" i="1"/>
  <c r="K5800" i="1"/>
  <c r="H5801" i="1"/>
  <c r="I5801" i="1"/>
  <c r="J5801" i="1"/>
  <c r="K5801" i="1"/>
  <c r="H5802" i="1"/>
  <c r="I5802" i="1"/>
  <c r="J5802" i="1"/>
  <c r="K5802" i="1"/>
  <c r="H5803" i="1"/>
  <c r="I5803" i="1"/>
  <c r="J5803" i="1"/>
  <c r="K5803" i="1"/>
  <c r="H5804" i="1"/>
  <c r="I5804" i="1"/>
  <c r="J5804" i="1"/>
  <c r="K5804" i="1"/>
  <c r="H5805" i="1"/>
  <c r="I5805" i="1"/>
  <c r="J5805" i="1"/>
  <c r="K5805" i="1"/>
  <c r="H5806" i="1"/>
  <c r="I5806" i="1"/>
  <c r="J5806" i="1"/>
  <c r="K5806" i="1"/>
  <c r="H5807" i="1"/>
  <c r="I5807" i="1"/>
  <c r="J5807" i="1"/>
  <c r="K5807" i="1"/>
  <c r="H5808" i="1"/>
  <c r="I5808" i="1"/>
  <c r="J5808" i="1"/>
  <c r="K5808" i="1"/>
  <c r="H5809" i="1"/>
  <c r="I5809" i="1"/>
  <c r="J5809" i="1"/>
  <c r="K5809" i="1"/>
  <c r="H5810" i="1"/>
  <c r="I5810" i="1"/>
  <c r="J5810" i="1"/>
  <c r="K5810" i="1"/>
  <c r="H5811" i="1"/>
  <c r="I5811" i="1"/>
  <c r="J5811" i="1"/>
  <c r="K5811" i="1"/>
  <c r="H5812" i="1"/>
  <c r="I5812" i="1"/>
  <c r="J5812" i="1"/>
  <c r="K5812" i="1"/>
  <c r="H5813" i="1"/>
  <c r="I5813" i="1"/>
  <c r="J5813" i="1"/>
  <c r="K5813" i="1"/>
  <c r="H5814" i="1"/>
  <c r="I5814" i="1"/>
  <c r="J5814" i="1"/>
  <c r="K5814" i="1"/>
  <c r="H5815" i="1"/>
  <c r="I5815" i="1"/>
  <c r="J5815" i="1"/>
  <c r="K5815" i="1"/>
  <c r="H5816" i="1"/>
  <c r="I5816" i="1"/>
  <c r="J5816" i="1"/>
  <c r="K5816" i="1"/>
  <c r="H5817" i="1"/>
  <c r="I5817" i="1"/>
  <c r="J5817" i="1"/>
  <c r="K5817" i="1"/>
  <c r="H5818" i="1"/>
  <c r="I5818" i="1"/>
  <c r="J5818" i="1"/>
  <c r="K5818" i="1"/>
  <c r="H5819" i="1"/>
  <c r="I5819" i="1"/>
  <c r="J5819" i="1"/>
  <c r="K5819" i="1"/>
  <c r="H5820" i="1"/>
  <c r="I5820" i="1"/>
  <c r="J5820" i="1"/>
  <c r="K5820" i="1"/>
  <c r="H5821" i="1"/>
  <c r="I5821" i="1"/>
  <c r="J5821" i="1"/>
  <c r="K5821" i="1"/>
  <c r="H5822" i="1"/>
  <c r="I5822" i="1"/>
  <c r="J5822" i="1"/>
  <c r="K5822" i="1"/>
  <c r="H5823" i="1"/>
  <c r="I5823" i="1"/>
  <c r="J5823" i="1"/>
  <c r="K5823" i="1"/>
  <c r="H5824" i="1"/>
  <c r="I5824" i="1"/>
  <c r="J5824" i="1"/>
  <c r="K5824" i="1"/>
  <c r="H5825" i="1"/>
  <c r="I5825" i="1"/>
  <c r="J5825" i="1"/>
  <c r="K5825" i="1"/>
  <c r="H5826" i="1"/>
  <c r="I5826" i="1"/>
  <c r="J5826" i="1"/>
  <c r="K5826" i="1"/>
  <c r="H5827" i="1"/>
  <c r="I5827" i="1"/>
  <c r="J5827" i="1"/>
  <c r="K5827" i="1"/>
  <c r="H5828" i="1"/>
  <c r="I5828" i="1"/>
  <c r="J5828" i="1"/>
  <c r="K5828" i="1"/>
  <c r="H5829" i="1"/>
  <c r="I5829" i="1"/>
  <c r="J5829" i="1"/>
  <c r="K5829" i="1"/>
  <c r="H5830" i="1"/>
  <c r="I5830" i="1"/>
  <c r="J5830" i="1"/>
  <c r="K5830" i="1"/>
  <c r="H5831" i="1"/>
  <c r="I5831" i="1"/>
  <c r="J5831" i="1"/>
  <c r="K5831" i="1"/>
  <c r="H5832" i="1"/>
  <c r="I5832" i="1"/>
  <c r="J5832" i="1"/>
  <c r="K5832" i="1"/>
  <c r="H5833" i="1"/>
  <c r="I5833" i="1"/>
  <c r="J5833" i="1"/>
  <c r="K5833" i="1"/>
  <c r="H5834" i="1"/>
  <c r="I5834" i="1"/>
  <c r="J5834" i="1"/>
  <c r="K5834" i="1"/>
  <c r="H5835" i="1"/>
  <c r="I5835" i="1"/>
  <c r="J5835" i="1"/>
  <c r="K5835" i="1"/>
  <c r="H5836" i="1"/>
  <c r="I5836" i="1"/>
  <c r="J5836" i="1"/>
  <c r="K5836" i="1"/>
  <c r="H5837" i="1"/>
  <c r="I5837" i="1"/>
  <c r="J5837" i="1"/>
  <c r="K5837" i="1"/>
  <c r="H5838" i="1"/>
  <c r="I5838" i="1"/>
  <c r="J5838" i="1"/>
  <c r="K5838" i="1"/>
  <c r="H5839" i="1"/>
  <c r="I5839" i="1"/>
  <c r="J5839" i="1"/>
  <c r="K5839" i="1"/>
  <c r="H5840" i="1"/>
  <c r="I5840" i="1"/>
  <c r="J5840" i="1"/>
  <c r="K5840" i="1"/>
  <c r="H5841" i="1"/>
  <c r="I5841" i="1"/>
  <c r="J5841" i="1"/>
  <c r="K5841" i="1"/>
  <c r="H5842" i="1"/>
  <c r="I5842" i="1"/>
  <c r="J5842" i="1"/>
  <c r="K5842" i="1"/>
  <c r="H5843" i="1"/>
  <c r="I5843" i="1"/>
  <c r="J5843" i="1"/>
  <c r="K5843" i="1"/>
  <c r="H5844" i="1"/>
  <c r="I5844" i="1"/>
  <c r="J5844" i="1"/>
  <c r="K5844" i="1"/>
  <c r="H5845" i="1"/>
  <c r="I5845" i="1"/>
  <c r="J5845" i="1"/>
  <c r="K5845" i="1"/>
  <c r="H5846" i="1"/>
  <c r="I5846" i="1"/>
  <c r="J5846" i="1"/>
  <c r="K5846" i="1"/>
  <c r="H5847" i="1"/>
  <c r="I5847" i="1"/>
  <c r="J5847" i="1"/>
  <c r="K5847" i="1"/>
  <c r="H5848" i="1"/>
  <c r="I5848" i="1"/>
  <c r="J5848" i="1"/>
  <c r="K5848" i="1"/>
  <c r="H5849" i="1"/>
  <c r="I5849" i="1"/>
  <c r="J5849" i="1"/>
  <c r="K5849" i="1"/>
  <c r="H5850" i="1"/>
  <c r="I5850" i="1"/>
  <c r="J5850" i="1"/>
  <c r="K5850" i="1"/>
  <c r="H5851" i="1"/>
  <c r="I5851" i="1"/>
  <c r="J5851" i="1"/>
  <c r="K5851" i="1"/>
  <c r="H5852" i="1"/>
  <c r="I5852" i="1"/>
  <c r="J5852" i="1"/>
  <c r="K5852" i="1"/>
  <c r="H5853" i="1"/>
  <c r="I5853" i="1"/>
  <c r="J5853" i="1"/>
  <c r="K5853" i="1"/>
  <c r="H5854" i="1"/>
  <c r="I5854" i="1"/>
  <c r="J5854" i="1"/>
  <c r="K5854" i="1"/>
  <c r="H5855" i="1"/>
  <c r="I5855" i="1"/>
  <c r="J5855" i="1"/>
  <c r="K5855" i="1"/>
  <c r="H5856" i="1"/>
  <c r="I5856" i="1"/>
  <c r="J5856" i="1"/>
  <c r="K5856" i="1"/>
  <c r="H5857" i="1"/>
  <c r="I5857" i="1"/>
  <c r="J5857" i="1"/>
  <c r="K5857" i="1"/>
  <c r="H5858" i="1"/>
  <c r="I5858" i="1"/>
  <c r="J5858" i="1"/>
  <c r="K5858" i="1"/>
  <c r="H5859" i="1"/>
  <c r="I5859" i="1"/>
  <c r="J5859" i="1"/>
  <c r="K5859" i="1"/>
  <c r="H5860" i="1"/>
  <c r="I5860" i="1"/>
  <c r="J5860" i="1"/>
  <c r="K5860" i="1"/>
  <c r="H5861" i="1"/>
  <c r="I5861" i="1"/>
  <c r="J5861" i="1"/>
  <c r="K5861" i="1"/>
  <c r="H5862" i="1"/>
  <c r="I5862" i="1"/>
  <c r="J5862" i="1"/>
  <c r="K5862" i="1"/>
  <c r="H5863" i="1"/>
  <c r="I5863" i="1"/>
  <c r="J5863" i="1"/>
  <c r="K5863" i="1"/>
  <c r="H5864" i="1"/>
  <c r="I5864" i="1"/>
  <c r="J5864" i="1"/>
  <c r="K5864" i="1"/>
  <c r="H5865" i="1"/>
  <c r="I5865" i="1"/>
  <c r="J5865" i="1"/>
  <c r="K5865" i="1"/>
  <c r="H5866" i="1"/>
  <c r="I5866" i="1"/>
  <c r="J5866" i="1"/>
  <c r="K5866" i="1"/>
  <c r="H5867" i="1"/>
  <c r="I5867" i="1"/>
  <c r="J5867" i="1"/>
  <c r="K5867" i="1"/>
  <c r="H5868" i="1"/>
  <c r="I5868" i="1"/>
  <c r="J5868" i="1"/>
  <c r="K5868" i="1"/>
  <c r="H5869" i="1"/>
  <c r="I5869" i="1"/>
  <c r="J5869" i="1"/>
  <c r="K5869" i="1"/>
  <c r="H5870" i="1"/>
  <c r="I5870" i="1"/>
  <c r="J5870" i="1"/>
  <c r="K5870" i="1"/>
  <c r="H5871" i="1"/>
  <c r="I5871" i="1"/>
  <c r="J5871" i="1"/>
  <c r="K5871" i="1"/>
  <c r="H5872" i="1"/>
  <c r="I5872" i="1"/>
  <c r="J5872" i="1"/>
  <c r="K5872" i="1"/>
  <c r="H5873" i="1"/>
  <c r="I5873" i="1"/>
  <c r="J5873" i="1"/>
  <c r="K5873" i="1"/>
  <c r="H5874" i="1"/>
  <c r="I5874" i="1"/>
  <c r="J5874" i="1"/>
  <c r="K5874" i="1"/>
  <c r="H5875" i="1"/>
  <c r="I5875" i="1"/>
  <c r="J5875" i="1"/>
  <c r="K5875" i="1"/>
  <c r="H5876" i="1"/>
  <c r="I5876" i="1"/>
  <c r="J5876" i="1"/>
  <c r="K5876" i="1"/>
  <c r="H5877" i="1"/>
  <c r="I5877" i="1"/>
  <c r="J5877" i="1"/>
  <c r="K5877" i="1"/>
  <c r="H5878" i="1"/>
  <c r="I5878" i="1"/>
  <c r="J5878" i="1"/>
  <c r="K5878" i="1"/>
  <c r="H5879" i="1"/>
  <c r="I5879" i="1"/>
  <c r="J5879" i="1"/>
  <c r="K5879" i="1"/>
  <c r="H5880" i="1"/>
  <c r="I5880" i="1"/>
  <c r="J5880" i="1"/>
  <c r="K5880" i="1"/>
  <c r="H5881" i="1"/>
  <c r="I5881" i="1"/>
  <c r="J5881" i="1"/>
  <c r="K5881" i="1"/>
  <c r="H5882" i="1"/>
  <c r="I5882" i="1"/>
  <c r="J5882" i="1"/>
  <c r="K5882" i="1"/>
  <c r="H5883" i="1"/>
  <c r="I5883" i="1"/>
  <c r="J5883" i="1"/>
  <c r="K5883" i="1"/>
  <c r="H5884" i="1"/>
  <c r="I5884" i="1"/>
  <c r="J5884" i="1"/>
  <c r="K5884" i="1"/>
  <c r="H5885" i="1"/>
  <c r="I5885" i="1"/>
  <c r="J5885" i="1"/>
  <c r="K5885" i="1"/>
  <c r="H5886" i="1"/>
  <c r="I5886" i="1"/>
  <c r="J5886" i="1"/>
  <c r="K5886" i="1"/>
  <c r="H5887" i="1"/>
  <c r="I5887" i="1"/>
  <c r="J5887" i="1"/>
  <c r="K5887" i="1"/>
  <c r="H5888" i="1"/>
  <c r="I5888" i="1"/>
  <c r="J5888" i="1"/>
  <c r="K5888" i="1"/>
  <c r="H5889" i="1"/>
  <c r="I5889" i="1"/>
  <c r="J5889" i="1"/>
  <c r="K5889" i="1"/>
  <c r="H5890" i="1"/>
  <c r="I5890" i="1"/>
  <c r="J5890" i="1"/>
  <c r="K5890" i="1"/>
  <c r="H5891" i="1"/>
  <c r="I5891" i="1"/>
  <c r="J5891" i="1"/>
  <c r="K5891" i="1"/>
  <c r="H5892" i="1"/>
  <c r="I5892" i="1"/>
  <c r="J5892" i="1"/>
  <c r="K5892" i="1"/>
  <c r="H5893" i="1"/>
  <c r="I5893" i="1"/>
  <c r="J5893" i="1"/>
  <c r="K5893" i="1"/>
  <c r="H5894" i="1"/>
  <c r="I5894" i="1"/>
  <c r="J5894" i="1"/>
  <c r="K5894" i="1"/>
  <c r="H5895" i="1"/>
  <c r="I5895" i="1"/>
  <c r="J5895" i="1"/>
  <c r="K5895" i="1"/>
  <c r="H5896" i="1"/>
  <c r="I5896" i="1"/>
  <c r="J5896" i="1"/>
  <c r="K5896" i="1"/>
  <c r="H5897" i="1"/>
  <c r="I5897" i="1"/>
  <c r="J5897" i="1"/>
  <c r="K5897" i="1"/>
  <c r="H5898" i="1"/>
  <c r="I5898" i="1"/>
  <c r="J5898" i="1"/>
  <c r="K5898" i="1"/>
  <c r="H5899" i="1"/>
  <c r="I5899" i="1"/>
  <c r="J5899" i="1"/>
  <c r="K5899" i="1"/>
  <c r="H5900" i="1"/>
  <c r="I5900" i="1"/>
  <c r="J5900" i="1"/>
  <c r="K5900" i="1"/>
  <c r="H5901" i="1"/>
  <c r="I5901" i="1"/>
  <c r="J5901" i="1"/>
  <c r="K5901" i="1"/>
  <c r="H5902" i="1"/>
  <c r="I5902" i="1"/>
  <c r="J5902" i="1"/>
  <c r="K5902" i="1"/>
  <c r="H5903" i="1"/>
  <c r="I5903" i="1"/>
  <c r="J5903" i="1"/>
  <c r="K5903" i="1"/>
  <c r="H5904" i="1"/>
  <c r="I5904" i="1"/>
  <c r="J5904" i="1"/>
  <c r="K5904" i="1"/>
  <c r="H5905" i="1"/>
  <c r="I5905" i="1"/>
  <c r="J5905" i="1"/>
  <c r="K5905" i="1"/>
  <c r="H5906" i="1"/>
  <c r="I5906" i="1"/>
  <c r="J5906" i="1"/>
  <c r="K5906" i="1"/>
  <c r="H5907" i="1"/>
  <c r="I5907" i="1"/>
  <c r="J5907" i="1"/>
  <c r="K5907" i="1"/>
  <c r="H5908" i="1"/>
  <c r="I5908" i="1"/>
  <c r="J5908" i="1"/>
  <c r="K5908" i="1"/>
  <c r="H5909" i="1"/>
  <c r="I5909" i="1"/>
  <c r="J5909" i="1"/>
  <c r="K5909" i="1"/>
  <c r="H5910" i="1"/>
  <c r="I5910" i="1"/>
  <c r="J5910" i="1"/>
  <c r="K5910" i="1"/>
  <c r="H5911" i="1"/>
  <c r="I5911" i="1"/>
  <c r="J5911" i="1"/>
  <c r="K5911" i="1"/>
  <c r="H5912" i="1"/>
  <c r="I5912" i="1"/>
  <c r="J5912" i="1"/>
  <c r="K5912" i="1"/>
  <c r="H5913" i="1"/>
  <c r="I5913" i="1"/>
  <c r="J5913" i="1"/>
  <c r="K5913" i="1"/>
  <c r="H5914" i="1"/>
  <c r="I5914" i="1"/>
  <c r="J5914" i="1"/>
  <c r="K5914" i="1"/>
  <c r="H5915" i="1"/>
  <c r="I5915" i="1"/>
  <c r="J5915" i="1"/>
  <c r="K5915" i="1"/>
  <c r="H5916" i="1"/>
  <c r="I5916" i="1"/>
  <c r="J5916" i="1"/>
  <c r="K5916" i="1"/>
  <c r="H5917" i="1"/>
  <c r="I5917" i="1"/>
  <c r="J5917" i="1"/>
  <c r="K5917" i="1"/>
  <c r="H5918" i="1"/>
  <c r="I5918" i="1"/>
  <c r="J5918" i="1"/>
  <c r="K5918" i="1"/>
  <c r="H5919" i="1"/>
  <c r="I5919" i="1"/>
  <c r="J5919" i="1"/>
  <c r="K5919" i="1"/>
  <c r="H5920" i="1"/>
  <c r="I5920" i="1"/>
  <c r="J5920" i="1"/>
  <c r="K5920" i="1"/>
  <c r="H5921" i="1"/>
  <c r="I5921" i="1"/>
  <c r="J5921" i="1"/>
  <c r="K5921" i="1"/>
  <c r="H5922" i="1"/>
  <c r="I5922" i="1"/>
  <c r="J5922" i="1"/>
  <c r="K5922" i="1"/>
  <c r="H5923" i="1"/>
  <c r="I5923" i="1"/>
  <c r="J5923" i="1"/>
  <c r="K5923" i="1"/>
  <c r="H5924" i="1"/>
  <c r="I5924" i="1"/>
  <c r="J5924" i="1"/>
  <c r="K5924" i="1"/>
  <c r="H5925" i="1"/>
  <c r="I5925" i="1"/>
  <c r="J5925" i="1"/>
  <c r="K5925" i="1"/>
  <c r="H5926" i="1"/>
  <c r="I5926" i="1"/>
  <c r="J5926" i="1"/>
  <c r="K5926" i="1"/>
  <c r="H5927" i="1"/>
  <c r="I5927" i="1"/>
  <c r="J5927" i="1"/>
  <c r="K5927" i="1"/>
  <c r="H5928" i="1"/>
  <c r="I5928" i="1"/>
  <c r="J5928" i="1"/>
  <c r="K5928" i="1"/>
  <c r="H5929" i="1"/>
  <c r="I5929" i="1"/>
  <c r="J5929" i="1"/>
  <c r="K5929" i="1"/>
  <c r="H5930" i="1"/>
  <c r="I5930" i="1"/>
  <c r="J5930" i="1"/>
  <c r="K5930" i="1"/>
  <c r="H5931" i="1"/>
  <c r="I5931" i="1"/>
  <c r="J5931" i="1"/>
  <c r="K5931" i="1"/>
  <c r="H5932" i="1"/>
  <c r="I5932" i="1"/>
  <c r="J5932" i="1"/>
  <c r="K5932" i="1"/>
  <c r="H5933" i="1"/>
  <c r="I5933" i="1"/>
  <c r="J5933" i="1"/>
  <c r="K5933" i="1"/>
  <c r="H5934" i="1"/>
  <c r="I5934" i="1"/>
  <c r="J5934" i="1"/>
  <c r="K5934" i="1"/>
  <c r="H5935" i="1"/>
  <c r="I5935" i="1"/>
  <c r="J5935" i="1"/>
  <c r="K5935" i="1"/>
  <c r="H5936" i="1"/>
  <c r="I5936" i="1"/>
  <c r="J5936" i="1"/>
  <c r="K5936" i="1"/>
  <c r="H5937" i="1"/>
  <c r="I5937" i="1"/>
  <c r="J5937" i="1"/>
  <c r="K5937" i="1"/>
  <c r="H5938" i="1"/>
  <c r="I5938" i="1"/>
  <c r="J5938" i="1"/>
  <c r="K5938" i="1"/>
  <c r="H5939" i="1"/>
  <c r="I5939" i="1"/>
  <c r="J5939" i="1"/>
  <c r="K5939" i="1"/>
  <c r="H5940" i="1"/>
  <c r="I5940" i="1"/>
  <c r="J5940" i="1"/>
  <c r="K5940" i="1"/>
  <c r="H5941" i="1"/>
  <c r="I5941" i="1"/>
  <c r="J5941" i="1"/>
  <c r="K5941" i="1"/>
  <c r="H5942" i="1"/>
  <c r="I5942" i="1"/>
  <c r="J5942" i="1"/>
  <c r="K5942" i="1"/>
  <c r="H5943" i="1"/>
  <c r="I5943" i="1"/>
  <c r="J5943" i="1"/>
  <c r="K5943" i="1"/>
  <c r="H5944" i="1"/>
  <c r="I5944" i="1"/>
  <c r="J5944" i="1"/>
  <c r="K5944" i="1"/>
  <c r="H5945" i="1"/>
  <c r="I5945" i="1"/>
  <c r="J5945" i="1"/>
  <c r="K5945" i="1"/>
  <c r="H5946" i="1"/>
  <c r="I5946" i="1"/>
  <c r="J5946" i="1"/>
  <c r="K5946" i="1"/>
  <c r="H5947" i="1"/>
  <c r="I5947" i="1"/>
  <c r="J5947" i="1"/>
  <c r="K5947" i="1"/>
  <c r="H5948" i="1"/>
  <c r="I5948" i="1"/>
  <c r="J5948" i="1"/>
  <c r="K5948" i="1"/>
  <c r="H5949" i="1"/>
  <c r="I5949" i="1"/>
  <c r="J5949" i="1"/>
  <c r="K5949" i="1"/>
  <c r="H5950" i="1"/>
  <c r="I5950" i="1"/>
  <c r="J5950" i="1"/>
  <c r="K5950" i="1"/>
  <c r="H5951" i="1"/>
  <c r="I5951" i="1"/>
  <c r="J5951" i="1"/>
  <c r="K5951" i="1"/>
  <c r="H5952" i="1"/>
  <c r="I5952" i="1"/>
  <c r="J5952" i="1"/>
  <c r="K5952" i="1"/>
  <c r="H5953" i="1"/>
  <c r="I5953" i="1"/>
  <c r="J5953" i="1"/>
  <c r="K5953" i="1"/>
  <c r="H5954" i="1"/>
  <c r="I5954" i="1"/>
  <c r="J5954" i="1"/>
  <c r="K5954" i="1"/>
  <c r="H5955" i="1"/>
  <c r="I5955" i="1"/>
  <c r="J5955" i="1"/>
  <c r="K5955" i="1"/>
  <c r="H5956" i="1"/>
  <c r="I5956" i="1"/>
  <c r="J5956" i="1"/>
  <c r="K5956" i="1"/>
  <c r="H5957" i="1"/>
  <c r="I5957" i="1"/>
  <c r="J5957" i="1"/>
  <c r="K5957" i="1"/>
  <c r="H5958" i="1"/>
  <c r="I5958" i="1"/>
  <c r="J5958" i="1"/>
  <c r="K5958" i="1"/>
  <c r="H5959" i="1"/>
  <c r="I5959" i="1"/>
  <c r="J5959" i="1"/>
  <c r="K5959" i="1"/>
  <c r="H5960" i="1"/>
  <c r="I5960" i="1"/>
  <c r="J5960" i="1"/>
  <c r="K5960" i="1"/>
  <c r="H5961" i="1"/>
  <c r="I5961" i="1"/>
  <c r="J5961" i="1"/>
  <c r="K5961" i="1"/>
  <c r="H5962" i="1"/>
  <c r="I5962" i="1"/>
  <c r="J5962" i="1"/>
  <c r="K5962" i="1"/>
  <c r="H5963" i="1"/>
  <c r="I5963" i="1"/>
  <c r="J5963" i="1"/>
  <c r="K5963" i="1"/>
  <c r="H5964" i="1"/>
  <c r="I5964" i="1"/>
  <c r="J5964" i="1"/>
  <c r="K5964" i="1"/>
  <c r="H5965" i="1"/>
  <c r="I5965" i="1"/>
  <c r="J5965" i="1"/>
  <c r="K5965" i="1"/>
  <c r="H5966" i="1"/>
  <c r="I5966" i="1"/>
  <c r="J5966" i="1"/>
  <c r="K5966" i="1"/>
  <c r="H5967" i="1"/>
  <c r="I5967" i="1"/>
  <c r="J5967" i="1"/>
  <c r="K5967" i="1"/>
  <c r="H5968" i="1"/>
  <c r="I5968" i="1"/>
  <c r="J5968" i="1"/>
  <c r="K5968" i="1"/>
  <c r="H5969" i="1"/>
  <c r="I5969" i="1"/>
  <c r="J5969" i="1"/>
  <c r="K5969" i="1"/>
  <c r="H5970" i="1"/>
  <c r="I5970" i="1"/>
  <c r="J5970" i="1"/>
  <c r="K5970" i="1"/>
  <c r="H5971" i="1"/>
  <c r="I5971" i="1"/>
  <c r="J5971" i="1"/>
  <c r="K5971" i="1"/>
  <c r="H5972" i="1"/>
  <c r="I5972" i="1"/>
  <c r="J5972" i="1"/>
  <c r="K5972" i="1"/>
  <c r="H5973" i="1"/>
  <c r="I5973" i="1"/>
  <c r="J5973" i="1"/>
  <c r="K5973" i="1"/>
  <c r="H5974" i="1"/>
  <c r="I5974" i="1"/>
  <c r="J5974" i="1"/>
  <c r="K5974" i="1"/>
  <c r="H5975" i="1"/>
  <c r="I5975" i="1"/>
  <c r="J5975" i="1"/>
  <c r="K5975" i="1"/>
  <c r="H5976" i="1"/>
  <c r="I5976" i="1"/>
  <c r="J5976" i="1"/>
  <c r="K5976" i="1"/>
  <c r="H5977" i="1"/>
  <c r="I5977" i="1"/>
  <c r="J5977" i="1"/>
  <c r="K5977" i="1"/>
  <c r="H5978" i="1"/>
  <c r="I5978" i="1"/>
  <c r="J5978" i="1"/>
  <c r="K5978" i="1"/>
  <c r="H5979" i="1"/>
  <c r="I5979" i="1"/>
  <c r="J5979" i="1"/>
  <c r="K5979" i="1"/>
  <c r="H5980" i="1"/>
  <c r="I5980" i="1"/>
  <c r="J5980" i="1"/>
  <c r="K5980" i="1"/>
  <c r="H5981" i="1"/>
  <c r="I5981" i="1"/>
  <c r="J5981" i="1"/>
  <c r="K5981" i="1"/>
  <c r="H5982" i="1"/>
  <c r="I5982" i="1"/>
  <c r="J5982" i="1"/>
  <c r="K5982" i="1"/>
  <c r="H5983" i="1"/>
  <c r="I5983" i="1"/>
  <c r="J5983" i="1"/>
  <c r="K5983" i="1"/>
  <c r="H5984" i="1"/>
  <c r="I5984" i="1"/>
  <c r="J5984" i="1"/>
  <c r="K5984" i="1"/>
  <c r="H5985" i="1"/>
  <c r="I5985" i="1"/>
  <c r="J5985" i="1"/>
  <c r="K5985" i="1"/>
  <c r="H5986" i="1"/>
  <c r="I5986" i="1"/>
  <c r="J5986" i="1"/>
  <c r="K5986" i="1"/>
  <c r="H5987" i="1"/>
  <c r="I5987" i="1"/>
  <c r="J5987" i="1"/>
  <c r="K5987" i="1"/>
  <c r="H5988" i="1"/>
  <c r="I5988" i="1"/>
  <c r="J5988" i="1"/>
  <c r="K5988" i="1"/>
  <c r="H5989" i="1"/>
  <c r="I5989" i="1"/>
  <c r="J5989" i="1"/>
  <c r="K5989" i="1"/>
  <c r="H5990" i="1"/>
  <c r="I5990" i="1"/>
  <c r="J5990" i="1"/>
  <c r="K5990" i="1"/>
  <c r="H5991" i="1"/>
  <c r="I5991" i="1"/>
  <c r="J5991" i="1"/>
  <c r="K5991" i="1"/>
  <c r="H5992" i="1"/>
  <c r="I5992" i="1"/>
  <c r="J5992" i="1"/>
  <c r="K5992" i="1"/>
  <c r="H5993" i="1"/>
  <c r="I5993" i="1"/>
  <c r="J5993" i="1"/>
  <c r="K5993" i="1"/>
  <c r="H5994" i="1"/>
  <c r="I5994" i="1"/>
  <c r="J5994" i="1"/>
  <c r="K5994" i="1"/>
  <c r="H5995" i="1"/>
  <c r="I5995" i="1"/>
  <c r="J5995" i="1"/>
  <c r="K5995" i="1"/>
  <c r="H5996" i="1"/>
  <c r="I5996" i="1"/>
  <c r="J5996" i="1"/>
  <c r="K5996" i="1"/>
  <c r="H5997" i="1"/>
  <c r="I5997" i="1"/>
  <c r="J5997" i="1"/>
  <c r="K5997" i="1"/>
  <c r="H5998" i="1"/>
  <c r="I5998" i="1"/>
  <c r="J5998" i="1"/>
  <c r="K5998" i="1"/>
  <c r="H5999" i="1"/>
  <c r="I5999" i="1"/>
  <c r="J5999" i="1"/>
  <c r="K5999" i="1"/>
  <c r="H6000" i="1"/>
  <c r="I6000" i="1"/>
  <c r="J6000" i="1"/>
  <c r="K6000" i="1"/>
  <c r="H6001" i="1"/>
  <c r="I6001" i="1"/>
  <c r="J6001" i="1"/>
  <c r="K6001" i="1"/>
  <c r="H6002" i="1"/>
  <c r="I6002" i="1"/>
  <c r="J6002" i="1"/>
  <c r="K6002" i="1"/>
  <c r="H6003" i="1"/>
  <c r="I6003" i="1"/>
  <c r="J6003" i="1"/>
  <c r="K6003" i="1"/>
  <c r="H6004" i="1"/>
  <c r="I6004" i="1"/>
  <c r="J6004" i="1"/>
  <c r="K6004" i="1"/>
  <c r="H6005" i="1"/>
  <c r="I6005" i="1"/>
  <c r="J6005" i="1"/>
  <c r="K6005" i="1"/>
  <c r="H6006" i="1"/>
  <c r="I6006" i="1"/>
  <c r="J6006" i="1"/>
  <c r="K6006" i="1"/>
  <c r="H6007" i="1"/>
  <c r="I6007" i="1"/>
  <c r="J6007" i="1"/>
  <c r="K6007" i="1"/>
  <c r="H6008" i="1"/>
  <c r="I6008" i="1"/>
  <c r="J6008" i="1"/>
  <c r="K6008" i="1"/>
  <c r="H6009" i="1"/>
  <c r="I6009" i="1"/>
  <c r="J6009" i="1"/>
  <c r="K6009" i="1"/>
  <c r="H6010" i="1"/>
  <c r="I6010" i="1"/>
  <c r="J6010" i="1"/>
  <c r="K6010" i="1"/>
  <c r="H6011" i="1"/>
  <c r="I6011" i="1"/>
  <c r="J6011" i="1"/>
  <c r="K6011" i="1"/>
  <c r="H6012" i="1"/>
  <c r="I6012" i="1"/>
  <c r="J6012" i="1"/>
  <c r="K6012" i="1"/>
  <c r="H6013" i="1"/>
  <c r="I6013" i="1"/>
  <c r="J6013" i="1"/>
  <c r="K6013" i="1"/>
  <c r="H6014" i="1"/>
  <c r="I6014" i="1"/>
  <c r="J6014" i="1"/>
  <c r="K6014" i="1"/>
  <c r="H6015" i="1"/>
  <c r="I6015" i="1"/>
  <c r="J6015" i="1"/>
  <c r="K6015" i="1"/>
  <c r="H6016" i="1"/>
  <c r="I6016" i="1"/>
  <c r="J6016" i="1"/>
  <c r="K6016" i="1"/>
  <c r="H6017" i="1"/>
  <c r="I6017" i="1"/>
  <c r="J6017" i="1"/>
  <c r="K6017" i="1"/>
  <c r="H6018" i="1"/>
  <c r="I6018" i="1"/>
  <c r="J6018" i="1"/>
  <c r="K6018" i="1"/>
  <c r="H6019" i="1"/>
  <c r="I6019" i="1"/>
  <c r="J6019" i="1"/>
  <c r="K6019" i="1"/>
  <c r="H6020" i="1"/>
  <c r="I6020" i="1"/>
  <c r="J6020" i="1"/>
  <c r="K6020" i="1"/>
  <c r="H6021" i="1"/>
  <c r="I6021" i="1"/>
  <c r="J6021" i="1"/>
  <c r="K6021" i="1"/>
  <c r="H6022" i="1"/>
  <c r="I6022" i="1"/>
  <c r="J6022" i="1"/>
  <c r="K6022" i="1"/>
  <c r="H6023" i="1"/>
  <c r="I6023" i="1"/>
  <c r="J6023" i="1"/>
  <c r="K6023" i="1"/>
  <c r="H6024" i="1"/>
  <c r="I6024" i="1"/>
  <c r="J6024" i="1"/>
  <c r="K6024" i="1"/>
  <c r="H6025" i="1"/>
  <c r="I6025" i="1"/>
  <c r="J6025" i="1"/>
  <c r="K6025" i="1"/>
  <c r="H6026" i="1"/>
  <c r="I6026" i="1"/>
  <c r="J6026" i="1"/>
  <c r="K6026" i="1"/>
  <c r="H6027" i="1"/>
  <c r="I6027" i="1"/>
  <c r="J6027" i="1"/>
  <c r="K6027" i="1"/>
  <c r="H6028" i="1"/>
  <c r="I6028" i="1"/>
  <c r="J6028" i="1"/>
  <c r="K6028" i="1"/>
  <c r="H6029" i="1"/>
  <c r="I6029" i="1"/>
  <c r="J6029" i="1"/>
  <c r="K6029" i="1"/>
  <c r="H6030" i="1"/>
  <c r="I6030" i="1"/>
  <c r="J6030" i="1"/>
  <c r="K6030" i="1"/>
  <c r="H6031" i="1"/>
  <c r="I6031" i="1"/>
  <c r="J6031" i="1"/>
  <c r="K6031" i="1"/>
  <c r="H6032" i="1"/>
  <c r="I6032" i="1"/>
  <c r="J6032" i="1"/>
  <c r="K6032" i="1"/>
  <c r="H6033" i="1"/>
  <c r="I6033" i="1"/>
  <c r="J6033" i="1"/>
  <c r="K6033" i="1"/>
  <c r="H6034" i="1"/>
  <c r="I6034" i="1"/>
  <c r="J6034" i="1"/>
  <c r="K6034" i="1"/>
  <c r="H6035" i="1"/>
  <c r="I6035" i="1"/>
  <c r="J6035" i="1"/>
  <c r="K6035" i="1"/>
  <c r="H6036" i="1"/>
  <c r="I6036" i="1"/>
  <c r="J6036" i="1"/>
  <c r="K6036" i="1"/>
  <c r="H6037" i="1"/>
  <c r="I6037" i="1"/>
  <c r="J6037" i="1"/>
  <c r="K6037" i="1"/>
  <c r="H6038" i="1"/>
  <c r="I6038" i="1"/>
  <c r="J6038" i="1"/>
  <c r="K6038" i="1"/>
  <c r="H6039" i="1"/>
  <c r="I6039" i="1"/>
  <c r="J6039" i="1"/>
  <c r="K6039" i="1"/>
  <c r="H6040" i="1"/>
  <c r="I6040" i="1"/>
  <c r="J6040" i="1"/>
  <c r="K6040" i="1"/>
  <c r="H6041" i="1"/>
  <c r="I6041" i="1"/>
  <c r="J6041" i="1"/>
  <c r="K6041" i="1"/>
  <c r="H6042" i="1"/>
  <c r="I6042" i="1"/>
  <c r="J6042" i="1"/>
  <c r="K6042" i="1"/>
  <c r="H6043" i="1"/>
  <c r="I6043" i="1"/>
  <c r="J6043" i="1"/>
  <c r="K6043" i="1"/>
  <c r="H6044" i="1"/>
  <c r="I6044" i="1"/>
  <c r="J6044" i="1"/>
  <c r="K6044" i="1"/>
  <c r="H6045" i="1"/>
  <c r="I6045" i="1"/>
  <c r="J6045" i="1"/>
  <c r="K6045" i="1"/>
  <c r="H6046" i="1"/>
  <c r="I6046" i="1"/>
  <c r="J6046" i="1"/>
  <c r="K6046" i="1"/>
  <c r="H6047" i="1"/>
  <c r="I6047" i="1"/>
  <c r="J6047" i="1"/>
  <c r="K6047" i="1"/>
  <c r="H6048" i="1"/>
  <c r="I6048" i="1"/>
  <c r="J6048" i="1"/>
  <c r="K6048" i="1"/>
  <c r="H6049" i="1"/>
  <c r="I6049" i="1"/>
  <c r="J6049" i="1"/>
  <c r="K6049" i="1"/>
  <c r="H6050" i="1"/>
  <c r="I6050" i="1"/>
  <c r="J6050" i="1"/>
  <c r="K6050" i="1"/>
  <c r="H6051" i="1"/>
  <c r="I6051" i="1"/>
  <c r="J6051" i="1"/>
  <c r="K6051" i="1"/>
  <c r="H6052" i="1"/>
  <c r="I6052" i="1"/>
  <c r="J6052" i="1"/>
  <c r="K6052" i="1"/>
  <c r="H6053" i="1"/>
  <c r="I6053" i="1"/>
  <c r="J6053" i="1"/>
  <c r="K6053" i="1"/>
  <c r="H6054" i="1"/>
  <c r="I6054" i="1"/>
  <c r="J6054" i="1"/>
  <c r="K6054" i="1"/>
  <c r="H6055" i="1"/>
  <c r="I6055" i="1"/>
  <c r="J6055" i="1"/>
  <c r="K6055" i="1"/>
  <c r="H6056" i="1"/>
  <c r="I6056" i="1"/>
  <c r="J6056" i="1"/>
  <c r="K6056" i="1"/>
  <c r="H6057" i="1"/>
  <c r="I6057" i="1"/>
  <c r="J6057" i="1"/>
  <c r="K6057" i="1"/>
  <c r="H6058" i="1"/>
  <c r="I6058" i="1"/>
  <c r="J6058" i="1"/>
  <c r="K6058" i="1"/>
  <c r="H6059" i="1"/>
  <c r="I6059" i="1"/>
  <c r="J6059" i="1"/>
  <c r="K6059" i="1"/>
  <c r="H6060" i="1"/>
  <c r="I6060" i="1"/>
  <c r="J6060" i="1"/>
  <c r="K6060" i="1"/>
  <c r="H6061" i="1"/>
  <c r="I6061" i="1"/>
  <c r="J6061" i="1"/>
  <c r="K6061" i="1"/>
  <c r="H6062" i="1"/>
  <c r="I6062" i="1"/>
  <c r="J6062" i="1"/>
  <c r="K6062" i="1"/>
  <c r="H6063" i="1"/>
  <c r="I6063" i="1"/>
  <c r="J6063" i="1"/>
  <c r="K6063" i="1"/>
  <c r="H6064" i="1"/>
  <c r="I6064" i="1"/>
  <c r="J6064" i="1"/>
  <c r="K6064" i="1"/>
  <c r="H6065" i="1"/>
  <c r="I6065" i="1"/>
  <c r="J6065" i="1"/>
  <c r="K6065" i="1"/>
  <c r="H6066" i="1"/>
  <c r="I6066" i="1"/>
  <c r="J6066" i="1"/>
  <c r="K6066" i="1"/>
  <c r="H6067" i="1"/>
  <c r="I6067" i="1"/>
  <c r="J6067" i="1"/>
  <c r="K6067" i="1"/>
  <c r="H6068" i="1"/>
  <c r="I6068" i="1"/>
  <c r="J6068" i="1"/>
  <c r="K6068" i="1"/>
  <c r="H6069" i="1"/>
  <c r="I6069" i="1"/>
  <c r="J6069" i="1"/>
  <c r="K6069" i="1"/>
  <c r="H6070" i="1"/>
  <c r="I6070" i="1"/>
  <c r="J6070" i="1"/>
  <c r="K6070" i="1"/>
  <c r="H6071" i="1"/>
  <c r="I6071" i="1"/>
  <c r="J6071" i="1"/>
  <c r="K6071" i="1"/>
  <c r="H6072" i="1"/>
  <c r="I6072" i="1"/>
  <c r="J6072" i="1"/>
  <c r="K6072" i="1"/>
  <c r="H6073" i="1"/>
  <c r="I6073" i="1"/>
  <c r="J6073" i="1"/>
  <c r="K6073" i="1"/>
  <c r="H6074" i="1"/>
  <c r="I6074" i="1"/>
  <c r="J6074" i="1"/>
  <c r="K6074" i="1"/>
  <c r="H6075" i="1"/>
  <c r="I6075" i="1"/>
  <c r="J6075" i="1"/>
  <c r="K6075" i="1"/>
  <c r="H6076" i="1"/>
  <c r="I6076" i="1"/>
  <c r="J6076" i="1"/>
  <c r="K6076" i="1"/>
  <c r="H6077" i="1"/>
  <c r="I6077" i="1"/>
  <c r="J6077" i="1"/>
  <c r="K6077" i="1"/>
  <c r="H6078" i="1"/>
  <c r="I6078" i="1"/>
  <c r="J6078" i="1"/>
  <c r="K6078" i="1"/>
  <c r="H6079" i="1"/>
  <c r="I6079" i="1"/>
  <c r="J6079" i="1"/>
  <c r="K6079" i="1"/>
  <c r="H6080" i="1"/>
  <c r="I6080" i="1"/>
  <c r="J6080" i="1"/>
  <c r="K6080" i="1"/>
  <c r="H6081" i="1"/>
  <c r="I6081" i="1"/>
  <c r="J6081" i="1"/>
  <c r="K6081" i="1"/>
  <c r="H6082" i="1"/>
  <c r="I6082" i="1"/>
  <c r="J6082" i="1"/>
  <c r="K6082" i="1"/>
  <c r="H6083" i="1"/>
  <c r="I6083" i="1"/>
  <c r="J6083" i="1"/>
  <c r="K6083" i="1"/>
  <c r="H6084" i="1"/>
  <c r="I6084" i="1"/>
  <c r="J6084" i="1"/>
  <c r="K6084" i="1"/>
  <c r="H6085" i="1"/>
  <c r="I6085" i="1"/>
  <c r="J6085" i="1"/>
  <c r="K6085" i="1"/>
  <c r="H6086" i="1"/>
  <c r="I6086" i="1"/>
  <c r="J6086" i="1"/>
  <c r="K6086" i="1"/>
  <c r="H6087" i="1"/>
  <c r="I6087" i="1"/>
  <c r="J6087" i="1"/>
  <c r="K6087" i="1"/>
  <c r="H6088" i="1"/>
  <c r="I6088" i="1"/>
  <c r="J6088" i="1"/>
  <c r="K6088" i="1"/>
  <c r="H6089" i="1"/>
  <c r="I6089" i="1"/>
  <c r="J6089" i="1"/>
  <c r="K6089" i="1"/>
  <c r="H6090" i="1"/>
  <c r="I6090" i="1"/>
  <c r="J6090" i="1"/>
  <c r="K6090" i="1"/>
  <c r="H6091" i="1"/>
  <c r="I6091" i="1"/>
  <c r="J6091" i="1"/>
  <c r="K6091" i="1"/>
  <c r="H6092" i="1"/>
  <c r="I6092" i="1"/>
  <c r="J6092" i="1"/>
  <c r="K6092" i="1"/>
  <c r="H6093" i="1"/>
  <c r="I6093" i="1"/>
  <c r="J6093" i="1"/>
  <c r="K6093" i="1"/>
  <c r="H6094" i="1"/>
  <c r="I6094" i="1"/>
  <c r="J6094" i="1"/>
  <c r="K6094" i="1"/>
  <c r="H6095" i="1"/>
  <c r="I6095" i="1"/>
  <c r="J6095" i="1"/>
  <c r="K6095" i="1"/>
  <c r="H6096" i="1"/>
  <c r="I6096" i="1"/>
  <c r="J6096" i="1"/>
  <c r="K6096" i="1"/>
  <c r="H6097" i="1"/>
  <c r="I6097" i="1"/>
  <c r="J6097" i="1"/>
  <c r="K6097" i="1"/>
  <c r="H6098" i="1"/>
  <c r="I6098" i="1"/>
  <c r="J6098" i="1"/>
  <c r="K6098" i="1"/>
  <c r="H6099" i="1"/>
  <c r="I6099" i="1"/>
  <c r="J6099" i="1"/>
  <c r="K6099" i="1"/>
  <c r="H6100" i="1"/>
  <c r="I6100" i="1"/>
  <c r="J6100" i="1"/>
  <c r="K6100" i="1"/>
  <c r="H6101" i="1"/>
  <c r="I6101" i="1"/>
  <c r="J6101" i="1"/>
  <c r="K6101" i="1"/>
  <c r="H6102" i="1"/>
  <c r="I6102" i="1"/>
  <c r="J6102" i="1"/>
  <c r="K6102" i="1"/>
  <c r="H6103" i="1"/>
  <c r="I6103" i="1"/>
  <c r="J6103" i="1"/>
  <c r="K6103" i="1"/>
  <c r="H6104" i="1"/>
  <c r="I6104" i="1"/>
  <c r="J6104" i="1"/>
  <c r="K6104" i="1"/>
  <c r="H6105" i="1"/>
  <c r="I6105" i="1"/>
  <c r="J6105" i="1"/>
  <c r="K6105" i="1"/>
  <c r="H6106" i="1"/>
  <c r="I6106" i="1"/>
  <c r="J6106" i="1"/>
  <c r="K6106" i="1"/>
  <c r="H6107" i="1"/>
  <c r="I6107" i="1"/>
  <c r="J6107" i="1"/>
  <c r="K6107" i="1"/>
  <c r="H6108" i="1"/>
  <c r="I6108" i="1"/>
  <c r="J6108" i="1"/>
  <c r="K6108" i="1"/>
  <c r="H6109" i="1"/>
  <c r="I6109" i="1"/>
  <c r="J6109" i="1"/>
  <c r="K6109" i="1"/>
  <c r="H6110" i="1"/>
  <c r="I6110" i="1"/>
  <c r="J6110" i="1"/>
  <c r="K6110" i="1"/>
  <c r="H6111" i="1"/>
  <c r="I6111" i="1"/>
  <c r="J6111" i="1"/>
  <c r="K6111" i="1"/>
  <c r="H6112" i="1"/>
  <c r="I6112" i="1"/>
  <c r="J6112" i="1"/>
  <c r="K6112" i="1"/>
  <c r="H6113" i="1"/>
  <c r="I6113" i="1"/>
  <c r="J6113" i="1"/>
  <c r="K6113" i="1"/>
  <c r="H6114" i="1"/>
  <c r="I6114" i="1"/>
  <c r="J6114" i="1"/>
  <c r="K6114" i="1"/>
  <c r="H6115" i="1"/>
  <c r="I6115" i="1"/>
  <c r="J6115" i="1"/>
  <c r="K6115" i="1"/>
  <c r="H6116" i="1"/>
  <c r="I6116" i="1"/>
  <c r="J6116" i="1"/>
  <c r="K6116" i="1"/>
  <c r="H6117" i="1"/>
  <c r="I6117" i="1"/>
  <c r="J6117" i="1"/>
  <c r="K6117" i="1"/>
  <c r="H6118" i="1"/>
  <c r="I6118" i="1"/>
  <c r="J6118" i="1"/>
  <c r="K6118" i="1"/>
  <c r="H6119" i="1"/>
  <c r="I6119" i="1"/>
  <c r="J6119" i="1"/>
  <c r="K6119" i="1"/>
  <c r="H6120" i="1"/>
  <c r="I6120" i="1"/>
  <c r="J6120" i="1"/>
  <c r="K6120" i="1"/>
  <c r="H6121" i="1"/>
  <c r="I6121" i="1"/>
  <c r="J6121" i="1"/>
  <c r="K6121" i="1"/>
  <c r="H6122" i="1"/>
  <c r="I6122" i="1"/>
  <c r="J6122" i="1"/>
  <c r="K6122" i="1"/>
  <c r="H6123" i="1"/>
  <c r="I6123" i="1"/>
  <c r="J6123" i="1"/>
  <c r="K6123" i="1"/>
  <c r="H6124" i="1"/>
  <c r="I6124" i="1"/>
  <c r="J6124" i="1"/>
  <c r="K6124" i="1"/>
  <c r="H6125" i="1"/>
  <c r="I6125" i="1"/>
  <c r="J6125" i="1"/>
  <c r="K6125" i="1"/>
  <c r="H6126" i="1"/>
  <c r="I6126" i="1"/>
  <c r="J6126" i="1"/>
  <c r="K6126" i="1"/>
  <c r="H6127" i="1"/>
  <c r="I6127" i="1"/>
  <c r="J6127" i="1"/>
  <c r="K6127" i="1"/>
  <c r="H6128" i="1"/>
  <c r="I6128" i="1"/>
  <c r="J6128" i="1"/>
  <c r="K6128" i="1"/>
  <c r="H6129" i="1"/>
  <c r="I6129" i="1"/>
  <c r="J6129" i="1"/>
  <c r="K6129" i="1"/>
  <c r="H6130" i="1"/>
  <c r="I6130" i="1"/>
  <c r="J6130" i="1"/>
  <c r="K6130" i="1"/>
  <c r="H6131" i="1"/>
  <c r="I6131" i="1"/>
  <c r="J6131" i="1"/>
  <c r="K6131" i="1"/>
  <c r="H6132" i="1"/>
  <c r="I6132" i="1"/>
  <c r="J6132" i="1"/>
  <c r="K6132" i="1"/>
  <c r="H6133" i="1"/>
  <c r="I6133" i="1"/>
  <c r="J6133" i="1"/>
  <c r="K6133" i="1"/>
  <c r="H6134" i="1"/>
  <c r="I6134" i="1"/>
  <c r="J6134" i="1"/>
  <c r="K6134" i="1"/>
  <c r="H6135" i="1"/>
  <c r="I6135" i="1"/>
  <c r="J6135" i="1"/>
  <c r="K6135" i="1"/>
  <c r="H6136" i="1"/>
  <c r="I6136" i="1"/>
  <c r="J6136" i="1"/>
  <c r="K6136" i="1"/>
  <c r="H6137" i="1"/>
  <c r="I6137" i="1"/>
  <c r="J6137" i="1"/>
  <c r="K6137" i="1"/>
  <c r="H6138" i="1"/>
  <c r="I6138" i="1"/>
  <c r="J6138" i="1"/>
  <c r="K6138" i="1"/>
  <c r="H6139" i="1"/>
  <c r="I6139" i="1"/>
  <c r="J6139" i="1"/>
  <c r="K6139" i="1"/>
  <c r="H6140" i="1"/>
  <c r="I6140" i="1"/>
  <c r="J6140" i="1"/>
  <c r="K6140" i="1"/>
  <c r="H6141" i="1"/>
  <c r="I6141" i="1"/>
  <c r="J6141" i="1"/>
  <c r="K6141" i="1"/>
  <c r="H6142" i="1"/>
  <c r="I6142" i="1"/>
  <c r="J6142" i="1"/>
  <c r="K6142" i="1"/>
  <c r="H6143" i="1"/>
  <c r="I6143" i="1"/>
  <c r="J6143" i="1"/>
  <c r="K6143" i="1"/>
  <c r="H6144" i="1"/>
  <c r="I6144" i="1"/>
  <c r="J6144" i="1"/>
  <c r="K6144" i="1"/>
  <c r="H6145" i="1"/>
  <c r="I6145" i="1"/>
  <c r="J6145" i="1"/>
  <c r="K6145" i="1"/>
  <c r="H6146" i="1"/>
  <c r="I6146" i="1"/>
  <c r="J6146" i="1"/>
  <c r="K6146" i="1"/>
  <c r="H6147" i="1"/>
  <c r="I6147" i="1"/>
  <c r="J6147" i="1"/>
  <c r="K6147" i="1"/>
  <c r="H6148" i="1"/>
  <c r="I6148" i="1"/>
  <c r="J6148" i="1"/>
  <c r="K6148" i="1"/>
  <c r="H6149" i="1"/>
  <c r="I6149" i="1"/>
  <c r="J6149" i="1"/>
  <c r="K6149" i="1"/>
  <c r="H6150" i="1"/>
  <c r="I6150" i="1"/>
  <c r="J6150" i="1"/>
  <c r="K6150" i="1"/>
  <c r="H6151" i="1"/>
  <c r="I6151" i="1"/>
  <c r="J6151" i="1"/>
  <c r="K6151" i="1"/>
  <c r="H6152" i="1"/>
  <c r="I6152" i="1"/>
  <c r="J6152" i="1"/>
  <c r="K6152" i="1"/>
  <c r="H6153" i="1"/>
  <c r="I6153" i="1"/>
  <c r="J6153" i="1"/>
  <c r="K6153" i="1"/>
  <c r="H6154" i="1"/>
  <c r="I6154" i="1"/>
  <c r="J6154" i="1"/>
  <c r="K6154" i="1"/>
  <c r="H6155" i="1"/>
  <c r="I6155" i="1"/>
  <c r="J6155" i="1"/>
  <c r="K6155" i="1"/>
  <c r="H6156" i="1"/>
  <c r="I6156" i="1"/>
  <c r="J6156" i="1"/>
  <c r="K6156" i="1"/>
  <c r="H6157" i="1"/>
  <c r="I6157" i="1"/>
  <c r="J6157" i="1"/>
  <c r="K6157" i="1"/>
  <c r="H6158" i="1"/>
  <c r="I6158" i="1"/>
  <c r="J6158" i="1"/>
  <c r="K6158" i="1"/>
  <c r="H6159" i="1"/>
  <c r="I6159" i="1"/>
  <c r="J6159" i="1"/>
  <c r="K6159" i="1"/>
  <c r="H6160" i="1"/>
  <c r="I6160" i="1"/>
  <c r="J6160" i="1"/>
  <c r="K6160" i="1"/>
  <c r="H6161" i="1"/>
  <c r="I6161" i="1"/>
  <c r="J6161" i="1"/>
  <c r="K6161" i="1"/>
  <c r="H6162" i="1"/>
  <c r="I6162" i="1"/>
  <c r="J6162" i="1"/>
  <c r="K6162" i="1"/>
  <c r="H6163" i="1"/>
  <c r="I6163" i="1"/>
  <c r="J6163" i="1"/>
  <c r="K6163" i="1"/>
  <c r="H6164" i="1"/>
  <c r="I6164" i="1"/>
  <c r="J6164" i="1"/>
  <c r="K6164" i="1"/>
  <c r="H6165" i="1"/>
  <c r="I6165" i="1"/>
  <c r="J6165" i="1"/>
  <c r="K6165" i="1"/>
  <c r="H6166" i="1"/>
  <c r="I6166" i="1"/>
  <c r="J6166" i="1"/>
  <c r="K6166" i="1"/>
  <c r="H6167" i="1"/>
  <c r="I6167" i="1"/>
  <c r="J6167" i="1"/>
  <c r="K6167" i="1"/>
  <c r="H6168" i="1"/>
  <c r="I6168" i="1"/>
  <c r="J6168" i="1"/>
  <c r="K6168" i="1"/>
  <c r="H6169" i="1"/>
  <c r="I6169" i="1"/>
  <c r="J6169" i="1"/>
  <c r="K6169" i="1"/>
  <c r="H6170" i="1"/>
  <c r="I6170" i="1"/>
  <c r="J6170" i="1"/>
  <c r="K6170" i="1"/>
  <c r="H6171" i="1"/>
  <c r="I6171" i="1"/>
  <c r="J6171" i="1"/>
  <c r="K6171" i="1"/>
  <c r="H6172" i="1"/>
  <c r="I6172" i="1"/>
  <c r="J6172" i="1"/>
  <c r="K6172" i="1"/>
  <c r="H6173" i="1"/>
  <c r="I6173" i="1"/>
  <c r="J6173" i="1"/>
  <c r="K6173" i="1"/>
  <c r="H6174" i="1"/>
  <c r="I6174" i="1"/>
  <c r="J6174" i="1"/>
  <c r="K6174" i="1"/>
  <c r="H6175" i="1"/>
  <c r="I6175" i="1"/>
  <c r="J6175" i="1"/>
  <c r="K6175" i="1"/>
  <c r="H6176" i="1"/>
  <c r="I6176" i="1"/>
  <c r="J6176" i="1"/>
  <c r="K6176" i="1"/>
  <c r="H6177" i="1"/>
  <c r="I6177" i="1"/>
  <c r="J6177" i="1"/>
  <c r="K6177" i="1"/>
  <c r="H6178" i="1"/>
  <c r="I6178" i="1"/>
  <c r="J6178" i="1"/>
  <c r="K6178" i="1"/>
  <c r="H6179" i="1"/>
  <c r="I6179" i="1"/>
  <c r="J6179" i="1"/>
  <c r="K6179" i="1"/>
  <c r="H6180" i="1"/>
  <c r="I6180" i="1"/>
  <c r="J6180" i="1"/>
  <c r="K6180" i="1"/>
  <c r="H6181" i="1"/>
  <c r="I6181" i="1"/>
  <c r="J6181" i="1"/>
  <c r="K6181" i="1"/>
  <c r="H6182" i="1"/>
  <c r="I6182" i="1"/>
  <c r="J6182" i="1"/>
  <c r="K6182" i="1"/>
  <c r="H6183" i="1"/>
  <c r="I6183" i="1"/>
  <c r="J6183" i="1"/>
  <c r="K6183" i="1"/>
  <c r="H6184" i="1"/>
  <c r="I6184" i="1"/>
  <c r="J6184" i="1"/>
  <c r="K6184" i="1"/>
  <c r="H6185" i="1"/>
  <c r="I6185" i="1"/>
  <c r="J6185" i="1"/>
  <c r="K6185" i="1"/>
  <c r="H6186" i="1"/>
  <c r="I6186" i="1"/>
  <c r="J6186" i="1"/>
  <c r="K6186" i="1"/>
  <c r="H6187" i="1"/>
  <c r="I6187" i="1"/>
  <c r="J6187" i="1"/>
  <c r="K6187" i="1"/>
  <c r="H6188" i="1"/>
  <c r="I6188" i="1"/>
  <c r="J6188" i="1"/>
  <c r="K6188" i="1"/>
  <c r="H6189" i="1"/>
  <c r="I6189" i="1"/>
  <c r="J6189" i="1"/>
  <c r="K6189" i="1"/>
  <c r="H6190" i="1"/>
  <c r="I6190" i="1"/>
  <c r="J6190" i="1"/>
  <c r="K6190" i="1"/>
  <c r="H6191" i="1"/>
  <c r="I6191" i="1"/>
  <c r="J6191" i="1"/>
  <c r="K6191" i="1"/>
  <c r="H6192" i="1"/>
  <c r="I6192" i="1"/>
  <c r="J6192" i="1"/>
  <c r="K6192" i="1"/>
  <c r="H6193" i="1"/>
  <c r="I6193" i="1"/>
  <c r="J6193" i="1"/>
  <c r="K6193" i="1"/>
  <c r="H6194" i="1"/>
  <c r="I6194" i="1"/>
  <c r="J6194" i="1"/>
  <c r="K6194" i="1"/>
  <c r="H6195" i="1"/>
  <c r="I6195" i="1"/>
  <c r="J6195" i="1"/>
  <c r="K6195" i="1"/>
  <c r="H6196" i="1"/>
  <c r="I6196" i="1"/>
  <c r="J6196" i="1"/>
  <c r="K6196" i="1"/>
  <c r="H6197" i="1"/>
  <c r="I6197" i="1"/>
  <c r="J6197" i="1"/>
  <c r="K6197" i="1"/>
  <c r="H6198" i="1"/>
  <c r="I6198" i="1"/>
  <c r="J6198" i="1"/>
  <c r="K6198" i="1"/>
  <c r="H6199" i="1"/>
  <c r="I6199" i="1"/>
  <c r="J6199" i="1"/>
  <c r="K6199" i="1"/>
  <c r="H6200" i="1"/>
  <c r="I6200" i="1"/>
  <c r="J6200" i="1"/>
  <c r="K6200" i="1"/>
  <c r="H6201" i="1"/>
  <c r="I6201" i="1"/>
  <c r="J6201" i="1"/>
  <c r="K6201" i="1"/>
  <c r="H6202" i="1"/>
  <c r="I6202" i="1"/>
  <c r="J6202" i="1"/>
  <c r="K6202" i="1"/>
  <c r="H6203" i="1"/>
  <c r="I6203" i="1"/>
  <c r="J6203" i="1"/>
  <c r="K6203" i="1"/>
  <c r="H6204" i="1"/>
  <c r="I6204" i="1"/>
  <c r="J6204" i="1"/>
  <c r="K6204" i="1"/>
  <c r="H6205" i="1"/>
  <c r="I6205" i="1"/>
  <c r="J6205" i="1"/>
  <c r="K6205" i="1"/>
  <c r="H6206" i="1"/>
  <c r="I6206" i="1"/>
  <c r="J6206" i="1"/>
  <c r="K6206" i="1"/>
  <c r="H6207" i="1"/>
  <c r="I6207" i="1"/>
  <c r="J6207" i="1"/>
  <c r="K6207" i="1"/>
  <c r="H6208" i="1"/>
  <c r="I6208" i="1"/>
  <c r="J6208" i="1"/>
  <c r="K6208" i="1"/>
  <c r="H6209" i="1"/>
  <c r="I6209" i="1"/>
  <c r="J6209" i="1"/>
  <c r="K6209" i="1"/>
  <c r="H6210" i="1"/>
  <c r="I6210" i="1"/>
  <c r="J6210" i="1"/>
  <c r="K6210" i="1"/>
  <c r="H6211" i="1"/>
  <c r="I6211" i="1"/>
  <c r="J6211" i="1"/>
  <c r="K6211" i="1"/>
  <c r="H6212" i="1"/>
  <c r="I6212" i="1"/>
  <c r="J6212" i="1"/>
  <c r="K6212" i="1"/>
  <c r="H6213" i="1"/>
  <c r="I6213" i="1"/>
  <c r="J6213" i="1"/>
  <c r="K6213" i="1"/>
  <c r="H6214" i="1"/>
  <c r="I6214" i="1"/>
  <c r="J6214" i="1"/>
  <c r="K6214" i="1"/>
  <c r="H6215" i="1"/>
  <c r="I6215" i="1"/>
  <c r="J6215" i="1"/>
  <c r="K6215" i="1"/>
  <c r="H6216" i="1"/>
  <c r="I6216" i="1"/>
  <c r="J6216" i="1"/>
  <c r="K6216" i="1"/>
  <c r="H6217" i="1"/>
  <c r="I6217" i="1"/>
  <c r="J6217" i="1"/>
  <c r="K6217" i="1"/>
  <c r="H6218" i="1"/>
  <c r="I6218" i="1"/>
  <c r="J6218" i="1"/>
  <c r="K6218" i="1"/>
  <c r="H6219" i="1"/>
  <c r="I6219" i="1"/>
  <c r="J6219" i="1"/>
  <c r="K6219" i="1"/>
  <c r="H6220" i="1"/>
  <c r="I6220" i="1"/>
  <c r="J6220" i="1"/>
  <c r="K6220" i="1"/>
  <c r="H6221" i="1"/>
  <c r="I6221" i="1"/>
  <c r="J6221" i="1"/>
  <c r="K6221" i="1"/>
  <c r="H6222" i="1"/>
  <c r="I6222" i="1"/>
  <c r="J6222" i="1"/>
  <c r="K6222" i="1"/>
  <c r="H6223" i="1"/>
  <c r="I6223" i="1"/>
  <c r="J6223" i="1"/>
  <c r="K6223" i="1"/>
  <c r="H6224" i="1"/>
  <c r="I6224" i="1"/>
  <c r="J6224" i="1"/>
  <c r="K6224" i="1"/>
  <c r="H6225" i="1"/>
  <c r="I6225" i="1"/>
  <c r="J6225" i="1"/>
  <c r="K6225" i="1"/>
  <c r="H6226" i="1"/>
  <c r="I6226" i="1"/>
  <c r="J6226" i="1"/>
  <c r="K6226" i="1"/>
  <c r="H6227" i="1"/>
  <c r="I6227" i="1"/>
  <c r="J6227" i="1"/>
  <c r="K6227" i="1"/>
  <c r="H6228" i="1"/>
  <c r="I6228" i="1"/>
  <c r="J6228" i="1"/>
  <c r="K6228" i="1"/>
  <c r="H6229" i="1"/>
  <c r="I6229" i="1"/>
  <c r="J6229" i="1"/>
  <c r="K6229" i="1"/>
  <c r="H6230" i="1"/>
  <c r="I6230" i="1"/>
  <c r="J6230" i="1"/>
  <c r="K6230" i="1"/>
  <c r="H6231" i="1"/>
  <c r="I6231" i="1"/>
  <c r="J6231" i="1"/>
  <c r="K6231" i="1"/>
  <c r="H6232" i="1"/>
  <c r="I6232" i="1"/>
  <c r="J6232" i="1"/>
  <c r="K6232" i="1"/>
  <c r="H6233" i="1"/>
  <c r="I6233" i="1"/>
  <c r="J6233" i="1"/>
  <c r="K6233" i="1"/>
  <c r="H6234" i="1"/>
  <c r="I6234" i="1"/>
  <c r="J6234" i="1"/>
  <c r="K6234" i="1"/>
  <c r="H6235" i="1"/>
  <c r="I6235" i="1"/>
  <c r="J6235" i="1"/>
  <c r="K6235" i="1"/>
  <c r="H6236" i="1"/>
  <c r="I6236" i="1"/>
  <c r="J6236" i="1"/>
  <c r="K6236" i="1"/>
  <c r="H6237" i="1"/>
  <c r="I6237" i="1"/>
  <c r="J6237" i="1"/>
  <c r="K6237" i="1"/>
  <c r="H6238" i="1"/>
  <c r="I6238" i="1"/>
  <c r="J6238" i="1"/>
  <c r="K6238" i="1"/>
  <c r="H6239" i="1"/>
  <c r="I6239" i="1"/>
  <c r="J6239" i="1"/>
  <c r="K6239" i="1"/>
  <c r="H6240" i="1"/>
  <c r="I6240" i="1"/>
  <c r="J6240" i="1"/>
  <c r="K6240" i="1"/>
  <c r="H6241" i="1"/>
  <c r="I6241" i="1"/>
  <c r="J6241" i="1"/>
  <c r="K6241" i="1"/>
  <c r="H6242" i="1"/>
  <c r="I6242" i="1"/>
  <c r="J6242" i="1"/>
  <c r="K6242" i="1"/>
  <c r="H6243" i="1"/>
  <c r="I6243" i="1"/>
  <c r="J6243" i="1"/>
  <c r="K6243" i="1"/>
  <c r="H6244" i="1"/>
  <c r="I6244" i="1"/>
  <c r="J6244" i="1"/>
  <c r="K6244" i="1"/>
  <c r="H6245" i="1"/>
  <c r="I6245" i="1"/>
  <c r="J6245" i="1"/>
  <c r="K6245" i="1"/>
  <c r="H6246" i="1"/>
  <c r="I6246" i="1"/>
  <c r="J6246" i="1"/>
  <c r="K6246" i="1"/>
  <c r="H6247" i="1"/>
  <c r="I6247" i="1"/>
  <c r="J6247" i="1"/>
  <c r="K6247" i="1"/>
  <c r="H6248" i="1"/>
  <c r="I6248" i="1"/>
  <c r="J6248" i="1"/>
  <c r="K6248" i="1"/>
  <c r="H6249" i="1"/>
  <c r="I6249" i="1"/>
  <c r="J6249" i="1"/>
  <c r="K6249" i="1"/>
  <c r="H6250" i="1"/>
  <c r="I6250" i="1"/>
  <c r="J6250" i="1"/>
  <c r="K6250" i="1"/>
  <c r="H6251" i="1"/>
  <c r="I6251" i="1"/>
  <c r="J6251" i="1"/>
  <c r="K6251" i="1"/>
  <c r="H6252" i="1"/>
  <c r="I6252" i="1"/>
  <c r="J6252" i="1"/>
  <c r="K6252" i="1"/>
  <c r="H6253" i="1"/>
  <c r="I6253" i="1"/>
  <c r="J6253" i="1"/>
  <c r="K6253" i="1"/>
  <c r="H6254" i="1"/>
  <c r="I6254" i="1"/>
  <c r="J6254" i="1"/>
  <c r="K6254" i="1"/>
  <c r="H6255" i="1"/>
  <c r="I6255" i="1"/>
  <c r="J6255" i="1"/>
  <c r="K6255" i="1"/>
  <c r="H6256" i="1"/>
  <c r="I6256" i="1"/>
  <c r="J6256" i="1"/>
  <c r="K6256" i="1"/>
  <c r="H6257" i="1"/>
  <c r="I6257" i="1"/>
  <c r="J6257" i="1"/>
  <c r="K6257" i="1"/>
  <c r="H6258" i="1"/>
  <c r="I6258" i="1"/>
  <c r="J6258" i="1"/>
  <c r="K6258" i="1"/>
  <c r="H6259" i="1"/>
  <c r="I6259" i="1"/>
  <c r="J6259" i="1"/>
  <c r="K6259" i="1"/>
  <c r="H6260" i="1"/>
  <c r="I6260" i="1"/>
  <c r="J6260" i="1"/>
  <c r="K6260" i="1"/>
  <c r="H6261" i="1"/>
  <c r="I6261" i="1"/>
  <c r="J6261" i="1"/>
  <c r="K6261" i="1"/>
  <c r="H6262" i="1"/>
  <c r="I6262" i="1"/>
  <c r="J6262" i="1"/>
  <c r="K6262" i="1"/>
  <c r="H6263" i="1"/>
  <c r="I6263" i="1"/>
  <c r="J6263" i="1"/>
  <c r="K6263" i="1"/>
  <c r="H6264" i="1"/>
  <c r="I6264" i="1"/>
  <c r="J6264" i="1"/>
  <c r="K6264" i="1"/>
  <c r="H6265" i="1"/>
  <c r="I6265" i="1"/>
  <c r="J6265" i="1"/>
  <c r="K6265" i="1"/>
  <c r="H6266" i="1"/>
  <c r="I6266" i="1"/>
  <c r="J6266" i="1"/>
  <c r="K6266" i="1"/>
  <c r="H6267" i="1"/>
  <c r="I6267" i="1"/>
  <c r="J6267" i="1"/>
  <c r="K6267" i="1"/>
  <c r="H6268" i="1"/>
  <c r="I6268" i="1"/>
  <c r="J6268" i="1"/>
  <c r="K6268" i="1"/>
  <c r="H6269" i="1"/>
  <c r="I6269" i="1"/>
  <c r="J6269" i="1"/>
  <c r="K6269" i="1"/>
  <c r="H6270" i="1"/>
  <c r="I6270" i="1"/>
  <c r="J6270" i="1"/>
  <c r="K6270" i="1"/>
  <c r="H6271" i="1"/>
  <c r="I6271" i="1"/>
  <c r="J6271" i="1"/>
  <c r="K6271" i="1"/>
  <c r="H6272" i="1"/>
  <c r="I6272" i="1"/>
  <c r="J6272" i="1"/>
  <c r="K6272" i="1"/>
  <c r="H6273" i="1"/>
  <c r="I6273" i="1"/>
  <c r="J6273" i="1"/>
  <c r="K6273" i="1"/>
  <c r="H6274" i="1"/>
  <c r="I6274" i="1"/>
  <c r="J6274" i="1"/>
  <c r="K6274" i="1"/>
  <c r="H6275" i="1"/>
  <c r="I6275" i="1"/>
  <c r="J6275" i="1"/>
  <c r="K6275" i="1"/>
  <c r="H6276" i="1"/>
  <c r="I6276" i="1"/>
  <c r="J6276" i="1"/>
  <c r="K6276" i="1"/>
  <c r="H6277" i="1"/>
  <c r="I6277" i="1"/>
  <c r="J6277" i="1"/>
  <c r="K6277" i="1"/>
  <c r="H6278" i="1"/>
  <c r="I6278" i="1"/>
  <c r="J6278" i="1"/>
  <c r="K6278" i="1"/>
  <c r="H6279" i="1"/>
  <c r="I6279" i="1"/>
  <c r="J6279" i="1"/>
  <c r="K6279" i="1"/>
  <c r="H6280" i="1"/>
  <c r="I6280" i="1"/>
  <c r="J6280" i="1"/>
  <c r="K6280" i="1"/>
  <c r="H6281" i="1"/>
  <c r="I6281" i="1"/>
  <c r="J6281" i="1"/>
  <c r="K6281" i="1"/>
  <c r="H6282" i="1"/>
  <c r="I6282" i="1"/>
  <c r="J6282" i="1"/>
  <c r="K6282" i="1"/>
  <c r="H6283" i="1"/>
  <c r="I6283" i="1"/>
  <c r="J6283" i="1"/>
  <c r="K6283" i="1"/>
  <c r="H6284" i="1"/>
  <c r="I6284" i="1"/>
  <c r="J6284" i="1"/>
  <c r="K6284" i="1"/>
  <c r="H6285" i="1"/>
  <c r="I6285" i="1"/>
  <c r="J6285" i="1"/>
  <c r="K6285" i="1"/>
  <c r="H6286" i="1"/>
  <c r="I6286" i="1"/>
  <c r="J6286" i="1"/>
  <c r="K6286" i="1"/>
  <c r="H6287" i="1"/>
  <c r="I6287" i="1"/>
  <c r="J6287" i="1"/>
  <c r="K6287" i="1"/>
  <c r="H6288" i="1"/>
  <c r="I6288" i="1"/>
  <c r="J6288" i="1"/>
  <c r="K6288" i="1"/>
  <c r="H6289" i="1"/>
  <c r="I6289" i="1"/>
  <c r="J6289" i="1"/>
  <c r="K6289" i="1"/>
  <c r="H6290" i="1"/>
  <c r="I6290" i="1"/>
  <c r="J6290" i="1"/>
  <c r="K6290" i="1"/>
  <c r="H6291" i="1"/>
  <c r="I6291" i="1"/>
  <c r="J6291" i="1"/>
  <c r="K6291" i="1"/>
  <c r="H6292" i="1"/>
  <c r="I6292" i="1"/>
  <c r="J6292" i="1"/>
  <c r="K6292" i="1"/>
  <c r="H6293" i="1"/>
  <c r="I6293" i="1"/>
  <c r="J6293" i="1"/>
  <c r="K6293" i="1"/>
  <c r="H6294" i="1"/>
  <c r="I6294" i="1"/>
  <c r="J6294" i="1"/>
  <c r="K6294" i="1"/>
  <c r="H6295" i="1"/>
  <c r="I6295" i="1"/>
  <c r="J6295" i="1"/>
  <c r="K6295" i="1"/>
  <c r="H6296" i="1"/>
  <c r="I6296" i="1"/>
  <c r="J6296" i="1"/>
  <c r="K6296" i="1"/>
  <c r="H6297" i="1"/>
  <c r="I6297" i="1"/>
  <c r="J6297" i="1"/>
  <c r="K6297" i="1"/>
  <c r="H6298" i="1"/>
  <c r="I6298" i="1"/>
  <c r="J6298" i="1"/>
  <c r="K6298" i="1"/>
  <c r="H6299" i="1"/>
  <c r="I6299" i="1"/>
  <c r="J6299" i="1"/>
  <c r="K6299" i="1"/>
  <c r="H6300" i="1"/>
  <c r="I6300" i="1"/>
  <c r="J6300" i="1"/>
  <c r="K6300" i="1"/>
  <c r="H6301" i="1"/>
  <c r="I6301" i="1"/>
  <c r="J6301" i="1"/>
  <c r="K6301" i="1"/>
  <c r="H6302" i="1"/>
  <c r="I6302" i="1"/>
  <c r="J6302" i="1"/>
  <c r="K6302" i="1"/>
  <c r="H6303" i="1"/>
  <c r="I6303" i="1"/>
  <c r="J6303" i="1"/>
  <c r="K6303" i="1"/>
  <c r="H6304" i="1"/>
  <c r="I6304" i="1"/>
  <c r="J6304" i="1"/>
  <c r="K6304" i="1"/>
  <c r="H6305" i="1"/>
  <c r="I6305" i="1"/>
  <c r="J6305" i="1"/>
  <c r="K6305" i="1"/>
  <c r="H6306" i="1"/>
  <c r="I6306" i="1"/>
  <c r="J6306" i="1"/>
  <c r="K6306" i="1"/>
  <c r="H6307" i="1"/>
  <c r="I6307" i="1"/>
  <c r="J6307" i="1"/>
  <c r="K6307" i="1"/>
  <c r="H6308" i="1"/>
  <c r="I6308" i="1"/>
  <c r="J6308" i="1"/>
  <c r="K6308" i="1"/>
  <c r="H6309" i="1"/>
  <c r="I6309" i="1"/>
  <c r="J6309" i="1"/>
  <c r="K6309" i="1"/>
  <c r="H6310" i="1"/>
  <c r="I6310" i="1"/>
  <c r="J6310" i="1"/>
  <c r="K6310" i="1"/>
  <c r="H6311" i="1"/>
  <c r="I6311" i="1"/>
  <c r="J6311" i="1"/>
  <c r="K6311" i="1"/>
  <c r="H6312" i="1"/>
  <c r="I6312" i="1"/>
  <c r="J6312" i="1"/>
  <c r="K6312" i="1"/>
  <c r="H6313" i="1"/>
  <c r="I6313" i="1"/>
  <c r="J6313" i="1"/>
  <c r="K6313" i="1"/>
  <c r="H6314" i="1"/>
  <c r="I6314" i="1"/>
  <c r="J6314" i="1"/>
  <c r="K6314" i="1"/>
  <c r="H6315" i="1"/>
  <c r="I6315" i="1"/>
  <c r="J6315" i="1"/>
  <c r="K6315" i="1"/>
  <c r="H6316" i="1"/>
  <c r="I6316" i="1"/>
  <c r="J6316" i="1"/>
  <c r="K6316" i="1"/>
  <c r="H6317" i="1"/>
  <c r="I6317" i="1"/>
  <c r="J6317" i="1"/>
  <c r="K6317" i="1"/>
  <c r="H6318" i="1"/>
  <c r="I6318" i="1"/>
  <c r="J6318" i="1"/>
  <c r="K6318" i="1"/>
  <c r="H6319" i="1"/>
  <c r="I6319" i="1"/>
  <c r="J6319" i="1"/>
  <c r="K6319" i="1"/>
  <c r="H6320" i="1"/>
  <c r="I6320" i="1"/>
  <c r="J6320" i="1"/>
  <c r="K6320" i="1"/>
  <c r="H6321" i="1"/>
  <c r="I6321" i="1"/>
  <c r="J6321" i="1"/>
  <c r="K6321" i="1"/>
  <c r="H6322" i="1"/>
  <c r="I6322" i="1"/>
  <c r="J6322" i="1"/>
  <c r="K6322" i="1"/>
  <c r="H6323" i="1"/>
  <c r="I6323" i="1"/>
  <c r="J6323" i="1"/>
  <c r="K6323" i="1"/>
  <c r="H6324" i="1"/>
  <c r="I6324" i="1"/>
  <c r="J6324" i="1"/>
  <c r="K6324" i="1"/>
  <c r="H6325" i="1"/>
  <c r="I6325" i="1"/>
  <c r="J6325" i="1"/>
  <c r="K6325" i="1"/>
  <c r="H6326" i="1"/>
  <c r="I6326" i="1"/>
  <c r="J6326" i="1"/>
  <c r="K6326" i="1"/>
  <c r="H6327" i="1"/>
  <c r="I6327" i="1"/>
  <c r="J6327" i="1"/>
  <c r="K6327" i="1"/>
  <c r="H6328" i="1"/>
  <c r="I6328" i="1"/>
  <c r="J6328" i="1"/>
  <c r="K6328" i="1"/>
  <c r="H6329" i="1"/>
  <c r="I6329" i="1"/>
  <c r="J6329" i="1"/>
  <c r="K6329" i="1"/>
  <c r="H6330" i="1"/>
  <c r="I6330" i="1"/>
  <c r="J6330" i="1"/>
  <c r="K6330" i="1"/>
  <c r="H6331" i="1"/>
  <c r="I6331" i="1"/>
  <c r="J6331" i="1"/>
  <c r="K6331" i="1"/>
  <c r="H6332" i="1"/>
  <c r="I6332" i="1"/>
  <c r="J6332" i="1"/>
  <c r="K6332" i="1"/>
  <c r="H6333" i="1"/>
  <c r="I6333" i="1"/>
  <c r="J6333" i="1"/>
  <c r="K6333" i="1"/>
  <c r="H6334" i="1"/>
  <c r="I6334" i="1"/>
  <c r="J6334" i="1"/>
  <c r="K6334" i="1"/>
  <c r="H6335" i="1"/>
  <c r="I6335" i="1"/>
  <c r="J6335" i="1"/>
  <c r="K6335" i="1"/>
  <c r="H6336" i="1"/>
  <c r="I6336" i="1"/>
  <c r="J6336" i="1"/>
  <c r="K6336" i="1"/>
  <c r="H6337" i="1"/>
  <c r="I6337" i="1"/>
  <c r="J6337" i="1"/>
  <c r="K6337" i="1"/>
  <c r="H6338" i="1"/>
  <c r="I6338" i="1"/>
  <c r="J6338" i="1"/>
  <c r="K6338" i="1"/>
  <c r="H6339" i="1"/>
  <c r="I6339" i="1"/>
  <c r="J6339" i="1"/>
  <c r="K6339" i="1"/>
  <c r="H6340" i="1"/>
  <c r="I6340" i="1"/>
  <c r="J6340" i="1"/>
  <c r="K6340" i="1"/>
  <c r="H6341" i="1"/>
  <c r="I6341" i="1"/>
  <c r="J6341" i="1"/>
  <c r="K6341" i="1"/>
  <c r="H6342" i="1"/>
  <c r="I6342" i="1"/>
  <c r="J6342" i="1"/>
  <c r="K6342" i="1"/>
  <c r="H6343" i="1"/>
  <c r="I6343" i="1"/>
  <c r="J6343" i="1"/>
  <c r="K6343" i="1"/>
  <c r="H6344" i="1"/>
  <c r="I6344" i="1"/>
  <c r="J6344" i="1"/>
  <c r="K6344" i="1"/>
  <c r="H6345" i="1"/>
  <c r="I6345" i="1"/>
  <c r="J6345" i="1"/>
  <c r="K6345" i="1"/>
  <c r="H6346" i="1"/>
  <c r="I6346" i="1"/>
  <c r="J6346" i="1"/>
  <c r="K6346" i="1"/>
  <c r="H6347" i="1"/>
  <c r="I6347" i="1"/>
  <c r="J6347" i="1"/>
  <c r="K6347" i="1"/>
  <c r="H6348" i="1"/>
  <c r="I6348" i="1"/>
  <c r="J6348" i="1"/>
  <c r="K6348" i="1"/>
  <c r="H6349" i="1"/>
  <c r="I6349" i="1"/>
  <c r="J6349" i="1"/>
  <c r="K6349" i="1"/>
  <c r="H6350" i="1"/>
  <c r="I6350" i="1"/>
  <c r="J6350" i="1"/>
  <c r="K6350" i="1"/>
  <c r="H6351" i="1"/>
  <c r="I6351" i="1"/>
  <c r="J6351" i="1"/>
  <c r="K6351" i="1"/>
  <c r="H6352" i="1"/>
  <c r="I6352" i="1"/>
  <c r="J6352" i="1"/>
  <c r="K6352" i="1"/>
  <c r="H6353" i="1"/>
  <c r="I6353" i="1"/>
  <c r="J6353" i="1"/>
  <c r="K6353" i="1"/>
  <c r="H6354" i="1"/>
  <c r="I6354" i="1"/>
  <c r="J6354" i="1"/>
  <c r="K6354" i="1"/>
  <c r="H6355" i="1"/>
  <c r="I6355" i="1"/>
  <c r="J6355" i="1"/>
  <c r="K6355" i="1"/>
  <c r="H6356" i="1"/>
  <c r="I6356" i="1"/>
  <c r="J6356" i="1"/>
  <c r="K6356" i="1"/>
  <c r="H6357" i="1"/>
  <c r="I6357" i="1"/>
  <c r="J6357" i="1"/>
  <c r="K6357" i="1"/>
  <c r="H6358" i="1"/>
  <c r="I6358" i="1"/>
  <c r="J6358" i="1"/>
  <c r="K6358" i="1"/>
  <c r="H6359" i="1"/>
  <c r="I6359" i="1"/>
  <c r="J6359" i="1"/>
  <c r="K6359" i="1"/>
  <c r="H6360" i="1"/>
  <c r="I6360" i="1"/>
  <c r="J6360" i="1"/>
  <c r="K6360" i="1"/>
  <c r="H6361" i="1"/>
  <c r="I6361" i="1"/>
  <c r="J6361" i="1"/>
  <c r="K6361" i="1"/>
  <c r="H6362" i="1"/>
  <c r="I6362" i="1"/>
  <c r="J6362" i="1"/>
  <c r="K6362" i="1"/>
  <c r="H6363" i="1"/>
  <c r="I6363" i="1"/>
  <c r="J6363" i="1"/>
  <c r="K6363" i="1"/>
  <c r="H6364" i="1"/>
  <c r="I6364" i="1"/>
  <c r="J6364" i="1"/>
  <c r="K6364" i="1"/>
  <c r="H6365" i="1"/>
  <c r="I6365" i="1"/>
  <c r="J6365" i="1"/>
  <c r="K6365" i="1"/>
  <c r="H6366" i="1"/>
  <c r="I6366" i="1"/>
  <c r="J6366" i="1"/>
  <c r="K6366" i="1"/>
  <c r="H6367" i="1"/>
  <c r="I6367" i="1"/>
  <c r="J6367" i="1"/>
  <c r="K6367" i="1"/>
  <c r="H6368" i="1"/>
  <c r="I6368" i="1"/>
  <c r="J6368" i="1"/>
  <c r="K6368" i="1"/>
  <c r="H6369" i="1"/>
  <c r="I6369" i="1"/>
  <c r="J6369" i="1"/>
  <c r="K6369" i="1"/>
  <c r="H6370" i="1"/>
  <c r="I6370" i="1"/>
  <c r="J6370" i="1"/>
  <c r="K6370" i="1"/>
  <c r="H6371" i="1"/>
  <c r="I6371" i="1"/>
  <c r="J6371" i="1"/>
  <c r="K6371" i="1"/>
  <c r="H6372" i="1"/>
  <c r="I6372" i="1"/>
  <c r="J6372" i="1"/>
  <c r="K6372" i="1"/>
  <c r="H6373" i="1"/>
  <c r="I6373" i="1"/>
  <c r="J6373" i="1"/>
  <c r="K6373" i="1"/>
  <c r="H6374" i="1"/>
  <c r="I6374" i="1"/>
  <c r="J6374" i="1"/>
  <c r="K6374" i="1"/>
  <c r="H6375" i="1"/>
  <c r="I6375" i="1"/>
  <c r="J6375" i="1"/>
  <c r="K6375" i="1"/>
  <c r="H6376" i="1"/>
  <c r="I6376" i="1"/>
  <c r="J6376" i="1"/>
  <c r="K6376" i="1"/>
  <c r="H6377" i="1"/>
  <c r="I6377" i="1"/>
  <c r="J6377" i="1"/>
  <c r="K6377" i="1"/>
  <c r="H6378" i="1"/>
  <c r="I6378" i="1"/>
  <c r="J6378" i="1"/>
  <c r="K6378" i="1"/>
  <c r="H6379" i="1"/>
  <c r="I6379" i="1"/>
  <c r="J6379" i="1"/>
  <c r="K6379" i="1"/>
  <c r="H6380" i="1"/>
  <c r="I6380" i="1"/>
  <c r="J6380" i="1"/>
  <c r="K6380" i="1"/>
  <c r="H6381" i="1"/>
  <c r="I6381" i="1"/>
  <c r="J6381" i="1"/>
  <c r="K6381" i="1"/>
  <c r="H6382" i="1"/>
  <c r="I6382" i="1"/>
  <c r="J6382" i="1"/>
  <c r="K6382" i="1"/>
  <c r="H6383" i="1"/>
  <c r="I6383" i="1"/>
  <c r="J6383" i="1"/>
  <c r="K6383" i="1"/>
  <c r="H6384" i="1"/>
  <c r="I6384" i="1"/>
  <c r="J6384" i="1"/>
  <c r="K6384" i="1"/>
  <c r="H6385" i="1"/>
  <c r="I6385" i="1"/>
  <c r="J6385" i="1"/>
  <c r="K6385" i="1"/>
  <c r="H6386" i="1"/>
  <c r="I6386" i="1"/>
  <c r="J6386" i="1"/>
  <c r="K6386" i="1"/>
  <c r="H6387" i="1"/>
  <c r="I6387" i="1"/>
  <c r="J6387" i="1"/>
  <c r="K6387" i="1"/>
  <c r="H6388" i="1"/>
  <c r="I6388" i="1"/>
  <c r="J6388" i="1"/>
  <c r="K6388" i="1"/>
  <c r="H6389" i="1"/>
  <c r="I6389" i="1"/>
  <c r="J6389" i="1"/>
  <c r="K6389" i="1"/>
  <c r="H6390" i="1"/>
  <c r="I6390" i="1"/>
  <c r="J6390" i="1"/>
  <c r="K6390" i="1"/>
  <c r="H6391" i="1"/>
  <c r="I6391" i="1"/>
  <c r="J6391" i="1"/>
  <c r="K6391" i="1"/>
  <c r="H6392" i="1"/>
  <c r="I6392" i="1"/>
  <c r="J6392" i="1"/>
  <c r="K6392" i="1"/>
  <c r="H6393" i="1"/>
  <c r="I6393" i="1"/>
  <c r="J6393" i="1"/>
  <c r="K6393" i="1"/>
  <c r="H6394" i="1"/>
  <c r="I6394" i="1"/>
  <c r="J6394" i="1"/>
  <c r="K6394" i="1"/>
  <c r="H6395" i="1"/>
  <c r="I6395" i="1"/>
  <c r="J6395" i="1"/>
  <c r="K6395" i="1"/>
  <c r="H6396" i="1"/>
  <c r="I6396" i="1"/>
  <c r="J6396" i="1"/>
  <c r="K6396" i="1"/>
  <c r="H6397" i="1"/>
  <c r="I6397" i="1"/>
  <c r="J6397" i="1"/>
  <c r="K6397" i="1"/>
  <c r="H6398" i="1"/>
  <c r="I6398" i="1"/>
  <c r="J6398" i="1"/>
  <c r="K6398" i="1"/>
  <c r="H6399" i="1"/>
  <c r="I6399" i="1"/>
  <c r="J6399" i="1"/>
  <c r="K6399" i="1"/>
  <c r="H6400" i="1"/>
  <c r="I6400" i="1"/>
  <c r="J6400" i="1"/>
  <c r="K6400" i="1"/>
  <c r="H6401" i="1"/>
  <c r="I6401" i="1"/>
  <c r="J6401" i="1"/>
  <c r="K6401" i="1"/>
  <c r="H6402" i="1"/>
  <c r="I6402" i="1"/>
  <c r="J6402" i="1"/>
  <c r="K6402" i="1"/>
  <c r="H6403" i="1"/>
  <c r="I6403" i="1"/>
  <c r="J6403" i="1"/>
  <c r="K6403" i="1"/>
  <c r="H6404" i="1"/>
  <c r="I6404" i="1"/>
  <c r="J6404" i="1"/>
  <c r="K6404" i="1"/>
  <c r="H6405" i="1"/>
  <c r="I6405" i="1"/>
  <c r="J6405" i="1"/>
  <c r="K6405" i="1"/>
  <c r="H6406" i="1"/>
  <c r="I6406" i="1"/>
  <c r="J6406" i="1"/>
  <c r="K6406" i="1"/>
  <c r="H6407" i="1"/>
  <c r="I6407" i="1"/>
  <c r="J6407" i="1"/>
  <c r="K6407" i="1"/>
  <c r="H6408" i="1"/>
  <c r="I6408" i="1"/>
  <c r="J6408" i="1"/>
  <c r="K6408" i="1"/>
  <c r="H6409" i="1"/>
  <c r="I6409" i="1"/>
  <c r="J6409" i="1"/>
  <c r="K6409" i="1"/>
  <c r="H6410" i="1"/>
  <c r="I6410" i="1"/>
  <c r="J6410" i="1"/>
  <c r="K6410" i="1"/>
  <c r="H6411" i="1"/>
  <c r="I6411" i="1"/>
  <c r="J6411" i="1"/>
  <c r="K6411" i="1"/>
  <c r="H6412" i="1"/>
  <c r="I6412" i="1"/>
  <c r="J6412" i="1"/>
  <c r="K6412" i="1"/>
  <c r="H6413" i="1"/>
  <c r="I6413" i="1"/>
  <c r="J6413" i="1"/>
  <c r="K6413" i="1"/>
  <c r="H6414" i="1"/>
  <c r="I6414" i="1"/>
  <c r="J6414" i="1"/>
  <c r="K6414" i="1"/>
  <c r="H6415" i="1"/>
  <c r="I6415" i="1"/>
  <c r="J6415" i="1"/>
  <c r="K6415" i="1"/>
  <c r="H6416" i="1"/>
  <c r="I6416" i="1"/>
  <c r="J6416" i="1"/>
  <c r="K6416" i="1"/>
  <c r="H6417" i="1"/>
  <c r="I6417" i="1"/>
  <c r="J6417" i="1"/>
  <c r="K6417" i="1"/>
  <c r="H6418" i="1"/>
  <c r="I6418" i="1"/>
  <c r="J6418" i="1"/>
  <c r="K6418" i="1"/>
  <c r="H6419" i="1"/>
  <c r="I6419" i="1"/>
  <c r="J6419" i="1"/>
  <c r="K6419" i="1"/>
  <c r="H6420" i="1"/>
  <c r="I6420" i="1"/>
  <c r="J6420" i="1"/>
  <c r="K6420" i="1"/>
  <c r="H6421" i="1"/>
  <c r="I6421" i="1"/>
  <c r="J6421" i="1"/>
  <c r="K6421" i="1"/>
  <c r="H6422" i="1"/>
  <c r="I6422" i="1"/>
  <c r="J6422" i="1"/>
  <c r="K6422" i="1"/>
  <c r="H6423" i="1"/>
  <c r="I6423" i="1"/>
  <c r="J6423" i="1"/>
  <c r="K6423" i="1"/>
  <c r="H6424" i="1"/>
  <c r="I6424" i="1"/>
  <c r="J6424" i="1"/>
  <c r="K6424" i="1"/>
  <c r="H6425" i="1"/>
  <c r="I6425" i="1"/>
  <c r="J6425" i="1"/>
  <c r="K6425" i="1"/>
  <c r="H6426" i="1"/>
  <c r="I6426" i="1"/>
  <c r="J6426" i="1"/>
  <c r="K6426" i="1"/>
  <c r="H6427" i="1"/>
  <c r="I6427" i="1"/>
  <c r="J6427" i="1"/>
  <c r="K6427" i="1"/>
  <c r="H6428" i="1"/>
  <c r="I6428" i="1"/>
  <c r="J6428" i="1"/>
  <c r="K6428" i="1"/>
  <c r="H6429" i="1"/>
  <c r="I6429" i="1"/>
  <c r="J6429" i="1"/>
  <c r="K6429" i="1"/>
  <c r="H6430" i="1"/>
  <c r="I6430" i="1"/>
  <c r="J6430" i="1"/>
  <c r="K6430" i="1"/>
  <c r="H6431" i="1"/>
  <c r="I6431" i="1"/>
  <c r="J6431" i="1"/>
  <c r="K6431" i="1"/>
  <c r="H6432" i="1"/>
  <c r="I6432" i="1"/>
  <c r="J6432" i="1"/>
  <c r="K6432" i="1"/>
  <c r="H6433" i="1"/>
  <c r="I6433" i="1"/>
  <c r="J6433" i="1"/>
  <c r="K6433" i="1"/>
  <c r="H6434" i="1"/>
  <c r="I6434" i="1"/>
  <c r="J6434" i="1"/>
  <c r="K6434" i="1"/>
  <c r="H6435" i="1"/>
  <c r="I6435" i="1"/>
  <c r="J6435" i="1"/>
  <c r="K6435" i="1"/>
  <c r="H6436" i="1"/>
  <c r="I6436" i="1"/>
  <c r="J6436" i="1"/>
  <c r="K6436" i="1"/>
  <c r="H6437" i="1"/>
  <c r="I6437" i="1"/>
  <c r="J6437" i="1"/>
  <c r="K6437" i="1"/>
  <c r="H6438" i="1"/>
  <c r="I6438" i="1"/>
  <c r="J6438" i="1"/>
  <c r="K6438" i="1"/>
  <c r="H6439" i="1"/>
  <c r="I6439" i="1"/>
  <c r="J6439" i="1"/>
  <c r="K6439" i="1"/>
  <c r="H6440" i="1"/>
  <c r="I6440" i="1"/>
  <c r="J6440" i="1"/>
  <c r="K6440" i="1"/>
  <c r="H6441" i="1"/>
  <c r="I6441" i="1"/>
  <c r="J6441" i="1"/>
  <c r="K6441" i="1"/>
  <c r="H6442" i="1"/>
  <c r="I6442" i="1"/>
  <c r="J6442" i="1"/>
  <c r="K6442" i="1"/>
  <c r="H6443" i="1"/>
  <c r="I6443" i="1"/>
  <c r="J6443" i="1"/>
  <c r="K6443" i="1"/>
  <c r="H6444" i="1"/>
  <c r="I6444" i="1"/>
  <c r="J6444" i="1"/>
  <c r="K6444" i="1"/>
  <c r="H6445" i="1"/>
  <c r="I6445" i="1"/>
  <c r="J6445" i="1"/>
  <c r="K6445" i="1"/>
  <c r="H6446" i="1"/>
  <c r="I6446" i="1"/>
  <c r="J6446" i="1"/>
  <c r="K6446" i="1"/>
  <c r="H6447" i="1"/>
  <c r="I6447" i="1"/>
  <c r="J6447" i="1"/>
  <c r="K6447" i="1"/>
  <c r="H6448" i="1"/>
  <c r="I6448" i="1"/>
  <c r="J6448" i="1"/>
  <c r="K6448" i="1"/>
  <c r="H6449" i="1"/>
  <c r="I6449" i="1"/>
  <c r="J6449" i="1"/>
  <c r="K6449" i="1"/>
  <c r="H6450" i="1"/>
  <c r="I6450" i="1"/>
  <c r="J6450" i="1"/>
  <c r="K6450" i="1"/>
  <c r="H6451" i="1"/>
  <c r="I6451" i="1"/>
  <c r="J6451" i="1"/>
  <c r="K6451" i="1"/>
  <c r="H6452" i="1"/>
  <c r="I6452" i="1"/>
  <c r="J6452" i="1"/>
  <c r="K6452" i="1"/>
  <c r="H6453" i="1"/>
  <c r="I6453" i="1"/>
  <c r="J6453" i="1"/>
  <c r="K6453" i="1"/>
  <c r="H6454" i="1"/>
  <c r="I6454" i="1"/>
  <c r="J6454" i="1"/>
  <c r="K6454" i="1"/>
  <c r="H6455" i="1"/>
  <c r="I6455" i="1"/>
  <c r="J6455" i="1"/>
  <c r="K6455" i="1"/>
  <c r="H6456" i="1"/>
  <c r="I6456" i="1"/>
  <c r="J6456" i="1"/>
  <c r="K6456" i="1"/>
  <c r="H6457" i="1"/>
  <c r="I6457" i="1"/>
  <c r="J6457" i="1"/>
  <c r="K6457" i="1"/>
  <c r="H6458" i="1"/>
  <c r="I6458" i="1"/>
  <c r="J6458" i="1"/>
  <c r="K6458" i="1"/>
  <c r="H6459" i="1"/>
  <c r="I6459" i="1"/>
  <c r="J6459" i="1"/>
  <c r="K6459" i="1"/>
  <c r="H6460" i="1"/>
  <c r="I6460" i="1"/>
  <c r="J6460" i="1"/>
  <c r="K6460" i="1"/>
  <c r="H6461" i="1"/>
  <c r="I6461" i="1"/>
  <c r="J6461" i="1"/>
  <c r="K6461" i="1"/>
  <c r="H6462" i="1"/>
  <c r="I6462" i="1"/>
  <c r="J6462" i="1"/>
  <c r="K6462" i="1"/>
  <c r="H6463" i="1"/>
  <c r="I6463" i="1"/>
  <c r="J6463" i="1"/>
  <c r="K6463" i="1"/>
  <c r="H6464" i="1"/>
  <c r="I6464" i="1"/>
  <c r="J6464" i="1"/>
  <c r="K6464" i="1"/>
  <c r="H6465" i="1"/>
  <c r="I6465" i="1"/>
  <c r="J6465" i="1"/>
  <c r="K6465" i="1"/>
  <c r="H6466" i="1"/>
  <c r="I6466" i="1"/>
  <c r="J6466" i="1"/>
  <c r="K6466" i="1"/>
  <c r="H6467" i="1"/>
  <c r="I6467" i="1"/>
  <c r="J6467" i="1"/>
  <c r="K6467" i="1"/>
  <c r="H6468" i="1"/>
  <c r="I6468" i="1"/>
  <c r="J6468" i="1"/>
  <c r="K6468" i="1"/>
  <c r="H6469" i="1"/>
  <c r="I6469" i="1"/>
  <c r="J6469" i="1"/>
  <c r="K6469" i="1"/>
  <c r="H6470" i="1"/>
  <c r="I6470" i="1"/>
  <c r="J6470" i="1"/>
  <c r="K6470" i="1"/>
  <c r="H6471" i="1"/>
  <c r="I6471" i="1"/>
  <c r="J6471" i="1"/>
  <c r="K6471" i="1"/>
  <c r="H6472" i="1"/>
  <c r="I6472" i="1"/>
  <c r="J6472" i="1"/>
  <c r="K6472" i="1"/>
  <c r="H6473" i="1"/>
  <c r="I6473" i="1"/>
  <c r="J6473" i="1"/>
  <c r="K6473" i="1"/>
  <c r="H6474" i="1"/>
  <c r="I6474" i="1"/>
  <c r="J6474" i="1"/>
  <c r="K6474" i="1"/>
  <c r="H6475" i="1"/>
  <c r="I6475" i="1"/>
  <c r="J6475" i="1"/>
  <c r="K6475" i="1"/>
  <c r="H6476" i="1"/>
  <c r="I6476" i="1"/>
  <c r="J6476" i="1"/>
  <c r="K6476" i="1"/>
  <c r="H6477" i="1"/>
  <c r="I6477" i="1"/>
  <c r="J6477" i="1"/>
  <c r="K6477" i="1"/>
  <c r="H6478" i="1"/>
  <c r="I6478" i="1"/>
  <c r="J6478" i="1"/>
  <c r="K6478" i="1"/>
  <c r="H6479" i="1"/>
  <c r="I6479" i="1"/>
  <c r="J6479" i="1"/>
  <c r="K6479" i="1"/>
  <c r="H6480" i="1"/>
  <c r="I6480" i="1"/>
  <c r="J6480" i="1"/>
  <c r="K6480" i="1"/>
  <c r="H6481" i="1"/>
  <c r="I6481" i="1"/>
  <c r="J6481" i="1"/>
  <c r="K6481" i="1"/>
  <c r="H6482" i="1"/>
  <c r="I6482" i="1"/>
  <c r="J6482" i="1"/>
  <c r="K6482" i="1"/>
  <c r="H6483" i="1"/>
  <c r="I6483" i="1"/>
  <c r="J6483" i="1"/>
  <c r="K6483" i="1"/>
  <c r="H6484" i="1"/>
  <c r="I6484" i="1"/>
  <c r="J6484" i="1"/>
  <c r="K6484" i="1"/>
  <c r="H6485" i="1"/>
  <c r="I6485" i="1"/>
  <c r="J6485" i="1"/>
  <c r="K6485" i="1"/>
  <c r="H6486" i="1"/>
  <c r="I6486" i="1"/>
  <c r="J6486" i="1"/>
  <c r="K6486" i="1"/>
  <c r="H6487" i="1"/>
  <c r="I6487" i="1"/>
  <c r="J6487" i="1"/>
  <c r="K6487" i="1"/>
  <c r="H6488" i="1"/>
  <c r="I6488" i="1"/>
  <c r="J6488" i="1"/>
  <c r="K6488" i="1"/>
  <c r="H6489" i="1"/>
  <c r="I6489" i="1"/>
  <c r="J6489" i="1"/>
  <c r="K6489" i="1"/>
  <c r="H6490" i="1"/>
  <c r="I6490" i="1"/>
  <c r="J6490" i="1"/>
  <c r="K6490" i="1"/>
  <c r="H6491" i="1"/>
  <c r="I6491" i="1"/>
  <c r="J6491" i="1"/>
  <c r="K6491" i="1"/>
  <c r="H6492" i="1"/>
  <c r="I6492" i="1"/>
  <c r="J6492" i="1"/>
  <c r="K6492" i="1"/>
  <c r="H6493" i="1"/>
  <c r="I6493" i="1"/>
  <c r="J6493" i="1"/>
  <c r="K6493" i="1"/>
  <c r="H6494" i="1"/>
  <c r="I6494" i="1"/>
  <c r="J6494" i="1"/>
  <c r="K6494" i="1"/>
  <c r="H6495" i="1"/>
  <c r="I6495" i="1"/>
  <c r="J6495" i="1"/>
  <c r="K6495" i="1"/>
  <c r="H6496" i="1"/>
  <c r="I6496" i="1"/>
  <c r="J6496" i="1"/>
  <c r="K6496" i="1"/>
  <c r="H6497" i="1"/>
  <c r="I6497" i="1"/>
  <c r="J6497" i="1"/>
  <c r="K6497" i="1"/>
  <c r="H6498" i="1"/>
  <c r="I6498" i="1"/>
  <c r="J6498" i="1"/>
  <c r="K6498" i="1"/>
  <c r="H6499" i="1"/>
  <c r="I6499" i="1"/>
  <c r="J6499" i="1"/>
  <c r="K6499" i="1"/>
  <c r="H6500" i="1"/>
  <c r="I6500" i="1"/>
  <c r="J6500" i="1"/>
  <c r="K6500" i="1"/>
  <c r="H6501" i="1"/>
  <c r="I6501" i="1"/>
  <c r="J6501" i="1"/>
  <c r="K6501" i="1"/>
  <c r="H6502" i="1"/>
  <c r="I6502" i="1"/>
  <c r="J6502" i="1"/>
  <c r="K6502" i="1"/>
  <c r="H6503" i="1"/>
  <c r="I6503" i="1"/>
  <c r="J6503" i="1"/>
  <c r="K6503" i="1"/>
  <c r="H6504" i="1"/>
  <c r="I6504" i="1"/>
  <c r="J6504" i="1"/>
  <c r="K6504" i="1"/>
  <c r="H6505" i="1"/>
  <c r="I6505" i="1"/>
  <c r="J6505" i="1"/>
  <c r="K6505" i="1"/>
  <c r="H6506" i="1"/>
  <c r="I6506" i="1"/>
  <c r="J6506" i="1"/>
  <c r="K6506" i="1"/>
  <c r="H6507" i="1"/>
  <c r="I6507" i="1"/>
  <c r="J6507" i="1"/>
  <c r="K6507" i="1"/>
  <c r="H6508" i="1"/>
  <c r="I6508" i="1"/>
  <c r="J6508" i="1"/>
  <c r="K6508" i="1"/>
  <c r="H6509" i="1"/>
  <c r="I6509" i="1"/>
  <c r="J6509" i="1"/>
  <c r="K6509" i="1"/>
  <c r="H6510" i="1"/>
  <c r="I6510" i="1"/>
  <c r="J6510" i="1"/>
  <c r="K6510" i="1"/>
  <c r="H6511" i="1"/>
  <c r="I6511" i="1"/>
  <c r="J6511" i="1"/>
  <c r="K6511" i="1"/>
  <c r="H6512" i="1"/>
  <c r="I6512" i="1"/>
  <c r="J6512" i="1"/>
  <c r="K6512" i="1"/>
  <c r="H6513" i="1"/>
  <c r="I6513" i="1"/>
  <c r="J6513" i="1"/>
  <c r="K6513" i="1"/>
  <c r="H6514" i="1"/>
  <c r="I6514" i="1"/>
  <c r="J6514" i="1"/>
  <c r="K6514" i="1"/>
  <c r="H6515" i="1"/>
  <c r="I6515" i="1"/>
  <c r="J6515" i="1"/>
  <c r="K6515" i="1"/>
  <c r="H6516" i="1"/>
  <c r="I6516" i="1"/>
  <c r="J6516" i="1"/>
  <c r="K6516" i="1"/>
  <c r="H6517" i="1"/>
  <c r="I6517" i="1"/>
  <c r="J6517" i="1"/>
  <c r="K6517" i="1"/>
  <c r="H6518" i="1"/>
  <c r="I6518" i="1"/>
  <c r="J6518" i="1"/>
  <c r="K6518" i="1"/>
  <c r="H6519" i="1"/>
  <c r="I6519" i="1"/>
  <c r="J6519" i="1"/>
  <c r="K6519" i="1"/>
  <c r="H6520" i="1"/>
  <c r="I6520" i="1"/>
  <c r="J6520" i="1"/>
  <c r="K6520" i="1"/>
  <c r="H6521" i="1"/>
  <c r="I6521" i="1"/>
  <c r="J6521" i="1"/>
  <c r="K6521" i="1"/>
  <c r="H6522" i="1"/>
  <c r="I6522" i="1"/>
  <c r="J6522" i="1"/>
  <c r="K6522" i="1"/>
  <c r="H6523" i="1"/>
  <c r="I6523" i="1"/>
  <c r="J6523" i="1"/>
  <c r="K6523" i="1"/>
  <c r="H6524" i="1"/>
  <c r="I6524" i="1"/>
  <c r="J6524" i="1"/>
  <c r="K6524" i="1"/>
  <c r="H6525" i="1"/>
  <c r="I6525" i="1"/>
  <c r="J6525" i="1"/>
  <c r="K6525" i="1"/>
  <c r="H6526" i="1"/>
  <c r="I6526" i="1"/>
  <c r="J6526" i="1"/>
  <c r="K6526" i="1"/>
  <c r="H6527" i="1"/>
  <c r="I6527" i="1"/>
  <c r="J6527" i="1"/>
  <c r="K6527" i="1"/>
  <c r="H6528" i="1"/>
  <c r="I6528" i="1"/>
  <c r="J6528" i="1"/>
  <c r="K6528" i="1"/>
  <c r="H6529" i="1"/>
  <c r="I6529" i="1"/>
  <c r="J6529" i="1"/>
  <c r="K6529" i="1"/>
  <c r="H6530" i="1"/>
  <c r="I6530" i="1"/>
  <c r="J6530" i="1"/>
  <c r="K6530" i="1"/>
  <c r="H6531" i="1"/>
  <c r="I6531" i="1"/>
  <c r="J6531" i="1"/>
  <c r="K6531" i="1"/>
  <c r="H6532" i="1"/>
  <c r="I6532" i="1"/>
  <c r="J6532" i="1"/>
  <c r="K6532" i="1"/>
  <c r="H6533" i="1"/>
  <c r="I6533" i="1"/>
  <c r="J6533" i="1"/>
  <c r="K6533" i="1"/>
  <c r="H6534" i="1"/>
  <c r="I6534" i="1"/>
  <c r="J6534" i="1"/>
  <c r="K6534" i="1"/>
  <c r="H6535" i="1"/>
  <c r="I6535" i="1"/>
  <c r="J6535" i="1"/>
  <c r="K6535" i="1"/>
  <c r="H6536" i="1"/>
  <c r="I6536" i="1"/>
  <c r="J6536" i="1"/>
  <c r="K6536" i="1"/>
  <c r="H6537" i="1"/>
  <c r="I6537" i="1"/>
  <c r="J6537" i="1"/>
  <c r="K6537" i="1"/>
  <c r="H6538" i="1"/>
  <c r="I6538" i="1"/>
  <c r="J6538" i="1"/>
  <c r="K6538" i="1"/>
  <c r="H6539" i="1"/>
  <c r="I6539" i="1"/>
  <c r="J6539" i="1"/>
  <c r="K6539" i="1"/>
  <c r="H6540" i="1"/>
  <c r="I6540" i="1"/>
  <c r="J6540" i="1"/>
  <c r="K6540" i="1"/>
  <c r="H6541" i="1"/>
  <c r="I6541" i="1"/>
  <c r="J6541" i="1"/>
  <c r="K6541" i="1"/>
  <c r="H6542" i="1"/>
  <c r="I6542" i="1"/>
  <c r="J6542" i="1"/>
  <c r="K6542" i="1"/>
  <c r="H6543" i="1"/>
  <c r="I6543" i="1"/>
  <c r="J6543" i="1"/>
  <c r="K6543" i="1"/>
  <c r="H6544" i="1"/>
  <c r="I6544" i="1"/>
  <c r="J6544" i="1"/>
  <c r="K6544" i="1"/>
  <c r="H6545" i="1"/>
  <c r="I6545" i="1"/>
  <c r="J6545" i="1"/>
  <c r="K6545" i="1"/>
  <c r="H6546" i="1"/>
  <c r="I6546" i="1"/>
  <c r="J6546" i="1"/>
  <c r="K6546" i="1"/>
  <c r="H6547" i="1"/>
  <c r="I6547" i="1"/>
  <c r="J6547" i="1"/>
  <c r="K6547" i="1"/>
  <c r="H6548" i="1"/>
  <c r="I6548" i="1"/>
  <c r="J6548" i="1"/>
  <c r="K6548" i="1"/>
  <c r="H6549" i="1"/>
  <c r="I6549" i="1"/>
  <c r="J6549" i="1"/>
  <c r="K6549" i="1"/>
  <c r="H6550" i="1"/>
  <c r="I6550" i="1"/>
  <c r="J6550" i="1"/>
  <c r="K6550" i="1"/>
  <c r="H6551" i="1"/>
  <c r="I6551" i="1"/>
  <c r="J6551" i="1"/>
  <c r="K6551" i="1"/>
  <c r="H6552" i="1"/>
  <c r="I6552" i="1"/>
  <c r="J6552" i="1"/>
  <c r="K6552" i="1"/>
  <c r="H6553" i="1"/>
  <c r="I6553" i="1"/>
  <c r="J6553" i="1"/>
  <c r="K6553" i="1"/>
  <c r="H6554" i="1"/>
  <c r="I6554" i="1"/>
  <c r="J6554" i="1"/>
  <c r="K6554" i="1"/>
  <c r="H6555" i="1"/>
  <c r="I6555" i="1"/>
  <c r="J6555" i="1"/>
  <c r="K6555" i="1"/>
  <c r="H6556" i="1"/>
  <c r="I6556" i="1"/>
  <c r="J6556" i="1"/>
  <c r="K6556" i="1"/>
  <c r="H6557" i="1"/>
  <c r="I6557" i="1"/>
  <c r="J6557" i="1"/>
  <c r="K6557" i="1"/>
  <c r="H6558" i="1"/>
  <c r="I6558" i="1"/>
  <c r="J6558" i="1"/>
  <c r="K6558" i="1"/>
  <c r="H6559" i="1"/>
  <c r="I6559" i="1"/>
  <c r="J6559" i="1"/>
  <c r="K6559" i="1"/>
  <c r="H6560" i="1"/>
  <c r="I6560" i="1"/>
  <c r="J6560" i="1"/>
  <c r="K6560" i="1"/>
  <c r="H6561" i="1"/>
  <c r="I6561" i="1"/>
  <c r="J6561" i="1"/>
  <c r="K6561" i="1"/>
  <c r="H6562" i="1"/>
  <c r="I6562" i="1"/>
  <c r="J6562" i="1"/>
  <c r="K6562" i="1"/>
  <c r="H6563" i="1"/>
  <c r="I6563" i="1"/>
  <c r="J6563" i="1"/>
  <c r="K6563" i="1"/>
  <c r="H6564" i="1"/>
  <c r="I6564" i="1"/>
  <c r="J6564" i="1"/>
  <c r="K6564" i="1"/>
  <c r="H6565" i="1"/>
  <c r="I6565" i="1"/>
  <c r="J6565" i="1"/>
  <c r="K6565" i="1"/>
  <c r="H6566" i="1"/>
  <c r="I6566" i="1"/>
  <c r="J6566" i="1"/>
  <c r="K6566" i="1"/>
  <c r="H6567" i="1"/>
  <c r="I6567" i="1"/>
  <c r="J6567" i="1"/>
  <c r="K6567" i="1"/>
  <c r="H6568" i="1"/>
  <c r="I6568" i="1"/>
  <c r="J6568" i="1"/>
  <c r="K6568" i="1"/>
  <c r="H6569" i="1"/>
  <c r="I6569" i="1"/>
  <c r="J6569" i="1"/>
  <c r="K6569" i="1"/>
  <c r="H6570" i="1"/>
  <c r="I6570" i="1"/>
  <c r="J6570" i="1"/>
  <c r="K6570" i="1"/>
  <c r="H6571" i="1"/>
  <c r="I6571" i="1"/>
  <c r="J6571" i="1"/>
  <c r="K6571" i="1"/>
  <c r="H6572" i="1"/>
  <c r="I6572" i="1"/>
  <c r="J6572" i="1"/>
  <c r="K6572" i="1"/>
  <c r="H6573" i="1"/>
  <c r="I6573" i="1"/>
  <c r="J6573" i="1"/>
  <c r="K6573" i="1"/>
  <c r="H6574" i="1"/>
  <c r="I6574" i="1"/>
  <c r="J6574" i="1"/>
  <c r="K6574" i="1"/>
  <c r="H6575" i="1"/>
  <c r="I6575" i="1"/>
  <c r="J6575" i="1"/>
  <c r="K6575" i="1"/>
  <c r="H6576" i="1"/>
  <c r="I6576" i="1"/>
  <c r="J6576" i="1"/>
  <c r="K6576" i="1"/>
  <c r="H6577" i="1"/>
  <c r="I6577" i="1"/>
  <c r="J6577" i="1"/>
  <c r="K6577" i="1"/>
  <c r="H6578" i="1"/>
  <c r="I6578" i="1"/>
  <c r="J6578" i="1"/>
  <c r="K6578" i="1"/>
  <c r="H6579" i="1"/>
  <c r="I6579" i="1"/>
  <c r="J6579" i="1"/>
  <c r="K6579" i="1"/>
  <c r="H6580" i="1"/>
  <c r="I6580" i="1"/>
  <c r="J6580" i="1"/>
  <c r="K6580" i="1"/>
  <c r="H6581" i="1"/>
  <c r="I6581" i="1"/>
  <c r="J6581" i="1"/>
  <c r="K6581" i="1"/>
  <c r="H6582" i="1"/>
  <c r="I6582" i="1"/>
  <c r="J6582" i="1"/>
  <c r="K6582" i="1"/>
  <c r="H6583" i="1"/>
  <c r="I6583" i="1"/>
  <c r="J6583" i="1"/>
  <c r="K6583" i="1"/>
  <c r="H6584" i="1"/>
  <c r="I6584" i="1"/>
  <c r="J6584" i="1"/>
  <c r="K6584" i="1"/>
  <c r="H6585" i="1"/>
  <c r="I6585" i="1"/>
  <c r="J6585" i="1"/>
  <c r="K6585" i="1"/>
  <c r="H6586" i="1"/>
  <c r="I6586" i="1"/>
  <c r="J6586" i="1"/>
  <c r="K6586" i="1"/>
  <c r="H6587" i="1"/>
  <c r="I6587" i="1"/>
  <c r="J6587" i="1"/>
  <c r="K6587" i="1"/>
  <c r="H6588" i="1"/>
  <c r="I6588" i="1"/>
  <c r="J6588" i="1"/>
  <c r="K6588" i="1"/>
  <c r="H6589" i="1"/>
  <c r="I6589" i="1"/>
  <c r="J6589" i="1"/>
  <c r="K6589" i="1"/>
  <c r="H6590" i="1"/>
  <c r="I6590" i="1"/>
  <c r="J6590" i="1"/>
  <c r="K6590" i="1"/>
  <c r="H6591" i="1"/>
  <c r="I6591" i="1"/>
  <c r="J6591" i="1"/>
  <c r="K6591" i="1"/>
  <c r="H6592" i="1"/>
  <c r="I6592" i="1"/>
  <c r="J6592" i="1"/>
  <c r="K6592" i="1"/>
  <c r="H6593" i="1"/>
  <c r="I6593" i="1"/>
  <c r="J6593" i="1"/>
  <c r="K6593" i="1"/>
  <c r="H6594" i="1"/>
  <c r="I6594" i="1"/>
  <c r="J6594" i="1"/>
  <c r="K6594" i="1"/>
  <c r="H6595" i="1"/>
  <c r="I6595" i="1"/>
  <c r="J6595" i="1"/>
  <c r="K6595" i="1"/>
  <c r="H6596" i="1"/>
  <c r="I6596" i="1"/>
  <c r="J6596" i="1"/>
  <c r="K6596" i="1"/>
  <c r="H6597" i="1"/>
  <c r="I6597" i="1"/>
  <c r="J6597" i="1"/>
  <c r="K6597" i="1"/>
  <c r="H6598" i="1"/>
  <c r="I6598" i="1"/>
  <c r="J6598" i="1"/>
  <c r="K6598" i="1"/>
  <c r="H6599" i="1"/>
  <c r="I6599" i="1"/>
  <c r="J6599" i="1"/>
  <c r="K6599" i="1"/>
  <c r="H6600" i="1"/>
  <c r="I6600" i="1"/>
  <c r="J6600" i="1"/>
  <c r="K6600" i="1"/>
  <c r="H6601" i="1"/>
  <c r="I6601" i="1"/>
  <c r="J6601" i="1"/>
  <c r="K6601" i="1"/>
  <c r="H6602" i="1"/>
  <c r="I6602" i="1"/>
  <c r="J6602" i="1"/>
  <c r="K6602" i="1"/>
  <c r="H6603" i="1"/>
  <c r="I6603" i="1"/>
  <c r="J6603" i="1"/>
  <c r="K6603" i="1"/>
  <c r="H6604" i="1"/>
  <c r="I6604" i="1"/>
  <c r="J6604" i="1"/>
  <c r="K6604" i="1"/>
  <c r="H6605" i="1"/>
  <c r="I6605" i="1"/>
  <c r="J6605" i="1"/>
  <c r="K6605" i="1"/>
  <c r="H6606" i="1"/>
  <c r="I6606" i="1"/>
  <c r="J6606" i="1"/>
  <c r="K6606" i="1"/>
  <c r="H6607" i="1"/>
  <c r="I6607" i="1"/>
  <c r="J6607" i="1"/>
  <c r="K6607" i="1"/>
  <c r="H6608" i="1"/>
  <c r="I6608" i="1"/>
  <c r="J6608" i="1"/>
  <c r="K6608" i="1"/>
  <c r="H6609" i="1"/>
  <c r="I6609" i="1"/>
  <c r="J6609" i="1"/>
  <c r="K6609" i="1"/>
  <c r="H6610" i="1"/>
  <c r="I6610" i="1"/>
  <c r="J6610" i="1"/>
  <c r="K6610" i="1"/>
  <c r="H6611" i="1"/>
  <c r="I6611" i="1"/>
  <c r="J6611" i="1"/>
  <c r="K6611" i="1"/>
  <c r="H6612" i="1"/>
  <c r="I6612" i="1"/>
  <c r="J6612" i="1"/>
  <c r="K6612" i="1"/>
  <c r="H6613" i="1"/>
  <c r="I6613" i="1"/>
  <c r="J6613" i="1"/>
  <c r="K6613" i="1"/>
  <c r="H6614" i="1"/>
  <c r="I6614" i="1"/>
  <c r="J6614" i="1"/>
  <c r="K6614" i="1"/>
  <c r="H6615" i="1"/>
  <c r="I6615" i="1"/>
  <c r="J6615" i="1"/>
  <c r="K6615" i="1"/>
  <c r="H6616" i="1"/>
  <c r="I6616" i="1"/>
  <c r="J6616" i="1"/>
  <c r="K6616" i="1"/>
  <c r="H6617" i="1"/>
  <c r="I6617" i="1"/>
  <c r="J6617" i="1"/>
  <c r="K6617" i="1"/>
  <c r="H6618" i="1"/>
  <c r="I6618" i="1"/>
  <c r="J6618" i="1"/>
  <c r="K6618" i="1"/>
  <c r="H6619" i="1"/>
  <c r="I6619" i="1"/>
  <c r="J6619" i="1"/>
  <c r="K6619" i="1"/>
  <c r="H6620" i="1"/>
  <c r="I6620" i="1"/>
  <c r="J6620" i="1"/>
  <c r="K6620" i="1"/>
  <c r="H6621" i="1"/>
  <c r="I6621" i="1"/>
  <c r="J6621" i="1"/>
  <c r="K6621" i="1"/>
  <c r="H6622" i="1"/>
  <c r="I6622" i="1"/>
  <c r="J6622" i="1"/>
  <c r="K6622" i="1"/>
  <c r="H6623" i="1"/>
  <c r="I6623" i="1"/>
  <c r="J6623" i="1"/>
  <c r="K6623" i="1"/>
  <c r="H6624" i="1"/>
  <c r="I6624" i="1"/>
  <c r="J6624" i="1"/>
  <c r="K6624" i="1"/>
  <c r="H6625" i="1"/>
  <c r="I6625" i="1"/>
  <c r="J6625" i="1"/>
  <c r="K6625" i="1"/>
  <c r="H6626" i="1"/>
  <c r="I6626" i="1"/>
  <c r="J6626" i="1"/>
  <c r="K6626" i="1"/>
  <c r="H6627" i="1"/>
  <c r="I6627" i="1"/>
  <c r="J6627" i="1"/>
  <c r="K6627" i="1"/>
  <c r="H6628" i="1"/>
  <c r="I6628" i="1"/>
  <c r="J6628" i="1"/>
  <c r="K6628" i="1"/>
  <c r="H6629" i="1"/>
  <c r="I6629" i="1"/>
  <c r="J6629" i="1"/>
  <c r="K6629" i="1"/>
  <c r="H6630" i="1"/>
  <c r="I6630" i="1"/>
  <c r="J6630" i="1"/>
  <c r="K6630" i="1"/>
  <c r="H6631" i="1"/>
  <c r="I6631" i="1"/>
  <c r="J6631" i="1"/>
  <c r="K6631" i="1"/>
  <c r="H6632" i="1"/>
  <c r="I6632" i="1"/>
  <c r="J6632" i="1"/>
  <c r="K6632" i="1"/>
  <c r="H6633" i="1"/>
  <c r="I6633" i="1"/>
  <c r="J6633" i="1"/>
  <c r="K6633" i="1"/>
  <c r="H6634" i="1"/>
  <c r="I6634" i="1"/>
  <c r="J6634" i="1"/>
  <c r="K6634" i="1"/>
  <c r="H6635" i="1"/>
  <c r="I6635" i="1"/>
  <c r="J6635" i="1"/>
  <c r="K6635" i="1"/>
  <c r="H6636" i="1"/>
  <c r="I6636" i="1"/>
  <c r="J6636" i="1"/>
  <c r="K6636" i="1"/>
  <c r="H6637" i="1"/>
  <c r="I6637" i="1"/>
  <c r="J6637" i="1"/>
  <c r="K6637" i="1"/>
  <c r="H6638" i="1"/>
  <c r="I6638" i="1"/>
  <c r="J6638" i="1"/>
  <c r="K6638" i="1"/>
  <c r="H6639" i="1"/>
  <c r="I6639" i="1"/>
  <c r="J6639" i="1"/>
  <c r="K6639" i="1"/>
  <c r="H6640" i="1"/>
  <c r="I6640" i="1"/>
  <c r="J6640" i="1"/>
  <c r="K6640" i="1"/>
  <c r="H6641" i="1"/>
  <c r="I6641" i="1"/>
  <c r="J6641" i="1"/>
  <c r="K6641" i="1"/>
  <c r="H6642" i="1"/>
  <c r="I6642" i="1"/>
  <c r="J6642" i="1"/>
  <c r="K6642" i="1"/>
  <c r="H6643" i="1"/>
  <c r="I6643" i="1"/>
  <c r="J6643" i="1"/>
  <c r="K6643" i="1"/>
  <c r="H6644" i="1"/>
  <c r="I6644" i="1"/>
  <c r="J6644" i="1"/>
  <c r="K6644" i="1"/>
  <c r="H6645" i="1"/>
  <c r="I6645" i="1"/>
  <c r="J6645" i="1"/>
  <c r="K6645" i="1"/>
  <c r="H6646" i="1"/>
  <c r="I6646" i="1"/>
  <c r="J6646" i="1"/>
  <c r="K6646" i="1"/>
  <c r="H6647" i="1"/>
  <c r="I6647" i="1"/>
  <c r="J6647" i="1"/>
  <c r="K6647" i="1"/>
  <c r="H6648" i="1"/>
  <c r="I6648" i="1"/>
  <c r="J6648" i="1"/>
  <c r="K6648" i="1"/>
  <c r="H6649" i="1"/>
  <c r="I6649" i="1"/>
  <c r="J6649" i="1"/>
  <c r="K6649" i="1"/>
  <c r="H6650" i="1"/>
  <c r="I6650" i="1"/>
  <c r="J6650" i="1"/>
  <c r="K6650" i="1"/>
  <c r="H6651" i="1"/>
  <c r="I6651" i="1"/>
  <c r="J6651" i="1"/>
  <c r="K6651" i="1"/>
  <c r="H6652" i="1"/>
  <c r="I6652" i="1"/>
  <c r="J6652" i="1"/>
  <c r="K6652" i="1"/>
  <c r="H6653" i="1"/>
  <c r="I6653" i="1"/>
  <c r="J6653" i="1"/>
  <c r="K6653" i="1"/>
  <c r="H6654" i="1"/>
  <c r="I6654" i="1"/>
  <c r="J6654" i="1"/>
  <c r="K6654" i="1"/>
  <c r="H6655" i="1"/>
  <c r="I6655" i="1"/>
  <c r="J6655" i="1"/>
  <c r="K6655" i="1"/>
  <c r="H6656" i="1"/>
  <c r="I6656" i="1"/>
  <c r="J6656" i="1"/>
  <c r="K6656" i="1"/>
  <c r="H6657" i="1"/>
  <c r="I6657" i="1"/>
  <c r="J6657" i="1"/>
  <c r="K6657" i="1"/>
  <c r="H6658" i="1"/>
  <c r="I6658" i="1"/>
  <c r="J6658" i="1"/>
  <c r="K6658" i="1"/>
  <c r="H6659" i="1"/>
  <c r="I6659" i="1"/>
  <c r="J6659" i="1"/>
  <c r="K6659" i="1"/>
  <c r="H6660" i="1"/>
  <c r="I6660" i="1"/>
  <c r="J6660" i="1"/>
  <c r="K6660" i="1"/>
  <c r="H6661" i="1"/>
  <c r="I6661" i="1"/>
  <c r="J6661" i="1"/>
  <c r="K6661" i="1"/>
  <c r="H6662" i="1"/>
  <c r="I6662" i="1"/>
  <c r="J6662" i="1"/>
  <c r="K6662" i="1"/>
  <c r="H6663" i="1"/>
  <c r="I6663" i="1"/>
  <c r="J6663" i="1"/>
  <c r="K6663" i="1"/>
  <c r="H6664" i="1"/>
  <c r="I6664" i="1"/>
  <c r="J6664" i="1"/>
  <c r="K6664" i="1"/>
  <c r="H6665" i="1"/>
  <c r="I6665" i="1"/>
  <c r="J6665" i="1"/>
  <c r="K6665" i="1"/>
  <c r="H6666" i="1"/>
  <c r="I6666" i="1"/>
  <c r="J6666" i="1"/>
  <c r="K6666" i="1"/>
  <c r="H6667" i="1"/>
  <c r="I6667" i="1"/>
  <c r="J6667" i="1"/>
  <c r="K6667" i="1"/>
  <c r="H6668" i="1"/>
  <c r="I6668" i="1"/>
  <c r="J6668" i="1"/>
  <c r="K6668" i="1"/>
  <c r="H6669" i="1"/>
  <c r="I6669" i="1"/>
  <c r="J6669" i="1"/>
  <c r="K6669" i="1"/>
  <c r="H6670" i="1"/>
  <c r="I6670" i="1"/>
  <c r="J6670" i="1"/>
  <c r="K6670" i="1"/>
  <c r="H6671" i="1"/>
  <c r="I6671" i="1"/>
  <c r="J6671" i="1"/>
  <c r="K6671" i="1"/>
  <c r="H6672" i="1"/>
  <c r="I6672" i="1"/>
  <c r="J6672" i="1"/>
  <c r="K6672" i="1"/>
  <c r="H6673" i="1"/>
  <c r="I6673" i="1"/>
  <c r="J6673" i="1"/>
  <c r="K6673" i="1"/>
  <c r="H6674" i="1"/>
  <c r="I6674" i="1"/>
  <c r="J6674" i="1"/>
  <c r="K6674" i="1"/>
  <c r="H6675" i="1"/>
  <c r="I6675" i="1"/>
  <c r="J6675" i="1"/>
  <c r="K6675" i="1"/>
  <c r="H6676" i="1"/>
  <c r="I6676" i="1"/>
  <c r="J6676" i="1"/>
  <c r="K6676" i="1"/>
  <c r="H6677" i="1"/>
  <c r="I6677" i="1"/>
  <c r="J6677" i="1"/>
  <c r="K6677" i="1"/>
  <c r="H6678" i="1"/>
  <c r="I6678" i="1"/>
  <c r="J6678" i="1"/>
  <c r="K6678" i="1"/>
  <c r="H6679" i="1"/>
  <c r="I6679" i="1"/>
  <c r="J6679" i="1"/>
  <c r="K6679" i="1"/>
  <c r="H6680" i="1"/>
  <c r="I6680" i="1"/>
  <c r="J6680" i="1"/>
  <c r="K6680" i="1"/>
  <c r="H6681" i="1"/>
  <c r="I6681" i="1"/>
  <c r="J6681" i="1"/>
  <c r="K6681" i="1"/>
  <c r="H6682" i="1"/>
  <c r="I6682" i="1"/>
  <c r="J6682" i="1"/>
  <c r="K6682" i="1"/>
  <c r="H6683" i="1"/>
  <c r="I6683" i="1"/>
  <c r="J6683" i="1"/>
  <c r="K6683" i="1"/>
  <c r="H6684" i="1"/>
  <c r="I6684" i="1"/>
  <c r="J6684" i="1"/>
  <c r="K6684" i="1"/>
  <c r="H6685" i="1"/>
  <c r="I6685" i="1"/>
  <c r="J6685" i="1"/>
  <c r="K6685" i="1"/>
  <c r="H6686" i="1"/>
  <c r="I6686" i="1"/>
  <c r="J6686" i="1"/>
  <c r="K6686" i="1"/>
  <c r="H6687" i="1"/>
  <c r="I6687" i="1"/>
  <c r="J6687" i="1"/>
  <c r="K6687" i="1"/>
  <c r="H6688" i="1"/>
  <c r="I6688" i="1"/>
  <c r="J6688" i="1"/>
  <c r="K6688" i="1"/>
  <c r="H6689" i="1"/>
  <c r="I6689" i="1"/>
  <c r="J6689" i="1"/>
  <c r="K6689" i="1"/>
  <c r="H6690" i="1"/>
  <c r="I6690" i="1"/>
  <c r="J6690" i="1"/>
  <c r="K6690" i="1"/>
  <c r="H6691" i="1"/>
  <c r="I6691" i="1"/>
  <c r="J6691" i="1"/>
  <c r="K6691" i="1"/>
  <c r="H6692" i="1"/>
  <c r="I6692" i="1"/>
  <c r="J6692" i="1"/>
  <c r="K6692" i="1"/>
  <c r="H6693" i="1"/>
  <c r="I6693" i="1"/>
  <c r="J6693" i="1"/>
  <c r="K6693" i="1"/>
  <c r="H6694" i="1"/>
  <c r="I6694" i="1"/>
  <c r="J6694" i="1"/>
  <c r="K6694" i="1"/>
  <c r="H6695" i="1"/>
  <c r="I6695" i="1"/>
  <c r="J6695" i="1"/>
  <c r="K6695" i="1"/>
  <c r="H6696" i="1"/>
  <c r="I6696" i="1"/>
  <c r="J6696" i="1"/>
  <c r="K6696" i="1"/>
  <c r="H6697" i="1"/>
  <c r="I6697" i="1"/>
  <c r="J6697" i="1"/>
  <c r="K6697" i="1"/>
  <c r="H6698" i="1"/>
  <c r="I6698" i="1"/>
  <c r="J6698" i="1"/>
  <c r="K6698" i="1"/>
  <c r="H6699" i="1"/>
  <c r="I6699" i="1"/>
  <c r="J6699" i="1"/>
  <c r="K6699" i="1"/>
  <c r="H6700" i="1"/>
  <c r="I6700" i="1"/>
  <c r="J6700" i="1"/>
  <c r="K6700" i="1"/>
  <c r="H6701" i="1"/>
  <c r="I6701" i="1"/>
  <c r="J6701" i="1"/>
  <c r="K6701" i="1"/>
  <c r="H6702" i="1"/>
  <c r="I6702" i="1"/>
  <c r="J6702" i="1"/>
  <c r="K6702" i="1"/>
  <c r="H6703" i="1"/>
  <c r="I6703" i="1"/>
  <c r="J6703" i="1"/>
  <c r="K6703" i="1"/>
  <c r="H6704" i="1"/>
  <c r="I6704" i="1"/>
  <c r="J6704" i="1"/>
  <c r="K6704" i="1"/>
  <c r="H6705" i="1"/>
  <c r="I6705" i="1"/>
  <c r="J6705" i="1"/>
  <c r="K6705" i="1"/>
  <c r="H6706" i="1"/>
  <c r="I6706" i="1"/>
  <c r="J6706" i="1"/>
  <c r="K6706" i="1"/>
  <c r="H6707" i="1"/>
  <c r="I6707" i="1"/>
  <c r="J6707" i="1"/>
  <c r="K6707" i="1"/>
  <c r="H6708" i="1"/>
  <c r="I6708" i="1"/>
  <c r="J6708" i="1"/>
  <c r="K6708" i="1"/>
  <c r="H6709" i="1"/>
  <c r="I6709" i="1"/>
  <c r="J6709" i="1"/>
  <c r="K6709" i="1"/>
  <c r="H6710" i="1"/>
  <c r="I6710" i="1"/>
  <c r="J6710" i="1"/>
  <c r="K6710" i="1"/>
  <c r="H6711" i="1"/>
  <c r="I6711" i="1"/>
  <c r="J6711" i="1"/>
  <c r="K6711" i="1"/>
  <c r="H6712" i="1"/>
  <c r="I6712" i="1"/>
  <c r="J6712" i="1"/>
  <c r="K6712" i="1"/>
  <c r="H6713" i="1"/>
  <c r="I6713" i="1"/>
  <c r="J6713" i="1"/>
  <c r="K6713" i="1"/>
  <c r="H6714" i="1"/>
  <c r="I6714" i="1"/>
  <c r="J6714" i="1"/>
  <c r="K6714" i="1"/>
  <c r="H6715" i="1"/>
  <c r="I6715" i="1"/>
  <c r="J6715" i="1"/>
  <c r="K6715" i="1"/>
  <c r="H6716" i="1"/>
  <c r="I6716" i="1"/>
  <c r="J6716" i="1"/>
  <c r="K6716" i="1"/>
  <c r="H6717" i="1"/>
  <c r="I6717" i="1"/>
  <c r="J6717" i="1"/>
  <c r="K6717" i="1"/>
  <c r="H6718" i="1"/>
  <c r="I6718" i="1"/>
  <c r="J6718" i="1"/>
  <c r="K6718" i="1"/>
  <c r="H6719" i="1"/>
  <c r="I6719" i="1"/>
  <c r="J6719" i="1"/>
  <c r="K6719" i="1"/>
  <c r="H6720" i="1"/>
  <c r="I6720" i="1"/>
  <c r="J6720" i="1"/>
  <c r="K6720" i="1"/>
  <c r="H6721" i="1"/>
  <c r="I6721" i="1"/>
  <c r="J6721" i="1"/>
  <c r="K6721" i="1"/>
  <c r="H6722" i="1"/>
  <c r="I6722" i="1"/>
  <c r="J6722" i="1"/>
  <c r="K6722" i="1"/>
  <c r="H6723" i="1"/>
  <c r="I6723" i="1"/>
  <c r="J6723" i="1"/>
  <c r="K6723" i="1"/>
  <c r="H6724" i="1"/>
  <c r="I6724" i="1"/>
  <c r="J6724" i="1"/>
  <c r="K6724" i="1"/>
  <c r="H6725" i="1"/>
  <c r="I6725" i="1"/>
  <c r="J6725" i="1"/>
  <c r="K6725" i="1"/>
  <c r="H6726" i="1"/>
  <c r="I6726" i="1"/>
  <c r="J6726" i="1"/>
  <c r="K6726" i="1"/>
  <c r="H6727" i="1"/>
  <c r="I6727" i="1"/>
  <c r="J6727" i="1"/>
  <c r="K6727" i="1"/>
  <c r="H6728" i="1"/>
  <c r="I6728" i="1"/>
  <c r="J6728" i="1"/>
  <c r="K6728" i="1"/>
  <c r="H6729" i="1"/>
  <c r="I6729" i="1"/>
  <c r="J6729" i="1"/>
  <c r="K6729" i="1"/>
  <c r="H6730" i="1"/>
  <c r="I6730" i="1"/>
  <c r="J6730" i="1"/>
  <c r="K6730" i="1"/>
  <c r="H6731" i="1"/>
  <c r="I6731" i="1"/>
  <c r="J6731" i="1"/>
  <c r="K6731" i="1"/>
  <c r="H6732" i="1"/>
  <c r="I6732" i="1"/>
  <c r="J6732" i="1"/>
  <c r="K6732" i="1"/>
  <c r="H6733" i="1"/>
  <c r="I6733" i="1"/>
  <c r="J6733" i="1"/>
  <c r="K6733" i="1"/>
  <c r="H6734" i="1"/>
  <c r="I6734" i="1"/>
  <c r="J6734" i="1"/>
  <c r="K6734" i="1"/>
  <c r="H6735" i="1"/>
  <c r="I6735" i="1"/>
  <c r="J6735" i="1"/>
  <c r="K6735" i="1"/>
  <c r="H6736" i="1"/>
  <c r="I6736" i="1"/>
  <c r="J6736" i="1"/>
  <c r="K6736" i="1"/>
  <c r="H6737" i="1"/>
  <c r="I6737" i="1"/>
  <c r="J6737" i="1"/>
  <c r="K6737" i="1"/>
  <c r="H6738" i="1"/>
  <c r="I6738" i="1"/>
  <c r="J6738" i="1"/>
  <c r="K6738" i="1"/>
  <c r="H6739" i="1"/>
  <c r="I6739" i="1"/>
  <c r="J6739" i="1"/>
  <c r="K6739" i="1"/>
  <c r="H6740" i="1"/>
  <c r="I6740" i="1"/>
  <c r="J6740" i="1"/>
  <c r="K6740" i="1"/>
  <c r="H6741" i="1"/>
  <c r="I6741" i="1"/>
  <c r="J6741" i="1"/>
  <c r="K6741" i="1"/>
  <c r="H6742" i="1"/>
  <c r="I6742" i="1"/>
  <c r="J6742" i="1"/>
  <c r="K6742" i="1"/>
  <c r="H6743" i="1"/>
  <c r="I6743" i="1"/>
  <c r="J6743" i="1"/>
  <c r="K6743" i="1"/>
  <c r="H6744" i="1"/>
  <c r="I6744" i="1"/>
  <c r="J6744" i="1"/>
  <c r="K6744" i="1"/>
  <c r="H6745" i="1"/>
  <c r="I6745" i="1"/>
  <c r="J6745" i="1"/>
  <c r="K6745" i="1"/>
  <c r="H6746" i="1"/>
  <c r="I6746" i="1"/>
  <c r="J6746" i="1"/>
  <c r="K6746" i="1"/>
  <c r="H6747" i="1"/>
  <c r="I6747" i="1"/>
  <c r="J6747" i="1"/>
  <c r="K6747" i="1"/>
  <c r="H6748" i="1"/>
  <c r="I6748" i="1"/>
  <c r="J6748" i="1"/>
  <c r="K6748" i="1"/>
  <c r="H6749" i="1"/>
  <c r="I6749" i="1"/>
  <c r="J6749" i="1"/>
  <c r="K6749" i="1"/>
  <c r="H6750" i="1"/>
  <c r="I6750" i="1"/>
  <c r="J6750" i="1"/>
  <c r="K6750" i="1"/>
  <c r="H6751" i="1"/>
  <c r="I6751" i="1"/>
  <c r="J6751" i="1"/>
  <c r="K6751" i="1"/>
  <c r="H6752" i="1"/>
  <c r="I6752" i="1"/>
  <c r="J6752" i="1"/>
  <c r="K6752" i="1"/>
  <c r="H6753" i="1"/>
  <c r="I6753" i="1"/>
  <c r="J6753" i="1"/>
  <c r="K6753" i="1"/>
  <c r="H6754" i="1"/>
  <c r="I6754" i="1"/>
  <c r="J6754" i="1"/>
  <c r="K6754" i="1"/>
  <c r="H6755" i="1"/>
  <c r="I6755" i="1"/>
  <c r="J6755" i="1"/>
  <c r="K6755" i="1"/>
  <c r="H6756" i="1"/>
  <c r="I6756" i="1"/>
  <c r="J6756" i="1"/>
  <c r="K6756" i="1"/>
  <c r="H6757" i="1"/>
  <c r="I6757" i="1"/>
  <c r="J6757" i="1"/>
  <c r="K6757" i="1"/>
  <c r="H6758" i="1"/>
  <c r="I6758" i="1"/>
  <c r="J6758" i="1"/>
  <c r="K6758" i="1"/>
  <c r="H6759" i="1"/>
  <c r="I6759" i="1"/>
  <c r="J6759" i="1"/>
  <c r="K6759" i="1"/>
  <c r="H6760" i="1"/>
  <c r="I6760" i="1"/>
  <c r="J6760" i="1"/>
  <c r="K6760" i="1"/>
  <c r="H6761" i="1"/>
  <c r="I6761" i="1"/>
  <c r="J6761" i="1"/>
  <c r="K6761" i="1"/>
  <c r="H6762" i="1"/>
  <c r="I6762" i="1"/>
  <c r="J6762" i="1"/>
  <c r="K6762" i="1"/>
  <c r="H6763" i="1"/>
  <c r="I6763" i="1"/>
  <c r="J6763" i="1"/>
  <c r="K6763" i="1"/>
  <c r="H6764" i="1"/>
  <c r="I6764" i="1"/>
  <c r="J6764" i="1"/>
  <c r="K6764" i="1"/>
  <c r="H6765" i="1"/>
  <c r="I6765" i="1"/>
  <c r="J6765" i="1"/>
  <c r="K6765" i="1"/>
  <c r="H6766" i="1"/>
  <c r="I6766" i="1"/>
  <c r="J6766" i="1"/>
  <c r="K6766" i="1"/>
  <c r="H6767" i="1"/>
  <c r="I6767" i="1"/>
  <c r="J6767" i="1"/>
  <c r="K6767" i="1"/>
  <c r="H6768" i="1"/>
  <c r="I6768" i="1"/>
  <c r="J6768" i="1"/>
  <c r="K6768" i="1"/>
  <c r="H6769" i="1"/>
  <c r="I6769" i="1"/>
  <c r="J6769" i="1"/>
  <c r="K6769" i="1"/>
  <c r="H6770" i="1"/>
  <c r="I6770" i="1"/>
  <c r="J6770" i="1"/>
  <c r="K6770" i="1"/>
  <c r="H6771" i="1"/>
  <c r="I6771" i="1"/>
  <c r="J6771" i="1"/>
  <c r="K6771" i="1"/>
  <c r="H6772" i="1"/>
  <c r="I6772" i="1"/>
  <c r="J6772" i="1"/>
  <c r="K6772" i="1"/>
  <c r="H6773" i="1"/>
  <c r="I6773" i="1"/>
  <c r="J6773" i="1"/>
  <c r="K6773" i="1"/>
  <c r="H6774" i="1"/>
  <c r="I6774" i="1"/>
  <c r="J6774" i="1"/>
  <c r="K6774" i="1"/>
  <c r="H6775" i="1"/>
  <c r="I6775" i="1"/>
  <c r="J6775" i="1"/>
  <c r="K6775" i="1"/>
  <c r="H6776" i="1"/>
  <c r="I6776" i="1"/>
  <c r="J6776" i="1"/>
  <c r="K6776" i="1"/>
  <c r="H6777" i="1"/>
  <c r="I6777" i="1"/>
  <c r="J6777" i="1"/>
  <c r="K6777" i="1"/>
  <c r="H6778" i="1"/>
  <c r="I6778" i="1"/>
  <c r="J6778" i="1"/>
  <c r="K6778" i="1"/>
  <c r="H6779" i="1"/>
  <c r="I6779" i="1"/>
  <c r="J6779" i="1"/>
  <c r="K6779" i="1"/>
  <c r="H6780" i="1"/>
  <c r="I6780" i="1"/>
  <c r="J6780" i="1"/>
  <c r="K6780" i="1"/>
  <c r="H6781" i="1"/>
  <c r="I6781" i="1"/>
  <c r="J6781" i="1"/>
  <c r="K6781" i="1"/>
  <c r="H6782" i="1"/>
  <c r="I6782" i="1"/>
  <c r="J6782" i="1"/>
  <c r="K6782" i="1"/>
  <c r="H6783" i="1"/>
  <c r="I6783" i="1"/>
  <c r="J6783" i="1"/>
  <c r="K6783" i="1"/>
  <c r="H6784" i="1"/>
  <c r="I6784" i="1"/>
  <c r="J6784" i="1"/>
  <c r="K6784" i="1"/>
  <c r="H6785" i="1"/>
  <c r="I6785" i="1"/>
  <c r="J6785" i="1"/>
  <c r="K6785" i="1"/>
  <c r="H6786" i="1"/>
  <c r="I6786" i="1"/>
  <c r="J6786" i="1"/>
  <c r="K6786" i="1"/>
  <c r="H6787" i="1"/>
  <c r="I6787" i="1"/>
  <c r="J6787" i="1"/>
  <c r="K6787" i="1"/>
  <c r="H6788" i="1"/>
  <c r="I6788" i="1"/>
  <c r="J6788" i="1"/>
  <c r="K6788" i="1"/>
  <c r="H6789" i="1"/>
  <c r="I6789" i="1"/>
  <c r="J6789" i="1"/>
  <c r="K6789" i="1"/>
  <c r="H6790" i="1"/>
  <c r="I6790" i="1"/>
  <c r="J6790" i="1"/>
  <c r="K6790" i="1"/>
  <c r="H6791" i="1"/>
  <c r="I6791" i="1"/>
  <c r="J6791" i="1"/>
  <c r="K6791" i="1"/>
  <c r="H6792" i="1"/>
  <c r="I6792" i="1"/>
  <c r="J6792" i="1"/>
  <c r="K6792" i="1"/>
  <c r="H6793" i="1"/>
  <c r="I6793" i="1"/>
  <c r="J6793" i="1"/>
  <c r="K6793" i="1"/>
  <c r="H6794" i="1"/>
  <c r="I6794" i="1"/>
  <c r="J6794" i="1"/>
  <c r="K6794" i="1"/>
  <c r="H6795" i="1"/>
  <c r="I6795" i="1"/>
  <c r="J6795" i="1"/>
  <c r="K6795" i="1"/>
  <c r="H6796" i="1"/>
  <c r="I6796" i="1"/>
  <c r="J6796" i="1"/>
  <c r="K6796" i="1"/>
  <c r="H6797" i="1"/>
  <c r="I6797" i="1"/>
  <c r="J6797" i="1"/>
  <c r="K6797" i="1"/>
  <c r="H6798" i="1"/>
  <c r="I6798" i="1"/>
  <c r="J6798" i="1"/>
  <c r="K6798" i="1"/>
  <c r="H6799" i="1"/>
  <c r="I6799" i="1"/>
  <c r="J6799" i="1"/>
  <c r="K6799" i="1"/>
  <c r="H6800" i="1"/>
  <c r="I6800" i="1"/>
  <c r="J6800" i="1"/>
  <c r="K6800" i="1"/>
  <c r="H6801" i="1"/>
  <c r="I6801" i="1"/>
  <c r="J6801" i="1"/>
  <c r="K6801" i="1"/>
  <c r="H6802" i="1"/>
  <c r="I6802" i="1"/>
  <c r="J6802" i="1"/>
  <c r="K6802" i="1"/>
  <c r="H6803" i="1"/>
  <c r="I6803" i="1"/>
  <c r="J6803" i="1"/>
  <c r="K6803" i="1"/>
  <c r="H6804" i="1"/>
  <c r="I6804" i="1"/>
  <c r="J6804" i="1"/>
  <c r="K6804" i="1"/>
  <c r="H6805" i="1"/>
  <c r="I6805" i="1"/>
  <c r="J6805" i="1"/>
  <c r="K6805" i="1"/>
  <c r="H6806" i="1"/>
  <c r="I6806" i="1"/>
  <c r="J6806" i="1"/>
  <c r="K6806" i="1"/>
  <c r="H6807" i="1"/>
  <c r="I6807" i="1"/>
  <c r="J6807" i="1"/>
  <c r="K6807" i="1"/>
  <c r="H6808" i="1"/>
  <c r="I6808" i="1"/>
  <c r="J6808" i="1"/>
  <c r="K6808" i="1"/>
  <c r="H6809" i="1"/>
  <c r="I6809" i="1"/>
  <c r="J6809" i="1"/>
  <c r="K6809" i="1"/>
  <c r="H6810" i="1"/>
  <c r="I6810" i="1"/>
  <c r="J6810" i="1"/>
  <c r="K6810" i="1"/>
  <c r="H6811" i="1"/>
  <c r="I6811" i="1"/>
  <c r="J6811" i="1"/>
  <c r="K6811" i="1"/>
  <c r="H6812" i="1"/>
  <c r="I6812" i="1"/>
  <c r="J6812" i="1"/>
  <c r="K6812" i="1"/>
  <c r="H6813" i="1"/>
  <c r="I6813" i="1"/>
  <c r="J6813" i="1"/>
  <c r="K6813" i="1"/>
  <c r="H6814" i="1"/>
  <c r="I6814" i="1"/>
  <c r="J6814" i="1"/>
  <c r="K6814" i="1"/>
  <c r="H6815" i="1"/>
  <c r="I6815" i="1"/>
  <c r="J6815" i="1"/>
  <c r="K6815" i="1"/>
  <c r="H6816" i="1"/>
  <c r="I6816" i="1"/>
  <c r="J6816" i="1"/>
  <c r="K6816" i="1"/>
  <c r="H6817" i="1"/>
  <c r="I6817" i="1"/>
  <c r="J6817" i="1"/>
  <c r="K6817" i="1"/>
  <c r="H6818" i="1"/>
  <c r="I6818" i="1"/>
  <c r="J6818" i="1"/>
  <c r="K6818" i="1"/>
  <c r="H6819" i="1"/>
  <c r="I6819" i="1"/>
  <c r="J6819" i="1"/>
  <c r="K6819" i="1"/>
  <c r="H6820" i="1"/>
  <c r="I6820" i="1"/>
  <c r="J6820" i="1"/>
  <c r="K6820" i="1"/>
  <c r="H6821" i="1"/>
  <c r="I6821" i="1"/>
  <c r="J6821" i="1"/>
  <c r="K6821" i="1"/>
  <c r="H6822" i="1"/>
  <c r="I6822" i="1"/>
  <c r="J6822" i="1"/>
  <c r="K6822" i="1"/>
  <c r="H6823" i="1"/>
  <c r="I6823" i="1"/>
  <c r="J6823" i="1"/>
  <c r="K6823" i="1"/>
  <c r="H6824" i="1"/>
  <c r="I6824" i="1"/>
  <c r="J6824" i="1"/>
  <c r="K6824" i="1"/>
  <c r="H6825" i="1"/>
  <c r="I6825" i="1"/>
  <c r="J6825" i="1"/>
  <c r="K6825" i="1"/>
  <c r="H6826" i="1"/>
  <c r="I6826" i="1"/>
  <c r="J6826" i="1"/>
  <c r="K6826" i="1"/>
  <c r="H6827" i="1"/>
  <c r="I6827" i="1"/>
  <c r="J6827" i="1"/>
  <c r="K6827" i="1"/>
  <c r="H6828" i="1"/>
  <c r="I6828" i="1"/>
  <c r="J6828" i="1"/>
  <c r="K6828" i="1"/>
  <c r="H6829" i="1"/>
  <c r="I6829" i="1"/>
  <c r="J6829" i="1"/>
  <c r="K6829" i="1"/>
  <c r="H6830" i="1"/>
  <c r="I6830" i="1"/>
  <c r="J6830" i="1"/>
  <c r="K6830" i="1"/>
  <c r="H6831" i="1"/>
  <c r="I6831" i="1"/>
  <c r="J6831" i="1"/>
  <c r="K6831" i="1"/>
  <c r="H6832" i="1"/>
  <c r="I6832" i="1"/>
  <c r="J6832" i="1"/>
  <c r="K6832" i="1"/>
  <c r="H6833" i="1"/>
  <c r="I6833" i="1"/>
  <c r="J6833" i="1"/>
  <c r="K6833" i="1"/>
  <c r="H6834" i="1"/>
  <c r="I6834" i="1"/>
  <c r="J6834" i="1"/>
  <c r="K6834" i="1"/>
  <c r="H6835" i="1"/>
  <c r="I6835" i="1"/>
  <c r="J6835" i="1"/>
  <c r="K6835" i="1"/>
  <c r="H6836" i="1"/>
  <c r="I6836" i="1"/>
  <c r="J6836" i="1"/>
  <c r="K6836" i="1"/>
  <c r="H6837" i="1"/>
  <c r="I6837" i="1"/>
  <c r="J6837" i="1"/>
  <c r="K6837" i="1"/>
  <c r="H6838" i="1"/>
  <c r="I6838" i="1"/>
  <c r="J6838" i="1"/>
  <c r="K6838" i="1"/>
  <c r="H6839" i="1"/>
  <c r="I6839" i="1"/>
  <c r="J6839" i="1"/>
  <c r="K6839" i="1"/>
  <c r="H6840" i="1"/>
  <c r="I6840" i="1"/>
  <c r="J6840" i="1"/>
  <c r="K6840" i="1"/>
  <c r="H6841" i="1"/>
  <c r="I6841" i="1"/>
  <c r="J6841" i="1"/>
  <c r="K6841" i="1"/>
  <c r="H6842" i="1"/>
  <c r="I6842" i="1"/>
  <c r="J6842" i="1"/>
  <c r="K6842" i="1"/>
  <c r="H6843" i="1"/>
  <c r="I6843" i="1"/>
  <c r="J6843" i="1"/>
  <c r="K6843" i="1"/>
  <c r="H6844" i="1"/>
  <c r="I6844" i="1"/>
  <c r="J6844" i="1"/>
  <c r="K6844" i="1"/>
  <c r="H6845" i="1"/>
  <c r="I6845" i="1"/>
  <c r="J6845" i="1"/>
  <c r="K6845" i="1"/>
  <c r="H6846" i="1"/>
  <c r="I6846" i="1"/>
  <c r="J6846" i="1"/>
  <c r="K6846" i="1"/>
  <c r="H6847" i="1"/>
  <c r="I6847" i="1"/>
  <c r="J6847" i="1"/>
  <c r="K6847" i="1"/>
  <c r="H6848" i="1"/>
  <c r="I6848" i="1"/>
  <c r="J6848" i="1"/>
  <c r="K6848" i="1"/>
  <c r="H6849" i="1"/>
  <c r="I6849" i="1"/>
  <c r="J6849" i="1"/>
  <c r="K6849" i="1"/>
  <c r="H6850" i="1"/>
  <c r="I6850" i="1"/>
  <c r="J6850" i="1"/>
  <c r="K6850" i="1"/>
  <c r="H6851" i="1"/>
  <c r="I6851" i="1"/>
  <c r="J6851" i="1"/>
  <c r="K6851" i="1"/>
  <c r="H6852" i="1"/>
  <c r="I6852" i="1"/>
  <c r="J6852" i="1"/>
  <c r="K6852" i="1"/>
  <c r="H6853" i="1"/>
  <c r="I6853" i="1"/>
  <c r="J6853" i="1"/>
  <c r="K6853" i="1"/>
  <c r="H6854" i="1"/>
  <c r="I6854" i="1"/>
  <c r="J6854" i="1"/>
  <c r="K6854" i="1"/>
  <c r="H6855" i="1"/>
  <c r="I6855" i="1"/>
  <c r="J6855" i="1"/>
  <c r="K6855" i="1"/>
  <c r="H6856" i="1"/>
  <c r="I6856" i="1"/>
  <c r="J6856" i="1"/>
  <c r="K6856" i="1"/>
  <c r="H6857" i="1"/>
  <c r="I6857" i="1"/>
  <c r="J6857" i="1"/>
  <c r="K6857" i="1"/>
  <c r="H6858" i="1"/>
  <c r="I6858" i="1"/>
  <c r="J6858" i="1"/>
  <c r="K6858" i="1"/>
  <c r="H6859" i="1"/>
  <c r="I6859" i="1"/>
  <c r="J6859" i="1"/>
  <c r="K6859" i="1"/>
  <c r="H6860" i="1"/>
  <c r="I6860" i="1"/>
  <c r="J6860" i="1"/>
  <c r="K6860" i="1"/>
  <c r="H6861" i="1"/>
  <c r="I6861" i="1"/>
  <c r="J6861" i="1"/>
  <c r="K6861" i="1"/>
  <c r="H6862" i="1"/>
  <c r="I6862" i="1"/>
  <c r="J6862" i="1"/>
  <c r="K6862" i="1"/>
  <c r="H6863" i="1"/>
  <c r="I6863" i="1"/>
  <c r="J6863" i="1"/>
  <c r="K6863" i="1"/>
  <c r="H6864" i="1"/>
  <c r="I6864" i="1"/>
  <c r="J6864" i="1"/>
  <c r="K6864" i="1"/>
  <c r="H6865" i="1"/>
  <c r="I6865" i="1"/>
  <c r="J6865" i="1"/>
  <c r="K6865" i="1"/>
  <c r="H6866" i="1"/>
  <c r="I6866" i="1"/>
  <c r="J6866" i="1"/>
  <c r="K6866" i="1"/>
  <c r="H6867" i="1"/>
  <c r="I6867" i="1"/>
  <c r="J6867" i="1"/>
  <c r="K6867" i="1"/>
  <c r="H6868" i="1"/>
  <c r="I6868" i="1"/>
  <c r="J6868" i="1"/>
  <c r="K6868" i="1"/>
  <c r="H6869" i="1"/>
  <c r="I6869" i="1"/>
  <c r="J6869" i="1"/>
  <c r="K6869" i="1"/>
  <c r="H6870" i="1"/>
  <c r="I6870" i="1"/>
  <c r="J6870" i="1"/>
  <c r="K6870" i="1"/>
  <c r="H6871" i="1"/>
  <c r="I6871" i="1"/>
  <c r="J6871" i="1"/>
  <c r="K6871" i="1"/>
  <c r="H6872" i="1"/>
  <c r="I6872" i="1"/>
  <c r="J6872" i="1"/>
  <c r="K6872" i="1"/>
  <c r="H6873" i="1"/>
  <c r="I6873" i="1"/>
  <c r="J6873" i="1"/>
  <c r="K6873" i="1"/>
  <c r="H6874" i="1"/>
  <c r="I6874" i="1"/>
  <c r="J6874" i="1"/>
  <c r="K6874" i="1"/>
  <c r="H6875" i="1"/>
  <c r="I6875" i="1"/>
  <c r="J6875" i="1"/>
  <c r="K6875" i="1"/>
  <c r="H6876" i="1"/>
  <c r="I6876" i="1"/>
  <c r="J6876" i="1"/>
  <c r="K6876" i="1"/>
  <c r="H6877" i="1"/>
  <c r="I6877" i="1"/>
  <c r="J6877" i="1"/>
  <c r="K6877" i="1"/>
  <c r="H6878" i="1"/>
  <c r="I6878" i="1"/>
  <c r="J6878" i="1"/>
  <c r="K6878" i="1"/>
  <c r="H6879" i="1"/>
  <c r="I6879" i="1"/>
  <c r="J6879" i="1"/>
  <c r="K6879" i="1"/>
  <c r="H6880" i="1"/>
  <c r="I6880" i="1"/>
  <c r="J6880" i="1"/>
  <c r="K6880" i="1"/>
  <c r="H6881" i="1"/>
  <c r="I6881" i="1"/>
  <c r="J6881" i="1"/>
  <c r="K6881" i="1"/>
  <c r="H6882" i="1"/>
  <c r="I6882" i="1"/>
  <c r="J6882" i="1"/>
  <c r="K6882" i="1"/>
  <c r="H6883" i="1"/>
  <c r="I6883" i="1"/>
  <c r="J6883" i="1"/>
  <c r="K6883" i="1"/>
  <c r="H6884" i="1"/>
  <c r="I6884" i="1"/>
  <c r="J6884" i="1"/>
  <c r="K6884" i="1"/>
  <c r="H6885" i="1"/>
  <c r="I6885" i="1"/>
  <c r="J6885" i="1"/>
  <c r="K6885" i="1"/>
  <c r="H6886" i="1"/>
  <c r="I6886" i="1"/>
  <c r="J6886" i="1"/>
  <c r="K6886" i="1"/>
  <c r="H6887" i="1"/>
  <c r="I6887" i="1"/>
  <c r="J6887" i="1"/>
  <c r="K6887" i="1"/>
  <c r="H6888" i="1"/>
  <c r="I6888" i="1"/>
  <c r="J6888" i="1"/>
  <c r="K6888" i="1"/>
  <c r="H6889" i="1"/>
  <c r="I6889" i="1"/>
  <c r="J6889" i="1"/>
  <c r="K6889" i="1"/>
  <c r="H6890" i="1"/>
  <c r="I6890" i="1"/>
  <c r="J6890" i="1"/>
  <c r="K6890" i="1"/>
  <c r="H6891" i="1"/>
  <c r="I6891" i="1"/>
  <c r="J6891" i="1"/>
  <c r="K6891" i="1"/>
  <c r="H6892" i="1"/>
  <c r="I6892" i="1"/>
  <c r="J6892" i="1"/>
  <c r="K6892" i="1"/>
  <c r="H6893" i="1"/>
  <c r="I6893" i="1"/>
  <c r="J6893" i="1"/>
  <c r="K6893" i="1"/>
  <c r="H6894" i="1"/>
  <c r="I6894" i="1"/>
  <c r="J6894" i="1"/>
  <c r="K6894" i="1"/>
  <c r="H6895" i="1"/>
  <c r="I6895" i="1"/>
  <c r="J6895" i="1"/>
  <c r="K6895" i="1"/>
  <c r="H6896" i="1"/>
  <c r="I6896" i="1"/>
  <c r="J6896" i="1"/>
  <c r="K6896" i="1"/>
  <c r="H6897" i="1"/>
  <c r="I6897" i="1"/>
  <c r="J6897" i="1"/>
  <c r="K6897" i="1"/>
  <c r="H6898" i="1"/>
  <c r="I6898" i="1"/>
  <c r="J6898" i="1"/>
  <c r="K6898" i="1"/>
  <c r="H6899" i="1"/>
  <c r="I6899" i="1"/>
  <c r="J6899" i="1"/>
  <c r="K6899" i="1"/>
  <c r="H6900" i="1"/>
  <c r="I6900" i="1"/>
  <c r="J6900" i="1"/>
  <c r="K6900" i="1"/>
  <c r="H6901" i="1"/>
  <c r="I6901" i="1"/>
  <c r="J6901" i="1"/>
  <c r="K6901" i="1"/>
  <c r="H6902" i="1"/>
  <c r="I6902" i="1"/>
  <c r="J6902" i="1"/>
  <c r="K6902" i="1"/>
  <c r="H6903" i="1"/>
  <c r="I6903" i="1"/>
  <c r="J6903" i="1"/>
  <c r="K6903" i="1"/>
  <c r="H6904" i="1"/>
  <c r="I6904" i="1"/>
  <c r="J6904" i="1"/>
  <c r="K6904" i="1"/>
  <c r="H6905" i="1"/>
  <c r="I6905" i="1"/>
  <c r="J6905" i="1"/>
  <c r="K6905" i="1"/>
  <c r="H6906" i="1"/>
  <c r="I6906" i="1"/>
  <c r="J6906" i="1"/>
  <c r="K6906" i="1"/>
  <c r="H6907" i="1"/>
  <c r="I6907" i="1"/>
  <c r="J6907" i="1"/>
  <c r="K6907" i="1"/>
  <c r="H6908" i="1"/>
  <c r="I6908" i="1"/>
  <c r="J6908" i="1"/>
  <c r="K6908" i="1"/>
  <c r="H6909" i="1"/>
  <c r="I6909" i="1"/>
  <c r="J6909" i="1"/>
  <c r="K6909" i="1"/>
  <c r="H6910" i="1"/>
  <c r="I6910" i="1"/>
  <c r="J6910" i="1"/>
  <c r="K6910" i="1"/>
  <c r="H6911" i="1"/>
  <c r="I6911" i="1"/>
  <c r="J6911" i="1"/>
  <c r="K6911" i="1"/>
  <c r="H6912" i="1"/>
  <c r="I6912" i="1"/>
  <c r="J6912" i="1"/>
  <c r="K6912" i="1"/>
  <c r="H6913" i="1"/>
  <c r="I6913" i="1"/>
  <c r="J6913" i="1"/>
  <c r="K6913" i="1"/>
  <c r="H6914" i="1"/>
  <c r="I6914" i="1"/>
  <c r="J6914" i="1"/>
  <c r="K6914" i="1"/>
  <c r="H6915" i="1"/>
  <c r="I6915" i="1"/>
  <c r="J6915" i="1"/>
  <c r="K6915" i="1"/>
  <c r="H6916" i="1"/>
  <c r="I6916" i="1"/>
  <c r="J6916" i="1"/>
  <c r="K6916" i="1"/>
  <c r="H6917" i="1"/>
  <c r="I6917" i="1"/>
  <c r="J6917" i="1"/>
  <c r="K6917" i="1"/>
  <c r="H6918" i="1"/>
  <c r="I6918" i="1"/>
  <c r="J6918" i="1"/>
  <c r="K6918" i="1"/>
  <c r="H6919" i="1"/>
  <c r="I6919" i="1"/>
  <c r="J6919" i="1"/>
  <c r="K6919" i="1"/>
  <c r="H6920" i="1"/>
  <c r="I6920" i="1"/>
  <c r="J6920" i="1"/>
  <c r="K6920" i="1"/>
  <c r="H6921" i="1"/>
  <c r="I6921" i="1"/>
  <c r="J6921" i="1"/>
  <c r="K6921" i="1"/>
  <c r="H6922" i="1"/>
  <c r="I6922" i="1"/>
  <c r="J6922" i="1"/>
  <c r="K6922" i="1"/>
  <c r="H6923" i="1"/>
  <c r="I6923" i="1"/>
  <c r="J6923" i="1"/>
  <c r="K6923" i="1"/>
  <c r="H6924" i="1"/>
  <c r="I6924" i="1"/>
  <c r="J6924" i="1"/>
  <c r="K6924" i="1"/>
  <c r="H6925" i="1"/>
  <c r="I6925" i="1"/>
  <c r="J6925" i="1"/>
  <c r="K6925" i="1"/>
  <c r="H6926" i="1"/>
  <c r="I6926" i="1"/>
  <c r="J6926" i="1"/>
  <c r="K6926" i="1"/>
  <c r="H6927" i="1"/>
  <c r="I6927" i="1"/>
  <c r="J6927" i="1"/>
  <c r="K6927" i="1"/>
  <c r="H6928" i="1"/>
  <c r="I6928" i="1"/>
  <c r="J6928" i="1"/>
  <c r="K6928" i="1"/>
  <c r="H6929" i="1"/>
  <c r="I6929" i="1"/>
  <c r="J6929" i="1"/>
  <c r="K6929" i="1"/>
  <c r="H6930" i="1"/>
  <c r="I6930" i="1"/>
  <c r="J6930" i="1"/>
  <c r="K6930" i="1"/>
  <c r="H6931" i="1"/>
  <c r="I6931" i="1"/>
  <c r="J6931" i="1"/>
  <c r="K6931" i="1"/>
  <c r="H6932" i="1"/>
  <c r="I6932" i="1"/>
  <c r="J6932" i="1"/>
  <c r="K6932" i="1"/>
  <c r="H6933" i="1"/>
  <c r="I6933" i="1"/>
  <c r="J6933" i="1"/>
  <c r="K6933" i="1"/>
  <c r="H6934" i="1"/>
  <c r="I6934" i="1"/>
  <c r="J6934" i="1"/>
  <c r="K6934" i="1"/>
  <c r="H6935" i="1"/>
  <c r="I6935" i="1"/>
  <c r="J6935" i="1"/>
  <c r="K6935" i="1"/>
  <c r="H6936" i="1"/>
  <c r="I6936" i="1"/>
  <c r="J6936" i="1"/>
  <c r="K6936" i="1"/>
  <c r="H6937" i="1"/>
  <c r="I6937" i="1"/>
  <c r="J6937" i="1"/>
  <c r="K6937" i="1"/>
  <c r="H6938" i="1"/>
  <c r="I6938" i="1"/>
  <c r="J6938" i="1"/>
  <c r="K6938" i="1"/>
  <c r="H6939" i="1"/>
  <c r="I6939" i="1"/>
  <c r="J6939" i="1"/>
  <c r="K6939" i="1"/>
  <c r="H6940" i="1"/>
  <c r="I6940" i="1"/>
  <c r="J6940" i="1"/>
  <c r="K6940" i="1"/>
  <c r="H6941" i="1"/>
  <c r="I6941" i="1"/>
  <c r="J6941" i="1"/>
  <c r="K6941" i="1"/>
  <c r="H6942" i="1"/>
  <c r="I6942" i="1"/>
  <c r="J6942" i="1"/>
  <c r="K6942" i="1"/>
  <c r="H6943" i="1"/>
  <c r="I6943" i="1"/>
  <c r="J6943" i="1"/>
  <c r="K6943" i="1"/>
  <c r="H6944" i="1"/>
  <c r="I6944" i="1"/>
  <c r="J6944" i="1"/>
  <c r="K6944" i="1"/>
  <c r="H6945" i="1"/>
  <c r="I6945" i="1"/>
  <c r="J6945" i="1"/>
  <c r="K6945" i="1"/>
  <c r="H6946" i="1"/>
  <c r="I6946" i="1"/>
  <c r="J6946" i="1"/>
  <c r="K6946" i="1"/>
  <c r="H6947" i="1"/>
  <c r="I6947" i="1"/>
  <c r="J6947" i="1"/>
  <c r="K6947" i="1"/>
  <c r="H6948" i="1"/>
  <c r="I6948" i="1"/>
  <c r="J6948" i="1"/>
  <c r="K6948" i="1"/>
  <c r="H6949" i="1"/>
  <c r="I6949" i="1"/>
  <c r="J6949" i="1"/>
  <c r="K6949" i="1"/>
  <c r="H6950" i="1"/>
  <c r="I6950" i="1"/>
  <c r="J6950" i="1"/>
  <c r="K6950" i="1"/>
  <c r="H6951" i="1"/>
  <c r="I6951" i="1"/>
  <c r="J6951" i="1"/>
  <c r="K6951" i="1"/>
  <c r="H6952" i="1"/>
  <c r="I6952" i="1"/>
  <c r="J6952" i="1"/>
  <c r="K6952" i="1"/>
  <c r="H6953" i="1"/>
  <c r="I6953" i="1"/>
  <c r="J6953" i="1"/>
  <c r="K6953" i="1"/>
  <c r="H6954" i="1"/>
  <c r="I6954" i="1"/>
  <c r="J6954" i="1"/>
  <c r="K6954" i="1"/>
  <c r="H6955" i="1"/>
  <c r="I6955" i="1"/>
  <c r="J6955" i="1"/>
  <c r="K6955" i="1"/>
  <c r="H6956" i="1"/>
  <c r="I6956" i="1"/>
  <c r="J6956" i="1"/>
  <c r="K6956" i="1"/>
  <c r="H6957" i="1"/>
  <c r="I6957" i="1"/>
  <c r="J6957" i="1"/>
  <c r="K6957" i="1"/>
  <c r="H6958" i="1"/>
  <c r="I6958" i="1"/>
  <c r="J6958" i="1"/>
  <c r="K6958" i="1"/>
  <c r="H6959" i="1"/>
  <c r="I6959" i="1"/>
  <c r="J6959" i="1"/>
  <c r="K6959" i="1"/>
  <c r="H6960" i="1"/>
  <c r="I6960" i="1"/>
  <c r="J6960" i="1"/>
  <c r="K6960" i="1"/>
  <c r="H6961" i="1"/>
  <c r="I6961" i="1"/>
  <c r="J6961" i="1"/>
  <c r="K6961" i="1"/>
  <c r="H6962" i="1"/>
  <c r="I6962" i="1"/>
  <c r="J6962" i="1"/>
  <c r="K6962" i="1"/>
  <c r="H6963" i="1"/>
  <c r="I6963" i="1"/>
  <c r="J6963" i="1"/>
  <c r="K6963" i="1"/>
  <c r="H6964" i="1"/>
  <c r="I6964" i="1"/>
  <c r="J6964" i="1"/>
  <c r="K6964" i="1"/>
  <c r="H6965" i="1"/>
  <c r="I6965" i="1"/>
  <c r="J6965" i="1"/>
  <c r="K6965" i="1"/>
  <c r="H6966" i="1"/>
  <c r="I6966" i="1"/>
  <c r="J6966" i="1"/>
  <c r="K6966" i="1"/>
  <c r="H6967" i="1"/>
  <c r="I6967" i="1"/>
  <c r="J6967" i="1"/>
  <c r="K6967" i="1"/>
  <c r="H6968" i="1"/>
  <c r="I6968" i="1"/>
  <c r="J6968" i="1"/>
  <c r="K6968" i="1"/>
  <c r="H6969" i="1"/>
  <c r="I6969" i="1"/>
  <c r="J6969" i="1"/>
  <c r="K6969" i="1"/>
  <c r="H6970" i="1"/>
  <c r="I6970" i="1"/>
  <c r="J6970" i="1"/>
  <c r="K6970" i="1"/>
  <c r="H6971" i="1"/>
  <c r="I6971" i="1"/>
  <c r="J6971" i="1"/>
  <c r="K6971" i="1"/>
  <c r="H6972" i="1"/>
  <c r="I6972" i="1"/>
  <c r="J6972" i="1"/>
  <c r="K6972" i="1"/>
  <c r="H6973" i="1"/>
  <c r="I6973" i="1"/>
  <c r="J6973" i="1"/>
  <c r="K6973" i="1"/>
  <c r="H6974" i="1"/>
  <c r="I6974" i="1"/>
  <c r="J6974" i="1"/>
  <c r="K6974" i="1"/>
  <c r="H6975" i="1"/>
  <c r="I6975" i="1"/>
  <c r="J6975" i="1"/>
  <c r="K6975" i="1"/>
  <c r="H6976" i="1"/>
  <c r="I6976" i="1"/>
  <c r="J6976" i="1"/>
  <c r="K6976" i="1"/>
  <c r="H6977" i="1"/>
  <c r="I6977" i="1"/>
  <c r="J6977" i="1"/>
  <c r="K6977" i="1"/>
  <c r="H6978" i="1"/>
  <c r="I6978" i="1"/>
  <c r="J6978" i="1"/>
  <c r="K6978" i="1"/>
  <c r="H6979" i="1"/>
  <c r="I6979" i="1"/>
  <c r="J6979" i="1"/>
  <c r="K6979" i="1"/>
  <c r="H6980" i="1"/>
  <c r="I6980" i="1"/>
  <c r="J6980" i="1"/>
  <c r="K6980" i="1"/>
  <c r="H6981" i="1"/>
  <c r="I6981" i="1"/>
  <c r="J6981" i="1"/>
  <c r="K6981" i="1"/>
  <c r="H6982" i="1"/>
  <c r="I6982" i="1"/>
  <c r="J6982" i="1"/>
  <c r="K6982" i="1"/>
  <c r="H6983" i="1"/>
  <c r="I6983" i="1"/>
  <c r="J6983" i="1"/>
  <c r="K6983" i="1"/>
  <c r="H6984" i="1"/>
  <c r="I6984" i="1"/>
  <c r="J6984" i="1"/>
  <c r="K6984" i="1"/>
  <c r="H6985" i="1"/>
  <c r="I6985" i="1"/>
  <c r="J6985" i="1"/>
  <c r="K6985" i="1"/>
  <c r="H6986" i="1"/>
  <c r="I6986" i="1"/>
  <c r="J6986" i="1"/>
  <c r="K6986" i="1"/>
  <c r="H6987" i="1"/>
  <c r="I6987" i="1"/>
  <c r="J6987" i="1"/>
  <c r="K6987" i="1"/>
  <c r="H6988" i="1"/>
  <c r="I6988" i="1"/>
  <c r="J6988" i="1"/>
  <c r="K6988" i="1"/>
  <c r="H6989" i="1"/>
  <c r="I6989" i="1"/>
  <c r="J6989" i="1"/>
  <c r="K6989" i="1"/>
  <c r="H6990" i="1"/>
  <c r="I6990" i="1"/>
  <c r="J6990" i="1"/>
  <c r="K6990" i="1"/>
  <c r="H6991" i="1"/>
  <c r="I6991" i="1"/>
  <c r="J6991" i="1"/>
  <c r="K6991" i="1"/>
  <c r="H6992" i="1"/>
  <c r="I6992" i="1"/>
  <c r="J6992" i="1"/>
  <c r="K6992" i="1"/>
  <c r="H6993" i="1"/>
  <c r="I6993" i="1"/>
  <c r="J6993" i="1"/>
  <c r="K6993" i="1"/>
  <c r="H6994" i="1"/>
  <c r="I6994" i="1"/>
  <c r="J6994" i="1"/>
  <c r="K6994" i="1"/>
  <c r="H6995" i="1"/>
  <c r="I6995" i="1"/>
  <c r="J6995" i="1"/>
  <c r="K6995" i="1"/>
  <c r="H6996" i="1"/>
  <c r="I6996" i="1"/>
  <c r="J6996" i="1"/>
  <c r="K6996" i="1"/>
  <c r="H6997" i="1"/>
  <c r="I6997" i="1"/>
  <c r="J6997" i="1"/>
  <c r="K6997" i="1"/>
  <c r="H6998" i="1"/>
  <c r="I6998" i="1"/>
  <c r="J6998" i="1"/>
  <c r="K6998" i="1"/>
  <c r="H6999" i="1"/>
  <c r="I6999" i="1"/>
  <c r="J6999" i="1"/>
  <c r="K6999" i="1"/>
  <c r="H7000" i="1"/>
  <c r="I7000" i="1"/>
  <c r="J7000" i="1"/>
  <c r="K7000" i="1"/>
  <c r="H7001" i="1"/>
  <c r="I7001" i="1"/>
  <c r="J7001" i="1"/>
  <c r="K7001" i="1"/>
  <c r="H7002" i="1"/>
  <c r="I7002" i="1"/>
  <c r="J7002" i="1"/>
  <c r="K7002" i="1"/>
  <c r="H7003" i="1"/>
  <c r="I7003" i="1"/>
  <c r="J7003" i="1"/>
  <c r="K7003" i="1"/>
  <c r="H7004" i="1"/>
  <c r="I7004" i="1"/>
  <c r="J7004" i="1"/>
  <c r="K7004" i="1"/>
  <c r="H7005" i="1"/>
  <c r="I7005" i="1"/>
  <c r="J7005" i="1"/>
  <c r="K7005" i="1"/>
  <c r="H7006" i="1"/>
  <c r="I7006" i="1"/>
  <c r="J7006" i="1"/>
  <c r="K7006" i="1"/>
  <c r="H7007" i="1"/>
  <c r="I7007" i="1"/>
  <c r="J7007" i="1"/>
  <c r="K7007" i="1"/>
  <c r="H7008" i="1"/>
  <c r="I7008" i="1"/>
  <c r="J7008" i="1"/>
  <c r="K7008" i="1"/>
  <c r="H7009" i="1"/>
  <c r="I7009" i="1"/>
  <c r="J7009" i="1"/>
  <c r="K7009" i="1"/>
  <c r="H7010" i="1"/>
  <c r="I7010" i="1"/>
  <c r="J7010" i="1"/>
  <c r="K7010" i="1"/>
  <c r="H7011" i="1"/>
  <c r="I7011" i="1"/>
  <c r="J7011" i="1"/>
  <c r="K7011" i="1"/>
  <c r="H7012" i="1"/>
  <c r="I7012" i="1"/>
  <c r="J7012" i="1"/>
  <c r="K7012" i="1"/>
  <c r="H7013" i="1"/>
  <c r="I7013" i="1"/>
  <c r="J7013" i="1"/>
  <c r="K7013" i="1"/>
  <c r="H7014" i="1"/>
  <c r="I7014" i="1"/>
  <c r="J7014" i="1"/>
  <c r="K7014" i="1"/>
  <c r="H7015" i="1"/>
  <c r="I7015" i="1"/>
  <c r="J7015" i="1"/>
  <c r="K7015" i="1"/>
  <c r="H7016" i="1"/>
  <c r="I7016" i="1"/>
  <c r="J7016" i="1"/>
  <c r="K7016" i="1"/>
  <c r="H7017" i="1"/>
  <c r="I7017" i="1"/>
  <c r="J7017" i="1"/>
  <c r="K7017" i="1"/>
  <c r="H7018" i="1"/>
  <c r="I7018" i="1"/>
  <c r="J7018" i="1"/>
  <c r="K7018" i="1"/>
  <c r="H7019" i="1"/>
  <c r="I7019" i="1"/>
  <c r="J7019" i="1"/>
  <c r="K7019" i="1"/>
  <c r="H7020" i="1"/>
  <c r="I7020" i="1"/>
  <c r="J7020" i="1"/>
  <c r="K7020" i="1"/>
  <c r="H7021" i="1"/>
  <c r="I7021" i="1"/>
  <c r="J7021" i="1"/>
  <c r="K7021" i="1"/>
  <c r="H7022" i="1"/>
  <c r="I7022" i="1"/>
  <c r="J7022" i="1"/>
  <c r="K7022" i="1"/>
  <c r="H7023" i="1"/>
  <c r="I7023" i="1"/>
  <c r="J7023" i="1"/>
  <c r="K7023" i="1"/>
  <c r="H7024" i="1"/>
  <c r="I7024" i="1"/>
  <c r="J7024" i="1"/>
  <c r="K7024" i="1"/>
  <c r="H7025" i="1"/>
  <c r="I7025" i="1"/>
  <c r="J7025" i="1"/>
  <c r="K7025" i="1"/>
  <c r="H7026" i="1"/>
  <c r="I7026" i="1"/>
  <c r="J7026" i="1"/>
  <c r="K7026" i="1"/>
  <c r="H7027" i="1"/>
  <c r="I7027" i="1"/>
  <c r="J7027" i="1"/>
  <c r="K7027" i="1"/>
  <c r="H7028" i="1"/>
  <c r="I7028" i="1"/>
  <c r="J7028" i="1"/>
  <c r="K7028" i="1"/>
  <c r="H7029" i="1"/>
  <c r="I7029" i="1"/>
  <c r="J7029" i="1"/>
  <c r="K7029" i="1"/>
  <c r="H7030" i="1"/>
  <c r="I7030" i="1"/>
  <c r="J7030" i="1"/>
  <c r="K7030" i="1"/>
  <c r="H7031" i="1"/>
  <c r="I7031" i="1"/>
  <c r="J7031" i="1"/>
  <c r="K7031" i="1"/>
  <c r="H7032" i="1"/>
  <c r="I7032" i="1"/>
  <c r="J7032" i="1"/>
  <c r="K7032" i="1"/>
  <c r="H7033" i="1"/>
  <c r="I7033" i="1"/>
  <c r="J7033" i="1"/>
  <c r="K7033" i="1"/>
  <c r="H7034" i="1"/>
  <c r="I7034" i="1"/>
  <c r="J7034" i="1"/>
  <c r="K7034" i="1"/>
  <c r="H7035" i="1"/>
  <c r="I7035" i="1"/>
  <c r="J7035" i="1"/>
  <c r="K7035" i="1"/>
  <c r="H7036" i="1"/>
  <c r="I7036" i="1"/>
  <c r="J7036" i="1"/>
  <c r="K7036" i="1"/>
  <c r="H7037" i="1"/>
  <c r="I7037" i="1"/>
  <c r="J7037" i="1"/>
  <c r="K7037" i="1"/>
  <c r="H7038" i="1"/>
  <c r="I7038" i="1"/>
  <c r="J7038" i="1"/>
  <c r="K7038" i="1"/>
  <c r="H7039" i="1"/>
  <c r="I7039" i="1"/>
  <c r="J7039" i="1"/>
  <c r="K7039" i="1"/>
  <c r="H7040" i="1"/>
  <c r="I7040" i="1"/>
  <c r="J7040" i="1"/>
  <c r="K7040" i="1"/>
  <c r="H7041" i="1"/>
  <c r="I7041" i="1"/>
  <c r="J7041" i="1"/>
  <c r="K7041" i="1"/>
  <c r="H7042" i="1"/>
  <c r="I7042" i="1"/>
  <c r="J7042" i="1"/>
  <c r="K7042" i="1"/>
  <c r="H7043" i="1"/>
  <c r="I7043" i="1"/>
  <c r="J7043" i="1"/>
  <c r="K7043" i="1"/>
  <c r="H7044" i="1"/>
  <c r="I7044" i="1"/>
  <c r="J7044" i="1"/>
  <c r="K7044" i="1"/>
  <c r="H7045" i="1"/>
  <c r="I7045" i="1"/>
  <c r="J7045" i="1"/>
  <c r="K7045" i="1"/>
  <c r="H7046" i="1"/>
  <c r="I7046" i="1"/>
  <c r="J7046" i="1"/>
  <c r="K7046" i="1"/>
  <c r="H7047" i="1"/>
  <c r="I7047" i="1"/>
  <c r="J7047" i="1"/>
  <c r="K7047" i="1"/>
  <c r="H7048" i="1"/>
  <c r="I7048" i="1"/>
  <c r="J7048" i="1"/>
  <c r="K7048" i="1"/>
  <c r="H7049" i="1"/>
  <c r="I7049" i="1"/>
  <c r="J7049" i="1"/>
  <c r="K7049" i="1"/>
  <c r="H7050" i="1"/>
  <c r="I7050" i="1"/>
  <c r="J7050" i="1"/>
  <c r="K7050" i="1"/>
  <c r="H7051" i="1"/>
  <c r="I7051" i="1"/>
  <c r="J7051" i="1"/>
  <c r="K7051" i="1"/>
  <c r="H7052" i="1"/>
  <c r="I7052" i="1"/>
  <c r="J7052" i="1"/>
  <c r="K7052" i="1"/>
  <c r="H7053" i="1"/>
  <c r="I7053" i="1"/>
  <c r="J7053" i="1"/>
  <c r="K7053" i="1"/>
  <c r="H7054" i="1"/>
  <c r="I7054" i="1"/>
  <c r="J7054" i="1"/>
  <c r="K7054" i="1"/>
  <c r="H7055" i="1"/>
  <c r="I7055" i="1"/>
  <c r="J7055" i="1"/>
  <c r="K7055" i="1"/>
  <c r="H7056" i="1"/>
  <c r="I7056" i="1"/>
  <c r="J7056" i="1"/>
  <c r="K7056" i="1"/>
  <c r="H7057" i="1"/>
  <c r="I7057" i="1"/>
  <c r="J7057" i="1"/>
  <c r="K7057" i="1"/>
  <c r="H7058" i="1"/>
  <c r="I7058" i="1"/>
  <c r="J7058" i="1"/>
  <c r="K7058" i="1"/>
  <c r="H7059" i="1"/>
  <c r="I7059" i="1"/>
  <c r="J7059" i="1"/>
  <c r="K7059" i="1"/>
  <c r="H7060" i="1"/>
  <c r="I7060" i="1"/>
  <c r="J7060" i="1"/>
  <c r="K7060" i="1"/>
  <c r="H7061" i="1"/>
  <c r="I7061" i="1"/>
  <c r="J7061" i="1"/>
  <c r="K7061" i="1"/>
  <c r="H7062" i="1"/>
  <c r="I7062" i="1"/>
  <c r="J7062" i="1"/>
  <c r="K7062" i="1"/>
  <c r="H7063" i="1"/>
  <c r="I7063" i="1"/>
  <c r="J7063" i="1"/>
  <c r="K7063" i="1"/>
  <c r="H7064" i="1"/>
  <c r="I7064" i="1"/>
  <c r="J7064" i="1"/>
  <c r="K7064" i="1"/>
  <c r="H7065" i="1"/>
  <c r="I7065" i="1"/>
  <c r="J7065" i="1"/>
  <c r="K7065" i="1"/>
  <c r="H7066" i="1"/>
  <c r="I7066" i="1"/>
  <c r="J7066" i="1"/>
  <c r="K7066" i="1"/>
  <c r="H7067" i="1"/>
  <c r="I7067" i="1"/>
  <c r="J7067" i="1"/>
  <c r="K7067" i="1"/>
  <c r="H7068" i="1"/>
  <c r="I7068" i="1"/>
  <c r="J7068" i="1"/>
  <c r="K7068" i="1"/>
  <c r="H7069" i="1"/>
  <c r="I7069" i="1"/>
  <c r="J7069" i="1"/>
  <c r="K7069" i="1"/>
  <c r="H7070" i="1"/>
  <c r="I7070" i="1"/>
  <c r="J7070" i="1"/>
  <c r="K7070" i="1"/>
  <c r="H7071" i="1"/>
  <c r="I7071" i="1"/>
  <c r="J7071" i="1"/>
  <c r="K7071" i="1"/>
  <c r="H7072" i="1"/>
  <c r="I7072" i="1"/>
  <c r="J7072" i="1"/>
  <c r="K7072" i="1"/>
  <c r="H7073" i="1"/>
  <c r="I7073" i="1"/>
  <c r="J7073" i="1"/>
  <c r="K7073" i="1"/>
  <c r="H7074" i="1"/>
  <c r="I7074" i="1"/>
  <c r="J7074" i="1"/>
  <c r="K7074" i="1"/>
  <c r="H7075" i="1"/>
  <c r="I7075" i="1"/>
  <c r="J7075" i="1"/>
  <c r="K7075" i="1"/>
  <c r="H7076" i="1"/>
  <c r="I7076" i="1"/>
  <c r="J7076" i="1"/>
  <c r="K7076" i="1"/>
  <c r="H7077" i="1"/>
  <c r="I7077" i="1"/>
  <c r="J7077" i="1"/>
  <c r="K7077" i="1"/>
  <c r="H7078" i="1"/>
  <c r="I7078" i="1"/>
  <c r="J7078" i="1"/>
  <c r="K7078" i="1"/>
  <c r="H7079" i="1"/>
  <c r="I7079" i="1"/>
  <c r="J7079" i="1"/>
  <c r="K7079" i="1"/>
  <c r="H7080" i="1"/>
  <c r="I7080" i="1"/>
  <c r="J7080" i="1"/>
  <c r="K7080" i="1"/>
  <c r="H7081" i="1"/>
  <c r="I7081" i="1"/>
  <c r="J7081" i="1"/>
  <c r="K7081" i="1"/>
  <c r="H7082" i="1"/>
  <c r="I7082" i="1"/>
  <c r="J7082" i="1"/>
  <c r="K7082" i="1"/>
  <c r="H7083" i="1"/>
  <c r="I7083" i="1"/>
  <c r="J7083" i="1"/>
  <c r="K7083" i="1"/>
  <c r="H7084" i="1"/>
  <c r="I7084" i="1"/>
  <c r="J7084" i="1"/>
  <c r="K7084" i="1"/>
  <c r="H7085" i="1"/>
  <c r="I7085" i="1"/>
  <c r="J7085" i="1"/>
  <c r="K7085" i="1"/>
  <c r="H7086" i="1"/>
  <c r="I7086" i="1"/>
  <c r="J7086" i="1"/>
  <c r="K7086" i="1"/>
  <c r="H7087" i="1"/>
  <c r="I7087" i="1"/>
  <c r="J7087" i="1"/>
  <c r="K7087" i="1"/>
  <c r="H7088" i="1"/>
  <c r="I7088" i="1"/>
  <c r="J7088" i="1"/>
  <c r="K7088" i="1"/>
  <c r="H7089" i="1"/>
  <c r="I7089" i="1"/>
  <c r="J7089" i="1"/>
  <c r="K7089" i="1"/>
  <c r="H7090" i="1"/>
  <c r="I7090" i="1"/>
  <c r="J7090" i="1"/>
  <c r="K7090" i="1"/>
  <c r="H7091" i="1"/>
  <c r="I7091" i="1"/>
  <c r="J7091" i="1"/>
  <c r="K7091" i="1"/>
  <c r="H7092" i="1"/>
  <c r="I7092" i="1"/>
  <c r="J7092" i="1"/>
  <c r="K7092" i="1"/>
  <c r="H7093" i="1"/>
  <c r="I7093" i="1"/>
  <c r="J7093" i="1"/>
  <c r="K7093" i="1"/>
  <c r="H7094" i="1"/>
  <c r="I7094" i="1"/>
  <c r="J7094" i="1"/>
  <c r="K7094" i="1"/>
  <c r="H7095" i="1"/>
  <c r="I7095" i="1"/>
  <c r="J7095" i="1"/>
  <c r="K7095" i="1"/>
  <c r="H7096" i="1"/>
  <c r="I7096" i="1"/>
  <c r="J7096" i="1"/>
  <c r="K7096" i="1"/>
  <c r="H7097" i="1"/>
  <c r="I7097" i="1"/>
  <c r="J7097" i="1"/>
  <c r="K7097" i="1"/>
  <c r="H7098" i="1"/>
  <c r="I7098" i="1"/>
  <c r="J7098" i="1"/>
  <c r="K7098" i="1"/>
  <c r="H7099" i="1"/>
  <c r="I7099" i="1"/>
  <c r="J7099" i="1"/>
  <c r="K7099" i="1"/>
  <c r="H7100" i="1"/>
  <c r="I7100" i="1"/>
  <c r="J7100" i="1"/>
  <c r="K7100" i="1"/>
  <c r="H7101" i="1"/>
  <c r="I7101" i="1"/>
  <c r="J7101" i="1"/>
  <c r="K7101" i="1"/>
  <c r="H7102" i="1"/>
  <c r="I7102" i="1"/>
  <c r="J7102" i="1"/>
  <c r="K7102" i="1"/>
  <c r="H7103" i="1"/>
  <c r="I7103" i="1"/>
  <c r="J7103" i="1"/>
  <c r="K7103" i="1"/>
  <c r="H7104" i="1"/>
  <c r="I7104" i="1"/>
  <c r="J7104" i="1"/>
  <c r="K7104" i="1"/>
  <c r="H7105" i="1"/>
  <c r="I7105" i="1"/>
  <c r="J7105" i="1"/>
  <c r="K7105" i="1"/>
  <c r="H7106" i="1"/>
  <c r="I7106" i="1"/>
  <c r="J7106" i="1"/>
  <c r="K7106" i="1"/>
  <c r="H7107" i="1"/>
  <c r="I7107" i="1"/>
  <c r="J7107" i="1"/>
  <c r="K7107" i="1"/>
  <c r="H7108" i="1"/>
  <c r="I7108" i="1"/>
  <c r="J7108" i="1"/>
  <c r="K7108" i="1"/>
  <c r="H7109" i="1"/>
  <c r="I7109" i="1"/>
  <c r="J7109" i="1"/>
  <c r="K7109" i="1"/>
  <c r="H7110" i="1"/>
  <c r="I7110" i="1"/>
  <c r="J7110" i="1"/>
  <c r="K7110" i="1"/>
  <c r="H7111" i="1"/>
  <c r="I7111" i="1"/>
  <c r="J7111" i="1"/>
  <c r="K7111" i="1"/>
  <c r="H7112" i="1"/>
  <c r="I7112" i="1"/>
  <c r="J7112" i="1"/>
  <c r="K7112" i="1"/>
  <c r="H7113" i="1"/>
  <c r="I7113" i="1"/>
  <c r="J7113" i="1"/>
  <c r="K7113" i="1"/>
  <c r="H7114" i="1"/>
  <c r="I7114" i="1"/>
  <c r="J7114" i="1"/>
  <c r="K7114" i="1"/>
  <c r="H7115" i="1"/>
  <c r="I7115" i="1"/>
  <c r="J7115" i="1"/>
  <c r="K7115" i="1"/>
  <c r="H7116" i="1"/>
  <c r="I7116" i="1"/>
  <c r="J7116" i="1"/>
  <c r="K7116" i="1"/>
  <c r="H7117" i="1"/>
  <c r="I7117" i="1"/>
  <c r="J7117" i="1"/>
  <c r="K7117" i="1"/>
  <c r="H7118" i="1"/>
  <c r="I7118" i="1"/>
  <c r="J7118" i="1"/>
  <c r="K7118" i="1"/>
  <c r="H7119" i="1"/>
  <c r="I7119" i="1"/>
  <c r="J7119" i="1"/>
  <c r="K7119" i="1"/>
  <c r="H7120" i="1"/>
  <c r="I7120" i="1"/>
  <c r="J7120" i="1"/>
  <c r="K7120" i="1"/>
  <c r="H7121" i="1"/>
  <c r="I7121" i="1"/>
  <c r="J7121" i="1"/>
  <c r="K7121" i="1"/>
  <c r="H7122" i="1"/>
  <c r="I7122" i="1"/>
  <c r="J7122" i="1"/>
  <c r="K7122" i="1"/>
  <c r="H7123" i="1"/>
  <c r="I7123" i="1"/>
  <c r="J7123" i="1"/>
  <c r="K7123" i="1"/>
  <c r="H7124" i="1"/>
  <c r="I7124" i="1"/>
  <c r="J7124" i="1"/>
  <c r="K7124" i="1"/>
  <c r="H7125" i="1"/>
  <c r="I7125" i="1"/>
  <c r="J7125" i="1"/>
  <c r="K7125" i="1"/>
  <c r="H7126" i="1"/>
  <c r="I7126" i="1"/>
  <c r="J7126" i="1"/>
  <c r="K7126" i="1"/>
  <c r="H7127" i="1"/>
  <c r="I7127" i="1"/>
  <c r="J7127" i="1"/>
  <c r="K7127" i="1"/>
  <c r="H7128" i="1"/>
  <c r="I7128" i="1"/>
  <c r="J7128" i="1"/>
  <c r="K7128" i="1"/>
  <c r="H7129" i="1"/>
  <c r="I7129" i="1"/>
  <c r="J7129" i="1"/>
  <c r="K7129" i="1"/>
  <c r="H3" i="1"/>
  <c r="I3" i="1"/>
  <c r="J3" i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<sst xmlns="http://schemas.openxmlformats.org/spreadsheetml/2006/main" count="72" uniqueCount="56">
  <si>
    <t>date</t>
  </si>
  <si>
    <t>open</t>
  </si>
  <si>
    <t>high</t>
  </si>
  <si>
    <t>low</t>
  </si>
  <si>
    <t>close</t>
  </si>
  <si>
    <t>adj_close</t>
  </si>
  <si>
    <t>volume</t>
  </si>
  <si>
    <t>AMZN</t>
  </si>
  <si>
    <t>Year</t>
  </si>
  <si>
    <t>MonthNum</t>
  </si>
  <si>
    <t>Month</t>
  </si>
  <si>
    <t>Weekday</t>
  </si>
  <si>
    <t>Avg Open</t>
  </si>
  <si>
    <t>Avg Close</t>
  </si>
  <si>
    <t>Avg High</t>
  </si>
  <si>
    <t>Avg Low</t>
  </si>
  <si>
    <t>Total Volume</t>
  </si>
  <si>
    <t>Mon</t>
  </si>
  <si>
    <t>Tue</t>
  </si>
  <si>
    <t>Wed</t>
  </si>
  <si>
    <t>Thu</t>
  </si>
  <si>
    <t>Fri</t>
  </si>
  <si>
    <t>Avg Adj Close</t>
  </si>
  <si>
    <t>Avg Volume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</si>
  <si>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</si>
  <si>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</si>
  <si>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</si>
  <si>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</si>
  <si>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</si>
  <si>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</si>
  <si>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</si>
  <si>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</si>
  <si>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</si>
  <si>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</si>
  <si>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</si>
  <si>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</si>
  <si>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AMAZON STOCK ANALYSIS</t>
  </si>
  <si>
    <t>Average of High</t>
  </si>
  <si>
    <t>Average of Low</t>
  </si>
  <si>
    <t>Average of Open</t>
  </si>
  <si>
    <t>Average of Close</t>
  </si>
  <si>
    <t>KEY FACTS</t>
  </si>
  <si>
    <t>Trading days</t>
  </si>
  <si>
    <t>First date</t>
  </si>
  <si>
    <t>Last date</t>
  </si>
  <si>
    <t>First adj close</t>
  </si>
  <si>
    <t>Last adj close</t>
  </si>
  <si>
    <t>Total growth (x)</t>
  </si>
  <si>
    <t>Years</t>
  </si>
  <si>
    <t>CAGR</t>
  </si>
  <si>
    <t>All-time high (close)</t>
  </si>
  <si>
    <t>All-time high date</t>
  </si>
  <si>
    <t>Avg daily volume</t>
  </si>
  <si>
    <t>Total volume</t>
  </si>
  <si>
    <t>Avg daily range (H-L)</t>
  </si>
  <si>
    <t>Up days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</si>
</sst>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\x"/>
    <numFmt numFmtId="166" formatCode="0.0"/>
    <numFmt numFmtId="167" formatCode="0.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rgb="FF8E24AA"/>
      <name val="Aptos Narrow"/>
      <family val="2"/>
      <scheme val="minor"/>
    </font>
    <font>
      <sz val="36"/>
      <color rgb="FFFF8C00"/>
      <name val="Arial Black"/>
    </font>
    <font>
      <b/>
      <sz val="13"/>
      <color rgb="FFFFA726"/>
      <name val="Aptos Narrow"/>
      <family val="2"/>
      <scheme val="minor"/>
    </font>
    <font>
      <b/>
      <sz val="22"/>
      <color rgb="FFFF7A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0D0D0D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FF8C00"/>
      </top>
      <bottom/>
      <diagonal/>
    </border>
    <border>
      <left/>
      <right/>
      <top/>
      <bottom style="thin">
        <color rgb="FFFF8C00"/>
      </bottom>
      <diagonal/>
    </border>
    <border>
      <left style="thin">
        <color rgb="FFFF8C00"/>
      </left>
      <right/>
      <top style="thin">
        <color rgb="FFFF8C00"/>
      </top>
      <bottom/>
      <diagonal/>
    </border>
    <border>
      <left style="thin">
        <color rgb="FFFF8C00"/>
      </left>
      <right/>
      <top/>
      <bottom/>
      <diagonal/>
    </border>
    <border>
      <left style="thin">
        <color rgb="FFFF8C00"/>
      </left>
      <right/>
      <top/>
      <bottom style="thin">
        <color rgb="FFFF8C00"/>
      </bottom>
      <diagonal/>
    </border>
    <border>
      <left/>
      <right style="thin">
        <color rgb="FFFF8C00"/>
      </right>
      <top/>
      <bottom/>
      <diagonal/>
    </border>
    <border>
      <left/>
      <right style="thin">
        <color rgb="FFFF8C00"/>
      </right>
      <top/>
      <bottom style="thin">
        <color rgb="FFFF8C00"/>
      </bottom>
      <diagonal/>
    </border>
    <border>
      <left style="thin">
        <color rgb="FFFF8C00"/>
      </left>
      <right style="thin">
        <color rgb="FFC2185B"/>
      </right>
      <top style="thin">
        <color rgb="FFFF8C00"/>
      </top>
      <bottom/>
      <diagonal/>
    </border>
    <border>
      <left style="thin">
        <color rgb="FFC2185B"/>
      </left>
      <right style="thin">
        <color rgb="FFC2185B"/>
      </right>
      <top style="thin">
        <color rgb="FFFF8C00"/>
      </top>
      <bottom/>
      <diagonal/>
    </border>
    <border>
      <left style="thin">
        <color rgb="FFC2185B"/>
      </left>
      <right style="thin">
        <color rgb="FFFF8C00"/>
      </right>
      <top style="thin">
        <color rgb="FFFF8C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6" fillId="0" borderId="0" xfId="0" applyFont="1"/>
    <xf numFmtId="2" fontId="0" fillId="0" borderId="0" xfId="0" applyNumberFormat="1"/>
    <xf numFmtId="3" fontId="0" fillId="0" borderId="0" xfId="0" applyNumberFormat="1"/>
    <xf numFmtId="0" fontId="0" fillId="33" borderId="0" xfId="0" applyFill="1"/>
    <xf numFmtId="0" fontId="0" fillId="33" borderId="0" xfId="0" applyFill="1"/>
    <xf numFmtId="0" fontId="19" fillId="33" borderId="0" xfId="0" applyFont="1" applyFill="1" applyAlignment="1">
      <alignment horizontal="center" vertical="center"/>
    </xf>
    <xf numFmtId="0" fontId="0" fillId="34" borderId="0" xfId="0" applyFill="1" applyBorder="1"/>
    <xf numFmtId="0" fontId="0" fillId="34" borderId="10" xfId="0" applyFill="1" applyBorder="1"/>
    <xf numFmtId="0" fontId="0" fillId="34" borderId="11" xfId="0" applyFill="1" applyBorder="1"/>
    <xf numFmtId="0" fontId="20" fillId="34" borderId="12" xfId="0" applyFont="1" applyFill="1" applyBorder="1" applyAlignment="1">
      <alignment horizontal="center"/>
    </xf>
    <xf numFmtId="2" fontId="21" fillId="34" borderId="13" xfId="0" applyNumberFormat="1" applyFont="1" applyFill="1" applyBorder="1" applyAlignment="1">
      <alignment horizontal="center" vertical="center"/>
    </xf>
    <xf numFmtId="0" fontId="0" fillId="34" borderId="14" xfId="0" applyFill="1" applyBorder="1"/>
    <xf numFmtId="0" fontId="0" fillId="34" borderId="15" xfId="0" applyFill="1" applyBorder="1"/>
    <xf numFmtId="0" fontId="0" fillId="34" borderId="16" xfId="0" applyFill="1" applyBorder="1"/>
    <xf numFmtId="0" fontId="20" fillId="34" borderId="17" xfId="0" applyFont="1" applyFill="1" applyBorder="1" applyAlignment="1">
      <alignment horizontal="center"/>
    </xf>
    <xf numFmtId="0" fontId="18" fillId="34" borderId="18" xfId="0" applyFont="1" applyFill="1" applyBorder="1" applyAlignment="1">
      <alignment horizontal="center"/>
    </xf>
    <xf numFmtId="0" fontId="18" fillId="34" borderId="19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8C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8C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Calc!$Q$1</c:f>
              <c:strCache>
                <c:ptCount val="1"/>
                <c:pt idx="0">
                  <c:v>Total Volume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8C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38-40FC-8656-9953A4788A09}"/>
              </c:ext>
            </c:extLst>
          </c:dPt>
          <c:dPt>
            <c:idx val="1"/>
            <c:bubble3D val="0"/>
            <c:spPr>
              <a:solidFill>
                <a:srgbClr val="E651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38-40FC-8656-9953A4788A09}"/>
              </c:ext>
            </c:extLst>
          </c:dPt>
          <c:dPt>
            <c:idx val="2"/>
            <c:bubble3D val="0"/>
            <c:spPr>
              <a:solidFill>
                <a:srgbClr val="FFB74D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38-40FC-8656-9953A4788A09}"/>
              </c:ext>
            </c:extLst>
          </c:dPt>
          <c:dPt>
            <c:idx val="3"/>
            <c:bubble3D val="0"/>
            <c:spPr>
              <a:solidFill>
                <a:srgbClr val="FF6F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38-40FC-8656-9953A4788A09}"/>
              </c:ext>
            </c:extLst>
          </c:dPt>
          <c:dPt>
            <c:idx val="4"/>
            <c:bubble3D val="0"/>
            <c:spPr>
              <a:solidFill>
                <a:srgbClr val="BF360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38-40FC-8656-9953A4788A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Calc!$P$2:$P$6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Calc!$Q$2:$Q$6</c:f>
              <c:numCache>
                <c:formatCode>#,##0</c:formatCode>
                <c:ptCount val="5"/>
                <c:pt idx="0">
                  <c:v>168559175600</c:v>
                </c:pt>
                <c:pt idx="1">
                  <c:v>195065106800</c:v>
                </c:pt>
                <c:pt idx="2">
                  <c:v>204974900300</c:v>
                </c:pt>
                <c:pt idx="3">
                  <c:v>200199662400</c:v>
                </c:pt>
                <c:pt idx="4">
                  <c:v>188234568200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8-40FC-8656-9953A478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8C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VS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8C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</c:f>
              <c:strCache>
                <c:ptCount val="1"/>
                <c:pt idx="0">
                  <c:v>Avg Open</c:v>
                </c:pt>
              </c:strCache>
            </c:strRef>
          </c:tx>
          <c:spPr>
            <a:solidFill>
              <a:srgbClr val="FF8C00"/>
            </a:solidFill>
            <a:ln w="28575">
              <a:solidFill>
                <a:srgbClr val="FF8C00"/>
              </a:solidFill>
              <a:prstDash val="solid"/>
            </a:ln>
            <a:effectLst/>
          </c:spPr>
          <c:invertIfNegative val="0"/>
          <c:cat>
            <c:strRef>
              <c:f>Calc!$A$2:$A$6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Calc!$B$2:$B$6</c:f>
              <c:numCache>
                <c:formatCode>0.00</c:formatCode>
                <c:ptCount val="5"/>
                <c:pt idx="0">
                  <c:v>43.773803634236081</c:v>
                </c:pt>
                <c:pt idx="1">
                  <c:v>44.194495943449404</c:v>
                </c:pt>
                <c:pt idx="2">
                  <c:v>43.830163205904412</c:v>
                </c:pt>
                <c:pt idx="3">
                  <c:v>44.0574961282977</c:v>
                </c:pt>
                <c:pt idx="4">
                  <c:v>44.12407652555811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4-45DF-82C0-36988669A051}"/>
            </c:ext>
          </c:extLst>
        </c:ser>
        <c:ser>
          <c:idx val="1"/>
          <c:order val="1"/>
          <c:tx>
            <c:strRef>
              <c:f>Calc!$C$1</c:f>
              <c:strCache>
                <c:ptCount val="1"/>
                <c:pt idx="0">
                  <c:v>Avg Close</c:v>
                </c:pt>
              </c:strCache>
            </c:strRef>
          </c:tx>
          <c:spPr>
            <a:solidFill>
              <a:srgbClr val="E65100"/>
            </a:solidFill>
            <a:ln w="28575">
              <a:solidFill>
                <a:srgbClr val="E65100"/>
              </a:solidFill>
              <a:prstDash val="solid"/>
            </a:ln>
            <a:effectLst/>
          </c:spPr>
          <c:invertIfNegative val="0"/>
          <c:cat>
            <c:strRef>
              <c:f>Calc!$A$2:$A$6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Calc!$C$2:$C$6</c:f>
              <c:numCache>
                <c:formatCode>0.00</c:formatCode>
                <c:ptCount val="5"/>
                <c:pt idx="0">
                  <c:v>43.811167323882437</c:v>
                </c:pt>
                <c:pt idx="1">
                  <c:v>44.222246970423704</c:v>
                </c:pt>
                <c:pt idx="2">
                  <c:v>43.827638021282603</c:v>
                </c:pt>
                <c:pt idx="3">
                  <c:v>44.032012371481251</c:v>
                </c:pt>
                <c:pt idx="4">
                  <c:v>44.062479815135397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4-45DF-82C0-36988669A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109055"/>
        <c:axId val="2082161679"/>
      </c:barChart>
      <c:catAx>
        <c:axId val="132410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161679"/>
        <c:crosses val="autoZero"/>
        <c:auto val="1"/>
        <c:lblAlgn val="ctr"/>
        <c:lblOffset val="100"/>
        <c:noMultiLvlLbl val="0"/>
      </c:catAx>
      <c:valAx>
        <c:axId val="2082161679"/>
        <c:scaling>
          <c:orientation val="minMax"/>
          <c:min val="4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10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8C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Trading Volume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8C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Calc!$X$1</c:f>
              <c:strCache>
                <c:ptCount val="1"/>
                <c:pt idx="0">
                  <c:v>Avg Volume</c:v>
                </c:pt>
              </c:strCache>
            </c:strRef>
          </c:tx>
          <c:spPr>
            <a:ln w="28575" cap="rnd">
              <a:solidFill>
                <a:srgbClr val="FF8C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B74D"/>
              </a:solidFill>
              <a:ln w="9525">
                <a:solidFill>
                  <a:srgbClr val="FF8C00"/>
                </a:solidFill>
                <a:prstDash val="solid"/>
              </a:ln>
              <a:effectLst/>
            </c:spPr>
          </c:marker>
          <c:cat>
            <c:strRef>
              <c:f>Calc!$W$2:$W$13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Calc!$X$2:$X$13</c:f>
              <c:numCache>
                <c:formatCode>#,##0</c:formatCode>
                <c:ptCount val="12"/>
                <c:pt idx="0">
                  <c:v>156383605.30035335</c:v>
                </c:pt>
                <c:pt idx="1">
                  <c:v>138838636.68528864</c:v>
                </c:pt>
                <c:pt idx="2">
                  <c:v>117113231.48450245</c:v>
                </c:pt>
                <c:pt idx="3">
                  <c:v>142317799.82728842</c:v>
                </c:pt>
                <c:pt idx="4">
                  <c:v>119353957.71144278</c:v>
                </c:pt>
                <c:pt idx="5">
                  <c:v>122977618.01948053</c:v>
                </c:pt>
                <c:pt idx="6">
                  <c:v>148447807.16612378</c:v>
                </c:pt>
                <c:pt idx="7">
                  <c:v>109610764.27457099</c:v>
                </c:pt>
                <c:pt idx="8">
                  <c:v>129978190.12131716</c:v>
                </c:pt>
                <c:pt idx="9">
                  <c:v>148995299.1909385</c:v>
                </c:pt>
                <c:pt idx="10">
                  <c:v>148547185.31468531</c:v>
                </c:pt>
                <c:pt idx="11">
                  <c:v>132984643.82402708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7-4FCD-8DD4-6D72AD85F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22383"/>
        <c:axId val="2082184239"/>
      </c:lineChart>
      <c:catAx>
        <c:axId val="979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184239"/>
        <c:crosses val="autoZero"/>
        <c:auto val="1"/>
        <c:lblAlgn val="ctr"/>
        <c:lblOffset val="100"/>
        <c:noMultiLvlLbl val="0"/>
      </c:catAx>
      <c:valAx>
        <c:axId val="20821842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2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8C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Avg Adj Close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8C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Calc!$I$1</c:f>
              <c:strCache>
                <c:ptCount val="1"/>
                <c:pt idx="0">
                  <c:v>Avg Adj Close</c:v>
                </c:pt>
              </c:strCache>
            </c:strRef>
          </c:tx>
          <c:spPr>
            <a:solidFill>
              <a:srgbClr val="FF8C00"/>
            </a:solidFill>
            <a:ln w="28575">
              <a:solidFill>
                <a:srgbClr val="FF8C00"/>
              </a:solidFill>
              <a:prstDash val="solid"/>
            </a:ln>
            <a:effectLst/>
          </c:spPr>
          <c:invertIfNegative val="0"/>
          <c:cat>
            <c:strRef>
              <c:f>Calc!$H$2:$H$13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Calc!$I$2:$I$13</c:f>
              <c:numCache>
                <c:formatCode>0.00</c:formatCode>
                <c:ptCount val="12"/>
                <c:pt idx="0">
                  <c:v>42.878782776424607</c:v>
                </c:pt>
                <c:pt idx="1">
                  <c:v>44.120956367787016</c:v>
                </c:pt>
                <c:pt idx="2">
                  <c:v>42.810522230861615</c:v>
                </c:pt>
                <c:pt idx="3">
                  <c:v>44.491011656215967</c:v>
                </c:pt>
                <c:pt idx="4">
                  <c:v>43.924223740500167</c:v>
                </c:pt>
                <c:pt idx="5">
                  <c:v>44.081855045389617</c:v>
                </c:pt>
                <c:pt idx="6">
                  <c:v>47.940870368361743</c:v>
                </c:pt>
                <c:pt idx="7">
                  <c:v>47.47444632003161</c:v>
                </c:pt>
                <c:pt idx="8">
                  <c:v>44.823981394284296</c:v>
                </c:pt>
                <c:pt idx="9">
                  <c:v>40.883790195808032</c:v>
                </c:pt>
                <c:pt idx="10">
                  <c:v>41.896076402672499</c:v>
                </c:pt>
                <c:pt idx="11">
                  <c:v>42.261410271228861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0-4025-B8DE-A2A5D137B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021455"/>
        <c:axId val="2082196239"/>
      </c:barChart>
      <c:catAx>
        <c:axId val="133902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196239"/>
        <c:crosses val="autoZero"/>
        <c:auto val="1"/>
        <c:lblAlgn val="ctr"/>
        <c:lblOffset val="100"/>
        <c:noMultiLvlLbl val="0"/>
      </c:catAx>
      <c:valAx>
        <c:axId val="2082196239"/>
        <c:scaling>
          <c:orientation val="minMax"/>
          <c:min val="3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2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8C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VS Low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8C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Calc!$T$1</c:f>
              <c:strCache>
                <c:ptCount val="1"/>
                <c:pt idx="0">
                  <c:v>Avg High</c:v>
                </c:pt>
              </c:strCache>
            </c:strRef>
          </c:tx>
          <c:spPr>
            <a:solidFill>
              <a:srgbClr val="FF8C00"/>
            </a:solidFill>
            <a:ln w="28575">
              <a:solidFill>
                <a:srgbClr val="FF8C00"/>
              </a:solidFill>
              <a:prstDash val="solid"/>
            </a:ln>
            <a:effectLst/>
          </c:spPr>
          <c:invertIfNegative val="0"/>
          <c:cat>
            <c:strRef>
              <c:f>Calc!$S$2:$S$6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Calc!$T$2:$T$6</c:f>
              <c:numCache>
                <c:formatCode>0.00</c:formatCode>
                <c:ptCount val="5"/>
                <c:pt idx="0">
                  <c:v>44.317684120783497</c:v>
                </c:pt>
                <c:pt idx="1">
                  <c:v>44.718791266851078</c:v>
                </c:pt>
                <c:pt idx="2">
                  <c:v>44.352553381960803</c:v>
                </c:pt>
                <c:pt idx="3">
                  <c:v>44.578022459257276</c:v>
                </c:pt>
                <c:pt idx="4">
                  <c:v>44.589775365070338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6-47EF-89C4-3A56796D8AA4}"/>
            </c:ext>
          </c:extLst>
        </c:ser>
        <c:ser>
          <c:idx val="1"/>
          <c:order val="1"/>
          <c:tx>
            <c:strRef>
              <c:f>Calc!$U$1</c:f>
              <c:strCache>
                <c:ptCount val="1"/>
                <c:pt idx="0">
                  <c:v>Avg Low</c:v>
                </c:pt>
              </c:strCache>
            </c:strRef>
          </c:tx>
          <c:spPr>
            <a:solidFill>
              <a:srgbClr val="E65100"/>
            </a:solidFill>
            <a:ln w="28575">
              <a:solidFill>
                <a:srgbClr val="E65100"/>
              </a:solidFill>
              <a:prstDash val="solid"/>
            </a:ln>
            <a:effectLst/>
          </c:spPr>
          <c:invertIfNegative val="0"/>
          <c:cat>
            <c:strRef>
              <c:f>Calc!$S$2:$S$6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Calc!$U$2:$U$6</c:f>
              <c:numCache>
                <c:formatCode>0.00</c:formatCode>
                <c:ptCount val="5"/>
                <c:pt idx="0">
                  <c:v>43.222788774307389</c:v>
                </c:pt>
                <c:pt idx="1">
                  <c:v>43.659736827204306</c:v>
                </c:pt>
                <c:pt idx="2">
                  <c:v>43.29456012418477</c:v>
                </c:pt>
                <c:pt idx="3">
                  <c:v>43.489066255623918</c:v>
                </c:pt>
                <c:pt idx="4">
                  <c:v>43.528207250111613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06-47EF-89C4-3A56796D8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012639"/>
        <c:axId val="2082201039"/>
      </c:barChart>
      <c:catAx>
        <c:axId val="133901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201039"/>
        <c:crosses val="autoZero"/>
        <c:auto val="1"/>
        <c:lblAlgn val="ctr"/>
        <c:lblOffset val="100"/>
        <c:noMultiLvlLbl val="0"/>
      </c:catAx>
      <c:valAx>
        <c:axId val="2082201039"/>
        <c:scaling>
          <c:orientation val="minMax"/>
          <c:min val="4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1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8C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TRENDS IN ADJ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8C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Calc!$M$1</c:f>
              <c:strCache>
                <c:ptCount val="1"/>
                <c:pt idx="0">
                  <c:v>Avg Adj Close</c:v>
                </c:pt>
              </c:strCache>
            </c:strRef>
          </c:tx>
          <c:spPr>
            <a:ln w="28575" cap="rnd">
              <a:solidFill>
                <a:srgbClr val="FF6F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B74D"/>
              </a:solidFill>
              <a:ln w="9525">
                <a:solidFill>
                  <a:srgbClr val="FF6F00"/>
                </a:solidFill>
                <a:prstDash val="solid"/>
              </a:ln>
              <a:effectLst/>
            </c:spPr>
          </c:marker>
          <c:cat>
            <c:numRef>
              <c:f>Calc!$L$2:$L$30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Calc!$M$2:$M$30</c:f>
              <c:numCache>
                <c:formatCode>0.00</c:formatCode>
                <c:ptCount val="29"/>
                <c:pt idx="0">
                  <c:v>0.15632001231424492</c:v>
                </c:pt>
                <c:pt idx="1">
                  <c:v>0.78305568634754052</c:v>
                </c:pt>
                <c:pt idx="2">
                  <c:v>3.4531158237230204</c:v>
                </c:pt>
                <c:pt idx="3">
                  <c:v>2.3266834079746208</c:v>
                </c:pt>
                <c:pt idx="4">
                  <c:v>0.6100212932834701</c:v>
                </c:pt>
                <c:pt idx="5">
                  <c:v>0.82420634868599119</c:v>
                </c:pt>
                <c:pt idx="6">
                  <c:v>1.8870694462269053</c:v>
                </c:pt>
                <c:pt idx="7">
                  <c:v>2.1782619087468995</c:v>
                </c:pt>
                <c:pt idx="8">
                  <c:v>1.9948551640624079</c:v>
                </c:pt>
                <c:pt idx="9">
                  <c:v>1.7954661371223466</c:v>
                </c:pt>
                <c:pt idx="10">
                  <c:v>3.361474098912272</c:v>
                </c:pt>
                <c:pt idx="11">
                  <c:v>3.4940019747014093</c:v>
                </c:pt>
                <c:pt idx="12">
                  <c:v>4.3640912667153362</c:v>
                </c:pt>
                <c:pt idx="13">
                  <c:v>6.9570198380757891</c:v>
                </c:pt>
                <c:pt idx="14">
                  <c:v>9.8336011757926318</c:v>
                </c:pt>
                <c:pt idx="15">
                  <c:v>11.015182003021232</c:v>
                </c:pt>
                <c:pt idx="16">
                  <c:v>14.901579402741918</c:v>
                </c:pt>
                <c:pt idx="17">
                  <c:v>16.627551608615438</c:v>
                </c:pt>
                <c:pt idx="18">
                  <c:v>23.906914639094509</c:v>
                </c:pt>
                <c:pt idx="19">
                  <c:v>34.976156643458765</c:v>
                </c:pt>
                <c:pt idx="20">
                  <c:v>48.408350560769613</c:v>
                </c:pt>
                <c:pt idx="21">
                  <c:v>82.086308528702546</c:v>
                </c:pt>
                <c:pt idx="22">
                  <c:v>89.459460243346186</c:v>
                </c:pt>
                <c:pt idx="23">
                  <c:v>134.04275452383885</c:v>
                </c:pt>
                <c:pt idx="24">
                  <c:v>167.19334932357532</c:v>
                </c:pt>
                <c:pt idx="25">
                  <c:v>126.09881880558808</c:v>
                </c:pt>
                <c:pt idx="26">
                  <c:v>121.3728003540038</c:v>
                </c:pt>
                <c:pt idx="27">
                  <c:v>184.62869050767674</c:v>
                </c:pt>
                <c:pt idx="28">
                  <c:v>213.03304624009391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C-41AE-A944-3AB98032E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3141071"/>
        <c:axId val="2082170799"/>
      </c:lineChart>
      <c:catAx>
        <c:axId val="135314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170799"/>
        <c:crosses val="autoZero"/>
        <c:auto val="1"/>
        <c:lblAlgn val="ctr"/>
        <c:lblOffset val="100"/>
        <c:noMultiLvlLbl val="0"/>
      </c:catAx>
      <c:valAx>
        <c:axId val="20821707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4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21</xdr:row>
      <xdr:rowOff>0</xdr:rowOff>
    </xdr:to>
    <xdr:graphicFrame macro="">
      <xdr:nvGraphicFramePr>
        <xdr:cNvPr id="3" name="VolumeOverTime">
          <a:extLst>
            <a:ext uri="{FF2B5EF4-FFF2-40B4-BE49-F238E27FC236}">
              <a16:creationId xmlns:a16="http://schemas.microsoft.com/office/drawing/2014/main" id="{3C7EA96E-4B34-E5AB-9457-7A786A7E5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4" name="OpenVsClose">
          <a:extLst>
            <a:ext uri="{FF2B5EF4-FFF2-40B4-BE49-F238E27FC236}">
              <a16:creationId xmlns:a16="http://schemas.microsoft.com/office/drawing/2014/main" id="{EA973297-388B-F3DC-F4AD-737FCE11E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5" name="TradingVolume">
          <a:extLst>
            <a:ext uri="{FF2B5EF4-FFF2-40B4-BE49-F238E27FC236}">
              <a16:creationId xmlns:a16="http://schemas.microsoft.com/office/drawing/2014/main" id="{13A7E241-518C-3F33-8EB4-73E0C43A8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5</xdr:col>
      <xdr:colOff>0</xdr:colOff>
      <xdr:row>37</xdr:row>
      <xdr:rowOff>0</xdr:rowOff>
    </xdr:to>
    <xdr:graphicFrame macro="">
      <xdr:nvGraphicFramePr>
        <xdr:cNvPr id="6" name="MonthlyAdjClose">
          <a:extLst>
            <a:ext uri="{FF2B5EF4-FFF2-40B4-BE49-F238E27FC236}">
              <a16:creationId xmlns:a16="http://schemas.microsoft.com/office/drawing/2014/main" id="{52D9622D-E0A6-90EE-B4E8-B9ABDB3A7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10</xdr:col>
      <xdr:colOff>0</xdr:colOff>
      <xdr:row>37</xdr:row>
      <xdr:rowOff>0</xdr:rowOff>
    </xdr:to>
    <xdr:graphicFrame macro="">
      <xdr:nvGraphicFramePr>
        <xdr:cNvPr id="7" name="HighVsLow">
          <a:extLst>
            <a:ext uri="{FF2B5EF4-FFF2-40B4-BE49-F238E27FC236}">
              <a16:creationId xmlns:a16="http://schemas.microsoft.com/office/drawing/2014/main" id="{AAEBA860-EF16-2C8C-A993-564986E8F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9" name="YearlyTrends">
          <a:extLst>
            <a:ext uri="{FF2B5EF4-FFF2-40B4-BE49-F238E27FC236}">
              <a16:creationId xmlns:a16="http://schemas.microsoft.com/office/drawing/2014/main" id="{E37245C4-ED53-FE53-45D7-B3C8C923B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  <wetp:taskpane dockstate="right" visibility="0" width="525" row="4">
    <wetp:webextensionref xmlns:r="http://schemas.openxmlformats.org/officeDocument/2006/relationships" r:id="rId2"/>
  </wetp:taskpane>
  <wetp:taskpane dockstate="right" visibility="0" width="525" row="5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7A1B851-8069-4158-8927-AF8484B35C3A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gKTxkC5WCz-ErYLvplJw7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7DE72C5-1EE5-4A82-BE6E-2F17E1356339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1b4d7629-5fac-4448-b09f-ddf13cd94e58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7438DFD6-A047-4920-808F-968F61C88726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3d08b658-e7a8-485d-b760-e5f0401be13d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9A86-4E85-4D81-9E56-1FB121E52320}">
  <dimension ref="A1:K7129"/>
  <sheetViews>
    <sheetView tabSelected="1" topLeftCell="A6866" workbookViewId="0">
      <selection sqref="A1:K7129"/>
    </sheetView>
  </sheetViews>
  <sheetFormatPr defaultRowHeight="14.5" x14ac:dyDescent="0.35"/>
  <cols>
    <col min="1" max="1" width="10" customWidth="1"/>
    <col min="7" max="7" width="10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11" x14ac:dyDescent="0.35">
      <c r="A3" s="1">
        <v>35565</v>
      </c>
      <c r="B3">
        <v>0.121875002980232</v>
      </c>
      <c r="C3">
        <v>0.125</v>
      </c>
      <c r="D3">
        <v>9.6354000270366599E-2</v>
      </c>
      <c r="E3">
        <v>9.7916997969150502E-2</v>
      </c>
      <c r="F3">
        <v>9.7916997969150502E-2</v>
      </c>
      <c r="G3">
        <v>1443120000</v>
      </c>
      <c r="H3">
        <f>YEAR($A3)</f>
        <v>1997</v>
      </c>
      <c r="I3">
        <f>MONTH($A3)</f>
        <v>5</v>
      </c>
      <c r="J3" t="str">
        <f>TEXT($A3,"mmm")</f>
        <v>May</v>
      </c>
      <c r="K3" t="str">
        <f>TEXT($A3,"ddd")</f>
        <v>Thu</v>
      </c>
    </row>
    <row r="4" spans="1:11" x14ac:dyDescent="0.35">
      <c r="A4" s="1">
        <v>35566</v>
      </c>
      <c r="B4">
        <v>9.8438002169132205E-2</v>
      </c>
      <c r="C4">
        <v>9.8958000540733296E-2</v>
      </c>
      <c r="D4">
        <v>8.5417002439498901E-2</v>
      </c>
      <c r="E4">
        <v>8.6457997560501099E-2</v>
      </c>
      <c r="F4">
        <v>8.6457997560501099E-2</v>
      </c>
      <c r="G4">
        <v>294000000</v>
      </c>
      <c r="H4">
        <f t="shared" ref="H4:H67" si="0">YEAR($A4)</f>
        <v>1997</v>
      </c>
      <c r="I4">
        <f t="shared" ref="I4:I67" si="1">MONTH($A4)</f>
        <v>5</v>
      </c>
      <c r="J4" t="str">
        <f t="shared" ref="J4:J67" si="2">TEXT($A4,"mmm")</f>
        <v>May</v>
      </c>
      <c r="K4" t="str">
        <f t="shared" ref="K4:K67" si="3">TEXT($A4,"ddd")</f>
        <v>Fri</v>
      </c>
    </row>
    <row r="5" spans="1:11" x14ac:dyDescent="0.35">
      <c r="A5" s="1">
        <v>35569</v>
      </c>
      <c r="B5">
        <v>8.8021002709865501E-2</v>
      </c>
      <c r="C5">
        <v>8.8541999459266593E-2</v>
      </c>
      <c r="D5">
        <v>8.1249997019767706E-2</v>
      </c>
      <c r="E5">
        <v>8.5417002439498901E-2</v>
      </c>
      <c r="F5">
        <v>8.5417002439498901E-2</v>
      </c>
      <c r="G5">
        <v>122136000</v>
      </c>
      <c r="H5">
        <f t="shared" si="0"/>
        <v>1997</v>
      </c>
      <c r="I5">
        <f t="shared" si="1"/>
        <v>5</v>
      </c>
      <c r="J5" t="str">
        <f t="shared" si="2"/>
        <v>May</v>
      </c>
      <c r="K5" t="str">
        <f t="shared" si="3"/>
        <v>Mon</v>
      </c>
    </row>
    <row r="6" spans="1:11" x14ac:dyDescent="0.35">
      <c r="A6" s="1">
        <v>35570</v>
      </c>
      <c r="B6">
        <v>8.6457997560501099E-2</v>
      </c>
      <c r="C6">
        <v>8.7499998509883797E-2</v>
      </c>
      <c r="D6">
        <v>8.1771001219749395E-2</v>
      </c>
      <c r="E6">
        <v>8.1771001219749395E-2</v>
      </c>
      <c r="F6">
        <v>8.1771001219749395E-2</v>
      </c>
      <c r="G6">
        <v>109344000</v>
      </c>
      <c r="H6">
        <f t="shared" si="0"/>
        <v>1997</v>
      </c>
      <c r="I6">
        <f t="shared" si="1"/>
        <v>5</v>
      </c>
      <c r="J6" t="str">
        <f t="shared" si="2"/>
        <v>May</v>
      </c>
      <c r="K6" t="str">
        <f t="shared" si="3"/>
        <v>Tue</v>
      </c>
    </row>
    <row r="7" spans="1:11" x14ac:dyDescent="0.35">
      <c r="A7" s="1">
        <v>35571</v>
      </c>
      <c r="B7">
        <v>8.1771001219749395E-2</v>
      </c>
      <c r="C7">
        <v>8.2291997969150502E-2</v>
      </c>
      <c r="D7">
        <v>6.8750001490116106E-2</v>
      </c>
      <c r="E7">
        <v>7.1354001760482705E-2</v>
      </c>
      <c r="F7">
        <v>7.1354001760482705E-2</v>
      </c>
      <c r="G7">
        <v>377064000</v>
      </c>
      <c r="H7">
        <f t="shared" si="0"/>
        <v>1997</v>
      </c>
      <c r="I7">
        <f t="shared" si="1"/>
        <v>5</v>
      </c>
      <c r="J7" t="str">
        <f t="shared" si="2"/>
        <v>May</v>
      </c>
      <c r="K7" t="str">
        <f t="shared" si="3"/>
        <v>Wed</v>
      </c>
    </row>
    <row r="8" spans="1:11" x14ac:dyDescent="0.35">
      <c r="A8" s="1">
        <v>35572</v>
      </c>
      <c r="B8">
        <v>7.1874998509883797E-2</v>
      </c>
      <c r="C8">
        <v>7.2396002709865501E-2</v>
      </c>
      <c r="D8">
        <v>6.5624997019767706E-2</v>
      </c>
      <c r="E8">
        <v>6.9792002439498901E-2</v>
      </c>
      <c r="F8">
        <v>6.9792002439498901E-2</v>
      </c>
      <c r="G8">
        <v>235536000</v>
      </c>
      <c r="H8">
        <f t="shared" si="0"/>
        <v>1997</v>
      </c>
      <c r="I8">
        <f t="shared" si="1"/>
        <v>5</v>
      </c>
      <c r="J8" t="str">
        <f t="shared" si="2"/>
        <v>May</v>
      </c>
      <c r="K8" t="str">
        <f t="shared" si="3"/>
        <v>Thu</v>
      </c>
    </row>
    <row r="9" spans="1:11" x14ac:dyDescent="0.35">
      <c r="A9" s="1">
        <v>35573</v>
      </c>
      <c r="B9">
        <v>7.0312999188899994E-2</v>
      </c>
      <c r="C9">
        <v>7.6041996479034396E-2</v>
      </c>
      <c r="D9">
        <v>6.6666997969150502E-2</v>
      </c>
      <c r="E9">
        <v>7.5000002980232197E-2</v>
      </c>
      <c r="F9">
        <v>7.5000002980232197E-2</v>
      </c>
      <c r="G9">
        <v>318744000</v>
      </c>
      <c r="H9">
        <f t="shared" si="0"/>
        <v>1997</v>
      </c>
      <c r="I9">
        <f t="shared" si="1"/>
        <v>5</v>
      </c>
      <c r="J9" t="str">
        <f t="shared" si="2"/>
        <v>May</v>
      </c>
      <c r="K9" t="str">
        <f t="shared" si="3"/>
        <v>Fri</v>
      </c>
    </row>
    <row r="10" spans="1:11" x14ac:dyDescent="0.35">
      <c r="A10" s="1">
        <v>35577</v>
      </c>
      <c r="B10">
        <v>7.5520999729633304E-2</v>
      </c>
      <c r="C10">
        <v>8.2291997969150502E-2</v>
      </c>
      <c r="D10">
        <v>7.2916999459266593E-2</v>
      </c>
      <c r="E10">
        <v>7.9167000949382699E-2</v>
      </c>
      <c r="F10">
        <v>7.9167000949382699E-2</v>
      </c>
      <c r="G10">
        <v>173952000</v>
      </c>
      <c r="H10">
        <f t="shared" si="0"/>
        <v>1997</v>
      </c>
      <c r="I10">
        <f t="shared" si="1"/>
        <v>5</v>
      </c>
      <c r="J10" t="str">
        <f t="shared" si="2"/>
        <v>May</v>
      </c>
      <c r="K10" t="str">
        <f t="shared" si="3"/>
        <v>Tue</v>
      </c>
    </row>
    <row r="11" spans="1:11" x14ac:dyDescent="0.35">
      <c r="A11" s="1">
        <v>35578</v>
      </c>
      <c r="B11">
        <v>8.1249997019767706E-2</v>
      </c>
      <c r="C11">
        <v>8.1771001219749395E-2</v>
      </c>
      <c r="D11">
        <v>7.6563000679016099E-2</v>
      </c>
      <c r="E11">
        <v>7.6563000679016099E-2</v>
      </c>
      <c r="F11">
        <v>7.6563000679016099E-2</v>
      </c>
      <c r="G11">
        <v>91488000</v>
      </c>
      <c r="H11">
        <f t="shared" si="0"/>
        <v>1997</v>
      </c>
      <c r="I11">
        <f t="shared" si="1"/>
        <v>5</v>
      </c>
      <c r="J11" t="str">
        <f t="shared" si="2"/>
        <v>May</v>
      </c>
      <c r="K11" t="str">
        <f t="shared" si="3"/>
        <v>Wed</v>
      </c>
    </row>
    <row r="12" spans="1:11" x14ac:dyDescent="0.35">
      <c r="A12" s="1">
        <v>35579</v>
      </c>
      <c r="B12">
        <v>7.7082999050617204E-2</v>
      </c>
      <c r="C12">
        <v>7.7082999050617204E-2</v>
      </c>
      <c r="D12">
        <v>7.3958002030849401E-2</v>
      </c>
      <c r="E12">
        <v>7.5259998440742396E-2</v>
      </c>
      <c r="F12">
        <v>7.5259998440742396E-2</v>
      </c>
      <c r="G12">
        <v>69456000</v>
      </c>
      <c r="H12">
        <f t="shared" si="0"/>
        <v>1997</v>
      </c>
      <c r="I12">
        <f t="shared" si="1"/>
        <v>5</v>
      </c>
      <c r="J12" t="str">
        <f t="shared" si="2"/>
        <v>May</v>
      </c>
      <c r="K12" t="str">
        <f t="shared" si="3"/>
        <v>Thu</v>
      </c>
    </row>
    <row r="13" spans="1:11" x14ac:dyDescent="0.35">
      <c r="A13" s="1">
        <v>35580</v>
      </c>
      <c r="B13">
        <v>7.5000002980232197E-2</v>
      </c>
      <c r="C13">
        <v>7.5520999729633304E-2</v>
      </c>
      <c r="D13">
        <v>7.3958002030849401E-2</v>
      </c>
      <c r="E13">
        <v>7.5000002980232197E-2</v>
      </c>
      <c r="F13">
        <v>7.5000002980232197E-2</v>
      </c>
      <c r="G13">
        <v>51888000</v>
      </c>
      <c r="H13">
        <f t="shared" si="0"/>
        <v>1997</v>
      </c>
      <c r="I13">
        <f t="shared" si="1"/>
        <v>5</v>
      </c>
      <c r="J13" t="str">
        <f t="shared" si="2"/>
        <v>May</v>
      </c>
      <c r="K13" t="str">
        <f t="shared" si="3"/>
        <v>Fri</v>
      </c>
    </row>
    <row r="14" spans="1:11" x14ac:dyDescent="0.35">
      <c r="A14" s="1">
        <v>35583</v>
      </c>
      <c r="B14">
        <v>7.5520999729633304E-2</v>
      </c>
      <c r="C14">
        <v>7.6563000679016099E-2</v>
      </c>
      <c r="D14">
        <v>7.5000002980232197E-2</v>
      </c>
      <c r="E14">
        <v>7.5520999729633304E-2</v>
      </c>
      <c r="F14">
        <v>7.5520999729633304E-2</v>
      </c>
      <c r="G14">
        <v>11832000</v>
      </c>
      <c r="H14">
        <f t="shared" si="0"/>
        <v>1997</v>
      </c>
      <c r="I14">
        <f t="shared" si="1"/>
        <v>6</v>
      </c>
      <c r="J14" t="str">
        <f t="shared" si="2"/>
        <v>Jun</v>
      </c>
      <c r="K14" t="str">
        <f t="shared" si="3"/>
        <v>Mon</v>
      </c>
    </row>
    <row r="15" spans="1:11" x14ac:dyDescent="0.35">
      <c r="A15" s="1">
        <v>35584</v>
      </c>
      <c r="B15">
        <v>7.6563000679016099E-2</v>
      </c>
      <c r="C15">
        <v>7.6563000679016099E-2</v>
      </c>
      <c r="D15">
        <v>7.3958002030849401E-2</v>
      </c>
      <c r="E15">
        <v>7.3958002030849401E-2</v>
      </c>
      <c r="F15">
        <v>7.3958002030849401E-2</v>
      </c>
      <c r="G15">
        <v>23664000</v>
      </c>
      <c r="H15">
        <f t="shared" si="0"/>
        <v>1997</v>
      </c>
      <c r="I15">
        <f t="shared" si="1"/>
        <v>6</v>
      </c>
      <c r="J15" t="str">
        <f t="shared" si="2"/>
        <v>Jun</v>
      </c>
      <c r="K15" t="str">
        <f t="shared" si="3"/>
        <v>Tue</v>
      </c>
    </row>
    <row r="16" spans="1:11" x14ac:dyDescent="0.35">
      <c r="A16" s="1">
        <v>35585</v>
      </c>
      <c r="B16">
        <v>7.3958002030849401E-2</v>
      </c>
      <c r="C16">
        <v>7.4478998780250494E-2</v>
      </c>
      <c r="D16">
        <v>6.9792002439498901E-2</v>
      </c>
      <c r="E16">
        <v>7.0832997560501099E-2</v>
      </c>
      <c r="F16">
        <v>7.0832997560501099E-2</v>
      </c>
      <c r="G16">
        <v>61608000</v>
      </c>
      <c r="H16">
        <f t="shared" si="0"/>
        <v>1997</v>
      </c>
      <c r="I16">
        <f t="shared" si="1"/>
        <v>6</v>
      </c>
      <c r="J16" t="str">
        <f t="shared" si="2"/>
        <v>Jun</v>
      </c>
      <c r="K16" t="str">
        <f t="shared" si="3"/>
        <v>Wed</v>
      </c>
    </row>
    <row r="17" spans="1:11" x14ac:dyDescent="0.35">
      <c r="A17" s="1">
        <v>35586</v>
      </c>
      <c r="B17">
        <v>7.0832997560501099E-2</v>
      </c>
      <c r="C17">
        <v>7.7082999050617204E-2</v>
      </c>
      <c r="D17">
        <v>6.8750001490116106E-2</v>
      </c>
      <c r="E17">
        <v>7.7082999050617204E-2</v>
      </c>
      <c r="F17">
        <v>7.7082999050617204E-2</v>
      </c>
      <c r="G17">
        <v>113448000</v>
      </c>
      <c r="H17">
        <f t="shared" si="0"/>
        <v>1997</v>
      </c>
      <c r="I17">
        <f t="shared" si="1"/>
        <v>6</v>
      </c>
      <c r="J17" t="str">
        <f t="shared" si="2"/>
        <v>Jun</v>
      </c>
      <c r="K17" t="str">
        <f t="shared" si="3"/>
        <v>Thu</v>
      </c>
    </row>
    <row r="18" spans="1:11" x14ac:dyDescent="0.35">
      <c r="A18" s="1">
        <v>35587</v>
      </c>
      <c r="B18">
        <v>7.5781002640724099E-2</v>
      </c>
      <c r="C18">
        <v>8.5417002439498901E-2</v>
      </c>
      <c r="D18">
        <v>7.5520999729633304E-2</v>
      </c>
      <c r="E18">
        <v>8.2813002169132205E-2</v>
      </c>
      <c r="F18">
        <v>8.2813002169132205E-2</v>
      </c>
      <c r="G18">
        <v>156144000</v>
      </c>
      <c r="H18">
        <f t="shared" si="0"/>
        <v>1997</v>
      </c>
      <c r="I18">
        <f t="shared" si="1"/>
        <v>6</v>
      </c>
      <c r="J18" t="str">
        <f t="shared" si="2"/>
        <v>Jun</v>
      </c>
      <c r="K18" t="str">
        <f t="shared" si="3"/>
        <v>Fri</v>
      </c>
    </row>
    <row r="19" spans="1:11" x14ac:dyDescent="0.35">
      <c r="A19" s="1">
        <v>35590</v>
      </c>
      <c r="B19">
        <v>8.2813002169132205E-2</v>
      </c>
      <c r="C19">
        <v>8.5417002439498901E-2</v>
      </c>
      <c r="D19">
        <v>8.2813002169132205E-2</v>
      </c>
      <c r="E19">
        <v>8.4375001490116106E-2</v>
      </c>
      <c r="F19">
        <v>8.4375001490116106E-2</v>
      </c>
      <c r="G19">
        <v>47040000</v>
      </c>
      <c r="H19">
        <f t="shared" si="0"/>
        <v>1997</v>
      </c>
      <c r="I19">
        <f t="shared" si="1"/>
        <v>6</v>
      </c>
      <c r="J19" t="str">
        <f t="shared" si="2"/>
        <v>Jun</v>
      </c>
      <c r="K19" t="str">
        <f t="shared" si="3"/>
        <v>Mon</v>
      </c>
    </row>
    <row r="20" spans="1:11" x14ac:dyDescent="0.35">
      <c r="A20" s="1">
        <v>35591</v>
      </c>
      <c r="B20">
        <v>8.5417002439498901E-2</v>
      </c>
      <c r="C20">
        <v>8.5417002439498901E-2</v>
      </c>
      <c r="D20">
        <v>7.6563000679016099E-2</v>
      </c>
      <c r="E20">
        <v>7.9167000949382699E-2</v>
      </c>
      <c r="F20">
        <v>7.9167000949382699E-2</v>
      </c>
      <c r="G20">
        <v>109176000</v>
      </c>
      <c r="H20">
        <f t="shared" si="0"/>
        <v>1997</v>
      </c>
      <c r="I20">
        <f t="shared" si="1"/>
        <v>6</v>
      </c>
      <c r="J20" t="str">
        <f t="shared" si="2"/>
        <v>Jun</v>
      </c>
      <c r="K20" t="str">
        <f t="shared" si="3"/>
        <v>Tue</v>
      </c>
    </row>
    <row r="21" spans="1:11" x14ac:dyDescent="0.35">
      <c r="A21" s="1">
        <v>35592</v>
      </c>
      <c r="B21">
        <v>7.9687997698783805E-2</v>
      </c>
      <c r="C21">
        <v>8.0208003520965507E-2</v>
      </c>
      <c r="D21">
        <v>7.6563000679016099E-2</v>
      </c>
      <c r="E21">
        <v>7.7082999050617204E-2</v>
      </c>
      <c r="F21">
        <v>7.7082999050617204E-2</v>
      </c>
      <c r="G21">
        <v>23760000</v>
      </c>
      <c r="H21">
        <f t="shared" si="0"/>
        <v>1997</v>
      </c>
      <c r="I21">
        <f t="shared" si="1"/>
        <v>6</v>
      </c>
      <c r="J21" t="str">
        <f t="shared" si="2"/>
        <v>Jun</v>
      </c>
      <c r="K21" t="str">
        <f t="shared" si="3"/>
        <v>Wed</v>
      </c>
    </row>
    <row r="22" spans="1:11" x14ac:dyDescent="0.35">
      <c r="A22" s="1">
        <v>35593</v>
      </c>
      <c r="B22">
        <v>7.9167000949382699E-2</v>
      </c>
      <c r="C22">
        <v>8.2291997969150502E-2</v>
      </c>
      <c r="D22">
        <v>7.7604003250598894E-2</v>
      </c>
      <c r="E22">
        <v>8.0208003520965507E-2</v>
      </c>
      <c r="F22">
        <v>8.0208003520965507E-2</v>
      </c>
      <c r="G22">
        <v>32640000</v>
      </c>
      <c r="H22">
        <f t="shared" si="0"/>
        <v>1997</v>
      </c>
      <c r="I22">
        <f t="shared" si="1"/>
        <v>6</v>
      </c>
      <c r="J22" t="str">
        <f t="shared" si="2"/>
        <v>Jun</v>
      </c>
      <c r="K22" t="str">
        <f t="shared" si="3"/>
        <v>Thu</v>
      </c>
    </row>
    <row r="23" spans="1:11" x14ac:dyDescent="0.35">
      <c r="A23" s="1">
        <v>35594</v>
      </c>
      <c r="B23">
        <v>8.1249997019767706E-2</v>
      </c>
      <c r="C23">
        <v>8.1249997019767706E-2</v>
      </c>
      <c r="D23">
        <v>7.9167000949382699E-2</v>
      </c>
      <c r="E23">
        <v>7.9167000949382699E-2</v>
      </c>
      <c r="F23">
        <v>7.9167000949382699E-2</v>
      </c>
      <c r="G23">
        <v>13872000</v>
      </c>
      <c r="H23">
        <f t="shared" si="0"/>
        <v>1997</v>
      </c>
      <c r="I23">
        <f t="shared" si="1"/>
        <v>6</v>
      </c>
      <c r="J23" t="str">
        <f t="shared" si="2"/>
        <v>Jun</v>
      </c>
      <c r="K23" t="str">
        <f t="shared" si="3"/>
        <v>Fri</v>
      </c>
    </row>
    <row r="24" spans="1:11" x14ac:dyDescent="0.35">
      <c r="A24" s="1">
        <v>35597</v>
      </c>
      <c r="B24">
        <v>8.0208003520965507E-2</v>
      </c>
      <c r="C24">
        <v>8.0208003520965507E-2</v>
      </c>
      <c r="D24">
        <v>7.8125E-2</v>
      </c>
      <c r="E24">
        <v>7.8645996749400995E-2</v>
      </c>
      <c r="F24">
        <v>7.8645996749400995E-2</v>
      </c>
      <c r="G24">
        <v>18264000</v>
      </c>
      <c r="H24">
        <f t="shared" si="0"/>
        <v>1997</v>
      </c>
      <c r="I24">
        <f t="shared" si="1"/>
        <v>6</v>
      </c>
      <c r="J24" t="str">
        <f t="shared" si="2"/>
        <v>Jun</v>
      </c>
      <c r="K24" t="str">
        <f t="shared" si="3"/>
        <v>Mon</v>
      </c>
    </row>
    <row r="25" spans="1:11" x14ac:dyDescent="0.35">
      <c r="A25" s="1">
        <v>35598</v>
      </c>
      <c r="B25">
        <v>7.9948000609874698E-2</v>
      </c>
      <c r="C25">
        <v>7.9948000609874698E-2</v>
      </c>
      <c r="D25">
        <v>7.4740000069141305E-2</v>
      </c>
      <c r="E25">
        <v>7.5259998440742396E-2</v>
      </c>
      <c r="F25">
        <v>7.5259998440742396E-2</v>
      </c>
      <c r="G25">
        <v>94128000</v>
      </c>
      <c r="H25">
        <f t="shared" si="0"/>
        <v>1997</v>
      </c>
      <c r="I25">
        <f t="shared" si="1"/>
        <v>6</v>
      </c>
      <c r="J25" t="str">
        <f t="shared" si="2"/>
        <v>Jun</v>
      </c>
      <c r="K25" t="str">
        <f t="shared" si="3"/>
        <v>Tue</v>
      </c>
    </row>
    <row r="26" spans="1:11" x14ac:dyDescent="0.35">
      <c r="A26" s="1">
        <v>35599</v>
      </c>
      <c r="B26">
        <v>7.6041996479034396E-2</v>
      </c>
      <c r="C26">
        <v>7.6823003590106895E-2</v>
      </c>
      <c r="D26">
        <v>7.5000002980232197E-2</v>
      </c>
      <c r="E26">
        <v>7.5520999729633304E-2</v>
      </c>
      <c r="F26">
        <v>7.5520999729633304E-2</v>
      </c>
      <c r="G26">
        <v>49296000</v>
      </c>
      <c r="H26">
        <f t="shared" si="0"/>
        <v>1997</v>
      </c>
      <c r="I26">
        <f t="shared" si="1"/>
        <v>6</v>
      </c>
      <c r="J26" t="str">
        <f t="shared" si="2"/>
        <v>Jun</v>
      </c>
      <c r="K26" t="str">
        <f t="shared" si="3"/>
        <v>Wed</v>
      </c>
    </row>
    <row r="27" spans="1:11" x14ac:dyDescent="0.35">
      <c r="A27" s="1">
        <v>35600</v>
      </c>
      <c r="B27">
        <v>7.5520999729633304E-2</v>
      </c>
      <c r="C27">
        <v>7.6563000679016099E-2</v>
      </c>
      <c r="D27">
        <v>7.5000002980232197E-2</v>
      </c>
      <c r="E27">
        <v>7.5520999729633304E-2</v>
      </c>
      <c r="F27">
        <v>7.5520999729633304E-2</v>
      </c>
      <c r="G27">
        <v>20064000</v>
      </c>
      <c r="H27">
        <f t="shared" si="0"/>
        <v>1997</v>
      </c>
      <c r="I27">
        <f t="shared" si="1"/>
        <v>6</v>
      </c>
      <c r="J27" t="str">
        <f t="shared" si="2"/>
        <v>Jun</v>
      </c>
      <c r="K27" t="str">
        <f t="shared" si="3"/>
        <v>Thu</v>
      </c>
    </row>
    <row r="28" spans="1:11" x14ac:dyDescent="0.35">
      <c r="A28" s="1">
        <v>35601</v>
      </c>
      <c r="B28">
        <v>7.6563000679016099E-2</v>
      </c>
      <c r="C28">
        <v>7.7604003250598894E-2</v>
      </c>
      <c r="D28">
        <v>7.5000002980232197E-2</v>
      </c>
      <c r="E28">
        <v>7.6301999390125205E-2</v>
      </c>
      <c r="F28">
        <v>7.6301999390125205E-2</v>
      </c>
      <c r="G28">
        <v>67752000</v>
      </c>
      <c r="H28">
        <f t="shared" si="0"/>
        <v>1997</v>
      </c>
      <c r="I28">
        <f t="shared" si="1"/>
        <v>6</v>
      </c>
      <c r="J28" t="str">
        <f t="shared" si="2"/>
        <v>Jun</v>
      </c>
      <c r="K28" t="str">
        <f t="shared" si="3"/>
        <v>Fri</v>
      </c>
    </row>
    <row r="29" spans="1:11" x14ac:dyDescent="0.35">
      <c r="A29" s="1">
        <v>35604</v>
      </c>
      <c r="B29">
        <v>7.7082999050617204E-2</v>
      </c>
      <c r="C29">
        <v>7.7082999050617204E-2</v>
      </c>
      <c r="D29">
        <v>7.3958002030849401E-2</v>
      </c>
      <c r="E29">
        <v>7.5000002980232197E-2</v>
      </c>
      <c r="F29">
        <v>7.5000002980232197E-2</v>
      </c>
      <c r="G29">
        <v>20952000</v>
      </c>
      <c r="H29">
        <f t="shared" si="0"/>
        <v>1997</v>
      </c>
      <c r="I29">
        <f t="shared" si="1"/>
        <v>6</v>
      </c>
      <c r="J29" t="str">
        <f t="shared" si="2"/>
        <v>Jun</v>
      </c>
      <c r="K29" t="str">
        <f t="shared" si="3"/>
        <v>Mon</v>
      </c>
    </row>
    <row r="30" spans="1:11" x14ac:dyDescent="0.35">
      <c r="A30" s="1">
        <v>35605</v>
      </c>
      <c r="B30">
        <v>7.5259998440742396E-2</v>
      </c>
      <c r="C30">
        <v>7.6301999390125205E-2</v>
      </c>
      <c r="D30">
        <v>7.3958002030849401E-2</v>
      </c>
      <c r="E30">
        <v>7.5520999729633304E-2</v>
      </c>
      <c r="F30">
        <v>7.5520999729633304E-2</v>
      </c>
      <c r="G30">
        <v>15024000</v>
      </c>
      <c r="H30">
        <f t="shared" si="0"/>
        <v>1997</v>
      </c>
      <c r="I30">
        <f t="shared" si="1"/>
        <v>6</v>
      </c>
      <c r="J30" t="str">
        <f t="shared" si="2"/>
        <v>Jun</v>
      </c>
      <c r="K30" t="str">
        <f t="shared" si="3"/>
        <v>Tue</v>
      </c>
    </row>
    <row r="31" spans="1:11" x14ac:dyDescent="0.35">
      <c r="A31" s="1">
        <v>35606</v>
      </c>
      <c r="B31">
        <v>7.6301999390125205E-2</v>
      </c>
      <c r="C31">
        <v>7.6301999390125205E-2</v>
      </c>
      <c r="D31">
        <v>7.4478998780250494E-2</v>
      </c>
      <c r="E31">
        <v>7.5520999729633304E-2</v>
      </c>
      <c r="F31">
        <v>7.5520999729633304E-2</v>
      </c>
      <c r="G31">
        <v>42120000</v>
      </c>
      <c r="H31">
        <f t="shared" si="0"/>
        <v>1997</v>
      </c>
      <c r="I31">
        <f t="shared" si="1"/>
        <v>6</v>
      </c>
      <c r="J31" t="str">
        <f t="shared" si="2"/>
        <v>Jun</v>
      </c>
      <c r="K31" t="str">
        <f t="shared" si="3"/>
        <v>Wed</v>
      </c>
    </row>
    <row r="32" spans="1:11" x14ac:dyDescent="0.35">
      <c r="A32" s="1">
        <v>35607</v>
      </c>
      <c r="B32">
        <v>7.6041996479034396E-2</v>
      </c>
      <c r="C32">
        <v>7.6041996479034396E-2</v>
      </c>
      <c r="D32">
        <v>7.5259998440742396E-2</v>
      </c>
      <c r="E32">
        <v>7.5520999729633304E-2</v>
      </c>
      <c r="F32">
        <v>7.5520999729633304E-2</v>
      </c>
      <c r="G32">
        <v>63792000</v>
      </c>
      <c r="H32">
        <f t="shared" si="0"/>
        <v>1997</v>
      </c>
      <c r="I32">
        <f t="shared" si="1"/>
        <v>6</v>
      </c>
      <c r="J32" t="str">
        <f t="shared" si="2"/>
        <v>Jun</v>
      </c>
      <c r="K32" t="str">
        <f t="shared" si="3"/>
        <v>Thu</v>
      </c>
    </row>
    <row r="33" spans="1:11" x14ac:dyDescent="0.35">
      <c r="A33" s="1">
        <v>35608</v>
      </c>
      <c r="B33">
        <v>7.5781002640724099E-2</v>
      </c>
      <c r="C33">
        <v>7.5781002640724099E-2</v>
      </c>
      <c r="D33">
        <v>7.3958002030849401E-2</v>
      </c>
      <c r="E33">
        <v>7.4478998780250494E-2</v>
      </c>
      <c r="F33">
        <v>7.4478998780250494E-2</v>
      </c>
      <c r="G33">
        <v>23760000</v>
      </c>
      <c r="H33">
        <f t="shared" si="0"/>
        <v>1997</v>
      </c>
      <c r="I33">
        <f t="shared" si="1"/>
        <v>6</v>
      </c>
      <c r="J33" t="str">
        <f t="shared" si="2"/>
        <v>Jun</v>
      </c>
      <c r="K33" t="str">
        <f t="shared" si="3"/>
        <v>Fri</v>
      </c>
    </row>
    <row r="34" spans="1:11" x14ac:dyDescent="0.35">
      <c r="A34" s="1">
        <v>35611</v>
      </c>
      <c r="B34">
        <v>7.5520999729633304E-2</v>
      </c>
      <c r="C34">
        <v>7.9948000609874698E-2</v>
      </c>
      <c r="D34">
        <v>7.3958002030849401E-2</v>
      </c>
      <c r="E34">
        <v>7.7082999050617204E-2</v>
      </c>
      <c r="F34">
        <v>7.7082999050617204E-2</v>
      </c>
      <c r="G34">
        <v>54936000</v>
      </c>
      <c r="H34">
        <f t="shared" si="0"/>
        <v>1997</v>
      </c>
      <c r="I34">
        <f t="shared" si="1"/>
        <v>6</v>
      </c>
      <c r="J34" t="str">
        <f t="shared" si="2"/>
        <v>Jun</v>
      </c>
      <c r="K34" t="str">
        <f t="shared" si="3"/>
        <v>Mon</v>
      </c>
    </row>
    <row r="35" spans="1:11" x14ac:dyDescent="0.35">
      <c r="A35" s="1">
        <v>35612</v>
      </c>
      <c r="B35">
        <v>7.7082999050617204E-2</v>
      </c>
      <c r="C35">
        <v>7.7082999050617204E-2</v>
      </c>
      <c r="D35">
        <v>7.5520999729633304E-2</v>
      </c>
      <c r="E35">
        <v>7.5781002640724099E-2</v>
      </c>
      <c r="F35">
        <v>7.5781002640724099E-2</v>
      </c>
      <c r="G35">
        <v>25848000</v>
      </c>
      <c r="H35">
        <f t="shared" si="0"/>
        <v>1997</v>
      </c>
      <c r="I35">
        <f t="shared" si="1"/>
        <v>7</v>
      </c>
      <c r="J35" t="str">
        <f t="shared" si="2"/>
        <v>Jul</v>
      </c>
      <c r="K35" t="str">
        <f t="shared" si="3"/>
        <v>Tue</v>
      </c>
    </row>
    <row r="36" spans="1:11" x14ac:dyDescent="0.35">
      <c r="A36" s="1">
        <v>35613</v>
      </c>
      <c r="B36">
        <v>7.5781002640724099E-2</v>
      </c>
      <c r="C36">
        <v>7.9687997698783805E-2</v>
      </c>
      <c r="D36">
        <v>7.5520999729633304E-2</v>
      </c>
      <c r="E36">
        <v>7.9426996409892994E-2</v>
      </c>
      <c r="F36">
        <v>7.9426996409892994E-2</v>
      </c>
      <c r="G36">
        <v>77640000</v>
      </c>
      <c r="H36">
        <f t="shared" si="0"/>
        <v>1997</v>
      </c>
      <c r="I36">
        <f t="shared" si="1"/>
        <v>7</v>
      </c>
      <c r="J36" t="str">
        <f t="shared" si="2"/>
        <v>Jul</v>
      </c>
      <c r="K36" t="str">
        <f t="shared" si="3"/>
        <v>Wed</v>
      </c>
    </row>
    <row r="37" spans="1:11" x14ac:dyDescent="0.35">
      <c r="A37" s="1">
        <v>35614</v>
      </c>
      <c r="B37">
        <v>7.9948000609874698E-2</v>
      </c>
      <c r="C37">
        <v>9.5833003520965507E-2</v>
      </c>
      <c r="D37">
        <v>7.9687997698783805E-2</v>
      </c>
      <c r="E37">
        <v>9.5573000609874698E-2</v>
      </c>
      <c r="F37">
        <v>9.5573000609874698E-2</v>
      </c>
      <c r="G37">
        <v>251544000</v>
      </c>
      <c r="H37">
        <f t="shared" si="0"/>
        <v>1997</v>
      </c>
      <c r="I37">
        <f t="shared" si="1"/>
        <v>7</v>
      </c>
      <c r="J37" t="str">
        <f t="shared" si="2"/>
        <v>Jul</v>
      </c>
      <c r="K37" t="str">
        <f t="shared" si="3"/>
        <v>Thu</v>
      </c>
    </row>
    <row r="38" spans="1:11" x14ac:dyDescent="0.35">
      <c r="A38" s="1">
        <v>35618</v>
      </c>
      <c r="B38">
        <v>9.1666996479034396E-2</v>
      </c>
      <c r="C38">
        <v>0.101042002439498</v>
      </c>
      <c r="D38">
        <v>9.1666996479034396E-2</v>
      </c>
      <c r="E38">
        <v>0.10000000149011599</v>
      </c>
      <c r="F38">
        <v>0.10000000149011599</v>
      </c>
      <c r="G38">
        <v>161064000</v>
      </c>
      <c r="H38">
        <f t="shared" si="0"/>
        <v>1997</v>
      </c>
      <c r="I38">
        <f t="shared" si="1"/>
        <v>7</v>
      </c>
      <c r="J38" t="str">
        <f t="shared" si="2"/>
        <v>Jul</v>
      </c>
      <c r="K38" t="str">
        <f t="shared" si="3"/>
        <v>Mon</v>
      </c>
    </row>
    <row r="39" spans="1:11" x14ac:dyDescent="0.35">
      <c r="A39" s="1">
        <v>35619</v>
      </c>
      <c r="B39">
        <v>0.102082997560501</v>
      </c>
      <c r="C39">
        <v>0.116667002439498</v>
      </c>
      <c r="D39">
        <v>0.102082997560501</v>
      </c>
      <c r="E39">
        <v>0.115103997290134</v>
      </c>
      <c r="F39">
        <v>0.115103997290134</v>
      </c>
      <c r="G39">
        <v>310344000</v>
      </c>
      <c r="H39">
        <f t="shared" si="0"/>
        <v>1997</v>
      </c>
      <c r="I39">
        <f t="shared" si="1"/>
        <v>7</v>
      </c>
      <c r="J39" t="str">
        <f t="shared" si="2"/>
        <v>Jul</v>
      </c>
      <c r="K39" t="str">
        <f t="shared" si="3"/>
        <v>Tue</v>
      </c>
    </row>
    <row r="40" spans="1:11" x14ac:dyDescent="0.35">
      <c r="A40" s="1">
        <v>35620</v>
      </c>
      <c r="B40">
        <v>0.115103997290134</v>
      </c>
      <c r="C40">
        <v>0.119271002709865</v>
      </c>
      <c r="D40">
        <v>0.11354199796915</v>
      </c>
      <c r="E40">
        <v>0.116145998239517</v>
      </c>
      <c r="F40">
        <v>0.116145998239517</v>
      </c>
      <c r="G40">
        <v>165240000</v>
      </c>
      <c r="H40">
        <f t="shared" si="0"/>
        <v>1997</v>
      </c>
      <c r="I40">
        <f t="shared" si="1"/>
        <v>7</v>
      </c>
      <c r="J40" t="str">
        <f t="shared" si="2"/>
        <v>Jul</v>
      </c>
      <c r="K40" t="str">
        <f t="shared" si="3"/>
        <v>Wed</v>
      </c>
    </row>
    <row r="41" spans="1:11" x14ac:dyDescent="0.35">
      <c r="A41" s="1">
        <v>35621</v>
      </c>
      <c r="B41">
        <v>0.116667002439498</v>
      </c>
      <c r="C41">
        <v>0.12864600121974901</v>
      </c>
      <c r="D41">
        <v>0.116667002439498</v>
      </c>
      <c r="E41">
        <v>0.12812499701976701</v>
      </c>
      <c r="F41">
        <v>0.12812499701976701</v>
      </c>
      <c r="G41">
        <v>181032000</v>
      </c>
      <c r="H41">
        <f t="shared" si="0"/>
        <v>1997</v>
      </c>
      <c r="I41">
        <f t="shared" si="1"/>
        <v>7</v>
      </c>
      <c r="J41" t="str">
        <f t="shared" si="2"/>
        <v>Jul</v>
      </c>
      <c r="K41" t="str">
        <f t="shared" si="3"/>
        <v>Thu</v>
      </c>
    </row>
    <row r="42" spans="1:11" x14ac:dyDescent="0.35">
      <c r="A42" s="1">
        <v>35622</v>
      </c>
      <c r="B42">
        <v>0.12604199349880199</v>
      </c>
      <c r="C42">
        <v>0.12604199349880199</v>
      </c>
      <c r="D42">
        <v>0.110417000949382</v>
      </c>
      <c r="E42">
        <v>0.114583000540733</v>
      </c>
      <c r="F42">
        <v>0.114583000540733</v>
      </c>
      <c r="G42">
        <v>210624000</v>
      </c>
      <c r="H42">
        <f t="shared" si="0"/>
        <v>1997</v>
      </c>
      <c r="I42">
        <f t="shared" si="1"/>
        <v>7</v>
      </c>
      <c r="J42" t="str">
        <f t="shared" si="2"/>
        <v>Jul</v>
      </c>
      <c r="K42" t="str">
        <f t="shared" si="3"/>
        <v>Fri</v>
      </c>
    </row>
    <row r="43" spans="1:11" x14ac:dyDescent="0.35">
      <c r="A43" s="1">
        <v>35625</v>
      </c>
      <c r="B43">
        <v>0.116145998239517</v>
      </c>
      <c r="C43">
        <v>0.116667002439498</v>
      </c>
      <c r="D43">
        <v>0.10572899878024999</v>
      </c>
      <c r="E43">
        <v>0.106770999729633</v>
      </c>
      <c r="F43">
        <v>0.106770999729633</v>
      </c>
      <c r="G43">
        <v>92088000</v>
      </c>
      <c r="H43">
        <f t="shared" si="0"/>
        <v>1997</v>
      </c>
      <c r="I43">
        <f t="shared" si="1"/>
        <v>7</v>
      </c>
      <c r="J43" t="str">
        <f t="shared" si="2"/>
        <v>Jul</v>
      </c>
      <c r="K43" t="str">
        <f t="shared" si="3"/>
        <v>Mon</v>
      </c>
    </row>
    <row r="44" spans="1:11" x14ac:dyDescent="0.35">
      <c r="A44" s="1">
        <v>35626</v>
      </c>
      <c r="B44">
        <v>0.106770999729633</v>
      </c>
      <c r="C44">
        <v>0.123957999050617</v>
      </c>
      <c r="D44">
        <v>0.106770999729633</v>
      </c>
      <c r="E44">
        <v>0.121875002980232</v>
      </c>
      <c r="F44">
        <v>0.121875002980232</v>
      </c>
      <c r="G44">
        <v>185496000</v>
      </c>
      <c r="H44">
        <f t="shared" si="0"/>
        <v>1997</v>
      </c>
      <c r="I44">
        <f t="shared" si="1"/>
        <v>7</v>
      </c>
      <c r="J44" t="str">
        <f t="shared" si="2"/>
        <v>Jul</v>
      </c>
      <c r="K44" t="str">
        <f t="shared" si="3"/>
        <v>Tue</v>
      </c>
    </row>
    <row r="45" spans="1:11" x14ac:dyDescent="0.35">
      <c r="A45" s="1">
        <v>35627</v>
      </c>
      <c r="B45">
        <v>0.122395999729633</v>
      </c>
      <c r="C45">
        <v>0.124739997088909</v>
      </c>
      <c r="D45">
        <v>0.115103997290134</v>
      </c>
      <c r="E45">
        <v>0.116667002439498</v>
      </c>
      <c r="F45">
        <v>0.116667002439498</v>
      </c>
      <c r="G45">
        <v>60480000</v>
      </c>
      <c r="H45">
        <f t="shared" si="0"/>
        <v>1997</v>
      </c>
      <c r="I45">
        <f t="shared" si="1"/>
        <v>7</v>
      </c>
      <c r="J45" t="str">
        <f t="shared" si="2"/>
        <v>Jul</v>
      </c>
      <c r="K45" t="str">
        <f t="shared" si="3"/>
        <v>Wed</v>
      </c>
    </row>
    <row r="46" spans="1:11" x14ac:dyDescent="0.35">
      <c r="A46" s="1">
        <v>35628</v>
      </c>
      <c r="B46">
        <v>0.11718799918889999</v>
      </c>
      <c r="C46">
        <v>0.11718799918889999</v>
      </c>
      <c r="D46">
        <v>0.107813000679016</v>
      </c>
      <c r="E46">
        <v>0.110937997698783</v>
      </c>
      <c r="F46">
        <v>0.110937997698783</v>
      </c>
      <c r="G46">
        <v>63384000</v>
      </c>
      <c r="H46">
        <f t="shared" si="0"/>
        <v>1997</v>
      </c>
      <c r="I46">
        <f t="shared" si="1"/>
        <v>7</v>
      </c>
      <c r="J46" t="str">
        <f t="shared" si="2"/>
        <v>Jul</v>
      </c>
      <c r="K46" t="str">
        <f t="shared" si="3"/>
        <v>Thu</v>
      </c>
    </row>
    <row r="47" spans="1:11" x14ac:dyDescent="0.35">
      <c r="A47" s="1">
        <v>35629</v>
      </c>
      <c r="B47">
        <v>0.109375</v>
      </c>
      <c r="C47">
        <v>0.110937997698783</v>
      </c>
      <c r="D47">
        <v>0.107813000679016</v>
      </c>
      <c r="E47">
        <v>0.107813000679016</v>
      </c>
      <c r="F47">
        <v>0.107813000679016</v>
      </c>
      <c r="G47">
        <v>15600000</v>
      </c>
      <c r="H47">
        <f t="shared" si="0"/>
        <v>1997</v>
      </c>
      <c r="I47">
        <f t="shared" si="1"/>
        <v>7</v>
      </c>
      <c r="J47" t="str">
        <f t="shared" si="2"/>
        <v>Jul</v>
      </c>
      <c r="K47" t="str">
        <f t="shared" si="3"/>
        <v>Fri</v>
      </c>
    </row>
    <row r="48" spans="1:11" x14ac:dyDescent="0.35">
      <c r="A48" s="1">
        <v>35632</v>
      </c>
      <c r="B48">
        <v>0.10885400325059801</v>
      </c>
      <c r="C48">
        <v>0.109895996749401</v>
      </c>
      <c r="D48">
        <v>0.10729199647903399</v>
      </c>
      <c r="E48">
        <v>0.109114997088909</v>
      </c>
      <c r="F48">
        <v>0.109114997088909</v>
      </c>
      <c r="G48">
        <v>11496000</v>
      </c>
      <c r="H48">
        <f t="shared" si="0"/>
        <v>1997</v>
      </c>
      <c r="I48">
        <f t="shared" si="1"/>
        <v>7</v>
      </c>
      <c r="J48" t="str">
        <f t="shared" si="2"/>
        <v>Jul</v>
      </c>
      <c r="K48" t="str">
        <f t="shared" si="3"/>
        <v>Mon</v>
      </c>
    </row>
    <row r="49" spans="1:11" x14ac:dyDescent="0.35">
      <c r="A49" s="1">
        <v>35633</v>
      </c>
      <c r="B49">
        <v>0.108332999050617</v>
      </c>
      <c r="C49">
        <v>0.109375</v>
      </c>
      <c r="D49">
        <v>0.10312499850988301</v>
      </c>
      <c r="E49">
        <v>0.106770999729633</v>
      </c>
      <c r="F49">
        <v>0.106770999729633</v>
      </c>
      <c r="G49">
        <v>31272000</v>
      </c>
      <c r="H49">
        <f t="shared" si="0"/>
        <v>1997</v>
      </c>
      <c r="I49">
        <f t="shared" si="1"/>
        <v>7</v>
      </c>
      <c r="J49" t="str">
        <f t="shared" si="2"/>
        <v>Jul</v>
      </c>
      <c r="K49" t="str">
        <f t="shared" si="3"/>
        <v>Tue</v>
      </c>
    </row>
    <row r="50" spans="1:11" x14ac:dyDescent="0.35">
      <c r="A50" s="1">
        <v>35634</v>
      </c>
      <c r="B50">
        <v>0.109375</v>
      </c>
      <c r="C50">
        <v>0.116667002439498</v>
      </c>
      <c r="D50">
        <v>0.10885400325059801</v>
      </c>
      <c r="E50">
        <v>0.114583000540733</v>
      </c>
      <c r="F50">
        <v>0.114583000540733</v>
      </c>
      <c r="G50">
        <v>65184000</v>
      </c>
      <c r="H50">
        <f t="shared" si="0"/>
        <v>1997</v>
      </c>
      <c r="I50">
        <f t="shared" si="1"/>
        <v>7</v>
      </c>
      <c r="J50" t="str">
        <f t="shared" si="2"/>
        <v>Jul</v>
      </c>
      <c r="K50" t="str">
        <f t="shared" si="3"/>
        <v>Wed</v>
      </c>
    </row>
    <row r="51" spans="1:11" x14ac:dyDescent="0.35">
      <c r="A51" s="1">
        <v>35635</v>
      </c>
      <c r="B51">
        <v>0.115103997290134</v>
      </c>
      <c r="C51">
        <v>0.11562500149011599</v>
      </c>
      <c r="D51">
        <v>0.110937997698783</v>
      </c>
      <c r="E51">
        <v>0.11302100121974901</v>
      </c>
      <c r="F51">
        <v>0.11302100121974901</v>
      </c>
      <c r="G51">
        <v>24336000</v>
      </c>
      <c r="H51">
        <f t="shared" si="0"/>
        <v>1997</v>
      </c>
      <c r="I51">
        <f t="shared" si="1"/>
        <v>7</v>
      </c>
      <c r="J51" t="str">
        <f t="shared" si="2"/>
        <v>Jul</v>
      </c>
      <c r="K51" t="str">
        <f t="shared" si="3"/>
        <v>Thu</v>
      </c>
    </row>
    <row r="52" spans="1:11" x14ac:dyDescent="0.35">
      <c r="A52" s="1">
        <v>35636</v>
      </c>
      <c r="B52">
        <v>0.110937997698783</v>
      </c>
      <c r="C52">
        <v>0.112499997019767</v>
      </c>
      <c r="D52">
        <v>0.110937997698783</v>
      </c>
      <c r="E52">
        <v>0.11145800352096499</v>
      </c>
      <c r="F52">
        <v>0.11145800352096499</v>
      </c>
      <c r="G52">
        <v>12408000</v>
      </c>
      <c r="H52">
        <f t="shared" si="0"/>
        <v>1997</v>
      </c>
      <c r="I52">
        <f t="shared" si="1"/>
        <v>7</v>
      </c>
      <c r="J52" t="str">
        <f t="shared" si="2"/>
        <v>Jul</v>
      </c>
      <c r="K52" t="str">
        <f t="shared" si="3"/>
        <v>Fri</v>
      </c>
    </row>
    <row r="53" spans="1:11" x14ac:dyDescent="0.35">
      <c r="A53" s="1">
        <v>35639</v>
      </c>
      <c r="B53">
        <v>0.11145800352096499</v>
      </c>
      <c r="C53">
        <v>0.119791999459266</v>
      </c>
      <c r="D53">
        <v>0.110937997698783</v>
      </c>
      <c r="E53">
        <v>0.116145998239517</v>
      </c>
      <c r="F53">
        <v>0.116145998239517</v>
      </c>
      <c r="G53">
        <v>51480000</v>
      </c>
      <c r="H53">
        <f t="shared" si="0"/>
        <v>1997</v>
      </c>
      <c r="I53">
        <f t="shared" si="1"/>
        <v>7</v>
      </c>
      <c r="J53" t="str">
        <f t="shared" si="2"/>
        <v>Jul</v>
      </c>
      <c r="K53" t="str">
        <f t="shared" si="3"/>
        <v>Mon</v>
      </c>
    </row>
    <row r="54" spans="1:11" x14ac:dyDescent="0.35">
      <c r="A54" s="1">
        <v>35640</v>
      </c>
      <c r="B54">
        <v>0.118229001760482</v>
      </c>
      <c r="C54">
        <v>0.125</v>
      </c>
      <c r="D54">
        <v>0.116667002439498</v>
      </c>
      <c r="E54">
        <v>0.123957999050617</v>
      </c>
      <c r="F54">
        <v>0.123957999050617</v>
      </c>
      <c r="G54">
        <v>96288000</v>
      </c>
      <c r="H54">
        <f t="shared" si="0"/>
        <v>1997</v>
      </c>
      <c r="I54">
        <f t="shared" si="1"/>
        <v>7</v>
      </c>
      <c r="J54" t="str">
        <f t="shared" si="2"/>
        <v>Jul</v>
      </c>
      <c r="K54" t="str">
        <f t="shared" si="3"/>
        <v>Tue</v>
      </c>
    </row>
    <row r="55" spans="1:11" x14ac:dyDescent="0.35">
      <c r="A55" s="1">
        <v>35641</v>
      </c>
      <c r="B55">
        <v>0.125</v>
      </c>
      <c r="C55">
        <v>0.12525999546051</v>
      </c>
      <c r="D55">
        <v>0.12135399878024999</v>
      </c>
      <c r="E55">
        <v>0.122395999729633</v>
      </c>
      <c r="F55">
        <v>0.122395999729633</v>
      </c>
      <c r="G55">
        <v>50352000</v>
      </c>
      <c r="H55">
        <f t="shared" si="0"/>
        <v>1997</v>
      </c>
      <c r="I55">
        <f t="shared" si="1"/>
        <v>7</v>
      </c>
      <c r="J55" t="str">
        <f t="shared" si="2"/>
        <v>Jul</v>
      </c>
      <c r="K55" t="str">
        <f t="shared" si="3"/>
        <v>Wed</v>
      </c>
    </row>
    <row r="56" spans="1:11" x14ac:dyDescent="0.35">
      <c r="A56" s="1">
        <v>35642</v>
      </c>
      <c r="B56">
        <v>0.121875002980232</v>
      </c>
      <c r="C56">
        <v>0.121875002980232</v>
      </c>
      <c r="D56">
        <v>0.116667002439498</v>
      </c>
      <c r="E56">
        <v>0.119791999459266</v>
      </c>
      <c r="F56">
        <v>0.119791999459266</v>
      </c>
      <c r="G56">
        <v>29088000</v>
      </c>
      <c r="H56">
        <f t="shared" si="0"/>
        <v>1997</v>
      </c>
      <c r="I56">
        <f t="shared" si="1"/>
        <v>7</v>
      </c>
      <c r="J56" t="str">
        <f t="shared" si="2"/>
        <v>Jul</v>
      </c>
      <c r="K56" t="str">
        <f t="shared" si="3"/>
        <v>Thu</v>
      </c>
    </row>
    <row r="57" spans="1:11" x14ac:dyDescent="0.35">
      <c r="A57" s="1">
        <v>35643</v>
      </c>
      <c r="B57">
        <v>0.11718799918889999</v>
      </c>
      <c r="C57">
        <v>0.120833002030849</v>
      </c>
      <c r="D57">
        <v>0.112499997019767</v>
      </c>
      <c r="E57">
        <v>0.120833002030849</v>
      </c>
      <c r="F57">
        <v>0.120833002030849</v>
      </c>
      <c r="G57">
        <v>71760000</v>
      </c>
      <c r="H57">
        <f t="shared" si="0"/>
        <v>1997</v>
      </c>
      <c r="I57">
        <f t="shared" si="1"/>
        <v>8</v>
      </c>
      <c r="J57" t="str">
        <f t="shared" si="2"/>
        <v>Aug</v>
      </c>
      <c r="K57" t="str">
        <f t="shared" si="3"/>
        <v>Fri</v>
      </c>
    </row>
    <row r="58" spans="1:11" x14ac:dyDescent="0.35">
      <c r="A58" s="1">
        <v>35646</v>
      </c>
      <c r="B58">
        <v>0.11874999850988301</v>
      </c>
      <c r="C58">
        <v>0.120572999119758</v>
      </c>
      <c r="D58">
        <v>0.115103997290134</v>
      </c>
      <c r="E58">
        <v>0.11562500149011599</v>
      </c>
      <c r="F58">
        <v>0.11562500149011599</v>
      </c>
      <c r="G58">
        <v>53424000</v>
      </c>
      <c r="H58">
        <f t="shared" si="0"/>
        <v>1997</v>
      </c>
      <c r="I58">
        <f t="shared" si="1"/>
        <v>8</v>
      </c>
      <c r="J58" t="str">
        <f t="shared" si="2"/>
        <v>Aug</v>
      </c>
      <c r="K58" t="str">
        <f t="shared" si="3"/>
        <v>Mon</v>
      </c>
    </row>
    <row r="59" spans="1:11" x14ac:dyDescent="0.35">
      <c r="A59" s="1">
        <v>35647</v>
      </c>
      <c r="B59">
        <v>0.116667002439498</v>
      </c>
      <c r="C59">
        <v>0.116667002439498</v>
      </c>
      <c r="D59">
        <v>0.10729199647903399</v>
      </c>
      <c r="E59">
        <v>0.110417000949382</v>
      </c>
      <c r="F59">
        <v>0.110417000949382</v>
      </c>
      <c r="G59">
        <v>60648000</v>
      </c>
      <c r="H59">
        <f t="shared" si="0"/>
        <v>1997</v>
      </c>
      <c r="I59">
        <f t="shared" si="1"/>
        <v>8</v>
      </c>
      <c r="J59" t="str">
        <f t="shared" si="2"/>
        <v>Aug</v>
      </c>
      <c r="K59" t="str">
        <f t="shared" si="3"/>
        <v>Tue</v>
      </c>
    </row>
    <row r="60" spans="1:11" x14ac:dyDescent="0.35">
      <c r="A60" s="1">
        <v>35648</v>
      </c>
      <c r="B60">
        <v>0.110417000949382</v>
      </c>
      <c r="C60">
        <v>0.11562500149011599</v>
      </c>
      <c r="D60">
        <v>0.109375</v>
      </c>
      <c r="E60">
        <v>0.112499997019767</v>
      </c>
      <c r="F60">
        <v>0.112499997019767</v>
      </c>
      <c r="G60">
        <v>24864000</v>
      </c>
      <c r="H60">
        <f t="shared" si="0"/>
        <v>1997</v>
      </c>
      <c r="I60">
        <f t="shared" si="1"/>
        <v>8</v>
      </c>
      <c r="J60" t="str">
        <f t="shared" si="2"/>
        <v>Aug</v>
      </c>
      <c r="K60" t="str">
        <f t="shared" si="3"/>
        <v>Wed</v>
      </c>
    </row>
    <row r="61" spans="1:11" x14ac:dyDescent="0.35">
      <c r="A61" s="1">
        <v>35649</v>
      </c>
      <c r="B61">
        <v>0.112499997019767</v>
      </c>
      <c r="C61">
        <v>0.11302100121974901</v>
      </c>
      <c r="D61">
        <v>0.106250002980232</v>
      </c>
      <c r="E61">
        <v>0.10885400325059801</v>
      </c>
      <c r="F61">
        <v>0.10885400325059801</v>
      </c>
      <c r="G61">
        <v>40680000</v>
      </c>
      <c r="H61">
        <f t="shared" si="0"/>
        <v>1997</v>
      </c>
      <c r="I61">
        <f t="shared" si="1"/>
        <v>8</v>
      </c>
      <c r="J61" t="str">
        <f t="shared" si="2"/>
        <v>Aug</v>
      </c>
      <c r="K61" t="str">
        <f t="shared" si="3"/>
        <v>Thu</v>
      </c>
    </row>
    <row r="62" spans="1:11" x14ac:dyDescent="0.35">
      <c r="A62" s="1">
        <v>35650</v>
      </c>
      <c r="B62">
        <v>0.108332999050617</v>
      </c>
      <c r="C62">
        <v>0.115103997290134</v>
      </c>
      <c r="D62">
        <v>0.105208002030849</v>
      </c>
      <c r="E62">
        <v>0.114583000540733</v>
      </c>
      <c r="F62">
        <v>0.114583000540733</v>
      </c>
      <c r="G62">
        <v>44232000</v>
      </c>
      <c r="H62">
        <f t="shared" si="0"/>
        <v>1997</v>
      </c>
      <c r="I62">
        <f t="shared" si="1"/>
        <v>8</v>
      </c>
      <c r="J62" t="str">
        <f t="shared" si="2"/>
        <v>Aug</v>
      </c>
      <c r="K62" t="str">
        <f t="shared" si="3"/>
        <v>Fri</v>
      </c>
    </row>
    <row r="63" spans="1:11" x14ac:dyDescent="0.35">
      <c r="A63" s="1">
        <v>35653</v>
      </c>
      <c r="B63">
        <v>0.114583000540733</v>
      </c>
      <c r="C63">
        <v>0.116667002439498</v>
      </c>
      <c r="D63">
        <v>0.112499997019767</v>
      </c>
      <c r="E63">
        <v>0.11640600115060799</v>
      </c>
      <c r="F63">
        <v>0.11640600115060799</v>
      </c>
      <c r="G63">
        <v>24792000</v>
      </c>
      <c r="H63">
        <f t="shared" si="0"/>
        <v>1997</v>
      </c>
      <c r="I63">
        <f t="shared" si="1"/>
        <v>8</v>
      </c>
      <c r="J63" t="str">
        <f t="shared" si="2"/>
        <v>Aug</v>
      </c>
      <c r="K63" t="str">
        <f t="shared" si="3"/>
        <v>Mon</v>
      </c>
    </row>
    <row r="64" spans="1:11" x14ac:dyDescent="0.35">
      <c r="A64" s="1">
        <v>35654</v>
      </c>
      <c r="B64">
        <v>0.114063002169132</v>
      </c>
      <c r="C64">
        <v>0.115103997290134</v>
      </c>
      <c r="D64">
        <v>0.109895996749401</v>
      </c>
      <c r="E64">
        <v>0.109895996749401</v>
      </c>
      <c r="F64">
        <v>0.109895996749401</v>
      </c>
      <c r="G64">
        <v>11424000</v>
      </c>
      <c r="H64">
        <f t="shared" si="0"/>
        <v>1997</v>
      </c>
      <c r="I64">
        <f t="shared" si="1"/>
        <v>8</v>
      </c>
      <c r="J64" t="str">
        <f t="shared" si="2"/>
        <v>Aug</v>
      </c>
      <c r="K64" t="str">
        <f t="shared" si="3"/>
        <v>Tue</v>
      </c>
    </row>
    <row r="65" spans="1:11" x14ac:dyDescent="0.35">
      <c r="A65" s="1">
        <v>35655</v>
      </c>
      <c r="B65">
        <v>0.11145800352096499</v>
      </c>
      <c r="C65">
        <v>0.11145800352096499</v>
      </c>
      <c r="D65">
        <v>0.108332999050617</v>
      </c>
      <c r="E65">
        <v>0.109895996749401</v>
      </c>
      <c r="F65">
        <v>0.109895996749401</v>
      </c>
      <c r="G65">
        <v>11808000</v>
      </c>
      <c r="H65">
        <f t="shared" si="0"/>
        <v>1997</v>
      </c>
      <c r="I65">
        <f t="shared" si="1"/>
        <v>8</v>
      </c>
      <c r="J65" t="str">
        <f t="shared" si="2"/>
        <v>Aug</v>
      </c>
      <c r="K65" t="str">
        <f t="shared" si="3"/>
        <v>Wed</v>
      </c>
    </row>
    <row r="66" spans="1:11" x14ac:dyDescent="0.35">
      <c r="A66" s="1">
        <v>35656</v>
      </c>
      <c r="B66">
        <v>0.10885400325059801</v>
      </c>
      <c r="C66">
        <v>0.112499997019767</v>
      </c>
      <c r="D66">
        <v>0.105990000069141</v>
      </c>
      <c r="E66">
        <v>0.107813000679016</v>
      </c>
      <c r="F66">
        <v>0.107813000679016</v>
      </c>
      <c r="G66">
        <v>20832000</v>
      </c>
      <c r="H66">
        <f t="shared" si="0"/>
        <v>1997</v>
      </c>
      <c r="I66">
        <f t="shared" si="1"/>
        <v>8</v>
      </c>
      <c r="J66" t="str">
        <f t="shared" si="2"/>
        <v>Aug</v>
      </c>
      <c r="K66" t="str">
        <f t="shared" si="3"/>
        <v>Thu</v>
      </c>
    </row>
    <row r="67" spans="1:11" x14ac:dyDescent="0.35">
      <c r="A67" s="1">
        <v>35657</v>
      </c>
      <c r="B67">
        <v>0.106770999729633</v>
      </c>
      <c r="C67">
        <v>0.107813000679016</v>
      </c>
      <c r="D67">
        <v>9.6874997019767706E-2</v>
      </c>
      <c r="E67">
        <v>0.10572899878024999</v>
      </c>
      <c r="F67">
        <v>0.10572899878024999</v>
      </c>
      <c r="G67">
        <v>31944000</v>
      </c>
      <c r="H67">
        <f t="shared" si="0"/>
        <v>1997</v>
      </c>
      <c r="I67">
        <f t="shared" si="1"/>
        <v>8</v>
      </c>
      <c r="J67" t="str">
        <f t="shared" si="2"/>
        <v>Aug</v>
      </c>
      <c r="K67" t="str">
        <f t="shared" si="3"/>
        <v>Fri</v>
      </c>
    </row>
    <row r="68" spans="1:11" x14ac:dyDescent="0.35">
      <c r="A68" s="1">
        <v>35660</v>
      </c>
      <c r="B68">
        <v>0.102604001760482</v>
      </c>
      <c r="C68">
        <v>0.102604001760482</v>
      </c>
      <c r="D68">
        <v>9.8438002169132205E-2</v>
      </c>
      <c r="E68">
        <v>0.102082997560501</v>
      </c>
      <c r="F68">
        <v>0.102082997560501</v>
      </c>
      <c r="G68">
        <v>35688000</v>
      </c>
      <c r="H68">
        <f t="shared" ref="H68:H131" si="4">YEAR($A68)</f>
        <v>1997</v>
      </c>
      <c r="I68">
        <f t="shared" ref="I68:I131" si="5">MONTH($A68)</f>
        <v>8</v>
      </c>
      <c r="J68" t="str">
        <f t="shared" ref="J68:J131" si="6">TEXT($A68,"mmm")</f>
        <v>Aug</v>
      </c>
      <c r="K68" t="str">
        <f t="shared" ref="K68:K131" si="7">TEXT($A68,"ddd")</f>
        <v>Mon</v>
      </c>
    </row>
    <row r="69" spans="1:11" x14ac:dyDescent="0.35">
      <c r="A69" s="1">
        <v>35661</v>
      </c>
      <c r="B69">
        <v>0.10468800365924801</v>
      </c>
      <c r="C69">
        <v>0.110417000949382</v>
      </c>
      <c r="D69">
        <v>0.102604001760482</v>
      </c>
      <c r="E69">
        <v>0.108332999050617</v>
      </c>
      <c r="F69">
        <v>0.108332999050617</v>
      </c>
      <c r="G69">
        <v>20064000</v>
      </c>
      <c r="H69">
        <f t="shared" si="4"/>
        <v>1997</v>
      </c>
      <c r="I69">
        <f t="shared" si="5"/>
        <v>8</v>
      </c>
      <c r="J69" t="str">
        <f t="shared" si="6"/>
        <v>Aug</v>
      </c>
      <c r="K69" t="str">
        <f t="shared" si="7"/>
        <v>Tue</v>
      </c>
    </row>
    <row r="70" spans="1:11" x14ac:dyDescent="0.35">
      <c r="A70" s="1">
        <v>35662</v>
      </c>
      <c r="B70">
        <v>0.109375</v>
      </c>
      <c r="C70">
        <v>0.109375</v>
      </c>
      <c r="D70">
        <v>0.103646002709865</v>
      </c>
      <c r="E70">
        <v>0.108332999050617</v>
      </c>
      <c r="F70">
        <v>0.108332999050617</v>
      </c>
      <c r="G70">
        <v>19992000</v>
      </c>
      <c r="H70">
        <f t="shared" si="4"/>
        <v>1997</v>
      </c>
      <c r="I70">
        <f t="shared" si="5"/>
        <v>8</v>
      </c>
      <c r="J70" t="str">
        <f t="shared" si="6"/>
        <v>Aug</v>
      </c>
      <c r="K70" t="str">
        <f t="shared" si="7"/>
        <v>Wed</v>
      </c>
    </row>
    <row r="71" spans="1:11" x14ac:dyDescent="0.35">
      <c r="A71" s="1">
        <v>35663</v>
      </c>
      <c r="B71">
        <v>0.106770999729633</v>
      </c>
      <c r="C71">
        <v>0.108594000339508</v>
      </c>
      <c r="D71">
        <v>0.103646002709865</v>
      </c>
      <c r="E71">
        <v>0.10572899878024999</v>
      </c>
      <c r="F71">
        <v>0.10572899878024999</v>
      </c>
      <c r="G71">
        <v>12480000</v>
      </c>
      <c r="H71">
        <f t="shared" si="4"/>
        <v>1997</v>
      </c>
      <c r="I71">
        <f t="shared" si="5"/>
        <v>8</v>
      </c>
      <c r="J71" t="str">
        <f t="shared" si="6"/>
        <v>Aug</v>
      </c>
      <c r="K71" t="str">
        <f t="shared" si="7"/>
        <v>Thu</v>
      </c>
    </row>
    <row r="72" spans="1:11" x14ac:dyDescent="0.35">
      <c r="A72" s="1">
        <v>35664</v>
      </c>
      <c r="B72">
        <v>0.105208002030849</v>
      </c>
      <c r="C72">
        <v>0.106250002980232</v>
      </c>
      <c r="D72">
        <v>0.10468800365924801</v>
      </c>
      <c r="E72">
        <v>0.106250002980232</v>
      </c>
      <c r="F72">
        <v>0.106250002980232</v>
      </c>
      <c r="G72">
        <v>14256000</v>
      </c>
      <c r="H72">
        <f t="shared" si="4"/>
        <v>1997</v>
      </c>
      <c r="I72">
        <f t="shared" si="5"/>
        <v>8</v>
      </c>
      <c r="J72" t="str">
        <f t="shared" si="6"/>
        <v>Aug</v>
      </c>
      <c r="K72" t="str">
        <f t="shared" si="7"/>
        <v>Fri</v>
      </c>
    </row>
    <row r="73" spans="1:11" x14ac:dyDescent="0.35">
      <c r="A73" s="1">
        <v>35667</v>
      </c>
      <c r="B73">
        <v>0.105208002030849</v>
      </c>
      <c r="C73">
        <v>0.11302100121974901</v>
      </c>
      <c r="D73">
        <v>0.105208002030849</v>
      </c>
      <c r="E73">
        <v>0.110937997698783</v>
      </c>
      <c r="F73">
        <v>0.110937997698783</v>
      </c>
      <c r="G73">
        <v>22536000</v>
      </c>
      <c r="H73">
        <f t="shared" si="4"/>
        <v>1997</v>
      </c>
      <c r="I73">
        <f t="shared" si="5"/>
        <v>8</v>
      </c>
      <c r="J73" t="str">
        <f t="shared" si="6"/>
        <v>Aug</v>
      </c>
      <c r="K73" t="str">
        <f t="shared" si="7"/>
        <v>Mon</v>
      </c>
    </row>
    <row r="74" spans="1:11" x14ac:dyDescent="0.35">
      <c r="A74" s="1">
        <v>35668</v>
      </c>
      <c r="B74">
        <v>0.111979000270366</v>
      </c>
      <c r="C74">
        <v>0.117707997560501</v>
      </c>
      <c r="D74">
        <v>0.11145800352096499</v>
      </c>
      <c r="E74">
        <v>0.11718799918889999</v>
      </c>
      <c r="F74">
        <v>0.11718799918889999</v>
      </c>
      <c r="G74">
        <v>51480000</v>
      </c>
      <c r="H74">
        <f t="shared" si="4"/>
        <v>1997</v>
      </c>
      <c r="I74">
        <f t="shared" si="5"/>
        <v>8</v>
      </c>
      <c r="J74" t="str">
        <f t="shared" si="6"/>
        <v>Aug</v>
      </c>
      <c r="K74" t="str">
        <f t="shared" si="7"/>
        <v>Tue</v>
      </c>
    </row>
    <row r="75" spans="1:11" x14ac:dyDescent="0.35">
      <c r="A75" s="1">
        <v>35669</v>
      </c>
      <c r="B75">
        <v>0.115364998579025</v>
      </c>
      <c r="C75">
        <v>0.116145998239517</v>
      </c>
      <c r="D75">
        <v>0.112499997019767</v>
      </c>
      <c r="E75">
        <v>0.115884996950626</v>
      </c>
      <c r="F75">
        <v>0.115884996950626</v>
      </c>
      <c r="G75">
        <v>27840000</v>
      </c>
      <c r="H75">
        <f t="shared" si="4"/>
        <v>1997</v>
      </c>
      <c r="I75">
        <f t="shared" si="5"/>
        <v>8</v>
      </c>
      <c r="J75" t="str">
        <f t="shared" si="6"/>
        <v>Aug</v>
      </c>
      <c r="K75" t="str">
        <f t="shared" si="7"/>
        <v>Wed</v>
      </c>
    </row>
    <row r="76" spans="1:11" x14ac:dyDescent="0.35">
      <c r="A76" s="1">
        <v>35670</v>
      </c>
      <c r="B76">
        <v>0.115103997290134</v>
      </c>
      <c r="C76">
        <v>0.119791999459266</v>
      </c>
      <c r="D76">
        <v>0.114063002169132</v>
      </c>
      <c r="E76">
        <v>0.11874999850988301</v>
      </c>
      <c r="F76">
        <v>0.11874999850988301</v>
      </c>
      <c r="G76">
        <v>22944000</v>
      </c>
      <c r="H76">
        <f t="shared" si="4"/>
        <v>1997</v>
      </c>
      <c r="I76">
        <f t="shared" si="5"/>
        <v>8</v>
      </c>
      <c r="J76" t="str">
        <f t="shared" si="6"/>
        <v>Aug</v>
      </c>
      <c r="K76" t="str">
        <f t="shared" si="7"/>
        <v>Thu</v>
      </c>
    </row>
    <row r="77" spans="1:11" x14ac:dyDescent="0.35">
      <c r="A77" s="1">
        <v>35671</v>
      </c>
      <c r="B77">
        <v>0.118229001760482</v>
      </c>
      <c r="C77">
        <v>0.11874999850988301</v>
      </c>
      <c r="D77">
        <v>0.116145998239517</v>
      </c>
      <c r="E77">
        <v>0.116926997900009</v>
      </c>
      <c r="F77">
        <v>0.116926997900009</v>
      </c>
      <c r="G77">
        <v>14448000</v>
      </c>
      <c r="H77">
        <f t="shared" si="4"/>
        <v>1997</v>
      </c>
      <c r="I77">
        <f t="shared" si="5"/>
        <v>8</v>
      </c>
      <c r="J77" t="str">
        <f t="shared" si="6"/>
        <v>Aug</v>
      </c>
      <c r="K77" t="str">
        <f t="shared" si="7"/>
        <v>Fri</v>
      </c>
    </row>
    <row r="78" spans="1:11" x14ac:dyDescent="0.35">
      <c r="A78" s="1">
        <v>35675</v>
      </c>
      <c r="B78">
        <v>0.11718799918889999</v>
      </c>
      <c r="C78">
        <v>0.11874999850988301</v>
      </c>
      <c r="D78">
        <v>0.116667002439498</v>
      </c>
      <c r="E78">
        <v>0.117707997560501</v>
      </c>
      <c r="F78">
        <v>0.117707997560501</v>
      </c>
      <c r="G78">
        <v>14640000</v>
      </c>
      <c r="H78">
        <f t="shared" si="4"/>
        <v>1997</v>
      </c>
      <c r="I78">
        <f t="shared" si="5"/>
        <v>9</v>
      </c>
      <c r="J78" t="str">
        <f t="shared" si="6"/>
        <v>Sep</v>
      </c>
      <c r="K78" t="str">
        <f t="shared" si="7"/>
        <v>Tue</v>
      </c>
    </row>
    <row r="79" spans="1:11" x14ac:dyDescent="0.35">
      <c r="A79" s="1">
        <v>35676</v>
      </c>
      <c r="B79">
        <v>0.11718799918889999</v>
      </c>
      <c r="C79">
        <v>0.120833002030849</v>
      </c>
      <c r="D79">
        <v>0.11562500149011599</v>
      </c>
      <c r="E79">
        <v>0.116667002439498</v>
      </c>
      <c r="F79">
        <v>0.116667002439498</v>
      </c>
      <c r="G79">
        <v>39288000</v>
      </c>
      <c r="H79">
        <f t="shared" si="4"/>
        <v>1997</v>
      </c>
      <c r="I79">
        <f t="shared" si="5"/>
        <v>9</v>
      </c>
      <c r="J79" t="str">
        <f t="shared" si="6"/>
        <v>Sep</v>
      </c>
      <c r="K79" t="str">
        <f t="shared" si="7"/>
        <v>Wed</v>
      </c>
    </row>
    <row r="80" spans="1:11" x14ac:dyDescent="0.35">
      <c r="A80" s="1">
        <v>35677</v>
      </c>
      <c r="B80">
        <v>0.118229001760482</v>
      </c>
      <c r="C80">
        <v>0.12760399281978599</v>
      </c>
      <c r="D80">
        <v>0.11718799918889999</v>
      </c>
      <c r="E80">
        <v>0.12760399281978599</v>
      </c>
      <c r="F80">
        <v>0.12760399281978599</v>
      </c>
      <c r="G80">
        <v>66960000</v>
      </c>
      <c r="H80">
        <f t="shared" si="4"/>
        <v>1997</v>
      </c>
      <c r="I80">
        <f t="shared" si="5"/>
        <v>9</v>
      </c>
      <c r="J80" t="str">
        <f t="shared" si="6"/>
        <v>Sep</v>
      </c>
      <c r="K80" t="str">
        <f t="shared" si="7"/>
        <v>Thu</v>
      </c>
    </row>
    <row r="81" spans="1:11" x14ac:dyDescent="0.35">
      <c r="A81" s="1">
        <v>35678</v>
      </c>
      <c r="B81">
        <v>0.129167005419731</v>
      </c>
      <c r="C81">
        <v>0.13333299756050099</v>
      </c>
      <c r="D81">
        <v>0.12291699647903399</v>
      </c>
      <c r="E81">
        <v>0.125</v>
      </c>
      <c r="F81">
        <v>0.125</v>
      </c>
      <c r="G81">
        <v>38160000</v>
      </c>
      <c r="H81">
        <f t="shared" si="4"/>
        <v>1997</v>
      </c>
      <c r="I81">
        <f t="shared" si="5"/>
        <v>9</v>
      </c>
      <c r="J81" t="str">
        <f t="shared" si="6"/>
        <v>Sep</v>
      </c>
      <c r="K81" t="str">
        <f t="shared" si="7"/>
        <v>Fri</v>
      </c>
    </row>
    <row r="82" spans="1:11" x14ac:dyDescent="0.35">
      <c r="A82" s="1">
        <v>35681</v>
      </c>
      <c r="B82">
        <v>0.12656299769878299</v>
      </c>
      <c r="C82">
        <v>0.151041999459266</v>
      </c>
      <c r="D82">
        <v>0.125</v>
      </c>
      <c r="E82">
        <v>0.15000000596046401</v>
      </c>
      <c r="F82">
        <v>0.15000000596046401</v>
      </c>
      <c r="G82">
        <v>112968000</v>
      </c>
      <c r="H82">
        <f t="shared" si="4"/>
        <v>1997</v>
      </c>
      <c r="I82">
        <f t="shared" si="5"/>
        <v>9</v>
      </c>
      <c r="J82" t="str">
        <f t="shared" si="6"/>
        <v>Sep</v>
      </c>
      <c r="K82" t="str">
        <f t="shared" si="7"/>
        <v>Mon</v>
      </c>
    </row>
    <row r="83" spans="1:11" x14ac:dyDescent="0.35">
      <c r="A83" s="1">
        <v>35682</v>
      </c>
      <c r="B83">
        <v>0.157030999660491</v>
      </c>
      <c r="C83">
        <v>0.16927100718021301</v>
      </c>
      <c r="D83">
        <v>0.151301994919776</v>
      </c>
      <c r="E83">
        <v>0.161979004740715</v>
      </c>
      <c r="F83">
        <v>0.161979004740715</v>
      </c>
      <c r="G83">
        <v>179424000</v>
      </c>
      <c r="H83">
        <f t="shared" si="4"/>
        <v>1997</v>
      </c>
      <c r="I83">
        <f t="shared" si="5"/>
        <v>9</v>
      </c>
      <c r="J83" t="str">
        <f t="shared" si="6"/>
        <v>Sep</v>
      </c>
      <c r="K83" t="str">
        <f t="shared" si="7"/>
        <v>Tue</v>
      </c>
    </row>
    <row r="84" spans="1:11" x14ac:dyDescent="0.35">
      <c r="A84" s="1">
        <v>35683</v>
      </c>
      <c r="B84">
        <v>0.16562500596046401</v>
      </c>
      <c r="C84">
        <v>0.166406005620956</v>
      </c>
      <c r="D84">
        <v>0.15625</v>
      </c>
      <c r="E84">
        <v>0.16510400176048201</v>
      </c>
      <c r="F84">
        <v>0.16510400176048201</v>
      </c>
      <c r="G84">
        <v>77328000</v>
      </c>
      <c r="H84">
        <f t="shared" si="4"/>
        <v>1997</v>
      </c>
      <c r="I84">
        <f t="shared" si="5"/>
        <v>9</v>
      </c>
      <c r="J84" t="str">
        <f t="shared" si="6"/>
        <v>Sep</v>
      </c>
      <c r="K84" t="str">
        <f t="shared" si="7"/>
        <v>Wed</v>
      </c>
    </row>
    <row r="85" spans="1:11" x14ac:dyDescent="0.35">
      <c r="A85" s="1">
        <v>35684</v>
      </c>
      <c r="B85">
        <v>0.166666999459266</v>
      </c>
      <c r="C85">
        <v>0.166666999459266</v>
      </c>
      <c r="D85">
        <v>0.152082994580268</v>
      </c>
      <c r="E85">
        <v>0.15781299769878299</v>
      </c>
      <c r="F85">
        <v>0.15781299769878299</v>
      </c>
      <c r="G85">
        <v>85248000</v>
      </c>
      <c r="H85">
        <f t="shared" si="4"/>
        <v>1997</v>
      </c>
      <c r="I85">
        <f t="shared" si="5"/>
        <v>9</v>
      </c>
      <c r="J85" t="str">
        <f t="shared" si="6"/>
        <v>Sep</v>
      </c>
      <c r="K85" t="str">
        <f t="shared" si="7"/>
        <v>Thu</v>
      </c>
    </row>
    <row r="86" spans="1:11" x14ac:dyDescent="0.35">
      <c r="A86" s="1">
        <v>35685</v>
      </c>
      <c r="B86">
        <v>0.15937499701976701</v>
      </c>
      <c r="C86">
        <v>0.18489600718021301</v>
      </c>
      <c r="D86">
        <v>0.15781299769878299</v>
      </c>
      <c r="E86">
        <v>0.18437500298023199</v>
      </c>
      <c r="F86">
        <v>0.18437500298023199</v>
      </c>
      <c r="G86">
        <v>66672000</v>
      </c>
      <c r="H86">
        <f t="shared" si="4"/>
        <v>1997</v>
      </c>
      <c r="I86">
        <f t="shared" si="5"/>
        <v>9</v>
      </c>
      <c r="J86" t="str">
        <f t="shared" si="6"/>
        <v>Sep</v>
      </c>
      <c r="K86" t="str">
        <f t="shared" si="7"/>
        <v>Fri</v>
      </c>
    </row>
    <row r="87" spans="1:11" x14ac:dyDescent="0.35">
      <c r="A87" s="1">
        <v>35688</v>
      </c>
      <c r="B87">
        <v>0.183332994580268</v>
      </c>
      <c r="C87">
        <v>0.18385399878024999</v>
      </c>
      <c r="D87">
        <v>0.15260399878024999</v>
      </c>
      <c r="E87">
        <v>0.154688000679016</v>
      </c>
      <c r="F87">
        <v>0.154688000679016</v>
      </c>
      <c r="G87">
        <v>111672000</v>
      </c>
      <c r="H87">
        <f t="shared" si="4"/>
        <v>1997</v>
      </c>
      <c r="I87">
        <f t="shared" si="5"/>
        <v>9</v>
      </c>
      <c r="J87" t="str">
        <f t="shared" si="6"/>
        <v>Sep</v>
      </c>
      <c r="K87" t="str">
        <f t="shared" si="7"/>
        <v>Mon</v>
      </c>
    </row>
    <row r="88" spans="1:11" x14ac:dyDescent="0.35">
      <c r="A88" s="1">
        <v>35689</v>
      </c>
      <c r="B88">
        <v>0.15625</v>
      </c>
      <c r="C88">
        <v>0.177083000540733</v>
      </c>
      <c r="D88">
        <v>0.155990004539489</v>
      </c>
      <c r="E88">
        <v>0.167707994580268</v>
      </c>
      <c r="F88">
        <v>0.167707994580268</v>
      </c>
      <c r="G88">
        <v>128640000</v>
      </c>
      <c r="H88">
        <f t="shared" si="4"/>
        <v>1997</v>
      </c>
      <c r="I88">
        <f t="shared" si="5"/>
        <v>9</v>
      </c>
      <c r="J88" t="str">
        <f t="shared" si="6"/>
        <v>Sep</v>
      </c>
      <c r="K88" t="str">
        <f t="shared" si="7"/>
        <v>Tue</v>
      </c>
    </row>
    <row r="89" spans="1:11" x14ac:dyDescent="0.35">
      <c r="A89" s="1">
        <v>35690</v>
      </c>
      <c r="B89">
        <v>0.17291699349880199</v>
      </c>
      <c r="C89">
        <v>0.17499999701976701</v>
      </c>
      <c r="D89">
        <v>0.166666999459266</v>
      </c>
      <c r="E89">
        <v>0.170313000679016</v>
      </c>
      <c r="F89">
        <v>0.170313000679016</v>
      </c>
      <c r="G89">
        <v>52152000</v>
      </c>
      <c r="H89">
        <f t="shared" si="4"/>
        <v>1997</v>
      </c>
      <c r="I89">
        <f t="shared" si="5"/>
        <v>9</v>
      </c>
      <c r="J89" t="str">
        <f t="shared" si="6"/>
        <v>Sep</v>
      </c>
      <c r="K89" t="str">
        <f t="shared" si="7"/>
        <v>Wed</v>
      </c>
    </row>
    <row r="90" spans="1:11" x14ac:dyDescent="0.35">
      <c r="A90" s="1">
        <v>35691</v>
      </c>
      <c r="B90">
        <v>0.171875</v>
      </c>
      <c r="C90">
        <v>0.17343799769878299</v>
      </c>
      <c r="D90">
        <v>0.16406300663948001</v>
      </c>
      <c r="E90">
        <v>0.16458299756050099</v>
      </c>
      <c r="F90">
        <v>0.16458299756050099</v>
      </c>
      <c r="G90">
        <v>42576000</v>
      </c>
      <c r="H90">
        <f t="shared" si="4"/>
        <v>1997</v>
      </c>
      <c r="I90">
        <f t="shared" si="5"/>
        <v>9</v>
      </c>
      <c r="J90" t="str">
        <f t="shared" si="6"/>
        <v>Sep</v>
      </c>
      <c r="K90" t="str">
        <f t="shared" si="7"/>
        <v>Thu</v>
      </c>
    </row>
    <row r="91" spans="1:11" x14ac:dyDescent="0.35">
      <c r="A91" s="1">
        <v>35692</v>
      </c>
      <c r="B91">
        <v>0.16900999844074199</v>
      </c>
      <c r="C91">
        <v>0.20416699349880199</v>
      </c>
      <c r="D91">
        <v>0.16875000298023199</v>
      </c>
      <c r="E91">
        <v>0.197395995259284</v>
      </c>
      <c r="F91">
        <v>0.197395995259284</v>
      </c>
      <c r="G91">
        <v>178584000</v>
      </c>
      <c r="H91">
        <f t="shared" si="4"/>
        <v>1997</v>
      </c>
      <c r="I91">
        <f t="shared" si="5"/>
        <v>9</v>
      </c>
      <c r="J91" t="str">
        <f t="shared" si="6"/>
        <v>Sep</v>
      </c>
      <c r="K91" t="str">
        <f t="shared" si="7"/>
        <v>Fri</v>
      </c>
    </row>
    <row r="92" spans="1:11" x14ac:dyDescent="0.35">
      <c r="A92" s="1">
        <v>35695</v>
      </c>
      <c r="B92">
        <v>0.20000000298023199</v>
      </c>
      <c r="C92">
        <v>0.23385399580001801</v>
      </c>
      <c r="D92">
        <v>0.197395995259284</v>
      </c>
      <c r="E92">
        <v>0.224999994039535</v>
      </c>
      <c r="F92">
        <v>0.224999994039535</v>
      </c>
      <c r="G92">
        <v>338760000</v>
      </c>
      <c r="H92">
        <f t="shared" si="4"/>
        <v>1997</v>
      </c>
      <c r="I92">
        <f t="shared" si="5"/>
        <v>9</v>
      </c>
      <c r="J92" t="str">
        <f t="shared" si="6"/>
        <v>Sep</v>
      </c>
      <c r="K92" t="str">
        <f t="shared" si="7"/>
        <v>Mon</v>
      </c>
    </row>
    <row r="93" spans="1:11" x14ac:dyDescent="0.35">
      <c r="A93" s="1">
        <v>35696</v>
      </c>
      <c r="B93">
        <v>0.224479004740715</v>
      </c>
      <c r="C93">
        <v>0.23229199647903401</v>
      </c>
      <c r="D93">
        <v>0.21979199349880199</v>
      </c>
      <c r="E93">
        <v>0.23125000298023199</v>
      </c>
      <c r="F93">
        <v>0.23125000298023199</v>
      </c>
      <c r="G93">
        <v>153648000</v>
      </c>
      <c r="H93">
        <f t="shared" si="4"/>
        <v>1997</v>
      </c>
      <c r="I93">
        <f t="shared" si="5"/>
        <v>9</v>
      </c>
      <c r="J93" t="str">
        <f t="shared" si="6"/>
        <v>Sep</v>
      </c>
      <c r="K93" t="str">
        <f t="shared" si="7"/>
        <v>Tue</v>
      </c>
    </row>
    <row r="94" spans="1:11" x14ac:dyDescent="0.35">
      <c r="A94" s="1">
        <v>35697</v>
      </c>
      <c r="B94">
        <v>0.23229199647903401</v>
      </c>
      <c r="C94">
        <v>0.240624994039535</v>
      </c>
      <c r="D94">
        <v>0.214582994580268</v>
      </c>
      <c r="E94">
        <v>0.21875</v>
      </c>
      <c r="F94">
        <v>0.21875</v>
      </c>
      <c r="G94">
        <v>164016000</v>
      </c>
      <c r="H94">
        <f t="shared" si="4"/>
        <v>1997</v>
      </c>
      <c r="I94">
        <f t="shared" si="5"/>
        <v>9</v>
      </c>
      <c r="J94" t="str">
        <f t="shared" si="6"/>
        <v>Sep</v>
      </c>
      <c r="K94" t="str">
        <f t="shared" si="7"/>
        <v>Wed</v>
      </c>
    </row>
    <row r="95" spans="1:11" x14ac:dyDescent="0.35">
      <c r="A95" s="1">
        <v>35698</v>
      </c>
      <c r="B95">
        <v>0.217188000679016</v>
      </c>
      <c r="C95">
        <v>0.21770800650119701</v>
      </c>
      <c r="D95">
        <v>0.20260399580001801</v>
      </c>
      <c r="E95">
        <v>0.203905999660491</v>
      </c>
      <c r="F95">
        <v>0.203905999660491</v>
      </c>
      <c r="G95">
        <v>99360000</v>
      </c>
      <c r="H95">
        <f t="shared" si="4"/>
        <v>1997</v>
      </c>
      <c r="I95">
        <f t="shared" si="5"/>
        <v>9</v>
      </c>
      <c r="J95" t="str">
        <f t="shared" si="6"/>
        <v>Sep</v>
      </c>
      <c r="K95" t="str">
        <f t="shared" si="7"/>
        <v>Thu</v>
      </c>
    </row>
    <row r="96" spans="1:11" x14ac:dyDescent="0.35">
      <c r="A96" s="1">
        <v>35699</v>
      </c>
      <c r="B96">
        <v>0.203646004199981</v>
      </c>
      <c r="C96">
        <v>0.213020995259284</v>
      </c>
      <c r="D96">
        <v>0.20260399580001801</v>
      </c>
      <c r="E96">
        <v>0.208333000540733</v>
      </c>
      <c r="F96">
        <v>0.208333000540733</v>
      </c>
      <c r="G96">
        <v>54624000</v>
      </c>
      <c r="H96">
        <f t="shared" si="4"/>
        <v>1997</v>
      </c>
      <c r="I96">
        <f t="shared" si="5"/>
        <v>9</v>
      </c>
      <c r="J96" t="str">
        <f t="shared" si="6"/>
        <v>Sep</v>
      </c>
      <c r="K96" t="str">
        <f t="shared" si="7"/>
        <v>Fri</v>
      </c>
    </row>
    <row r="97" spans="1:11" x14ac:dyDescent="0.35">
      <c r="A97" s="1">
        <v>35702</v>
      </c>
      <c r="B97">
        <v>0.207292005419731</v>
      </c>
      <c r="C97">
        <v>0.209374994039535</v>
      </c>
      <c r="D97">
        <v>0.197916999459266</v>
      </c>
      <c r="E97">
        <v>0.20208300650119701</v>
      </c>
      <c r="F97">
        <v>0.20208300650119701</v>
      </c>
      <c r="G97">
        <v>47424000</v>
      </c>
      <c r="H97">
        <f t="shared" si="4"/>
        <v>1997</v>
      </c>
      <c r="I97">
        <f t="shared" si="5"/>
        <v>9</v>
      </c>
      <c r="J97" t="str">
        <f t="shared" si="6"/>
        <v>Sep</v>
      </c>
      <c r="K97" t="str">
        <f t="shared" si="7"/>
        <v>Mon</v>
      </c>
    </row>
    <row r="98" spans="1:11" x14ac:dyDescent="0.35">
      <c r="A98" s="1">
        <v>35703</v>
      </c>
      <c r="B98">
        <v>0.20000000298023199</v>
      </c>
      <c r="C98">
        <v>0.21744799613952601</v>
      </c>
      <c r="D98">
        <v>0.19010399281978599</v>
      </c>
      <c r="E98">
        <v>0.21692700684070501</v>
      </c>
      <c r="F98">
        <v>0.21692700684070501</v>
      </c>
      <c r="G98">
        <v>105096000</v>
      </c>
      <c r="H98">
        <f t="shared" si="4"/>
        <v>1997</v>
      </c>
      <c r="I98">
        <f t="shared" si="5"/>
        <v>9</v>
      </c>
      <c r="J98" t="str">
        <f t="shared" si="6"/>
        <v>Sep</v>
      </c>
      <c r="K98" t="str">
        <f t="shared" si="7"/>
        <v>Tue</v>
      </c>
    </row>
    <row r="99" spans="1:11" x14ac:dyDescent="0.35">
      <c r="A99" s="1">
        <v>35704</v>
      </c>
      <c r="B99">
        <v>0.22187499701976701</v>
      </c>
      <c r="C99">
        <v>0.224999994039535</v>
      </c>
      <c r="D99">
        <v>0.19687500596046401</v>
      </c>
      <c r="E99">
        <v>0.20104199647903401</v>
      </c>
      <c r="F99">
        <v>0.20104199647903401</v>
      </c>
      <c r="G99">
        <v>99984000</v>
      </c>
      <c r="H99">
        <f t="shared" si="4"/>
        <v>1997</v>
      </c>
      <c r="I99">
        <f t="shared" si="5"/>
        <v>10</v>
      </c>
      <c r="J99" t="str">
        <f t="shared" si="6"/>
        <v>Oct</v>
      </c>
      <c r="K99" t="str">
        <f t="shared" si="7"/>
        <v>Wed</v>
      </c>
    </row>
    <row r="100" spans="1:11" x14ac:dyDescent="0.35">
      <c r="A100" s="1">
        <v>35705</v>
      </c>
      <c r="B100">
        <v>0.20208300650119701</v>
      </c>
      <c r="C100">
        <v>0.208854004740715</v>
      </c>
      <c r="D100">
        <v>0.19947899878024999</v>
      </c>
      <c r="E100">
        <v>0.20052100718021301</v>
      </c>
      <c r="F100">
        <v>0.20052100718021301</v>
      </c>
      <c r="G100">
        <v>37536000</v>
      </c>
      <c r="H100">
        <f t="shared" si="4"/>
        <v>1997</v>
      </c>
      <c r="I100">
        <f t="shared" si="5"/>
        <v>10</v>
      </c>
      <c r="J100" t="str">
        <f t="shared" si="6"/>
        <v>Oct</v>
      </c>
      <c r="K100" t="str">
        <f t="shared" si="7"/>
        <v>Thu</v>
      </c>
    </row>
    <row r="101" spans="1:11" x14ac:dyDescent="0.35">
      <c r="A101" s="1">
        <v>35706</v>
      </c>
      <c r="B101">
        <v>0.20416699349880199</v>
      </c>
      <c r="C101">
        <v>0.20624999701976701</v>
      </c>
      <c r="D101">
        <v>0.198957994580268</v>
      </c>
      <c r="E101">
        <v>0.20078100264072399</v>
      </c>
      <c r="F101">
        <v>0.20078100264072399</v>
      </c>
      <c r="G101">
        <v>23280000</v>
      </c>
      <c r="H101">
        <f t="shared" si="4"/>
        <v>1997</v>
      </c>
      <c r="I101">
        <f t="shared" si="5"/>
        <v>10</v>
      </c>
      <c r="J101" t="str">
        <f t="shared" si="6"/>
        <v>Oct</v>
      </c>
      <c r="K101" t="str">
        <f t="shared" si="7"/>
        <v>Fri</v>
      </c>
    </row>
    <row r="102" spans="1:11" x14ac:dyDescent="0.35">
      <c r="A102" s="1">
        <v>35709</v>
      </c>
      <c r="B102">
        <v>0.20000000298023199</v>
      </c>
      <c r="C102">
        <v>0.20624999701976701</v>
      </c>
      <c r="D102">
        <v>0.19713500142097401</v>
      </c>
      <c r="E102">
        <v>0.20624999701976701</v>
      </c>
      <c r="F102">
        <v>0.20624999701976701</v>
      </c>
      <c r="G102">
        <v>40560000</v>
      </c>
      <c r="H102">
        <f t="shared" si="4"/>
        <v>1997</v>
      </c>
      <c r="I102">
        <f t="shared" si="5"/>
        <v>10</v>
      </c>
      <c r="J102" t="str">
        <f t="shared" si="6"/>
        <v>Oct</v>
      </c>
      <c r="K102" t="str">
        <f t="shared" si="7"/>
        <v>Mon</v>
      </c>
    </row>
    <row r="103" spans="1:11" x14ac:dyDescent="0.35">
      <c r="A103" s="1">
        <v>35710</v>
      </c>
      <c r="B103">
        <v>0.20416699349880199</v>
      </c>
      <c r="C103">
        <v>0.209374994039535</v>
      </c>
      <c r="D103">
        <v>0.20208300650119701</v>
      </c>
      <c r="E103">
        <v>0.202865004539489</v>
      </c>
      <c r="F103">
        <v>0.202865004539489</v>
      </c>
      <c r="G103">
        <v>34848000</v>
      </c>
      <c r="H103">
        <f t="shared" si="4"/>
        <v>1997</v>
      </c>
      <c r="I103">
        <f t="shared" si="5"/>
        <v>10</v>
      </c>
      <c r="J103" t="str">
        <f t="shared" si="6"/>
        <v>Oct</v>
      </c>
      <c r="K103" t="str">
        <f t="shared" si="7"/>
        <v>Tue</v>
      </c>
    </row>
    <row r="104" spans="1:11" x14ac:dyDescent="0.35">
      <c r="A104" s="1">
        <v>35711</v>
      </c>
      <c r="B104">
        <v>0.207292005419731</v>
      </c>
      <c r="C104">
        <v>0.208333000540733</v>
      </c>
      <c r="D104">
        <v>0.19921900331973999</v>
      </c>
      <c r="E104">
        <v>0.20025999844074199</v>
      </c>
      <c r="F104">
        <v>0.20025999844074199</v>
      </c>
      <c r="G104">
        <v>56136000</v>
      </c>
      <c r="H104">
        <f t="shared" si="4"/>
        <v>1997</v>
      </c>
      <c r="I104">
        <f t="shared" si="5"/>
        <v>10</v>
      </c>
      <c r="J104" t="str">
        <f t="shared" si="6"/>
        <v>Oct</v>
      </c>
      <c r="K104" t="str">
        <f t="shared" si="7"/>
        <v>Wed</v>
      </c>
    </row>
    <row r="105" spans="1:11" x14ac:dyDescent="0.35">
      <c r="A105" s="1">
        <v>35712</v>
      </c>
      <c r="B105">
        <v>0.20000000298023199</v>
      </c>
      <c r="C105">
        <v>0.20104199647903401</v>
      </c>
      <c r="D105">
        <v>0.18697899580001801</v>
      </c>
      <c r="E105">
        <v>0.1875</v>
      </c>
      <c r="F105">
        <v>0.1875</v>
      </c>
      <c r="G105">
        <v>79008000</v>
      </c>
      <c r="H105">
        <f t="shared" si="4"/>
        <v>1997</v>
      </c>
      <c r="I105">
        <f t="shared" si="5"/>
        <v>10</v>
      </c>
      <c r="J105" t="str">
        <f t="shared" si="6"/>
        <v>Oct</v>
      </c>
      <c r="K105" t="str">
        <f t="shared" si="7"/>
        <v>Thu</v>
      </c>
    </row>
    <row r="106" spans="1:11" x14ac:dyDescent="0.35">
      <c r="A106" s="1">
        <v>35713</v>
      </c>
      <c r="B106">
        <v>0.18645800650119701</v>
      </c>
      <c r="C106">
        <v>0.203125</v>
      </c>
      <c r="D106">
        <v>0.183332994580268</v>
      </c>
      <c r="E106">
        <v>0.19505199790000899</v>
      </c>
      <c r="F106">
        <v>0.19505199790000899</v>
      </c>
      <c r="G106">
        <v>75744000</v>
      </c>
      <c r="H106">
        <f t="shared" si="4"/>
        <v>1997</v>
      </c>
      <c r="I106">
        <f t="shared" si="5"/>
        <v>10</v>
      </c>
      <c r="J106" t="str">
        <f t="shared" si="6"/>
        <v>Oct</v>
      </c>
      <c r="K106" t="str">
        <f t="shared" si="7"/>
        <v>Fri</v>
      </c>
    </row>
    <row r="107" spans="1:11" x14ac:dyDescent="0.35">
      <c r="A107" s="1">
        <v>35716</v>
      </c>
      <c r="B107">
        <v>0.19635400176048201</v>
      </c>
      <c r="C107">
        <v>0.20208300650119701</v>
      </c>
      <c r="D107">
        <v>0.19635400176048201</v>
      </c>
      <c r="E107">
        <v>0.20000000298023199</v>
      </c>
      <c r="F107">
        <v>0.20000000298023199</v>
      </c>
      <c r="G107">
        <v>16296000</v>
      </c>
      <c r="H107">
        <f t="shared" si="4"/>
        <v>1997</v>
      </c>
      <c r="I107">
        <f t="shared" si="5"/>
        <v>10</v>
      </c>
      <c r="J107" t="str">
        <f t="shared" si="6"/>
        <v>Oct</v>
      </c>
      <c r="K107" t="str">
        <f t="shared" si="7"/>
        <v>Mon</v>
      </c>
    </row>
    <row r="108" spans="1:11" x14ac:dyDescent="0.35">
      <c r="A108" s="1">
        <v>35717</v>
      </c>
      <c r="B108">
        <v>0.203125</v>
      </c>
      <c r="C108">
        <v>0.20520800352096499</v>
      </c>
      <c r="D108">
        <v>0.191667005419731</v>
      </c>
      <c r="E108">
        <v>0.198957994580268</v>
      </c>
      <c r="F108">
        <v>0.198957994580268</v>
      </c>
      <c r="G108">
        <v>30936000</v>
      </c>
      <c r="H108">
        <f t="shared" si="4"/>
        <v>1997</v>
      </c>
      <c r="I108">
        <f t="shared" si="5"/>
        <v>10</v>
      </c>
      <c r="J108" t="str">
        <f t="shared" si="6"/>
        <v>Oct</v>
      </c>
      <c r="K108" t="str">
        <f t="shared" si="7"/>
        <v>Tue</v>
      </c>
    </row>
    <row r="109" spans="1:11" x14ac:dyDescent="0.35">
      <c r="A109" s="1">
        <v>35718</v>
      </c>
      <c r="B109">
        <v>0.19843800365924799</v>
      </c>
      <c r="C109">
        <v>0.19843800365924799</v>
      </c>
      <c r="D109">
        <v>0.18854199349880199</v>
      </c>
      <c r="E109">
        <v>0.19609400629997201</v>
      </c>
      <c r="F109">
        <v>0.19609400629997201</v>
      </c>
      <c r="G109">
        <v>47112000</v>
      </c>
      <c r="H109">
        <f t="shared" si="4"/>
        <v>1997</v>
      </c>
      <c r="I109">
        <f t="shared" si="5"/>
        <v>10</v>
      </c>
      <c r="J109" t="str">
        <f t="shared" si="6"/>
        <v>Oct</v>
      </c>
      <c r="K109" t="str">
        <f t="shared" si="7"/>
        <v>Wed</v>
      </c>
    </row>
    <row r="110" spans="1:11" x14ac:dyDescent="0.35">
      <c r="A110" s="1">
        <v>35719</v>
      </c>
      <c r="B110">
        <v>0.198957994580268</v>
      </c>
      <c r="C110">
        <v>0.198957994580268</v>
      </c>
      <c r="D110">
        <v>0.18020799756050099</v>
      </c>
      <c r="E110">
        <v>0.18125000596046401</v>
      </c>
      <c r="F110">
        <v>0.18125000596046401</v>
      </c>
      <c r="G110">
        <v>69624000</v>
      </c>
      <c r="H110">
        <f t="shared" si="4"/>
        <v>1997</v>
      </c>
      <c r="I110">
        <f t="shared" si="5"/>
        <v>10</v>
      </c>
      <c r="J110" t="str">
        <f t="shared" si="6"/>
        <v>Oct</v>
      </c>
      <c r="K110" t="str">
        <f t="shared" si="7"/>
        <v>Thu</v>
      </c>
    </row>
    <row r="111" spans="1:11" x14ac:dyDescent="0.35">
      <c r="A111" s="1">
        <v>35720</v>
      </c>
      <c r="B111">
        <v>0.18072900176048201</v>
      </c>
      <c r="C111">
        <v>0.18281300365924799</v>
      </c>
      <c r="D111">
        <v>0.176042005419731</v>
      </c>
      <c r="E111">
        <v>0.18125000596046401</v>
      </c>
      <c r="F111">
        <v>0.18125000596046401</v>
      </c>
      <c r="G111">
        <v>50688000</v>
      </c>
      <c r="H111">
        <f t="shared" si="4"/>
        <v>1997</v>
      </c>
      <c r="I111">
        <f t="shared" si="5"/>
        <v>10</v>
      </c>
      <c r="J111" t="str">
        <f t="shared" si="6"/>
        <v>Oct</v>
      </c>
      <c r="K111" t="str">
        <f t="shared" si="7"/>
        <v>Fri</v>
      </c>
    </row>
    <row r="112" spans="1:11" x14ac:dyDescent="0.35">
      <c r="A112" s="1">
        <v>35723</v>
      </c>
      <c r="B112">
        <v>0.18385399878024999</v>
      </c>
      <c r="C112">
        <v>0.193749994039535</v>
      </c>
      <c r="D112">
        <v>0.183332994580268</v>
      </c>
      <c r="E112">
        <v>0.19114600121974901</v>
      </c>
      <c r="F112">
        <v>0.19114600121974901</v>
      </c>
      <c r="G112">
        <v>98256000</v>
      </c>
      <c r="H112">
        <f t="shared" si="4"/>
        <v>1997</v>
      </c>
      <c r="I112">
        <f t="shared" si="5"/>
        <v>10</v>
      </c>
      <c r="J112" t="str">
        <f t="shared" si="6"/>
        <v>Oct</v>
      </c>
      <c r="K112" t="str">
        <f t="shared" si="7"/>
        <v>Mon</v>
      </c>
    </row>
    <row r="113" spans="1:11" x14ac:dyDescent="0.35">
      <c r="A113" s="1">
        <v>35724</v>
      </c>
      <c r="B113">
        <v>0.197916999459266</v>
      </c>
      <c r="C113">
        <v>0.22187499701976701</v>
      </c>
      <c r="D113">
        <v>0.192708000540733</v>
      </c>
      <c r="E113">
        <v>0.22135399281978599</v>
      </c>
      <c r="F113">
        <v>0.22135399281978599</v>
      </c>
      <c r="G113">
        <v>241920000</v>
      </c>
      <c r="H113">
        <f t="shared" si="4"/>
        <v>1997</v>
      </c>
      <c r="I113">
        <f t="shared" si="5"/>
        <v>10</v>
      </c>
      <c r="J113" t="str">
        <f t="shared" si="6"/>
        <v>Oct</v>
      </c>
      <c r="K113" t="str">
        <f t="shared" si="7"/>
        <v>Tue</v>
      </c>
    </row>
    <row r="114" spans="1:11" x14ac:dyDescent="0.35">
      <c r="A114" s="1">
        <v>35725</v>
      </c>
      <c r="B114">
        <v>0.22083300352096499</v>
      </c>
      <c r="C114">
        <v>0.23098999261856001</v>
      </c>
      <c r="D114">
        <v>0.21875</v>
      </c>
      <c r="E114">
        <v>0.22604200243949801</v>
      </c>
      <c r="F114">
        <v>0.22604200243949801</v>
      </c>
      <c r="G114">
        <v>104160000</v>
      </c>
      <c r="H114">
        <f t="shared" si="4"/>
        <v>1997</v>
      </c>
      <c r="I114">
        <f t="shared" si="5"/>
        <v>10</v>
      </c>
      <c r="J114" t="str">
        <f t="shared" si="6"/>
        <v>Oct</v>
      </c>
      <c r="K114" t="str">
        <f t="shared" si="7"/>
        <v>Wed</v>
      </c>
    </row>
    <row r="115" spans="1:11" x14ac:dyDescent="0.35">
      <c r="A115" s="1">
        <v>35726</v>
      </c>
      <c r="B115">
        <v>0.21145799756050099</v>
      </c>
      <c r="C115">
        <v>0.22812500596046401</v>
      </c>
      <c r="D115">
        <v>0.209374994039535</v>
      </c>
      <c r="E115">
        <v>0.224999994039535</v>
      </c>
      <c r="F115">
        <v>0.224999994039535</v>
      </c>
      <c r="G115">
        <v>113136000</v>
      </c>
      <c r="H115">
        <f t="shared" si="4"/>
        <v>1997</v>
      </c>
      <c r="I115">
        <f t="shared" si="5"/>
        <v>10</v>
      </c>
      <c r="J115" t="str">
        <f t="shared" si="6"/>
        <v>Oct</v>
      </c>
      <c r="K115" t="str">
        <f t="shared" si="7"/>
        <v>Thu</v>
      </c>
    </row>
    <row r="116" spans="1:11" x14ac:dyDescent="0.35">
      <c r="A116" s="1">
        <v>35727</v>
      </c>
      <c r="B116">
        <v>0.23749999701976701</v>
      </c>
      <c r="C116">
        <v>0.25312501192092801</v>
      </c>
      <c r="D116">
        <v>0.22708299756050099</v>
      </c>
      <c r="E116">
        <v>0.25130200386047302</v>
      </c>
      <c r="F116">
        <v>0.25130200386047302</v>
      </c>
      <c r="G116">
        <v>189840000</v>
      </c>
      <c r="H116">
        <f t="shared" si="4"/>
        <v>1997</v>
      </c>
      <c r="I116">
        <f t="shared" si="5"/>
        <v>10</v>
      </c>
      <c r="J116" t="str">
        <f t="shared" si="6"/>
        <v>Oct</v>
      </c>
      <c r="K116" t="str">
        <f t="shared" si="7"/>
        <v>Fri</v>
      </c>
    </row>
    <row r="117" spans="1:11" x14ac:dyDescent="0.35">
      <c r="A117" s="1">
        <v>35730</v>
      </c>
      <c r="B117">
        <v>0.240104004740715</v>
      </c>
      <c r="C117">
        <v>0.25052100419998102</v>
      </c>
      <c r="D117">
        <v>0.21145799756050099</v>
      </c>
      <c r="E117">
        <v>0.213541999459266</v>
      </c>
      <c r="F117">
        <v>0.213541999459266</v>
      </c>
      <c r="G117">
        <v>121824000</v>
      </c>
      <c r="H117">
        <f t="shared" si="4"/>
        <v>1997</v>
      </c>
      <c r="I117">
        <f t="shared" si="5"/>
        <v>10</v>
      </c>
      <c r="J117" t="str">
        <f t="shared" si="6"/>
        <v>Oct</v>
      </c>
      <c r="K117" t="str">
        <f t="shared" si="7"/>
        <v>Mon</v>
      </c>
    </row>
    <row r="118" spans="1:11" x14ac:dyDescent="0.35">
      <c r="A118" s="1">
        <v>35731</v>
      </c>
      <c r="B118">
        <v>0.19583299756050099</v>
      </c>
      <c r="C118">
        <v>0.25</v>
      </c>
      <c r="D118">
        <v>0.193749994039535</v>
      </c>
      <c r="E118">
        <v>0.24739600718021301</v>
      </c>
      <c r="F118">
        <v>0.24739600718021301</v>
      </c>
      <c r="G118">
        <v>234384000</v>
      </c>
      <c r="H118">
        <f t="shared" si="4"/>
        <v>1997</v>
      </c>
      <c r="I118">
        <f t="shared" si="5"/>
        <v>10</v>
      </c>
      <c r="J118" t="str">
        <f t="shared" si="6"/>
        <v>Oct</v>
      </c>
      <c r="K118" t="str">
        <f t="shared" si="7"/>
        <v>Tue</v>
      </c>
    </row>
    <row r="119" spans="1:11" x14ac:dyDescent="0.35">
      <c r="A119" s="1">
        <v>35732</v>
      </c>
      <c r="B119">
        <v>0.25729200243949801</v>
      </c>
      <c r="C119">
        <v>0.27500000596046398</v>
      </c>
      <c r="D119">
        <v>0.25</v>
      </c>
      <c r="E119">
        <v>0.26953101158142001</v>
      </c>
      <c r="F119">
        <v>0.26953101158142001</v>
      </c>
      <c r="G119">
        <v>142536000</v>
      </c>
      <c r="H119">
        <f t="shared" si="4"/>
        <v>1997</v>
      </c>
      <c r="I119">
        <f t="shared" si="5"/>
        <v>10</v>
      </c>
      <c r="J119" t="str">
        <f t="shared" si="6"/>
        <v>Oct</v>
      </c>
      <c r="K119" t="str">
        <f t="shared" si="7"/>
        <v>Wed</v>
      </c>
    </row>
    <row r="120" spans="1:11" x14ac:dyDescent="0.35">
      <c r="A120" s="1">
        <v>35733</v>
      </c>
      <c r="B120">
        <v>0.26041701436042702</v>
      </c>
      <c r="C120">
        <v>0.26770800352096502</v>
      </c>
      <c r="D120">
        <v>0.25208300352096502</v>
      </c>
      <c r="E120">
        <v>0.25624999403953502</v>
      </c>
      <c r="F120">
        <v>0.25624999403953502</v>
      </c>
      <c r="G120">
        <v>95400000</v>
      </c>
      <c r="H120">
        <f t="shared" si="4"/>
        <v>1997</v>
      </c>
      <c r="I120">
        <f t="shared" si="5"/>
        <v>10</v>
      </c>
      <c r="J120" t="str">
        <f t="shared" si="6"/>
        <v>Oct</v>
      </c>
      <c r="K120" t="str">
        <f t="shared" si="7"/>
        <v>Thu</v>
      </c>
    </row>
    <row r="121" spans="1:11" x14ac:dyDescent="0.35">
      <c r="A121" s="1">
        <v>35734</v>
      </c>
      <c r="B121">
        <v>0.26822900772094699</v>
      </c>
      <c r="C121">
        <v>0.27291700243949801</v>
      </c>
      <c r="D121">
        <v>0.248438000679016</v>
      </c>
      <c r="E121">
        <v>0.254166990518569</v>
      </c>
      <c r="F121">
        <v>0.254166990518569</v>
      </c>
      <c r="G121">
        <v>100536000</v>
      </c>
      <c r="H121">
        <f t="shared" si="4"/>
        <v>1997</v>
      </c>
      <c r="I121">
        <f t="shared" si="5"/>
        <v>10</v>
      </c>
      <c r="J121" t="str">
        <f t="shared" si="6"/>
        <v>Oct</v>
      </c>
      <c r="K121" t="str">
        <f t="shared" si="7"/>
        <v>Fri</v>
      </c>
    </row>
    <row r="122" spans="1:11" x14ac:dyDescent="0.35">
      <c r="A122" s="1">
        <v>35737</v>
      </c>
      <c r="B122">
        <v>0.26093798875808699</v>
      </c>
      <c r="C122">
        <v>0.26093798875808699</v>
      </c>
      <c r="D122">
        <v>0.24739600718021301</v>
      </c>
      <c r="E122">
        <v>0.25364598631858798</v>
      </c>
      <c r="F122">
        <v>0.25364598631858798</v>
      </c>
      <c r="G122">
        <v>39984000</v>
      </c>
      <c r="H122">
        <f t="shared" si="4"/>
        <v>1997</v>
      </c>
      <c r="I122">
        <f t="shared" si="5"/>
        <v>11</v>
      </c>
      <c r="J122" t="str">
        <f t="shared" si="6"/>
        <v>Nov</v>
      </c>
      <c r="K122" t="str">
        <f t="shared" si="7"/>
        <v>Mon</v>
      </c>
    </row>
    <row r="123" spans="1:11" x14ac:dyDescent="0.35">
      <c r="A123" s="1">
        <v>35738</v>
      </c>
      <c r="B123">
        <v>0.25</v>
      </c>
      <c r="C123">
        <v>0.25260400772094699</v>
      </c>
      <c r="D123">
        <v>0.24114599823951699</v>
      </c>
      <c r="E123">
        <v>0.24791699647903401</v>
      </c>
      <c r="F123">
        <v>0.24791699647903401</v>
      </c>
      <c r="G123">
        <v>47304000</v>
      </c>
      <c r="H123">
        <f t="shared" si="4"/>
        <v>1997</v>
      </c>
      <c r="I123">
        <f t="shared" si="5"/>
        <v>11</v>
      </c>
      <c r="J123" t="str">
        <f t="shared" si="6"/>
        <v>Nov</v>
      </c>
      <c r="K123" t="str">
        <f t="shared" si="7"/>
        <v>Tue</v>
      </c>
    </row>
    <row r="124" spans="1:11" x14ac:dyDescent="0.35">
      <c r="A124" s="1">
        <v>35739</v>
      </c>
      <c r="B124">
        <v>0.24895800650119701</v>
      </c>
      <c r="C124">
        <v>0.25598999857902499</v>
      </c>
      <c r="D124">
        <v>0.24375000596046401</v>
      </c>
      <c r="E124">
        <v>0.24375000596046401</v>
      </c>
      <c r="F124">
        <v>0.24375000596046401</v>
      </c>
      <c r="G124">
        <v>61872000</v>
      </c>
      <c r="H124">
        <f t="shared" si="4"/>
        <v>1997</v>
      </c>
      <c r="I124">
        <f t="shared" si="5"/>
        <v>11</v>
      </c>
      <c r="J124" t="str">
        <f t="shared" si="6"/>
        <v>Nov</v>
      </c>
      <c r="K124" t="str">
        <f t="shared" si="7"/>
        <v>Wed</v>
      </c>
    </row>
    <row r="125" spans="1:11" x14ac:dyDescent="0.35">
      <c r="A125" s="1">
        <v>35740</v>
      </c>
      <c r="B125">
        <v>0.245832994580268</v>
      </c>
      <c r="C125">
        <v>0.245832994580268</v>
      </c>
      <c r="D125">
        <v>0.23177100718021301</v>
      </c>
      <c r="E125">
        <v>0.23307299613952601</v>
      </c>
      <c r="F125">
        <v>0.23307299613952601</v>
      </c>
      <c r="G125">
        <v>58272000</v>
      </c>
      <c r="H125">
        <f t="shared" si="4"/>
        <v>1997</v>
      </c>
      <c r="I125">
        <f t="shared" si="5"/>
        <v>11</v>
      </c>
      <c r="J125" t="str">
        <f t="shared" si="6"/>
        <v>Nov</v>
      </c>
      <c r="K125" t="str">
        <f t="shared" si="7"/>
        <v>Thu</v>
      </c>
    </row>
    <row r="126" spans="1:11" x14ac:dyDescent="0.35">
      <c r="A126" s="1">
        <v>35741</v>
      </c>
      <c r="B126">
        <v>0.22083300352096499</v>
      </c>
      <c r="C126">
        <v>0.23203100264072399</v>
      </c>
      <c r="D126">
        <v>0.219271004199981</v>
      </c>
      <c r="E126">
        <v>0.223958000540733</v>
      </c>
      <c r="F126">
        <v>0.223958000540733</v>
      </c>
      <c r="G126">
        <v>52536000</v>
      </c>
      <c r="H126">
        <f t="shared" si="4"/>
        <v>1997</v>
      </c>
      <c r="I126">
        <f t="shared" si="5"/>
        <v>11</v>
      </c>
      <c r="J126" t="str">
        <f t="shared" si="6"/>
        <v>Nov</v>
      </c>
      <c r="K126" t="str">
        <f t="shared" si="7"/>
        <v>Fri</v>
      </c>
    </row>
    <row r="127" spans="1:11" x14ac:dyDescent="0.35">
      <c r="A127" s="1">
        <v>35744</v>
      </c>
      <c r="B127">
        <v>0.224999994039535</v>
      </c>
      <c r="C127">
        <v>0.22812500596046401</v>
      </c>
      <c r="D127">
        <v>0.21041700243949801</v>
      </c>
      <c r="E127">
        <v>0.21041700243949801</v>
      </c>
      <c r="F127">
        <v>0.21041700243949801</v>
      </c>
      <c r="G127">
        <v>55296000</v>
      </c>
      <c r="H127">
        <f t="shared" si="4"/>
        <v>1997</v>
      </c>
      <c r="I127">
        <f t="shared" si="5"/>
        <v>11</v>
      </c>
      <c r="J127" t="str">
        <f t="shared" si="6"/>
        <v>Nov</v>
      </c>
      <c r="K127" t="str">
        <f t="shared" si="7"/>
        <v>Mon</v>
      </c>
    </row>
    <row r="128" spans="1:11" x14ac:dyDescent="0.35">
      <c r="A128" s="1">
        <v>35745</v>
      </c>
      <c r="B128">
        <v>0.212239995598793</v>
      </c>
      <c r="C128">
        <v>0.21562500298023199</v>
      </c>
      <c r="D128">
        <v>0.19583299756050099</v>
      </c>
      <c r="E128">
        <v>0.197395995259284</v>
      </c>
      <c r="F128">
        <v>0.197395995259284</v>
      </c>
      <c r="G128">
        <v>86256000</v>
      </c>
      <c r="H128">
        <f t="shared" si="4"/>
        <v>1997</v>
      </c>
      <c r="I128">
        <f t="shared" si="5"/>
        <v>11</v>
      </c>
      <c r="J128" t="str">
        <f t="shared" si="6"/>
        <v>Nov</v>
      </c>
      <c r="K128" t="str">
        <f t="shared" si="7"/>
        <v>Tue</v>
      </c>
    </row>
    <row r="129" spans="1:11" x14ac:dyDescent="0.35">
      <c r="A129" s="1">
        <v>35746</v>
      </c>
      <c r="B129">
        <v>0.18880200386047299</v>
      </c>
      <c r="C129">
        <v>0.209374994039535</v>
      </c>
      <c r="D129">
        <v>0.183332994580268</v>
      </c>
      <c r="E129">
        <v>0.18854199349880199</v>
      </c>
      <c r="F129">
        <v>0.18854199349880199</v>
      </c>
      <c r="G129">
        <v>173664000</v>
      </c>
      <c r="H129">
        <f t="shared" si="4"/>
        <v>1997</v>
      </c>
      <c r="I129">
        <f t="shared" si="5"/>
        <v>11</v>
      </c>
      <c r="J129" t="str">
        <f t="shared" si="6"/>
        <v>Nov</v>
      </c>
      <c r="K129" t="str">
        <f t="shared" si="7"/>
        <v>Wed</v>
      </c>
    </row>
    <row r="130" spans="1:11" x14ac:dyDescent="0.35">
      <c r="A130" s="1">
        <v>35747</v>
      </c>
      <c r="B130">
        <v>0.197395995259284</v>
      </c>
      <c r="C130">
        <v>0.19843800365924799</v>
      </c>
      <c r="D130">
        <v>0.18854199349880199</v>
      </c>
      <c r="E130">
        <v>0.192968994379043</v>
      </c>
      <c r="F130">
        <v>0.192968994379043</v>
      </c>
      <c r="G130">
        <v>85800000</v>
      </c>
      <c r="H130">
        <f t="shared" si="4"/>
        <v>1997</v>
      </c>
      <c r="I130">
        <f t="shared" si="5"/>
        <v>11</v>
      </c>
      <c r="J130" t="str">
        <f t="shared" si="6"/>
        <v>Nov</v>
      </c>
      <c r="K130" t="str">
        <f t="shared" si="7"/>
        <v>Thu</v>
      </c>
    </row>
    <row r="131" spans="1:11" x14ac:dyDescent="0.35">
      <c r="A131" s="1">
        <v>35748</v>
      </c>
      <c r="B131">
        <v>0.19687500596046401</v>
      </c>
      <c r="C131">
        <v>0.21041700243949801</v>
      </c>
      <c r="D131">
        <v>0.18906299769878299</v>
      </c>
      <c r="E131">
        <v>0.208333000540733</v>
      </c>
      <c r="F131">
        <v>0.208333000540733</v>
      </c>
      <c r="G131">
        <v>117384000</v>
      </c>
      <c r="H131">
        <f t="shared" si="4"/>
        <v>1997</v>
      </c>
      <c r="I131">
        <f t="shared" si="5"/>
        <v>11</v>
      </c>
      <c r="J131" t="str">
        <f t="shared" si="6"/>
        <v>Nov</v>
      </c>
      <c r="K131" t="str">
        <f t="shared" si="7"/>
        <v>Fri</v>
      </c>
    </row>
    <row r="132" spans="1:11" x14ac:dyDescent="0.35">
      <c r="A132" s="1">
        <v>35751</v>
      </c>
      <c r="B132">
        <v>0.21145799756050099</v>
      </c>
      <c r="C132">
        <v>0.22708299756050099</v>
      </c>
      <c r="D132">
        <v>0.21093800663948001</v>
      </c>
      <c r="E132">
        <v>0.21875</v>
      </c>
      <c r="F132">
        <v>0.21875</v>
      </c>
      <c r="G132">
        <v>147888000</v>
      </c>
      <c r="H132">
        <f t="shared" ref="H132:H195" si="8">YEAR($A132)</f>
        <v>1997</v>
      </c>
      <c r="I132">
        <f t="shared" ref="I132:I195" si="9">MONTH($A132)</f>
        <v>11</v>
      </c>
      <c r="J132" t="str">
        <f t="shared" ref="J132:J195" si="10">TEXT($A132,"mmm")</f>
        <v>Nov</v>
      </c>
      <c r="K132" t="str">
        <f t="shared" ref="K132:K195" si="11">TEXT($A132,"ddd")</f>
        <v>Mon</v>
      </c>
    </row>
    <row r="133" spans="1:11" x14ac:dyDescent="0.35">
      <c r="A133" s="1">
        <v>35752</v>
      </c>
      <c r="B133">
        <v>0.21875</v>
      </c>
      <c r="C133">
        <v>0.223958000540733</v>
      </c>
      <c r="D133">
        <v>0.217188000679016</v>
      </c>
      <c r="E133">
        <v>0.22083300352096499</v>
      </c>
      <c r="F133">
        <v>0.22083300352096499</v>
      </c>
      <c r="G133">
        <v>37320000</v>
      </c>
      <c r="H133">
        <f t="shared" si="8"/>
        <v>1997</v>
      </c>
      <c r="I133">
        <f t="shared" si="9"/>
        <v>11</v>
      </c>
      <c r="J133" t="str">
        <f t="shared" si="10"/>
        <v>Nov</v>
      </c>
      <c r="K133" t="str">
        <f t="shared" si="11"/>
        <v>Tue</v>
      </c>
    </row>
    <row r="134" spans="1:11" x14ac:dyDescent="0.35">
      <c r="A134" s="1">
        <v>35753</v>
      </c>
      <c r="B134">
        <v>0.22031299769878299</v>
      </c>
      <c r="C134">
        <v>0.22604200243949801</v>
      </c>
      <c r="D134">
        <v>0.21562500298023199</v>
      </c>
      <c r="E134">
        <v>0.22552099823951699</v>
      </c>
      <c r="F134">
        <v>0.22552099823951699</v>
      </c>
      <c r="G134">
        <v>50688000</v>
      </c>
      <c r="H134">
        <f t="shared" si="8"/>
        <v>1997</v>
      </c>
      <c r="I134">
        <f t="shared" si="9"/>
        <v>11</v>
      </c>
      <c r="J134" t="str">
        <f t="shared" si="10"/>
        <v>Nov</v>
      </c>
      <c r="K134" t="str">
        <f t="shared" si="11"/>
        <v>Wed</v>
      </c>
    </row>
    <row r="135" spans="1:11" x14ac:dyDescent="0.35">
      <c r="A135" s="1">
        <v>35754</v>
      </c>
      <c r="B135">
        <v>0.228645995259284</v>
      </c>
      <c r="C135">
        <v>0.230207994580268</v>
      </c>
      <c r="D135">
        <v>0.22552099823951699</v>
      </c>
      <c r="E135">
        <v>0.229166999459266</v>
      </c>
      <c r="F135">
        <v>0.229166999459266</v>
      </c>
      <c r="G135">
        <v>118464000</v>
      </c>
      <c r="H135">
        <f t="shared" si="8"/>
        <v>1997</v>
      </c>
      <c r="I135">
        <f t="shared" si="9"/>
        <v>11</v>
      </c>
      <c r="J135" t="str">
        <f t="shared" si="10"/>
        <v>Nov</v>
      </c>
      <c r="K135" t="str">
        <f t="shared" si="11"/>
        <v>Thu</v>
      </c>
    </row>
    <row r="136" spans="1:11" x14ac:dyDescent="0.35">
      <c r="A136" s="1">
        <v>35755</v>
      </c>
      <c r="B136">
        <v>0.22760400176048201</v>
      </c>
      <c r="C136">
        <v>0.229166999459266</v>
      </c>
      <c r="D136">
        <v>0.224479004740715</v>
      </c>
      <c r="E136">
        <v>0.224479004740715</v>
      </c>
      <c r="F136">
        <v>0.224479004740715</v>
      </c>
      <c r="G136">
        <v>52056000</v>
      </c>
      <c r="H136">
        <f t="shared" si="8"/>
        <v>1997</v>
      </c>
      <c r="I136">
        <f t="shared" si="9"/>
        <v>11</v>
      </c>
      <c r="J136" t="str">
        <f t="shared" si="10"/>
        <v>Nov</v>
      </c>
      <c r="K136" t="str">
        <f t="shared" si="11"/>
        <v>Fri</v>
      </c>
    </row>
    <row r="137" spans="1:11" x14ac:dyDescent="0.35">
      <c r="A137" s="1">
        <v>35758</v>
      </c>
      <c r="B137">
        <v>0.21875</v>
      </c>
      <c r="C137">
        <v>0.22083300352096499</v>
      </c>
      <c r="D137">
        <v>0.21145799756050099</v>
      </c>
      <c r="E137">
        <v>0.21145799756050099</v>
      </c>
      <c r="F137">
        <v>0.21145799756050099</v>
      </c>
      <c r="G137">
        <v>40392000</v>
      </c>
      <c r="H137">
        <f t="shared" si="8"/>
        <v>1997</v>
      </c>
      <c r="I137">
        <f t="shared" si="9"/>
        <v>11</v>
      </c>
      <c r="J137" t="str">
        <f t="shared" si="10"/>
        <v>Nov</v>
      </c>
      <c r="K137" t="str">
        <f t="shared" si="11"/>
        <v>Mon</v>
      </c>
    </row>
    <row r="138" spans="1:11" x14ac:dyDescent="0.35">
      <c r="A138" s="1">
        <v>35759</v>
      </c>
      <c r="B138">
        <v>0.21197900176048201</v>
      </c>
      <c r="C138">
        <v>0.21666699647903401</v>
      </c>
      <c r="D138">
        <v>0.20208300650119701</v>
      </c>
      <c r="E138">
        <v>0.21015599370002699</v>
      </c>
      <c r="F138">
        <v>0.21015599370002699</v>
      </c>
      <c r="G138">
        <v>66096000</v>
      </c>
      <c r="H138">
        <f t="shared" si="8"/>
        <v>1997</v>
      </c>
      <c r="I138">
        <f t="shared" si="9"/>
        <v>11</v>
      </c>
      <c r="J138" t="str">
        <f t="shared" si="10"/>
        <v>Nov</v>
      </c>
      <c r="K138" t="str">
        <f t="shared" si="11"/>
        <v>Tue</v>
      </c>
    </row>
    <row r="139" spans="1:11" x14ac:dyDescent="0.35">
      <c r="A139" s="1">
        <v>35760</v>
      </c>
      <c r="B139">
        <v>0.21197900176048201</v>
      </c>
      <c r="C139">
        <v>0.22057299315929399</v>
      </c>
      <c r="D139">
        <v>0.21197900176048201</v>
      </c>
      <c r="E139">
        <v>0.213020995259284</v>
      </c>
      <c r="F139">
        <v>0.213020995259284</v>
      </c>
      <c r="G139">
        <v>32616000</v>
      </c>
      <c r="H139">
        <f t="shared" si="8"/>
        <v>1997</v>
      </c>
      <c r="I139">
        <f t="shared" si="9"/>
        <v>11</v>
      </c>
      <c r="J139" t="str">
        <f t="shared" si="10"/>
        <v>Nov</v>
      </c>
      <c r="K139" t="str">
        <f t="shared" si="11"/>
        <v>Wed</v>
      </c>
    </row>
    <row r="140" spans="1:11" x14ac:dyDescent="0.35">
      <c r="A140" s="1">
        <v>35762</v>
      </c>
      <c r="B140">
        <v>0.213541999459266</v>
      </c>
      <c r="C140">
        <v>0.21666699647903401</v>
      </c>
      <c r="D140">
        <v>0.20572899281978599</v>
      </c>
      <c r="E140">
        <v>0.20624999701976701</v>
      </c>
      <c r="F140">
        <v>0.20624999701976701</v>
      </c>
      <c r="G140">
        <v>32064000</v>
      </c>
      <c r="H140">
        <f t="shared" si="8"/>
        <v>1997</v>
      </c>
      <c r="I140">
        <f t="shared" si="9"/>
        <v>11</v>
      </c>
      <c r="J140" t="str">
        <f t="shared" si="10"/>
        <v>Nov</v>
      </c>
      <c r="K140" t="str">
        <f t="shared" si="11"/>
        <v>Fri</v>
      </c>
    </row>
    <row r="141" spans="1:11" x14ac:dyDescent="0.35">
      <c r="A141" s="1">
        <v>35765</v>
      </c>
      <c r="B141">
        <v>0.21197900176048201</v>
      </c>
      <c r="C141">
        <v>0.21875</v>
      </c>
      <c r="D141">
        <v>0.20677100121974901</v>
      </c>
      <c r="E141">
        <v>0.213541999459266</v>
      </c>
      <c r="F141">
        <v>0.213541999459266</v>
      </c>
      <c r="G141">
        <v>47664000</v>
      </c>
      <c r="H141">
        <f t="shared" si="8"/>
        <v>1997</v>
      </c>
      <c r="I141">
        <f t="shared" si="9"/>
        <v>12</v>
      </c>
      <c r="J141" t="str">
        <f t="shared" si="10"/>
        <v>Dec</v>
      </c>
      <c r="K141" t="str">
        <f t="shared" si="11"/>
        <v>Mon</v>
      </c>
    </row>
    <row r="142" spans="1:11" x14ac:dyDescent="0.35">
      <c r="A142" s="1">
        <v>35766</v>
      </c>
      <c r="B142">
        <v>0.213020995259284</v>
      </c>
      <c r="C142">
        <v>0.21510399878024999</v>
      </c>
      <c r="D142">
        <v>0.208854004740715</v>
      </c>
      <c r="E142">
        <v>0.21171900629997201</v>
      </c>
      <c r="F142">
        <v>0.21171900629997201</v>
      </c>
      <c r="G142">
        <v>25248000</v>
      </c>
      <c r="H142">
        <f t="shared" si="8"/>
        <v>1997</v>
      </c>
      <c r="I142">
        <f t="shared" si="9"/>
        <v>12</v>
      </c>
      <c r="J142" t="str">
        <f t="shared" si="10"/>
        <v>Dec</v>
      </c>
      <c r="K142" t="str">
        <f t="shared" si="11"/>
        <v>Tue</v>
      </c>
    </row>
    <row r="143" spans="1:11" x14ac:dyDescent="0.35">
      <c r="A143" s="1">
        <v>35767</v>
      </c>
      <c r="B143">
        <v>0.20989599823951699</v>
      </c>
      <c r="C143">
        <v>0.21875</v>
      </c>
      <c r="D143">
        <v>0.209374994039535</v>
      </c>
      <c r="E143">
        <v>0.21822899580001801</v>
      </c>
      <c r="F143">
        <v>0.21822899580001801</v>
      </c>
      <c r="G143">
        <v>25800000</v>
      </c>
      <c r="H143">
        <f t="shared" si="8"/>
        <v>1997</v>
      </c>
      <c r="I143">
        <f t="shared" si="9"/>
        <v>12</v>
      </c>
      <c r="J143" t="str">
        <f t="shared" si="10"/>
        <v>Dec</v>
      </c>
      <c r="K143" t="str">
        <f t="shared" si="11"/>
        <v>Wed</v>
      </c>
    </row>
    <row r="144" spans="1:11" x14ac:dyDescent="0.35">
      <c r="A144" s="1">
        <v>35768</v>
      </c>
      <c r="B144">
        <v>0.22005200386047299</v>
      </c>
      <c r="C144">
        <v>0.22760400176048201</v>
      </c>
      <c r="D144">
        <v>0.219271004199981</v>
      </c>
      <c r="E144">
        <v>0.224999994039535</v>
      </c>
      <c r="F144">
        <v>0.224999994039535</v>
      </c>
      <c r="G144">
        <v>60768000</v>
      </c>
      <c r="H144">
        <f t="shared" si="8"/>
        <v>1997</v>
      </c>
      <c r="I144">
        <f t="shared" si="9"/>
        <v>12</v>
      </c>
      <c r="J144" t="str">
        <f t="shared" si="10"/>
        <v>Dec</v>
      </c>
      <c r="K144" t="str">
        <f t="shared" si="11"/>
        <v>Thu</v>
      </c>
    </row>
    <row r="145" spans="1:11" x14ac:dyDescent="0.35">
      <c r="A145" s="1">
        <v>35769</v>
      </c>
      <c r="B145">
        <v>0.22187499701976701</v>
      </c>
      <c r="C145">
        <v>0.22968800365924799</v>
      </c>
      <c r="D145">
        <v>0.21770800650119701</v>
      </c>
      <c r="E145">
        <v>0.22968800365924799</v>
      </c>
      <c r="F145">
        <v>0.22968800365924799</v>
      </c>
      <c r="G145">
        <v>53232000</v>
      </c>
      <c r="H145">
        <f t="shared" si="8"/>
        <v>1997</v>
      </c>
      <c r="I145">
        <f t="shared" si="9"/>
        <v>12</v>
      </c>
      <c r="J145" t="str">
        <f t="shared" si="10"/>
        <v>Dec</v>
      </c>
      <c r="K145" t="str">
        <f t="shared" si="11"/>
        <v>Fri</v>
      </c>
    </row>
    <row r="146" spans="1:11" x14ac:dyDescent="0.35">
      <c r="A146" s="1">
        <v>35772</v>
      </c>
      <c r="B146">
        <v>0.22708299756050099</v>
      </c>
      <c r="C146">
        <v>0.238542005419731</v>
      </c>
      <c r="D146">
        <v>0.22604200243949801</v>
      </c>
      <c r="E146">
        <v>0.23541699349880199</v>
      </c>
      <c r="F146">
        <v>0.23541699349880199</v>
      </c>
      <c r="G146">
        <v>95328000</v>
      </c>
      <c r="H146">
        <f t="shared" si="8"/>
        <v>1997</v>
      </c>
      <c r="I146">
        <f t="shared" si="9"/>
        <v>12</v>
      </c>
      <c r="J146" t="str">
        <f t="shared" si="10"/>
        <v>Dec</v>
      </c>
      <c r="K146" t="str">
        <f t="shared" si="11"/>
        <v>Mon</v>
      </c>
    </row>
    <row r="147" spans="1:11" x14ac:dyDescent="0.35">
      <c r="A147" s="1">
        <v>35773</v>
      </c>
      <c r="B147">
        <v>0.23333300650119701</v>
      </c>
      <c r="C147">
        <v>0.238542005419731</v>
      </c>
      <c r="D147">
        <v>0.230207994580268</v>
      </c>
      <c r="E147">
        <v>0.234375</v>
      </c>
      <c r="F147">
        <v>0.234375</v>
      </c>
      <c r="G147">
        <v>26640000</v>
      </c>
      <c r="H147">
        <f t="shared" si="8"/>
        <v>1997</v>
      </c>
      <c r="I147">
        <f t="shared" si="9"/>
        <v>12</v>
      </c>
      <c r="J147" t="str">
        <f t="shared" si="10"/>
        <v>Dec</v>
      </c>
      <c r="K147" t="str">
        <f t="shared" si="11"/>
        <v>Tue</v>
      </c>
    </row>
    <row r="148" spans="1:11" x14ac:dyDescent="0.35">
      <c r="A148" s="1">
        <v>35774</v>
      </c>
      <c r="B148">
        <v>0.229166999459266</v>
      </c>
      <c r="C148">
        <v>0.23125000298023199</v>
      </c>
      <c r="D148">
        <v>0.21979199349880199</v>
      </c>
      <c r="E148">
        <v>0.22552099823951699</v>
      </c>
      <c r="F148">
        <v>0.22552099823951699</v>
      </c>
      <c r="G148">
        <v>28896000</v>
      </c>
      <c r="H148">
        <f t="shared" si="8"/>
        <v>1997</v>
      </c>
      <c r="I148">
        <f t="shared" si="9"/>
        <v>12</v>
      </c>
      <c r="J148" t="str">
        <f t="shared" si="10"/>
        <v>Dec</v>
      </c>
      <c r="K148" t="str">
        <f t="shared" si="11"/>
        <v>Wed</v>
      </c>
    </row>
    <row r="149" spans="1:11" x14ac:dyDescent="0.35">
      <c r="A149" s="1">
        <v>35775</v>
      </c>
      <c r="B149">
        <v>0.21979199349880199</v>
      </c>
      <c r="C149">
        <v>0.24166700243949801</v>
      </c>
      <c r="D149">
        <v>0.21979199349880199</v>
      </c>
      <c r="E149">
        <v>0.234375</v>
      </c>
      <c r="F149">
        <v>0.234375</v>
      </c>
      <c r="G149">
        <v>100296000</v>
      </c>
      <c r="H149">
        <f t="shared" si="8"/>
        <v>1997</v>
      </c>
      <c r="I149">
        <f t="shared" si="9"/>
        <v>12</v>
      </c>
      <c r="J149" t="str">
        <f t="shared" si="10"/>
        <v>Dec</v>
      </c>
      <c r="K149" t="str">
        <f t="shared" si="11"/>
        <v>Thu</v>
      </c>
    </row>
    <row r="150" spans="1:11" x14ac:dyDescent="0.35">
      <c r="A150" s="1">
        <v>35776</v>
      </c>
      <c r="B150">
        <v>0.23229199647903401</v>
      </c>
      <c r="C150">
        <v>0.240104004740715</v>
      </c>
      <c r="D150">
        <v>0.22031299769878299</v>
      </c>
      <c r="E150">
        <v>0.22708299756050099</v>
      </c>
      <c r="F150">
        <v>0.22708299756050099</v>
      </c>
      <c r="G150">
        <v>53448000</v>
      </c>
      <c r="H150">
        <f t="shared" si="8"/>
        <v>1997</v>
      </c>
      <c r="I150">
        <f t="shared" si="9"/>
        <v>12</v>
      </c>
      <c r="J150" t="str">
        <f t="shared" si="10"/>
        <v>Dec</v>
      </c>
      <c r="K150" t="str">
        <f t="shared" si="11"/>
        <v>Fri</v>
      </c>
    </row>
    <row r="151" spans="1:11" x14ac:dyDescent="0.35">
      <c r="A151" s="1">
        <v>35779</v>
      </c>
      <c r="B151">
        <v>0.229166999459266</v>
      </c>
      <c r="C151">
        <v>0.23333300650119701</v>
      </c>
      <c r="D151">
        <v>0.22031299769878299</v>
      </c>
      <c r="E151">
        <v>0.229166999459266</v>
      </c>
      <c r="F151">
        <v>0.229166999459266</v>
      </c>
      <c r="G151">
        <v>33888000</v>
      </c>
      <c r="H151">
        <f t="shared" si="8"/>
        <v>1997</v>
      </c>
      <c r="I151">
        <f t="shared" si="9"/>
        <v>12</v>
      </c>
      <c r="J151" t="str">
        <f t="shared" si="10"/>
        <v>Dec</v>
      </c>
      <c r="K151" t="str">
        <f t="shared" si="11"/>
        <v>Mon</v>
      </c>
    </row>
    <row r="152" spans="1:11" x14ac:dyDescent="0.35">
      <c r="A152" s="1">
        <v>35780</v>
      </c>
      <c r="B152">
        <v>0.23229199647903401</v>
      </c>
      <c r="C152">
        <v>0.23229199647903401</v>
      </c>
      <c r="D152">
        <v>0.222917005419731</v>
      </c>
      <c r="E152">
        <v>0.222917005419731</v>
      </c>
      <c r="F152">
        <v>0.222917005419731</v>
      </c>
      <c r="G152">
        <v>33744000</v>
      </c>
      <c r="H152">
        <f t="shared" si="8"/>
        <v>1997</v>
      </c>
      <c r="I152">
        <f t="shared" si="9"/>
        <v>12</v>
      </c>
      <c r="J152" t="str">
        <f t="shared" si="10"/>
        <v>Dec</v>
      </c>
      <c r="K152" t="str">
        <f t="shared" si="11"/>
        <v>Tue</v>
      </c>
    </row>
    <row r="153" spans="1:11" x14ac:dyDescent="0.35">
      <c r="A153" s="1">
        <v>35781</v>
      </c>
      <c r="B153">
        <v>0.21875</v>
      </c>
      <c r="C153">
        <v>0.222917005419731</v>
      </c>
      <c r="D153">
        <v>0.21276000142097401</v>
      </c>
      <c r="E153">
        <v>0.219530999660491</v>
      </c>
      <c r="F153">
        <v>0.219530999660491</v>
      </c>
      <c r="G153">
        <v>122808000</v>
      </c>
      <c r="H153">
        <f t="shared" si="8"/>
        <v>1997</v>
      </c>
      <c r="I153">
        <f t="shared" si="9"/>
        <v>12</v>
      </c>
      <c r="J153" t="str">
        <f t="shared" si="10"/>
        <v>Dec</v>
      </c>
      <c r="K153" t="str">
        <f t="shared" si="11"/>
        <v>Wed</v>
      </c>
    </row>
    <row r="154" spans="1:11" x14ac:dyDescent="0.35">
      <c r="A154" s="1">
        <v>35782</v>
      </c>
      <c r="B154">
        <v>0.21770800650119701</v>
      </c>
      <c r="C154">
        <v>0.22135399281978599</v>
      </c>
      <c r="D154">
        <v>0.21145799756050099</v>
      </c>
      <c r="E154">
        <v>0.214582994580268</v>
      </c>
      <c r="F154">
        <v>0.214582994580268</v>
      </c>
      <c r="G154">
        <v>64080000</v>
      </c>
      <c r="H154">
        <f t="shared" si="8"/>
        <v>1997</v>
      </c>
      <c r="I154">
        <f t="shared" si="9"/>
        <v>12</v>
      </c>
      <c r="J154" t="str">
        <f t="shared" si="10"/>
        <v>Dec</v>
      </c>
      <c r="K154" t="str">
        <f t="shared" si="11"/>
        <v>Thu</v>
      </c>
    </row>
    <row r="155" spans="1:11" x14ac:dyDescent="0.35">
      <c r="A155" s="1">
        <v>35783</v>
      </c>
      <c r="B155">
        <v>0.21145799756050099</v>
      </c>
      <c r="C155">
        <v>0.22604200243949801</v>
      </c>
      <c r="D155">
        <v>0.208333000540733</v>
      </c>
      <c r="E155">
        <v>0.224999994039535</v>
      </c>
      <c r="F155">
        <v>0.224999994039535</v>
      </c>
      <c r="G155">
        <v>95064000</v>
      </c>
      <c r="H155">
        <f t="shared" si="8"/>
        <v>1997</v>
      </c>
      <c r="I155">
        <f t="shared" si="9"/>
        <v>12</v>
      </c>
      <c r="J155" t="str">
        <f t="shared" si="10"/>
        <v>Dec</v>
      </c>
      <c r="K155" t="str">
        <f t="shared" si="11"/>
        <v>Fri</v>
      </c>
    </row>
    <row r="156" spans="1:11" x14ac:dyDescent="0.35">
      <c r="A156" s="1">
        <v>35786</v>
      </c>
      <c r="B156">
        <v>0.224999994039535</v>
      </c>
      <c r="C156">
        <v>0.239062994718551</v>
      </c>
      <c r="D156">
        <v>0.22161500155925701</v>
      </c>
      <c r="E156">
        <v>0.234896004199981</v>
      </c>
      <c r="F156">
        <v>0.234896004199981</v>
      </c>
      <c r="G156">
        <v>87048000</v>
      </c>
      <c r="H156">
        <f t="shared" si="8"/>
        <v>1997</v>
      </c>
      <c r="I156">
        <f t="shared" si="9"/>
        <v>12</v>
      </c>
      <c r="J156" t="str">
        <f t="shared" si="10"/>
        <v>Dec</v>
      </c>
      <c r="K156" t="str">
        <f t="shared" si="11"/>
        <v>Mon</v>
      </c>
    </row>
    <row r="157" spans="1:11" x14ac:dyDescent="0.35">
      <c r="A157" s="1">
        <v>35787</v>
      </c>
      <c r="B157">
        <v>0.234375</v>
      </c>
      <c r="C157">
        <v>0.23697899281978599</v>
      </c>
      <c r="D157">
        <v>0.23125000298023199</v>
      </c>
      <c r="E157">
        <v>0.23125000298023199</v>
      </c>
      <c r="F157">
        <v>0.23125000298023199</v>
      </c>
      <c r="G157">
        <v>23544000</v>
      </c>
      <c r="H157">
        <f t="shared" si="8"/>
        <v>1997</v>
      </c>
      <c r="I157">
        <f t="shared" si="9"/>
        <v>12</v>
      </c>
      <c r="J157" t="str">
        <f t="shared" si="10"/>
        <v>Dec</v>
      </c>
      <c r="K157" t="str">
        <f t="shared" si="11"/>
        <v>Tue</v>
      </c>
    </row>
    <row r="158" spans="1:11" x14ac:dyDescent="0.35">
      <c r="A158" s="1">
        <v>35788</v>
      </c>
      <c r="B158">
        <v>0.23125000298023199</v>
      </c>
      <c r="C158">
        <v>0.23541699349880199</v>
      </c>
      <c r="D158">
        <v>0.223437994718551</v>
      </c>
      <c r="E158">
        <v>0.230207994580268</v>
      </c>
      <c r="F158">
        <v>0.230207994580268</v>
      </c>
      <c r="G158">
        <v>46728000</v>
      </c>
      <c r="H158">
        <f t="shared" si="8"/>
        <v>1997</v>
      </c>
      <c r="I158">
        <f t="shared" si="9"/>
        <v>12</v>
      </c>
      <c r="J158" t="str">
        <f t="shared" si="10"/>
        <v>Dec</v>
      </c>
      <c r="K158" t="str">
        <f t="shared" si="11"/>
        <v>Wed</v>
      </c>
    </row>
    <row r="159" spans="1:11" x14ac:dyDescent="0.35">
      <c r="A159" s="1">
        <v>35790</v>
      </c>
      <c r="B159">
        <v>0.22812500596046401</v>
      </c>
      <c r="C159">
        <v>0.23229199647903401</v>
      </c>
      <c r="D159">
        <v>0.224479004740715</v>
      </c>
      <c r="E159">
        <v>0.22604200243949801</v>
      </c>
      <c r="F159">
        <v>0.22604200243949801</v>
      </c>
      <c r="G159">
        <v>9744000</v>
      </c>
      <c r="H159">
        <f t="shared" si="8"/>
        <v>1997</v>
      </c>
      <c r="I159">
        <f t="shared" si="9"/>
        <v>12</v>
      </c>
      <c r="J159" t="str">
        <f t="shared" si="10"/>
        <v>Dec</v>
      </c>
      <c r="K159" t="str">
        <f t="shared" si="11"/>
        <v>Fri</v>
      </c>
    </row>
    <row r="160" spans="1:11" x14ac:dyDescent="0.35">
      <c r="A160" s="1">
        <v>35793</v>
      </c>
      <c r="B160">
        <v>0.229166999459266</v>
      </c>
      <c r="C160">
        <v>0.239062994718551</v>
      </c>
      <c r="D160">
        <v>0.22656300663948001</v>
      </c>
      <c r="E160">
        <v>0.23749999701976701</v>
      </c>
      <c r="F160">
        <v>0.23749999701976701</v>
      </c>
      <c r="G160">
        <v>51048000</v>
      </c>
      <c r="H160">
        <f t="shared" si="8"/>
        <v>1997</v>
      </c>
      <c r="I160">
        <f t="shared" si="9"/>
        <v>12</v>
      </c>
      <c r="J160" t="str">
        <f t="shared" si="10"/>
        <v>Dec</v>
      </c>
      <c r="K160" t="str">
        <f t="shared" si="11"/>
        <v>Mon</v>
      </c>
    </row>
    <row r="161" spans="1:11" x14ac:dyDescent="0.35">
      <c r="A161" s="1">
        <v>35794</v>
      </c>
      <c r="B161">
        <v>0.24166700243949801</v>
      </c>
      <c r="C161">
        <v>0.24531300365924799</v>
      </c>
      <c r="D161">
        <v>0.239062994718551</v>
      </c>
      <c r="E161">
        <v>0.24244800209999001</v>
      </c>
      <c r="F161">
        <v>0.24244800209999001</v>
      </c>
      <c r="G161">
        <v>125712000</v>
      </c>
      <c r="H161">
        <f t="shared" si="8"/>
        <v>1997</v>
      </c>
      <c r="I161">
        <f t="shared" si="9"/>
        <v>12</v>
      </c>
      <c r="J161" t="str">
        <f t="shared" si="10"/>
        <v>Dec</v>
      </c>
      <c r="K161" t="str">
        <f t="shared" si="11"/>
        <v>Tue</v>
      </c>
    </row>
    <row r="162" spans="1:11" x14ac:dyDescent="0.35">
      <c r="A162" s="1">
        <v>35795</v>
      </c>
      <c r="B162">
        <v>0.24375000596046401</v>
      </c>
      <c r="C162">
        <v>0.25208300352096502</v>
      </c>
      <c r="D162">
        <v>0.24218800663948001</v>
      </c>
      <c r="E162">
        <v>0.25104200839996299</v>
      </c>
      <c r="F162">
        <v>0.25104200839996299</v>
      </c>
      <c r="G162">
        <v>88920000</v>
      </c>
      <c r="H162">
        <f t="shared" si="8"/>
        <v>1997</v>
      </c>
      <c r="I162">
        <f t="shared" si="9"/>
        <v>12</v>
      </c>
      <c r="J162" t="str">
        <f t="shared" si="10"/>
        <v>Dec</v>
      </c>
      <c r="K162" t="str">
        <f t="shared" si="11"/>
        <v>Wed</v>
      </c>
    </row>
    <row r="163" spans="1:11" x14ac:dyDescent="0.35">
      <c r="A163" s="1">
        <v>35797</v>
      </c>
      <c r="B163">
        <v>0.25</v>
      </c>
      <c r="C163">
        <v>0.25</v>
      </c>
      <c r="D163">
        <v>0.239843994379043</v>
      </c>
      <c r="E163">
        <v>0.24791699647903401</v>
      </c>
      <c r="F163">
        <v>0.24791699647903401</v>
      </c>
      <c r="G163">
        <v>33216000</v>
      </c>
      <c r="H163">
        <f t="shared" si="8"/>
        <v>1998</v>
      </c>
      <c r="I163">
        <f t="shared" si="9"/>
        <v>1</v>
      </c>
      <c r="J163" t="str">
        <f t="shared" si="10"/>
        <v>Jan</v>
      </c>
      <c r="K163" t="str">
        <f t="shared" si="11"/>
        <v>Fri</v>
      </c>
    </row>
    <row r="164" spans="1:11" x14ac:dyDescent="0.35">
      <c r="A164" s="1">
        <v>35800</v>
      </c>
      <c r="B164">
        <v>0.244270995259284</v>
      </c>
      <c r="C164">
        <v>0.24687500298023199</v>
      </c>
      <c r="D164">
        <v>0.23541699349880199</v>
      </c>
      <c r="E164">
        <v>0.23749999701976701</v>
      </c>
      <c r="F164">
        <v>0.23749999701976701</v>
      </c>
      <c r="G164">
        <v>71808000</v>
      </c>
      <c r="H164">
        <f t="shared" si="8"/>
        <v>1998</v>
      </c>
      <c r="I164">
        <f t="shared" si="9"/>
        <v>1</v>
      </c>
      <c r="J164" t="str">
        <f t="shared" si="10"/>
        <v>Jan</v>
      </c>
      <c r="K164" t="str">
        <f t="shared" si="11"/>
        <v>Mon</v>
      </c>
    </row>
    <row r="165" spans="1:11" x14ac:dyDescent="0.35">
      <c r="A165" s="1">
        <v>35801</v>
      </c>
      <c r="B165">
        <v>0.234896004199981</v>
      </c>
      <c r="C165">
        <v>0.24375000596046401</v>
      </c>
      <c r="D165">
        <v>0.23333300650119701</v>
      </c>
      <c r="E165">
        <v>0.24192699790000899</v>
      </c>
      <c r="F165">
        <v>0.24192699790000899</v>
      </c>
      <c r="G165">
        <v>83496000</v>
      </c>
      <c r="H165">
        <f t="shared" si="8"/>
        <v>1998</v>
      </c>
      <c r="I165">
        <f t="shared" si="9"/>
        <v>1</v>
      </c>
      <c r="J165" t="str">
        <f t="shared" si="10"/>
        <v>Jan</v>
      </c>
      <c r="K165" t="str">
        <f t="shared" si="11"/>
        <v>Tue</v>
      </c>
    </row>
    <row r="166" spans="1:11" x14ac:dyDescent="0.35">
      <c r="A166" s="1">
        <v>35802</v>
      </c>
      <c r="B166">
        <v>0.24166700243949801</v>
      </c>
      <c r="C166">
        <v>0.24166700243949801</v>
      </c>
      <c r="D166">
        <v>0.23463499546051</v>
      </c>
      <c r="E166">
        <v>0.239062994718551</v>
      </c>
      <c r="F166">
        <v>0.239062994718551</v>
      </c>
      <c r="G166">
        <v>54504000</v>
      </c>
      <c r="H166">
        <f t="shared" si="8"/>
        <v>1998</v>
      </c>
      <c r="I166">
        <f t="shared" si="9"/>
        <v>1</v>
      </c>
      <c r="J166" t="str">
        <f t="shared" si="10"/>
        <v>Jan</v>
      </c>
      <c r="K166" t="str">
        <f t="shared" si="11"/>
        <v>Wed</v>
      </c>
    </row>
    <row r="167" spans="1:11" x14ac:dyDescent="0.35">
      <c r="A167" s="1">
        <v>35803</v>
      </c>
      <c r="B167">
        <v>0.234896004199981</v>
      </c>
      <c r="C167">
        <v>0.235155999660491</v>
      </c>
      <c r="D167">
        <v>0.22656300663948001</v>
      </c>
      <c r="E167">
        <v>0.23072899878024999</v>
      </c>
      <c r="F167">
        <v>0.23072899878024999</v>
      </c>
      <c r="G167">
        <v>120312000</v>
      </c>
      <c r="H167">
        <f t="shared" si="8"/>
        <v>1998</v>
      </c>
      <c r="I167">
        <f t="shared" si="9"/>
        <v>1</v>
      </c>
      <c r="J167" t="str">
        <f t="shared" si="10"/>
        <v>Jan</v>
      </c>
      <c r="K167" t="str">
        <f t="shared" si="11"/>
        <v>Thu</v>
      </c>
    </row>
    <row r="168" spans="1:11" x14ac:dyDescent="0.35">
      <c r="A168" s="1">
        <v>35804</v>
      </c>
      <c r="B168">
        <v>0.23333300650119701</v>
      </c>
      <c r="C168">
        <v>0.23333300650119701</v>
      </c>
      <c r="D168">
        <v>0.21145799756050099</v>
      </c>
      <c r="E168">
        <v>0.213020995259284</v>
      </c>
      <c r="F168">
        <v>0.213020995259284</v>
      </c>
      <c r="G168">
        <v>132864000</v>
      </c>
      <c r="H168">
        <f t="shared" si="8"/>
        <v>1998</v>
      </c>
      <c r="I168">
        <f t="shared" si="9"/>
        <v>1</v>
      </c>
      <c r="J168" t="str">
        <f t="shared" si="10"/>
        <v>Jan</v>
      </c>
      <c r="K168" t="str">
        <f t="shared" si="11"/>
        <v>Fri</v>
      </c>
    </row>
    <row r="169" spans="1:11" x14ac:dyDescent="0.35">
      <c r="A169" s="1">
        <v>35807</v>
      </c>
      <c r="B169">
        <v>0.208333000540733</v>
      </c>
      <c r="C169">
        <v>0.219271004199981</v>
      </c>
      <c r="D169">
        <v>0.207292005419731</v>
      </c>
      <c r="E169">
        <v>0.21510399878024999</v>
      </c>
      <c r="F169">
        <v>0.21510399878024999</v>
      </c>
      <c r="G169">
        <v>148032000</v>
      </c>
      <c r="H169">
        <f t="shared" si="8"/>
        <v>1998</v>
      </c>
      <c r="I169">
        <f t="shared" si="9"/>
        <v>1</v>
      </c>
      <c r="J169" t="str">
        <f t="shared" si="10"/>
        <v>Jan</v>
      </c>
      <c r="K169" t="str">
        <f t="shared" si="11"/>
        <v>Mon</v>
      </c>
    </row>
    <row r="170" spans="1:11" x14ac:dyDescent="0.35">
      <c r="A170" s="1">
        <v>35808</v>
      </c>
      <c r="B170">
        <v>0.217188000679016</v>
      </c>
      <c r="C170">
        <v>0.23333300650119701</v>
      </c>
      <c r="D170">
        <v>0.21614600718021301</v>
      </c>
      <c r="E170">
        <v>0.23229199647903401</v>
      </c>
      <c r="F170">
        <v>0.23229199647903401</v>
      </c>
      <c r="G170">
        <v>146424000</v>
      </c>
      <c r="H170">
        <f t="shared" si="8"/>
        <v>1998</v>
      </c>
      <c r="I170">
        <f t="shared" si="9"/>
        <v>1</v>
      </c>
      <c r="J170" t="str">
        <f t="shared" si="10"/>
        <v>Jan</v>
      </c>
      <c r="K170" t="str">
        <f t="shared" si="11"/>
        <v>Tue</v>
      </c>
    </row>
    <row r="171" spans="1:11" x14ac:dyDescent="0.35">
      <c r="A171" s="1">
        <v>35809</v>
      </c>
      <c r="B171">
        <v>0.232813000679016</v>
      </c>
      <c r="C171">
        <v>0.24375000596046401</v>
      </c>
      <c r="D171">
        <v>0.23125000298023199</v>
      </c>
      <c r="E171">
        <v>0.24375000596046401</v>
      </c>
      <c r="F171">
        <v>0.24375000596046401</v>
      </c>
      <c r="G171">
        <v>170112000</v>
      </c>
      <c r="H171">
        <f t="shared" si="8"/>
        <v>1998</v>
      </c>
      <c r="I171">
        <f t="shared" si="9"/>
        <v>1</v>
      </c>
      <c r="J171" t="str">
        <f t="shared" si="10"/>
        <v>Jan</v>
      </c>
      <c r="K171" t="str">
        <f t="shared" si="11"/>
        <v>Wed</v>
      </c>
    </row>
    <row r="172" spans="1:11" x14ac:dyDescent="0.35">
      <c r="A172" s="1">
        <v>35810</v>
      </c>
      <c r="B172">
        <v>0.239583000540733</v>
      </c>
      <c r="C172">
        <v>0.25052100419998102</v>
      </c>
      <c r="D172">
        <v>0.239583000540733</v>
      </c>
      <c r="E172">
        <v>0.24765600264072399</v>
      </c>
      <c r="F172">
        <v>0.24765600264072399</v>
      </c>
      <c r="G172">
        <v>120288000</v>
      </c>
      <c r="H172">
        <f t="shared" si="8"/>
        <v>1998</v>
      </c>
      <c r="I172">
        <f t="shared" si="9"/>
        <v>1</v>
      </c>
      <c r="J172" t="str">
        <f t="shared" si="10"/>
        <v>Jan</v>
      </c>
      <c r="K172" t="str">
        <f t="shared" si="11"/>
        <v>Thu</v>
      </c>
    </row>
    <row r="173" spans="1:11" x14ac:dyDescent="0.35">
      <c r="A173" s="1">
        <v>35811</v>
      </c>
      <c r="B173">
        <v>0.24791699647903401</v>
      </c>
      <c r="C173">
        <v>0.24895800650119701</v>
      </c>
      <c r="D173">
        <v>0.238542005419731</v>
      </c>
      <c r="E173">
        <v>0.239583000540733</v>
      </c>
      <c r="F173">
        <v>0.239583000540733</v>
      </c>
      <c r="G173">
        <v>51264000</v>
      </c>
      <c r="H173">
        <f t="shared" si="8"/>
        <v>1998</v>
      </c>
      <c r="I173">
        <f t="shared" si="9"/>
        <v>1</v>
      </c>
      <c r="J173" t="str">
        <f t="shared" si="10"/>
        <v>Jan</v>
      </c>
      <c r="K173" t="str">
        <f t="shared" si="11"/>
        <v>Fri</v>
      </c>
    </row>
    <row r="174" spans="1:11" x14ac:dyDescent="0.35">
      <c r="A174" s="1">
        <v>35815</v>
      </c>
      <c r="B174">
        <v>0.24114599823951699</v>
      </c>
      <c r="C174">
        <v>0.25052100419998102</v>
      </c>
      <c r="D174">
        <v>0.240624994039535</v>
      </c>
      <c r="E174">
        <v>0.24765600264072399</v>
      </c>
      <c r="F174">
        <v>0.24765600264072399</v>
      </c>
      <c r="G174">
        <v>109344000</v>
      </c>
      <c r="H174">
        <f t="shared" si="8"/>
        <v>1998</v>
      </c>
      <c r="I174">
        <f t="shared" si="9"/>
        <v>1</v>
      </c>
      <c r="J174" t="str">
        <f t="shared" si="10"/>
        <v>Jan</v>
      </c>
      <c r="K174" t="str">
        <f t="shared" si="11"/>
        <v>Tue</v>
      </c>
    </row>
    <row r="175" spans="1:11" x14ac:dyDescent="0.35">
      <c r="A175" s="1">
        <v>35816</v>
      </c>
      <c r="B175">
        <v>0.24687500298023199</v>
      </c>
      <c r="C175">
        <v>0.25833299756050099</v>
      </c>
      <c r="D175">
        <v>0.24375000596046401</v>
      </c>
      <c r="E175">
        <v>0.25364598631858798</v>
      </c>
      <c r="F175">
        <v>0.25364598631858798</v>
      </c>
      <c r="G175">
        <v>174768000</v>
      </c>
      <c r="H175">
        <f t="shared" si="8"/>
        <v>1998</v>
      </c>
      <c r="I175">
        <f t="shared" si="9"/>
        <v>1</v>
      </c>
      <c r="J175" t="str">
        <f t="shared" si="10"/>
        <v>Jan</v>
      </c>
      <c r="K175" t="str">
        <f t="shared" si="11"/>
        <v>Wed</v>
      </c>
    </row>
    <row r="176" spans="1:11" x14ac:dyDescent="0.35">
      <c r="A176" s="1">
        <v>35817</v>
      </c>
      <c r="B176">
        <v>0.25364598631858798</v>
      </c>
      <c r="C176">
        <v>0.26354199647903398</v>
      </c>
      <c r="D176">
        <v>0.25104200839996299</v>
      </c>
      <c r="E176">
        <v>0.25677099823951699</v>
      </c>
      <c r="F176">
        <v>0.25677099823951699</v>
      </c>
      <c r="G176">
        <v>189432000</v>
      </c>
      <c r="H176">
        <f t="shared" si="8"/>
        <v>1998</v>
      </c>
      <c r="I176">
        <f t="shared" si="9"/>
        <v>1</v>
      </c>
      <c r="J176" t="str">
        <f t="shared" si="10"/>
        <v>Jan</v>
      </c>
      <c r="K176" t="str">
        <f t="shared" si="11"/>
        <v>Thu</v>
      </c>
    </row>
    <row r="177" spans="1:11" x14ac:dyDescent="0.35">
      <c r="A177" s="1">
        <v>35818</v>
      </c>
      <c r="B177">
        <v>0.26718801259994501</v>
      </c>
      <c r="C177">
        <v>0.26718801259994501</v>
      </c>
      <c r="D177">
        <v>0.24687500298023199</v>
      </c>
      <c r="E177">
        <v>0.24687500298023199</v>
      </c>
      <c r="F177">
        <v>0.24687500298023199</v>
      </c>
      <c r="G177">
        <v>182376000</v>
      </c>
      <c r="H177">
        <f t="shared" si="8"/>
        <v>1998</v>
      </c>
      <c r="I177">
        <f t="shared" si="9"/>
        <v>1</v>
      </c>
      <c r="J177" t="str">
        <f t="shared" si="10"/>
        <v>Jan</v>
      </c>
      <c r="K177" t="str">
        <f t="shared" si="11"/>
        <v>Fri</v>
      </c>
    </row>
    <row r="178" spans="1:11" x14ac:dyDescent="0.35">
      <c r="A178" s="1">
        <v>35821</v>
      </c>
      <c r="B178">
        <v>0.24895800650119701</v>
      </c>
      <c r="C178">
        <v>0.24947899580001801</v>
      </c>
      <c r="D178">
        <v>0.23697899281978599</v>
      </c>
      <c r="E178">
        <v>0.240624994039535</v>
      </c>
      <c r="F178">
        <v>0.240624994039535</v>
      </c>
      <c r="G178">
        <v>94248000</v>
      </c>
      <c r="H178">
        <f t="shared" si="8"/>
        <v>1998</v>
      </c>
      <c r="I178">
        <f t="shared" si="9"/>
        <v>1</v>
      </c>
      <c r="J178" t="str">
        <f t="shared" si="10"/>
        <v>Jan</v>
      </c>
      <c r="K178" t="str">
        <f t="shared" si="11"/>
        <v>Mon</v>
      </c>
    </row>
    <row r="179" spans="1:11" x14ac:dyDescent="0.35">
      <c r="A179" s="1">
        <v>35822</v>
      </c>
      <c r="B179">
        <v>0.240885004401206</v>
      </c>
      <c r="C179">
        <v>0.24322900176048201</v>
      </c>
      <c r="D179">
        <v>0.23333300650119701</v>
      </c>
      <c r="E179">
        <v>0.23749999701976701</v>
      </c>
      <c r="F179">
        <v>0.23749999701976701</v>
      </c>
      <c r="G179">
        <v>82080000</v>
      </c>
      <c r="H179">
        <f t="shared" si="8"/>
        <v>1998</v>
      </c>
      <c r="I179">
        <f t="shared" si="9"/>
        <v>1</v>
      </c>
      <c r="J179" t="str">
        <f t="shared" si="10"/>
        <v>Jan</v>
      </c>
      <c r="K179" t="str">
        <f t="shared" si="11"/>
        <v>Tue</v>
      </c>
    </row>
    <row r="180" spans="1:11" x14ac:dyDescent="0.35">
      <c r="A180" s="1">
        <v>35823</v>
      </c>
      <c r="B180">
        <v>0.23749999701976701</v>
      </c>
      <c r="C180">
        <v>0.24166700243949801</v>
      </c>
      <c r="D180">
        <v>0.23125000298023199</v>
      </c>
      <c r="E180">
        <v>0.238542005419731</v>
      </c>
      <c r="F180">
        <v>0.238542005419731</v>
      </c>
      <c r="G180">
        <v>105864000</v>
      </c>
      <c r="H180">
        <f t="shared" si="8"/>
        <v>1998</v>
      </c>
      <c r="I180">
        <f t="shared" si="9"/>
        <v>1</v>
      </c>
      <c r="J180" t="str">
        <f t="shared" si="10"/>
        <v>Jan</v>
      </c>
      <c r="K180" t="str">
        <f t="shared" si="11"/>
        <v>Wed</v>
      </c>
    </row>
    <row r="181" spans="1:11" x14ac:dyDescent="0.35">
      <c r="A181" s="1">
        <v>35824</v>
      </c>
      <c r="B181">
        <v>0.239583000540733</v>
      </c>
      <c r="C181">
        <v>0.24947899580001801</v>
      </c>
      <c r="D181">
        <v>0.239062994718551</v>
      </c>
      <c r="E181">
        <v>0.24791699647903401</v>
      </c>
      <c r="F181">
        <v>0.24791699647903401</v>
      </c>
      <c r="G181">
        <v>96720000</v>
      </c>
      <c r="H181">
        <f t="shared" si="8"/>
        <v>1998</v>
      </c>
      <c r="I181">
        <f t="shared" si="9"/>
        <v>1</v>
      </c>
      <c r="J181" t="str">
        <f t="shared" si="10"/>
        <v>Jan</v>
      </c>
      <c r="K181" t="str">
        <f t="shared" si="11"/>
        <v>Thu</v>
      </c>
    </row>
    <row r="182" spans="1:11" x14ac:dyDescent="0.35">
      <c r="A182" s="1">
        <v>35825</v>
      </c>
      <c r="B182">
        <v>0.25</v>
      </c>
      <c r="C182">
        <v>0.25312501192092801</v>
      </c>
      <c r="D182">
        <v>0.244270995259284</v>
      </c>
      <c r="E182">
        <v>0.245832994580268</v>
      </c>
      <c r="F182">
        <v>0.245832994580268</v>
      </c>
      <c r="G182">
        <v>74448000</v>
      </c>
      <c r="H182">
        <f t="shared" si="8"/>
        <v>1998</v>
      </c>
      <c r="I182">
        <f t="shared" si="9"/>
        <v>1</v>
      </c>
      <c r="J182" t="str">
        <f t="shared" si="10"/>
        <v>Jan</v>
      </c>
      <c r="K182" t="str">
        <f t="shared" si="11"/>
        <v>Fri</v>
      </c>
    </row>
    <row r="183" spans="1:11" x14ac:dyDescent="0.35">
      <c r="A183" s="1">
        <v>35828</v>
      </c>
      <c r="B183">
        <v>0.24739600718021301</v>
      </c>
      <c r="C183">
        <v>0.26041701436042702</v>
      </c>
      <c r="D183">
        <v>0.24687500298023199</v>
      </c>
      <c r="E183">
        <v>0.259896010160446</v>
      </c>
      <c r="F183">
        <v>0.259896010160446</v>
      </c>
      <c r="G183">
        <v>138264000</v>
      </c>
      <c r="H183">
        <f t="shared" si="8"/>
        <v>1998</v>
      </c>
      <c r="I183">
        <f t="shared" si="9"/>
        <v>2</v>
      </c>
      <c r="J183" t="str">
        <f t="shared" si="10"/>
        <v>Feb</v>
      </c>
      <c r="K183" t="str">
        <f t="shared" si="11"/>
        <v>Mon</v>
      </c>
    </row>
    <row r="184" spans="1:11" x14ac:dyDescent="0.35">
      <c r="A184" s="1">
        <v>35829</v>
      </c>
      <c r="B184">
        <v>0.25937500596046398</v>
      </c>
      <c r="C184">
        <v>0.26249998807907099</v>
      </c>
      <c r="D184">
        <v>0.25468799471855103</v>
      </c>
      <c r="E184">
        <v>0.25755199790000899</v>
      </c>
      <c r="F184">
        <v>0.25755199790000899</v>
      </c>
      <c r="G184">
        <v>88584000</v>
      </c>
      <c r="H184">
        <f t="shared" si="8"/>
        <v>1998</v>
      </c>
      <c r="I184">
        <f t="shared" si="9"/>
        <v>2</v>
      </c>
      <c r="J184" t="str">
        <f t="shared" si="10"/>
        <v>Feb</v>
      </c>
      <c r="K184" t="str">
        <f t="shared" si="11"/>
        <v>Tue</v>
      </c>
    </row>
    <row r="185" spans="1:11" x14ac:dyDescent="0.35">
      <c r="A185" s="1">
        <v>35830</v>
      </c>
      <c r="B185">
        <v>0.25312501192092801</v>
      </c>
      <c r="C185">
        <v>0.25937500596046398</v>
      </c>
      <c r="D185">
        <v>0.25260400772094699</v>
      </c>
      <c r="E185">
        <v>0.25312501192092801</v>
      </c>
      <c r="F185">
        <v>0.25312501192092801</v>
      </c>
      <c r="G185">
        <v>24696000</v>
      </c>
      <c r="H185">
        <f t="shared" si="8"/>
        <v>1998</v>
      </c>
      <c r="I185">
        <f t="shared" si="9"/>
        <v>2</v>
      </c>
      <c r="J185" t="str">
        <f t="shared" si="10"/>
        <v>Feb</v>
      </c>
      <c r="K185" t="str">
        <f t="shared" si="11"/>
        <v>Wed</v>
      </c>
    </row>
    <row r="186" spans="1:11" x14ac:dyDescent="0.35">
      <c r="A186" s="1">
        <v>35831</v>
      </c>
      <c r="B186">
        <v>0.255728989839553</v>
      </c>
      <c r="C186">
        <v>0.255728989839553</v>
      </c>
      <c r="D186">
        <v>0.24375000596046401</v>
      </c>
      <c r="E186">
        <v>0.24687500298023199</v>
      </c>
      <c r="F186">
        <v>0.24687500298023199</v>
      </c>
      <c r="G186">
        <v>116640000</v>
      </c>
      <c r="H186">
        <f t="shared" si="8"/>
        <v>1998</v>
      </c>
      <c r="I186">
        <f t="shared" si="9"/>
        <v>2</v>
      </c>
      <c r="J186" t="str">
        <f t="shared" si="10"/>
        <v>Feb</v>
      </c>
      <c r="K186" t="str">
        <f t="shared" si="11"/>
        <v>Thu</v>
      </c>
    </row>
    <row r="187" spans="1:11" x14ac:dyDescent="0.35">
      <c r="A187" s="1">
        <v>35832</v>
      </c>
      <c r="B187">
        <v>0.24635399878024999</v>
      </c>
      <c r="C187">
        <v>0.25104200839996299</v>
      </c>
      <c r="D187">
        <v>0.24375000596046401</v>
      </c>
      <c r="E187">
        <v>0.24531300365924799</v>
      </c>
      <c r="F187">
        <v>0.24531300365924799</v>
      </c>
      <c r="G187">
        <v>42456000</v>
      </c>
      <c r="H187">
        <f t="shared" si="8"/>
        <v>1998</v>
      </c>
      <c r="I187">
        <f t="shared" si="9"/>
        <v>2</v>
      </c>
      <c r="J187" t="str">
        <f t="shared" si="10"/>
        <v>Feb</v>
      </c>
      <c r="K187" t="str">
        <f t="shared" si="11"/>
        <v>Fri</v>
      </c>
    </row>
    <row r="188" spans="1:11" x14ac:dyDescent="0.35">
      <c r="A188" s="1">
        <v>35835</v>
      </c>
      <c r="B188">
        <v>0.245832994580268</v>
      </c>
      <c r="C188">
        <v>0.24791699647903401</v>
      </c>
      <c r="D188">
        <v>0.238542005419731</v>
      </c>
      <c r="E188">
        <v>0.24270799756050099</v>
      </c>
      <c r="F188">
        <v>0.24270799756050099</v>
      </c>
      <c r="G188">
        <v>52536000</v>
      </c>
      <c r="H188">
        <f t="shared" si="8"/>
        <v>1998</v>
      </c>
      <c r="I188">
        <f t="shared" si="9"/>
        <v>2</v>
      </c>
      <c r="J188" t="str">
        <f t="shared" si="10"/>
        <v>Feb</v>
      </c>
      <c r="K188" t="str">
        <f t="shared" si="11"/>
        <v>Mon</v>
      </c>
    </row>
    <row r="189" spans="1:11" x14ac:dyDescent="0.35">
      <c r="A189" s="1">
        <v>35836</v>
      </c>
      <c r="B189">
        <v>0.24375000596046401</v>
      </c>
      <c r="C189">
        <v>0.26588499546050998</v>
      </c>
      <c r="D189">
        <v>0.24166700243949801</v>
      </c>
      <c r="E189">
        <v>0.26510399580001798</v>
      </c>
      <c r="F189">
        <v>0.26510399580001798</v>
      </c>
      <c r="G189">
        <v>245928000</v>
      </c>
      <c r="H189">
        <f t="shared" si="8"/>
        <v>1998</v>
      </c>
      <c r="I189">
        <f t="shared" si="9"/>
        <v>2</v>
      </c>
      <c r="J189" t="str">
        <f t="shared" si="10"/>
        <v>Feb</v>
      </c>
      <c r="K189" t="str">
        <f t="shared" si="11"/>
        <v>Tue</v>
      </c>
    </row>
    <row r="190" spans="1:11" x14ac:dyDescent="0.35">
      <c r="A190" s="1">
        <v>35837</v>
      </c>
      <c r="B190">
        <v>0.26458299160003601</v>
      </c>
      <c r="C190">
        <v>0.27317699790000899</v>
      </c>
      <c r="D190">
        <v>0.264063000679016</v>
      </c>
      <c r="E190">
        <v>0.26458299160003601</v>
      </c>
      <c r="F190">
        <v>0.26458299160003601</v>
      </c>
      <c r="G190">
        <v>129480000</v>
      </c>
      <c r="H190">
        <f t="shared" si="8"/>
        <v>1998</v>
      </c>
      <c r="I190">
        <f t="shared" si="9"/>
        <v>2</v>
      </c>
      <c r="J190" t="str">
        <f t="shared" si="10"/>
        <v>Feb</v>
      </c>
      <c r="K190" t="str">
        <f t="shared" si="11"/>
        <v>Wed</v>
      </c>
    </row>
    <row r="191" spans="1:11" x14ac:dyDescent="0.35">
      <c r="A191" s="1">
        <v>35838</v>
      </c>
      <c r="B191">
        <v>0.26354199647903398</v>
      </c>
      <c r="C191">
        <v>0.26510399580001798</v>
      </c>
      <c r="D191">
        <v>0.25937500596046398</v>
      </c>
      <c r="E191">
        <v>0.26302099227905201</v>
      </c>
      <c r="F191">
        <v>0.26302099227905201</v>
      </c>
      <c r="G191">
        <v>60720000</v>
      </c>
      <c r="H191">
        <f t="shared" si="8"/>
        <v>1998</v>
      </c>
      <c r="I191">
        <f t="shared" si="9"/>
        <v>2</v>
      </c>
      <c r="J191" t="str">
        <f t="shared" si="10"/>
        <v>Feb</v>
      </c>
      <c r="K191" t="str">
        <f t="shared" si="11"/>
        <v>Thu</v>
      </c>
    </row>
    <row r="192" spans="1:11" x14ac:dyDescent="0.35">
      <c r="A192" s="1">
        <v>35839</v>
      </c>
      <c r="B192">
        <v>0.26249998807907099</v>
      </c>
      <c r="C192">
        <v>0.26354199647903398</v>
      </c>
      <c r="D192">
        <v>0.25729200243949801</v>
      </c>
      <c r="E192">
        <v>0.25937500596046398</v>
      </c>
      <c r="F192">
        <v>0.25937500596046398</v>
      </c>
      <c r="G192">
        <v>168408000</v>
      </c>
      <c r="H192">
        <f t="shared" si="8"/>
        <v>1998</v>
      </c>
      <c r="I192">
        <f t="shared" si="9"/>
        <v>2</v>
      </c>
      <c r="J192" t="str">
        <f t="shared" si="10"/>
        <v>Feb</v>
      </c>
      <c r="K192" t="str">
        <f t="shared" si="11"/>
        <v>Fri</v>
      </c>
    </row>
    <row r="193" spans="1:11" x14ac:dyDescent="0.35">
      <c r="A193" s="1">
        <v>35843</v>
      </c>
      <c r="B193">
        <v>0.26093798875808699</v>
      </c>
      <c r="C193">
        <v>0.26093798875808699</v>
      </c>
      <c r="D193">
        <v>0.25364598631858798</v>
      </c>
      <c r="E193">
        <v>0.25729200243949801</v>
      </c>
      <c r="F193">
        <v>0.25729200243949801</v>
      </c>
      <c r="G193">
        <v>47520000</v>
      </c>
      <c r="H193">
        <f t="shared" si="8"/>
        <v>1998</v>
      </c>
      <c r="I193">
        <f t="shared" si="9"/>
        <v>2</v>
      </c>
      <c r="J193" t="str">
        <f t="shared" si="10"/>
        <v>Feb</v>
      </c>
      <c r="K193" t="str">
        <f t="shared" si="11"/>
        <v>Tue</v>
      </c>
    </row>
    <row r="194" spans="1:11" x14ac:dyDescent="0.35">
      <c r="A194" s="1">
        <v>35844</v>
      </c>
      <c r="B194">
        <v>0.25729200243949801</v>
      </c>
      <c r="C194">
        <v>0.25729200243949801</v>
      </c>
      <c r="D194">
        <v>0.25260400772094699</v>
      </c>
      <c r="E194">
        <v>0.25364598631858798</v>
      </c>
      <c r="F194">
        <v>0.25364598631858798</v>
      </c>
      <c r="G194">
        <v>59424000</v>
      </c>
      <c r="H194">
        <f t="shared" si="8"/>
        <v>1998</v>
      </c>
      <c r="I194">
        <f t="shared" si="9"/>
        <v>2</v>
      </c>
      <c r="J194" t="str">
        <f t="shared" si="10"/>
        <v>Feb</v>
      </c>
      <c r="K194" t="str">
        <f t="shared" si="11"/>
        <v>Wed</v>
      </c>
    </row>
    <row r="195" spans="1:11" x14ac:dyDescent="0.35">
      <c r="A195" s="1">
        <v>35845</v>
      </c>
      <c r="B195">
        <v>0.25546899437904302</v>
      </c>
      <c r="C195">
        <v>0.26458299160003601</v>
      </c>
      <c r="D195">
        <v>0.254166990518569</v>
      </c>
      <c r="E195">
        <v>0.26145800948143</v>
      </c>
      <c r="F195">
        <v>0.26145800948143</v>
      </c>
      <c r="G195">
        <v>88728000</v>
      </c>
      <c r="H195">
        <f t="shared" si="8"/>
        <v>1998</v>
      </c>
      <c r="I195">
        <f t="shared" si="9"/>
        <v>2</v>
      </c>
      <c r="J195" t="str">
        <f t="shared" si="10"/>
        <v>Feb</v>
      </c>
      <c r="K195" t="str">
        <f t="shared" si="11"/>
        <v>Thu</v>
      </c>
    </row>
    <row r="196" spans="1:11" x14ac:dyDescent="0.35">
      <c r="A196" s="1">
        <v>35846</v>
      </c>
      <c r="B196">
        <v>0.26145800948143</v>
      </c>
      <c r="C196">
        <v>0.26458299160003601</v>
      </c>
      <c r="D196">
        <v>0.255728989839553</v>
      </c>
      <c r="E196">
        <v>0.26354199647903398</v>
      </c>
      <c r="F196">
        <v>0.26354199647903398</v>
      </c>
      <c r="G196">
        <v>54072000</v>
      </c>
      <c r="H196">
        <f t="shared" ref="H196:H259" si="12">YEAR($A196)</f>
        <v>1998</v>
      </c>
      <c r="I196">
        <f t="shared" ref="I196:I259" si="13">MONTH($A196)</f>
        <v>2</v>
      </c>
      <c r="J196" t="str">
        <f t="shared" ref="J196:J259" si="14">TEXT($A196,"mmm")</f>
        <v>Feb</v>
      </c>
      <c r="K196" t="str">
        <f t="shared" ref="K196:K259" si="15">TEXT($A196,"ddd")</f>
        <v>Fri</v>
      </c>
    </row>
    <row r="197" spans="1:11" x14ac:dyDescent="0.35">
      <c r="A197" s="1">
        <v>35849</v>
      </c>
      <c r="B197">
        <v>0.26458299160003601</v>
      </c>
      <c r="C197">
        <v>0.27083298563957198</v>
      </c>
      <c r="D197">
        <v>0.26041701436042702</v>
      </c>
      <c r="E197">
        <v>0.27031299471855103</v>
      </c>
      <c r="F197">
        <v>0.27031299471855103</v>
      </c>
      <c r="G197">
        <v>79560000</v>
      </c>
      <c r="H197">
        <f t="shared" si="12"/>
        <v>1998</v>
      </c>
      <c r="I197">
        <f t="shared" si="13"/>
        <v>2</v>
      </c>
      <c r="J197" t="str">
        <f t="shared" si="14"/>
        <v>Feb</v>
      </c>
      <c r="K197" t="str">
        <f t="shared" si="15"/>
        <v>Mon</v>
      </c>
    </row>
    <row r="198" spans="1:11" x14ac:dyDescent="0.35">
      <c r="A198" s="1">
        <v>35850</v>
      </c>
      <c r="B198">
        <v>0.27083298563957198</v>
      </c>
      <c r="C198">
        <v>0.28385400772094699</v>
      </c>
      <c r="D198">
        <v>0.26770800352096502</v>
      </c>
      <c r="E198">
        <v>0.27031299471855103</v>
      </c>
      <c r="F198">
        <v>0.27031299471855103</v>
      </c>
      <c r="G198">
        <v>278904000</v>
      </c>
      <c r="H198">
        <f t="shared" si="12"/>
        <v>1998</v>
      </c>
      <c r="I198">
        <f t="shared" si="13"/>
        <v>2</v>
      </c>
      <c r="J198" t="str">
        <f t="shared" si="14"/>
        <v>Feb</v>
      </c>
      <c r="K198" t="str">
        <f t="shared" si="15"/>
        <v>Tue</v>
      </c>
    </row>
    <row r="199" spans="1:11" x14ac:dyDescent="0.35">
      <c r="A199" s="1">
        <v>35851</v>
      </c>
      <c r="B199">
        <v>0.27343800663947998</v>
      </c>
      <c r="C199">
        <v>0.27708300948143</v>
      </c>
      <c r="D199">
        <v>0.26302099227905201</v>
      </c>
      <c r="E199">
        <v>0.27447900176048201</v>
      </c>
      <c r="F199">
        <v>0.27447900176048201</v>
      </c>
      <c r="G199">
        <v>134904000</v>
      </c>
      <c r="H199">
        <f t="shared" si="12"/>
        <v>1998</v>
      </c>
      <c r="I199">
        <f t="shared" si="13"/>
        <v>2</v>
      </c>
      <c r="J199" t="str">
        <f t="shared" si="14"/>
        <v>Feb</v>
      </c>
      <c r="K199" t="str">
        <f t="shared" si="15"/>
        <v>Wed</v>
      </c>
    </row>
    <row r="200" spans="1:11" x14ac:dyDescent="0.35">
      <c r="A200" s="1">
        <v>35852</v>
      </c>
      <c r="B200">
        <v>0.27317699790000899</v>
      </c>
      <c r="C200">
        <v>0.30416700243949801</v>
      </c>
      <c r="D200">
        <v>0.27187499403953502</v>
      </c>
      <c r="E200">
        <v>0.30312499403953502</v>
      </c>
      <c r="F200">
        <v>0.30312499403953502</v>
      </c>
      <c r="G200">
        <v>307464000</v>
      </c>
      <c r="H200">
        <f t="shared" si="12"/>
        <v>1998</v>
      </c>
      <c r="I200">
        <f t="shared" si="13"/>
        <v>2</v>
      </c>
      <c r="J200" t="str">
        <f t="shared" si="14"/>
        <v>Feb</v>
      </c>
      <c r="K200" t="str">
        <f t="shared" si="15"/>
        <v>Thu</v>
      </c>
    </row>
    <row r="201" spans="1:11" x14ac:dyDescent="0.35">
      <c r="A201" s="1">
        <v>35853</v>
      </c>
      <c r="B201">
        <v>0.301041990518569</v>
      </c>
      <c r="C201">
        <v>0.33177098631858798</v>
      </c>
      <c r="D201">
        <v>0.29921901226043701</v>
      </c>
      <c r="E201">
        <v>0.32083299756050099</v>
      </c>
      <c r="F201">
        <v>0.32083299756050099</v>
      </c>
      <c r="G201">
        <v>494136000</v>
      </c>
      <c r="H201">
        <f t="shared" si="12"/>
        <v>1998</v>
      </c>
      <c r="I201">
        <f t="shared" si="13"/>
        <v>2</v>
      </c>
      <c r="J201" t="str">
        <f t="shared" si="14"/>
        <v>Feb</v>
      </c>
      <c r="K201" t="str">
        <f t="shared" si="15"/>
        <v>Fri</v>
      </c>
    </row>
    <row r="202" spans="1:11" x14ac:dyDescent="0.35">
      <c r="A202" s="1">
        <v>35856</v>
      </c>
      <c r="B202">
        <v>0.31614598631858798</v>
      </c>
      <c r="C202">
        <v>0.32187500596046398</v>
      </c>
      <c r="D202">
        <v>0.3125</v>
      </c>
      <c r="E202">
        <v>0.31770798563957198</v>
      </c>
      <c r="F202">
        <v>0.31770798563957198</v>
      </c>
      <c r="G202">
        <v>219144000</v>
      </c>
      <c r="H202">
        <f t="shared" si="12"/>
        <v>1998</v>
      </c>
      <c r="I202">
        <f t="shared" si="13"/>
        <v>3</v>
      </c>
      <c r="J202" t="str">
        <f t="shared" si="14"/>
        <v>Mar</v>
      </c>
      <c r="K202" t="str">
        <f t="shared" si="15"/>
        <v>Mon</v>
      </c>
    </row>
    <row r="203" spans="1:11" x14ac:dyDescent="0.35">
      <c r="A203" s="1">
        <v>35857</v>
      </c>
      <c r="B203">
        <v>0.31458300352096502</v>
      </c>
      <c r="C203">
        <v>0.31562501192092801</v>
      </c>
      <c r="D203">
        <v>0.29791700839996299</v>
      </c>
      <c r="E203">
        <v>0.29895800352096502</v>
      </c>
      <c r="F203">
        <v>0.29895800352096502</v>
      </c>
      <c r="G203">
        <v>160320000</v>
      </c>
      <c r="H203">
        <f t="shared" si="12"/>
        <v>1998</v>
      </c>
      <c r="I203">
        <f t="shared" si="13"/>
        <v>3</v>
      </c>
      <c r="J203" t="str">
        <f t="shared" si="14"/>
        <v>Mar</v>
      </c>
      <c r="K203" t="str">
        <f t="shared" si="15"/>
        <v>Tue</v>
      </c>
    </row>
    <row r="204" spans="1:11" x14ac:dyDescent="0.35">
      <c r="A204" s="1">
        <v>35858</v>
      </c>
      <c r="B204">
        <v>0.30000001192092801</v>
      </c>
      <c r="C204">
        <v>0.30937498807907099</v>
      </c>
      <c r="D204">
        <v>0.29166701436042702</v>
      </c>
      <c r="E204">
        <v>0.305990010499954</v>
      </c>
      <c r="F204">
        <v>0.305990010499954</v>
      </c>
      <c r="G204">
        <v>146280000</v>
      </c>
      <c r="H204">
        <f t="shared" si="12"/>
        <v>1998</v>
      </c>
      <c r="I204">
        <f t="shared" si="13"/>
        <v>3</v>
      </c>
      <c r="J204" t="str">
        <f t="shared" si="14"/>
        <v>Mar</v>
      </c>
      <c r="K204" t="str">
        <f t="shared" si="15"/>
        <v>Wed</v>
      </c>
    </row>
    <row r="205" spans="1:11" x14ac:dyDescent="0.35">
      <c r="A205" s="1">
        <v>35859</v>
      </c>
      <c r="B205">
        <v>0.29895800352096502</v>
      </c>
      <c r="C205">
        <v>0.32578098773956299</v>
      </c>
      <c r="D205">
        <v>0.296875</v>
      </c>
      <c r="E205">
        <v>0.3125</v>
      </c>
      <c r="F205">
        <v>0.3125</v>
      </c>
      <c r="G205">
        <v>240024000</v>
      </c>
      <c r="H205">
        <f t="shared" si="12"/>
        <v>1998</v>
      </c>
      <c r="I205">
        <f t="shared" si="13"/>
        <v>3</v>
      </c>
      <c r="J205" t="str">
        <f t="shared" si="14"/>
        <v>Mar</v>
      </c>
      <c r="K205" t="str">
        <f t="shared" si="15"/>
        <v>Thu</v>
      </c>
    </row>
    <row r="206" spans="1:11" x14ac:dyDescent="0.35">
      <c r="A206" s="1">
        <v>35860</v>
      </c>
      <c r="B206">
        <v>0.31510400772094699</v>
      </c>
      <c r="C206">
        <v>0.32083299756050099</v>
      </c>
      <c r="D206">
        <v>0.30729201436042702</v>
      </c>
      <c r="E206">
        <v>0.31979200243949801</v>
      </c>
      <c r="F206">
        <v>0.31979200243949801</v>
      </c>
      <c r="G206">
        <v>117744000</v>
      </c>
      <c r="H206">
        <f t="shared" si="12"/>
        <v>1998</v>
      </c>
      <c r="I206">
        <f t="shared" si="13"/>
        <v>3</v>
      </c>
      <c r="J206" t="str">
        <f t="shared" si="14"/>
        <v>Mar</v>
      </c>
      <c r="K206" t="str">
        <f t="shared" si="15"/>
        <v>Fri</v>
      </c>
    </row>
    <row r="207" spans="1:11" x14ac:dyDescent="0.35">
      <c r="A207" s="1">
        <v>35863</v>
      </c>
      <c r="B207">
        <v>0.32031300663947998</v>
      </c>
      <c r="C207">
        <v>0.35729199647903398</v>
      </c>
      <c r="D207">
        <v>0.31979200243949801</v>
      </c>
      <c r="E207">
        <v>0.347916990518569</v>
      </c>
      <c r="F207">
        <v>0.347916990518569</v>
      </c>
      <c r="G207">
        <v>461112000</v>
      </c>
      <c r="H207">
        <f t="shared" si="12"/>
        <v>1998</v>
      </c>
      <c r="I207">
        <f t="shared" si="13"/>
        <v>3</v>
      </c>
      <c r="J207" t="str">
        <f t="shared" si="14"/>
        <v>Mar</v>
      </c>
      <c r="K207" t="str">
        <f t="shared" si="15"/>
        <v>Mon</v>
      </c>
    </row>
    <row r="208" spans="1:11" x14ac:dyDescent="0.35">
      <c r="A208" s="1">
        <v>35864</v>
      </c>
      <c r="B208">
        <v>0.35624998807907099</v>
      </c>
      <c r="C208">
        <v>0.36770799756050099</v>
      </c>
      <c r="D208">
        <v>0.34531301259994501</v>
      </c>
      <c r="E208">
        <v>0.34628900885581898</v>
      </c>
      <c r="F208">
        <v>0.34628900885581898</v>
      </c>
      <c r="G208">
        <v>495000000</v>
      </c>
      <c r="H208">
        <f t="shared" si="12"/>
        <v>1998</v>
      </c>
      <c r="I208">
        <f t="shared" si="13"/>
        <v>3</v>
      </c>
      <c r="J208" t="str">
        <f t="shared" si="14"/>
        <v>Mar</v>
      </c>
      <c r="K208" t="str">
        <f t="shared" si="15"/>
        <v>Tue</v>
      </c>
    </row>
    <row r="209" spans="1:11" x14ac:dyDescent="0.35">
      <c r="A209" s="1">
        <v>35865</v>
      </c>
      <c r="B209">
        <v>0.34166699647903398</v>
      </c>
      <c r="C209">
        <v>0.34375</v>
      </c>
      <c r="D209">
        <v>0.32604199647903398</v>
      </c>
      <c r="E209">
        <v>0.33177098631858798</v>
      </c>
      <c r="F209">
        <v>0.33177098631858798</v>
      </c>
      <c r="G209">
        <v>246984000</v>
      </c>
      <c r="H209">
        <f t="shared" si="12"/>
        <v>1998</v>
      </c>
      <c r="I209">
        <f t="shared" si="13"/>
        <v>3</v>
      </c>
      <c r="J209" t="str">
        <f t="shared" si="14"/>
        <v>Mar</v>
      </c>
      <c r="K209" t="str">
        <f t="shared" si="15"/>
        <v>Wed</v>
      </c>
    </row>
    <row r="210" spans="1:11" x14ac:dyDescent="0.35">
      <c r="A210" s="1">
        <v>35866</v>
      </c>
      <c r="B210">
        <v>0.328125</v>
      </c>
      <c r="C210">
        <v>0.338021010160446</v>
      </c>
      <c r="D210">
        <v>0.32135400176048201</v>
      </c>
      <c r="E210">
        <v>0.32708299160003601</v>
      </c>
      <c r="F210">
        <v>0.32708299160003601</v>
      </c>
      <c r="G210">
        <v>195984000</v>
      </c>
      <c r="H210">
        <f t="shared" si="12"/>
        <v>1998</v>
      </c>
      <c r="I210">
        <f t="shared" si="13"/>
        <v>3</v>
      </c>
      <c r="J210" t="str">
        <f t="shared" si="14"/>
        <v>Mar</v>
      </c>
      <c r="K210" t="str">
        <f t="shared" si="15"/>
        <v>Thu</v>
      </c>
    </row>
    <row r="211" spans="1:11" x14ac:dyDescent="0.35">
      <c r="A211" s="1">
        <v>35867</v>
      </c>
      <c r="B211">
        <v>0.33177098631858798</v>
      </c>
      <c r="C211">
        <v>0.33697900176048201</v>
      </c>
      <c r="D211">
        <v>0.32395800948143</v>
      </c>
      <c r="E211">
        <v>0.32786500453948902</v>
      </c>
      <c r="F211">
        <v>0.32786500453948902</v>
      </c>
      <c r="G211">
        <v>130464000</v>
      </c>
      <c r="H211">
        <f t="shared" si="12"/>
        <v>1998</v>
      </c>
      <c r="I211">
        <f t="shared" si="13"/>
        <v>3</v>
      </c>
      <c r="J211" t="str">
        <f t="shared" si="14"/>
        <v>Mar</v>
      </c>
      <c r="K211" t="str">
        <f t="shared" si="15"/>
        <v>Fri</v>
      </c>
    </row>
    <row r="212" spans="1:11" x14ac:dyDescent="0.35">
      <c r="A212" s="1">
        <v>35870</v>
      </c>
      <c r="B212">
        <v>0.33151000738143899</v>
      </c>
      <c r="C212">
        <v>0.33645799756050099</v>
      </c>
      <c r="D212">
        <v>0.32916700839996299</v>
      </c>
      <c r="E212">
        <v>0.32916700839996299</v>
      </c>
      <c r="F212">
        <v>0.32916700839996299</v>
      </c>
      <c r="G212">
        <v>66240000</v>
      </c>
      <c r="H212">
        <f t="shared" si="12"/>
        <v>1998</v>
      </c>
      <c r="I212">
        <f t="shared" si="13"/>
        <v>3</v>
      </c>
      <c r="J212" t="str">
        <f t="shared" si="14"/>
        <v>Mar</v>
      </c>
      <c r="K212" t="str">
        <f t="shared" si="15"/>
        <v>Mon</v>
      </c>
    </row>
    <row r="213" spans="1:11" x14ac:dyDescent="0.35">
      <c r="A213" s="1">
        <v>35871</v>
      </c>
      <c r="B213">
        <v>0.332291990518569</v>
      </c>
      <c r="C213">
        <v>0.33437499403953502</v>
      </c>
      <c r="D213">
        <v>0.32447901368141102</v>
      </c>
      <c r="E213">
        <v>0.33281299471855103</v>
      </c>
      <c r="F213">
        <v>0.33281299471855103</v>
      </c>
      <c r="G213">
        <v>62016000</v>
      </c>
      <c r="H213">
        <f t="shared" si="12"/>
        <v>1998</v>
      </c>
      <c r="I213">
        <f t="shared" si="13"/>
        <v>3</v>
      </c>
      <c r="J213" t="str">
        <f t="shared" si="14"/>
        <v>Mar</v>
      </c>
      <c r="K213" t="str">
        <f t="shared" si="15"/>
        <v>Tue</v>
      </c>
    </row>
    <row r="214" spans="1:11" x14ac:dyDescent="0.35">
      <c r="A214" s="1">
        <v>35872</v>
      </c>
      <c r="B214">
        <v>0.33020800352096502</v>
      </c>
      <c r="C214">
        <v>0.35729199647903398</v>
      </c>
      <c r="D214">
        <v>0.33020800352096502</v>
      </c>
      <c r="E214">
        <v>0.35546898841857899</v>
      </c>
      <c r="F214">
        <v>0.35546898841857899</v>
      </c>
      <c r="G214">
        <v>273192000</v>
      </c>
      <c r="H214">
        <f t="shared" si="12"/>
        <v>1998</v>
      </c>
      <c r="I214">
        <f t="shared" si="13"/>
        <v>3</v>
      </c>
      <c r="J214" t="str">
        <f t="shared" si="14"/>
        <v>Mar</v>
      </c>
      <c r="K214" t="str">
        <f t="shared" si="15"/>
        <v>Wed</v>
      </c>
    </row>
    <row r="215" spans="1:11" x14ac:dyDescent="0.35">
      <c r="A215" s="1">
        <v>35873</v>
      </c>
      <c r="B215">
        <v>0.35572901368141102</v>
      </c>
      <c r="C215">
        <v>0.36458298563957198</v>
      </c>
      <c r="D215">
        <v>0.34895798563957198</v>
      </c>
      <c r="E215">
        <v>0.34999999403953502</v>
      </c>
      <c r="F215">
        <v>0.34999999403953502</v>
      </c>
      <c r="G215">
        <v>242304000</v>
      </c>
      <c r="H215">
        <f t="shared" si="12"/>
        <v>1998</v>
      </c>
      <c r="I215">
        <f t="shared" si="13"/>
        <v>3</v>
      </c>
      <c r="J215" t="str">
        <f t="shared" si="14"/>
        <v>Mar</v>
      </c>
      <c r="K215" t="str">
        <f t="shared" si="15"/>
        <v>Thu</v>
      </c>
    </row>
    <row r="216" spans="1:11" x14ac:dyDescent="0.35">
      <c r="A216" s="1">
        <v>35874</v>
      </c>
      <c r="B216">
        <v>0.34999999403953502</v>
      </c>
      <c r="C216">
        <v>0.353646010160446</v>
      </c>
      <c r="D216">
        <v>0.34635400772094699</v>
      </c>
      <c r="E216">
        <v>0.34999999403953502</v>
      </c>
      <c r="F216">
        <v>0.34999999403953502</v>
      </c>
      <c r="G216">
        <v>128256000</v>
      </c>
      <c r="H216">
        <f t="shared" si="12"/>
        <v>1998</v>
      </c>
      <c r="I216">
        <f t="shared" si="13"/>
        <v>3</v>
      </c>
      <c r="J216" t="str">
        <f t="shared" si="14"/>
        <v>Mar</v>
      </c>
      <c r="K216" t="str">
        <f t="shared" si="15"/>
        <v>Fri</v>
      </c>
    </row>
    <row r="217" spans="1:11" x14ac:dyDescent="0.35">
      <c r="A217" s="1">
        <v>35877</v>
      </c>
      <c r="B217">
        <v>0.34817698597907998</v>
      </c>
      <c r="C217">
        <v>0.35312500596046398</v>
      </c>
      <c r="D217">
        <v>0.34479200839996299</v>
      </c>
      <c r="E217">
        <v>0.34921899437904302</v>
      </c>
      <c r="F217">
        <v>0.34921899437904302</v>
      </c>
      <c r="G217">
        <v>60096000</v>
      </c>
      <c r="H217">
        <f t="shared" si="12"/>
        <v>1998</v>
      </c>
      <c r="I217">
        <f t="shared" si="13"/>
        <v>3</v>
      </c>
      <c r="J217" t="str">
        <f t="shared" si="14"/>
        <v>Mar</v>
      </c>
      <c r="K217" t="str">
        <f t="shared" si="15"/>
        <v>Mon</v>
      </c>
    </row>
    <row r="218" spans="1:11" x14ac:dyDescent="0.35">
      <c r="A218" s="1">
        <v>35878</v>
      </c>
      <c r="B218">
        <v>0.34375</v>
      </c>
      <c r="C218">
        <v>0.36145800352096502</v>
      </c>
      <c r="D218">
        <v>0.34375</v>
      </c>
      <c r="E218">
        <v>0.35104200243949801</v>
      </c>
      <c r="F218">
        <v>0.35104200243949801</v>
      </c>
      <c r="G218">
        <v>113616000</v>
      </c>
      <c r="H218">
        <f t="shared" si="12"/>
        <v>1998</v>
      </c>
      <c r="I218">
        <f t="shared" si="13"/>
        <v>3</v>
      </c>
      <c r="J218" t="str">
        <f t="shared" si="14"/>
        <v>Mar</v>
      </c>
      <c r="K218" t="str">
        <f t="shared" si="15"/>
        <v>Tue</v>
      </c>
    </row>
    <row r="219" spans="1:11" x14ac:dyDescent="0.35">
      <c r="A219" s="1">
        <v>35879</v>
      </c>
      <c r="B219">
        <v>0.35416701436042702</v>
      </c>
      <c r="C219">
        <v>0.35729199647903398</v>
      </c>
      <c r="D219">
        <v>0.33750000596046398</v>
      </c>
      <c r="E219">
        <v>0.34036499261856001</v>
      </c>
      <c r="F219">
        <v>0.34036499261856001</v>
      </c>
      <c r="G219">
        <v>225792000</v>
      </c>
      <c r="H219">
        <f t="shared" si="12"/>
        <v>1998</v>
      </c>
      <c r="I219">
        <f t="shared" si="13"/>
        <v>3</v>
      </c>
      <c r="J219" t="str">
        <f t="shared" si="14"/>
        <v>Mar</v>
      </c>
      <c r="K219" t="str">
        <f t="shared" si="15"/>
        <v>Wed</v>
      </c>
    </row>
    <row r="220" spans="1:11" x14ac:dyDescent="0.35">
      <c r="A220" s="1">
        <v>35880</v>
      </c>
      <c r="B220">
        <v>0.34062498807907099</v>
      </c>
      <c r="C220">
        <v>0.34895798563957198</v>
      </c>
      <c r="D220">
        <v>0.33125001192092801</v>
      </c>
      <c r="E220">
        <v>0.34479200839996299</v>
      </c>
      <c r="F220">
        <v>0.34479200839996299</v>
      </c>
      <c r="G220">
        <v>157560000</v>
      </c>
      <c r="H220">
        <f t="shared" si="12"/>
        <v>1998</v>
      </c>
      <c r="I220">
        <f t="shared" si="13"/>
        <v>3</v>
      </c>
      <c r="J220" t="str">
        <f t="shared" si="14"/>
        <v>Mar</v>
      </c>
      <c r="K220" t="str">
        <f t="shared" si="15"/>
        <v>Thu</v>
      </c>
    </row>
    <row r="221" spans="1:11" x14ac:dyDescent="0.35">
      <c r="A221" s="1">
        <v>35881</v>
      </c>
      <c r="B221">
        <v>0.35104200243949801</v>
      </c>
      <c r="C221">
        <v>0.36302098631858798</v>
      </c>
      <c r="D221">
        <v>0.34479200839996299</v>
      </c>
      <c r="E221">
        <v>0.35416701436042702</v>
      </c>
      <c r="F221">
        <v>0.35416701436042702</v>
      </c>
      <c r="G221">
        <v>152928000</v>
      </c>
      <c r="H221">
        <f t="shared" si="12"/>
        <v>1998</v>
      </c>
      <c r="I221">
        <f t="shared" si="13"/>
        <v>3</v>
      </c>
      <c r="J221" t="str">
        <f t="shared" si="14"/>
        <v>Mar</v>
      </c>
      <c r="K221" t="str">
        <f t="shared" si="15"/>
        <v>Fri</v>
      </c>
    </row>
    <row r="222" spans="1:11" x14ac:dyDescent="0.35">
      <c r="A222" s="1">
        <v>35884</v>
      </c>
      <c r="B222">
        <v>0.357813000679016</v>
      </c>
      <c r="C222">
        <v>0.36458298563957198</v>
      </c>
      <c r="D222">
        <v>0.35468798875808699</v>
      </c>
      <c r="E222">
        <v>0.357813000679016</v>
      </c>
      <c r="F222">
        <v>0.357813000679016</v>
      </c>
      <c r="G222">
        <v>110016000</v>
      </c>
      <c r="H222">
        <f t="shared" si="12"/>
        <v>1998</v>
      </c>
      <c r="I222">
        <f t="shared" si="13"/>
        <v>3</v>
      </c>
      <c r="J222" t="str">
        <f t="shared" si="14"/>
        <v>Mar</v>
      </c>
      <c r="K222" t="str">
        <f t="shared" si="15"/>
        <v>Mon</v>
      </c>
    </row>
    <row r="223" spans="1:11" x14ac:dyDescent="0.35">
      <c r="A223" s="1">
        <v>35885</v>
      </c>
      <c r="B223">
        <v>0.35572901368141102</v>
      </c>
      <c r="C223">
        <v>0.36041700839996299</v>
      </c>
      <c r="D223">
        <v>0.34895798563957198</v>
      </c>
      <c r="E223">
        <v>0.35637998580932601</v>
      </c>
      <c r="F223">
        <v>0.35637998580932601</v>
      </c>
      <c r="G223">
        <v>131304000</v>
      </c>
      <c r="H223">
        <f t="shared" si="12"/>
        <v>1998</v>
      </c>
      <c r="I223">
        <f t="shared" si="13"/>
        <v>3</v>
      </c>
      <c r="J223" t="str">
        <f t="shared" si="14"/>
        <v>Mar</v>
      </c>
      <c r="K223" t="str">
        <f t="shared" si="15"/>
        <v>Tue</v>
      </c>
    </row>
    <row r="224" spans="1:11" x14ac:dyDescent="0.35">
      <c r="A224" s="1">
        <v>35886</v>
      </c>
      <c r="B224">
        <v>0.35520800948143</v>
      </c>
      <c r="C224">
        <v>0.37656301259994501</v>
      </c>
      <c r="D224">
        <v>0.35012999176978998</v>
      </c>
      <c r="E224">
        <v>0.37552100419998102</v>
      </c>
      <c r="F224">
        <v>0.37552100419998102</v>
      </c>
      <c r="G224">
        <v>289032000</v>
      </c>
      <c r="H224">
        <f t="shared" si="12"/>
        <v>1998</v>
      </c>
      <c r="I224">
        <f t="shared" si="13"/>
        <v>4</v>
      </c>
      <c r="J224" t="str">
        <f t="shared" si="14"/>
        <v>Apr</v>
      </c>
      <c r="K224" t="str">
        <f t="shared" si="15"/>
        <v>Wed</v>
      </c>
    </row>
    <row r="225" spans="1:11" x14ac:dyDescent="0.35">
      <c r="A225" s="1">
        <v>35887</v>
      </c>
      <c r="B225">
        <v>0.37968799471855103</v>
      </c>
      <c r="C225">
        <v>0.40312498807907099</v>
      </c>
      <c r="D225">
        <v>0.37395799160003601</v>
      </c>
      <c r="E225">
        <v>0.39609399437904302</v>
      </c>
      <c r="F225">
        <v>0.39609399437904302</v>
      </c>
      <c r="G225">
        <v>332856000</v>
      </c>
      <c r="H225">
        <f t="shared" si="12"/>
        <v>1998</v>
      </c>
      <c r="I225">
        <f t="shared" si="13"/>
        <v>4</v>
      </c>
      <c r="J225" t="str">
        <f t="shared" si="14"/>
        <v>Apr</v>
      </c>
      <c r="K225" t="str">
        <f t="shared" si="15"/>
        <v>Thu</v>
      </c>
    </row>
    <row r="226" spans="1:11" x14ac:dyDescent="0.35">
      <c r="A226" s="1">
        <v>35888</v>
      </c>
      <c r="B226">
        <v>0.40104201436042702</v>
      </c>
      <c r="C226">
        <v>0.40156298875808699</v>
      </c>
      <c r="D226">
        <v>0.38437500596046398</v>
      </c>
      <c r="E226">
        <v>0.38749998807907099</v>
      </c>
      <c r="F226">
        <v>0.38749998807907099</v>
      </c>
      <c r="G226">
        <v>233880000</v>
      </c>
      <c r="H226">
        <f t="shared" si="12"/>
        <v>1998</v>
      </c>
      <c r="I226">
        <f t="shared" si="13"/>
        <v>4</v>
      </c>
      <c r="J226" t="str">
        <f t="shared" si="14"/>
        <v>Apr</v>
      </c>
      <c r="K226" t="str">
        <f t="shared" si="15"/>
        <v>Fri</v>
      </c>
    </row>
    <row r="227" spans="1:11" x14ac:dyDescent="0.35">
      <c r="A227" s="1">
        <v>35891</v>
      </c>
      <c r="B227">
        <v>0.39270800352096502</v>
      </c>
      <c r="C227">
        <v>0.394791990518569</v>
      </c>
      <c r="D227">
        <v>0.36770799756050099</v>
      </c>
      <c r="E227">
        <v>0.369271010160446</v>
      </c>
      <c r="F227">
        <v>0.369271010160446</v>
      </c>
      <c r="G227">
        <v>220488000</v>
      </c>
      <c r="H227">
        <f t="shared" si="12"/>
        <v>1998</v>
      </c>
      <c r="I227">
        <f t="shared" si="13"/>
        <v>4</v>
      </c>
      <c r="J227" t="str">
        <f t="shared" si="14"/>
        <v>Apr</v>
      </c>
      <c r="K227" t="str">
        <f t="shared" si="15"/>
        <v>Mon</v>
      </c>
    </row>
    <row r="228" spans="1:11" x14ac:dyDescent="0.35">
      <c r="A228" s="1">
        <v>35892</v>
      </c>
      <c r="B228">
        <v>0.36250001192092801</v>
      </c>
      <c r="C228">
        <v>0.363541990518569</v>
      </c>
      <c r="D228">
        <v>0.35312500596046398</v>
      </c>
      <c r="E228">
        <v>0.35833299160003601</v>
      </c>
      <c r="F228">
        <v>0.35833299160003601</v>
      </c>
      <c r="G228">
        <v>232680000</v>
      </c>
      <c r="H228">
        <f t="shared" si="12"/>
        <v>1998</v>
      </c>
      <c r="I228">
        <f t="shared" si="13"/>
        <v>4</v>
      </c>
      <c r="J228" t="str">
        <f t="shared" si="14"/>
        <v>Apr</v>
      </c>
      <c r="K228" t="str">
        <f t="shared" si="15"/>
        <v>Tue</v>
      </c>
    </row>
    <row r="229" spans="1:11" x14ac:dyDescent="0.35">
      <c r="A229" s="1">
        <v>35893</v>
      </c>
      <c r="B229">
        <v>0.35989600419998102</v>
      </c>
      <c r="C229">
        <v>0.37395799160003601</v>
      </c>
      <c r="D229">
        <v>0.35624998807907099</v>
      </c>
      <c r="E229">
        <v>0.369271010160446</v>
      </c>
      <c r="F229">
        <v>0.369271010160446</v>
      </c>
      <c r="G229">
        <v>226296000</v>
      </c>
      <c r="H229">
        <f t="shared" si="12"/>
        <v>1998</v>
      </c>
      <c r="I229">
        <f t="shared" si="13"/>
        <v>4</v>
      </c>
      <c r="J229" t="str">
        <f t="shared" si="14"/>
        <v>Apr</v>
      </c>
      <c r="K229" t="str">
        <f t="shared" si="15"/>
        <v>Wed</v>
      </c>
    </row>
    <row r="230" spans="1:11" x14ac:dyDescent="0.35">
      <c r="A230" s="1">
        <v>35894</v>
      </c>
      <c r="B230">
        <v>0.384896010160446</v>
      </c>
      <c r="C230">
        <v>0.40000000596046398</v>
      </c>
      <c r="D230">
        <v>0.38177099823951699</v>
      </c>
      <c r="E230">
        <v>0.39687499403953502</v>
      </c>
      <c r="F230">
        <v>0.39687499403953502</v>
      </c>
      <c r="G230">
        <v>320688000</v>
      </c>
      <c r="H230">
        <f t="shared" si="12"/>
        <v>1998</v>
      </c>
      <c r="I230">
        <f t="shared" si="13"/>
        <v>4</v>
      </c>
      <c r="J230" t="str">
        <f t="shared" si="14"/>
        <v>Apr</v>
      </c>
      <c r="K230" t="str">
        <f t="shared" si="15"/>
        <v>Thu</v>
      </c>
    </row>
    <row r="231" spans="1:11" x14ac:dyDescent="0.35">
      <c r="A231" s="1">
        <v>35898</v>
      </c>
      <c r="B231">
        <v>0.39531299471855103</v>
      </c>
      <c r="C231">
        <v>0.40104201436042702</v>
      </c>
      <c r="D231">
        <v>0.38333299756050099</v>
      </c>
      <c r="E231">
        <v>0.39296901226043701</v>
      </c>
      <c r="F231">
        <v>0.39296901226043701</v>
      </c>
      <c r="G231">
        <v>219600000</v>
      </c>
      <c r="H231">
        <f t="shared" si="12"/>
        <v>1998</v>
      </c>
      <c r="I231">
        <f t="shared" si="13"/>
        <v>4</v>
      </c>
      <c r="J231" t="str">
        <f t="shared" si="14"/>
        <v>Apr</v>
      </c>
      <c r="K231" t="str">
        <f t="shared" si="15"/>
        <v>Mon</v>
      </c>
    </row>
    <row r="232" spans="1:11" x14ac:dyDescent="0.35">
      <c r="A232" s="1">
        <v>35899</v>
      </c>
      <c r="B232">
        <v>0.39114600419998102</v>
      </c>
      <c r="C232">
        <v>0.416146010160446</v>
      </c>
      <c r="D232">
        <v>0.38854199647903398</v>
      </c>
      <c r="E232">
        <v>0.40494799613952598</v>
      </c>
      <c r="F232">
        <v>0.40494799613952598</v>
      </c>
      <c r="G232">
        <v>326472000</v>
      </c>
      <c r="H232">
        <f t="shared" si="12"/>
        <v>1998</v>
      </c>
      <c r="I232">
        <f t="shared" si="13"/>
        <v>4</v>
      </c>
      <c r="J232" t="str">
        <f t="shared" si="14"/>
        <v>Apr</v>
      </c>
      <c r="K232" t="str">
        <f t="shared" si="15"/>
        <v>Tue</v>
      </c>
    </row>
    <row r="233" spans="1:11" x14ac:dyDescent="0.35">
      <c r="A233" s="1">
        <v>35900</v>
      </c>
      <c r="B233">
        <v>0.40833300352096502</v>
      </c>
      <c r="C233">
        <v>0.41666701436042702</v>
      </c>
      <c r="D233">
        <v>0.39375001192092801</v>
      </c>
      <c r="E233">
        <v>0.400521010160446</v>
      </c>
      <c r="F233">
        <v>0.400521010160446</v>
      </c>
      <c r="G233">
        <v>223848000</v>
      </c>
      <c r="H233">
        <f t="shared" si="12"/>
        <v>1998</v>
      </c>
      <c r="I233">
        <f t="shared" si="13"/>
        <v>4</v>
      </c>
      <c r="J233" t="str">
        <f t="shared" si="14"/>
        <v>Apr</v>
      </c>
      <c r="K233" t="str">
        <f t="shared" si="15"/>
        <v>Wed</v>
      </c>
    </row>
    <row r="234" spans="1:11" x14ac:dyDescent="0.35">
      <c r="A234" s="1">
        <v>35901</v>
      </c>
      <c r="B234">
        <v>0.400521010160446</v>
      </c>
      <c r="C234">
        <v>0.41380199790000899</v>
      </c>
      <c r="D234">
        <v>0.38828098773956299</v>
      </c>
      <c r="E234">
        <v>0.410416990518569</v>
      </c>
      <c r="F234">
        <v>0.410416990518569</v>
      </c>
      <c r="G234">
        <v>324888000</v>
      </c>
      <c r="H234">
        <f t="shared" si="12"/>
        <v>1998</v>
      </c>
      <c r="I234">
        <f t="shared" si="13"/>
        <v>4</v>
      </c>
      <c r="J234" t="str">
        <f t="shared" si="14"/>
        <v>Apr</v>
      </c>
      <c r="K234" t="str">
        <f t="shared" si="15"/>
        <v>Thu</v>
      </c>
    </row>
    <row r="235" spans="1:11" x14ac:dyDescent="0.35">
      <c r="A235" s="1">
        <v>35902</v>
      </c>
      <c r="B235">
        <v>0.39921900629997198</v>
      </c>
      <c r="C235">
        <v>0.40520799160003601</v>
      </c>
      <c r="D235">
        <v>0.39375001192092801</v>
      </c>
      <c r="E235">
        <v>0.39531299471855103</v>
      </c>
      <c r="F235">
        <v>0.39531299471855103</v>
      </c>
      <c r="G235">
        <v>140712000</v>
      </c>
      <c r="H235">
        <f t="shared" si="12"/>
        <v>1998</v>
      </c>
      <c r="I235">
        <f t="shared" si="13"/>
        <v>4</v>
      </c>
      <c r="J235" t="str">
        <f t="shared" si="14"/>
        <v>Apr</v>
      </c>
      <c r="K235" t="str">
        <f t="shared" si="15"/>
        <v>Fri</v>
      </c>
    </row>
    <row r="236" spans="1:11" x14ac:dyDescent="0.35">
      <c r="A236" s="1">
        <v>35905</v>
      </c>
      <c r="B236">
        <v>0.39739599823951699</v>
      </c>
      <c r="C236">
        <v>0.41458299756050099</v>
      </c>
      <c r="D236">
        <v>0.390625</v>
      </c>
      <c r="E236">
        <v>0.39270800352096502</v>
      </c>
      <c r="F236">
        <v>0.39270800352096502</v>
      </c>
      <c r="G236">
        <v>179592000</v>
      </c>
      <c r="H236">
        <f t="shared" si="12"/>
        <v>1998</v>
      </c>
      <c r="I236">
        <f t="shared" si="13"/>
        <v>4</v>
      </c>
      <c r="J236" t="str">
        <f t="shared" si="14"/>
        <v>Apr</v>
      </c>
      <c r="K236" t="str">
        <f t="shared" si="15"/>
        <v>Mon</v>
      </c>
    </row>
    <row r="237" spans="1:11" x14ac:dyDescent="0.35">
      <c r="A237" s="1">
        <v>35906</v>
      </c>
      <c r="B237">
        <v>0.39687499403953502</v>
      </c>
      <c r="C237">
        <v>0.39739599823951699</v>
      </c>
      <c r="D237">
        <v>0.37968799471855103</v>
      </c>
      <c r="E237">
        <v>0.38776001334190302</v>
      </c>
      <c r="F237">
        <v>0.38776001334190302</v>
      </c>
      <c r="G237">
        <v>167088000</v>
      </c>
      <c r="H237">
        <f t="shared" si="12"/>
        <v>1998</v>
      </c>
      <c r="I237">
        <f t="shared" si="13"/>
        <v>4</v>
      </c>
      <c r="J237" t="str">
        <f t="shared" si="14"/>
        <v>Apr</v>
      </c>
      <c r="K237" t="str">
        <f t="shared" si="15"/>
        <v>Tue</v>
      </c>
    </row>
    <row r="238" spans="1:11" x14ac:dyDescent="0.35">
      <c r="A238" s="1">
        <v>35907</v>
      </c>
      <c r="B238">
        <v>0.38854199647903398</v>
      </c>
      <c r="C238">
        <v>0.39010399580001798</v>
      </c>
      <c r="D238">
        <v>0.36250001192092801</v>
      </c>
      <c r="E238">
        <v>0.363541990518569</v>
      </c>
      <c r="F238">
        <v>0.363541990518569</v>
      </c>
      <c r="G238">
        <v>226032000</v>
      </c>
      <c r="H238">
        <f t="shared" si="12"/>
        <v>1998</v>
      </c>
      <c r="I238">
        <f t="shared" si="13"/>
        <v>4</v>
      </c>
      <c r="J238" t="str">
        <f t="shared" si="14"/>
        <v>Apr</v>
      </c>
      <c r="K238" t="str">
        <f t="shared" si="15"/>
        <v>Wed</v>
      </c>
    </row>
    <row r="239" spans="1:11" x14ac:dyDescent="0.35">
      <c r="A239" s="1">
        <v>35908</v>
      </c>
      <c r="B239">
        <v>0.36250001192092801</v>
      </c>
      <c r="C239">
        <v>0.36250001192092801</v>
      </c>
      <c r="D239">
        <v>0.33541700243949801</v>
      </c>
      <c r="E239">
        <v>0.33750000596046398</v>
      </c>
      <c r="F239">
        <v>0.33750000596046398</v>
      </c>
      <c r="G239">
        <v>245064000</v>
      </c>
      <c r="H239">
        <f t="shared" si="12"/>
        <v>1998</v>
      </c>
      <c r="I239">
        <f t="shared" si="13"/>
        <v>4</v>
      </c>
      <c r="J239" t="str">
        <f t="shared" si="14"/>
        <v>Apr</v>
      </c>
      <c r="K239" t="str">
        <f t="shared" si="15"/>
        <v>Thu</v>
      </c>
    </row>
    <row r="240" spans="1:11" x14ac:dyDescent="0.35">
      <c r="A240" s="1">
        <v>35909</v>
      </c>
      <c r="B240">
        <v>0.34166699647903398</v>
      </c>
      <c r="C240">
        <v>0.36562499403953502</v>
      </c>
      <c r="D240">
        <v>0.33958300948143</v>
      </c>
      <c r="E240">
        <v>0.353646010160446</v>
      </c>
      <c r="F240">
        <v>0.353646010160446</v>
      </c>
      <c r="G240">
        <v>335712000</v>
      </c>
      <c r="H240">
        <f t="shared" si="12"/>
        <v>1998</v>
      </c>
      <c r="I240">
        <f t="shared" si="13"/>
        <v>4</v>
      </c>
      <c r="J240" t="str">
        <f t="shared" si="14"/>
        <v>Apr</v>
      </c>
      <c r="K240" t="str">
        <f t="shared" si="15"/>
        <v>Fri</v>
      </c>
    </row>
    <row r="241" spans="1:11" x14ac:dyDescent="0.35">
      <c r="A241" s="1">
        <v>35912</v>
      </c>
      <c r="B241">
        <v>0.34739598631858798</v>
      </c>
      <c r="C241">
        <v>0.35260400176048201</v>
      </c>
      <c r="D241">
        <v>0.32135400176048201</v>
      </c>
      <c r="E241">
        <v>0.34479200839996299</v>
      </c>
      <c r="F241">
        <v>0.34479200839996299</v>
      </c>
      <c r="G241">
        <v>377712000</v>
      </c>
      <c r="H241">
        <f t="shared" si="12"/>
        <v>1998</v>
      </c>
      <c r="I241">
        <f t="shared" si="13"/>
        <v>4</v>
      </c>
      <c r="J241" t="str">
        <f t="shared" si="14"/>
        <v>Apr</v>
      </c>
      <c r="K241" t="str">
        <f t="shared" si="15"/>
        <v>Mon</v>
      </c>
    </row>
    <row r="242" spans="1:11" x14ac:dyDescent="0.35">
      <c r="A242" s="1">
        <v>35913</v>
      </c>
      <c r="B242">
        <v>0.38697901368141102</v>
      </c>
      <c r="C242">
        <v>0.41458299756050099</v>
      </c>
      <c r="D242">
        <v>0.37109398841857899</v>
      </c>
      <c r="E242">
        <v>0.39843800663947998</v>
      </c>
      <c r="F242">
        <v>0.39843800663947998</v>
      </c>
      <c r="G242">
        <v>1391880000</v>
      </c>
      <c r="H242">
        <f t="shared" si="12"/>
        <v>1998</v>
      </c>
      <c r="I242">
        <f t="shared" si="13"/>
        <v>4</v>
      </c>
      <c r="J242" t="str">
        <f t="shared" si="14"/>
        <v>Apr</v>
      </c>
      <c r="K242" t="str">
        <f t="shared" si="15"/>
        <v>Tue</v>
      </c>
    </row>
    <row r="243" spans="1:11" x14ac:dyDescent="0.35">
      <c r="A243" s="1">
        <v>35914</v>
      </c>
      <c r="B243">
        <v>0.40520799160003601</v>
      </c>
      <c r="C243">
        <v>0.41093799471855103</v>
      </c>
      <c r="D243">
        <v>0.39010399580001798</v>
      </c>
      <c r="E243">
        <v>0.39791700243949801</v>
      </c>
      <c r="F243">
        <v>0.39791700243949801</v>
      </c>
      <c r="G243">
        <v>633144000</v>
      </c>
      <c r="H243">
        <f t="shared" si="12"/>
        <v>1998</v>
      </c>
      <c r="I243">
        <f t="shared" si="13"/>
        <v>4</v>
      </c>
      <c r="J243" t="str">
        <f t="shared" si="14"/>
        <v>Apr</v>
      </c>
      <c r="K243" t="str">
        <f t="shared" si="15"/>
        <v>Wed</v>
      </c>
    </row>
    <row r="244" spans="1:11" x14ac:dyDescent="0.35">
      <c r="A244" s="1">
        <v>35915</v>
      </c>
      <c r="B244">
        <v>0.40625</v>
      </c>
      <c r="C244">
        <v>0.40833300352096502</v>
      </c>
      <c r="D244">
        <v>0.37708300352096502</v>
      </c>
      <c r="E244">
        <v>0.38229200243949801</v>
      </c>
      <c r="F244">
        <v>0.38229200243949801</v>
      </c>
      <c r="G244">
        <v>449712000</v>
      </c>
      <c r="H244">
        <f t="shared" si="12"/>
        <v>1998</v>
      </c>
      <c r="I244">
        <f t="shared" si="13"/>
        <v>4</v>
      </c>
      <c r="J244" t="str">
        <f t="shared" si="14"/>
        <v>Apr</v>
      </c>
      <c r="K244" t="str">
        <f t="shared" si="15"/>
        <v>Thu</v>
      </c>
    </row>
    <row r="245" spans="1:11" x14ac:dyDescent="0.35">
      <c r="A245" s="1">
        <v>35916</v>
      </c>
      <c r="B245">
        <v>0.38645800948143</v>
      </c>
      <c r="C245">
        <v>0.396353989839553</v>
      </c>
      <c r="D245">
        <v>0.37708300352096502</v>
      </c>
      <c r="E245">
        <v>0.39375001192092801</v>
      </c>
      <c r="F245">
        <v>0.39375001192092801</v>
      </c>
      <c r="G245">
        <v>186144000</v>
      </c>
      <c r="H245">
        <f t="shared" si="12"/>
        <v>1998</v>
      </c>
      <c r="I245">
        <f t="shared" si="13"/>
        <v>5</v>
      </c>
      <c r="J245" t="str">
        <f t="shared" si="14"/>
        <v>May</v>
      </c>
      <c r="K245" t="str">
        <f t="shared" si="15"/>
        <v>Fri</v>
      </c>
    </row>
    <row r="246" spans="1:11" x14ac:dyDescent="0.35">
      <c r="A246" s="1">
        <v>35919</v>
      </c>
      <c r="B246">
        <v>0.39583298563957198</v>
      </c>
      <c r="C246">
        <v>0.39947900176048201</v>
      </c>
      <c r="D246">
        <v>0.389063000679016</v>
      </c>
      <c r="E246">
        <v>0.39687499403953502</v>
      </c>
      <c r="F246">
        <v>0.39687499403953502</v>
      </c>
      <c r="G246">
        <v>154704000</v>
      </c>
      <c r="H246">
        <f t="shared" si="12"/>
        <v>1998</v>
      </c>
      <c r="I246">
        <f t="shared" si="13"/>
        <v>5</v>
      </c>
      <c r="J246" t="str">
        <f t="shared" si="14"/>
        <v>May</v>
      </c>
      <c r="K246" t="str">
        <f t="shared" si="15"/>
        <v>Mon</v>
      </c>
    </row>
    <row r="247" spans="1:11" x14ac:dyDescent="0.35">
      <c r="A247" s="1">
        <v>35920</v>
      </c>
      <c r="B247">
        <v>0.39166700839996299</v>
      </c>
      <c r="C247">
        <v>0.39791700243949801</v>
      </c>
      <c r="D247">
        <v>0.38802099227905201</v>
      </c>
      <c r="E247">
        <v>0.39049500226974398</v>
      </c>
      <c r="F247">
        <v>0.39049500226974398</v>
      </c>
      <c r="G247">
        <v>119976000</v>
      </c>
      <c r="H247">
        <f t="shared" si="12"/>
        <v>1998</v>
      </c>
      <c r="I247">
        <f t="shared" si="13"/>
        <v>5</v>
      </c>
      <c r="J247" t="str">
        <f t="shared" si="14"/>
        <v>May</v>
      </c>
      <c r="K247" t="str">
        <f t="shared" si="15"/>
        <v>Tue</v>
      </c>
    </row>
    <row r="248" spans="1:11" x14ac:dyDescent="0.35">
      <c r="A248" s="1">
        <v>35921</v>
      </c>
      <c r="B248">
        <v>0.39166700839996299</v>
      </c>
      <c r="C248">
        <v>0.39166700839996299</v>
      </c>
      <c r="D248">
        <v>0.37552100419998102</v>
      </c>
      <c r="E248">
        <v>0.37656301259994501</v>
      </c>
      <c r="F248">
        <v>0.37656301259994501</v>
      </c>
      <c r="G248">
        <v>148776000</v>
      </c>
      <c r="H248">
        <f t="shared" si="12"/>
        <v>1998</v>
      </c>
      <c r="I248">
        <f t="shared" si="13"/>
        <v>5</v>
      </c>
      <c r="J248" t="str">
        <f t="shared" si="14"/>
        <v>May</v>
      </c>
      <c r="K248" t="str">
        <f t="shared" si="15"/>
        <v>Wed</v>
      </c>
    </row>
    <row r="249" spans="1:11" x14ac:dyDescent="0.35">
      <c r="A249" s="1">
        <v>35922</v>
      </c>
      <c r="B249">
        <v>0.379166990518569</v>
      </c>
      <c r="C249">
        <v>0.38749998807907099</v>
      </c>
      <c r="D249">
        <v>0.36770799756050099</v>
      </c>
      <c r="E249">
        <v>0.379166990518569</v>
      </c>
      <c r="F249">
        <v>0.379166990518569</v>
      </c>
      <c r="G249">
        <v>277752000</v>
      </c>
      <c r="H249">
        <f t="shared" si="12"/>
        <v>1998</v>
      </c>
      <c r="I249">
        <f t="shared" si="13"/>
        <v>5</v>
      </c>
      <c r="J249" t="str">
        <f t="shared" si="14"/>
        <v>May</v>
      </c>
      <c r="K249" t="str">
        <f t="shared" si="15"/>
        <v>Thu</v>
      </c>
    </row>
    <row r="250" spans="1:11" x14ac:dyDescent="0.35">
      <c r="A250" s="1">
        <v>35923</v>
      </c>
      <c r="B250">
        <v>0.38020798563957198</v>
      </c>
      <c r="C250">
        <v>0.38645800948143</v>
      </c>
      <c r="D250">
        <v>0.37291699647903398</v>
      </c>
      <c r="E250">
        <v>0.384896010160446</v>
      </c>
      <c r="F250">
        <v>0.384896010160446</v>
      </c>
      <c r="G250">
        <v>95856000</v>
      </c>
      <c r="H250">
        <f t="shared" si="12"/>
        <v>1998</v>
      </c>
      <c r="I250">
        <f t="shared" si="13"/>
        <v>5</v>
      </c>
      <c r="J250" t="str">
        <f t="shared" si="14"/>
        <v>May</v>
      </c>
      <c r="K250" t="str">
        <f t="shared" si="15"/>
        <v>Fri</v>
      </c>
    </row>
    <row r="251" spans="1:11" x14ac:dyDescent="0.35">
      <c r="A251" s="1">
        <v>35926</v>
      </c>
      <c r="B251">
        <v>0.38723999261856001</v>
      </c>
      <c r="C251">
        <v>0.38749998807907099</v>
      </c>
      <c r="D251">
        <v>0.36041700839996299</v>
      </c>
      <c r="E251">
        <v>0.36197900772094699</v>
      </c>
      <c r="F251">
        <v>0.36197900772094699</v>
      </c>
      <c r="G251">
        <v>227448000</v>
      </c>
      <c r="H251">
        <f t="shared" si="12"/>
        <v>1998</v>
      </c>
      <c r="I251">
        <f t="shared" si="13"/>
        <v>5</v>
      </c>
      <c r="J251" t="str">
        <f t="shared" si="14"/>
        <v>May</v>
      </c>
      <c r="K251" t="str">
        <f t="shared" si="15"/>
        <v>Mon</v>
      </c>
    </row>
    <row r="252" spans="1:11" x14ac:dyDescent="0.35">
      <c r="A252" s="1">
        <v>35927</v>
      </c>
      <c r="B252">
        <v>0.36562499403953502</v>
      </c>
      <c r="C252">
        <v>0.38307300209999001</v>
      </c>
      <c r="D252">
        <v>0.36093801259994501</v>
      </c>
      <c r="E252">
        <v>0.380728989839553</v>
      </c>
      <c r="F252">
        <v>0.380728989839553</v>
      </c>
      <c r="G252">
        <v>232728000</v>
      </c>
      <c r="H252">
        <f t="shared" si="12"/>
        <v>1998</v>
      </c>
      <c r="I252">
        <f t="shared" si="13"/>
        <v>5</v>
      </c>
      <c r="J252" t="str">
        <f t="shared" si="14"/>
        <v>May</v>
      </c>
      <c r="K252" t="str">
        <f t="shared" si="15"/>
        <v>Tue</v>
      </c>
    </row>
    <row r="253" spans="1:11" x14ac:dyDescent="0.35">
      <c r="A253" s="1">
        <v>35928</v>
      </c>
      <c r="B253">
        <v>0.37708300352096502</v>
      </c>
      <c r="C253">
        <v>0.39166700839996299</v>
      </c>
      <c r="D253">
        <v>0.37395799160003601</v>
      </c>
      <c r="E253">
        <v>0.38697901368141102</v>
      </c>
      <c r="F253">
        <v>0.38697901368141102</v>
      </c>
      <c r="G253">
        <v>278880000</v>
      </c>
      <c r="H253">
        <f t="shared" si="12"/>
        <v>1998</v>
      </c>
      <c r="I253">
        <f t="shared" si="13"/>
        <v>5</v>
      </c>
      <c r="J253" t="str">
        <f t="shared" si="14"/>
        <v>May</v>
      </c>
      <c r="K253" t="str">
        <f t="shared" si="15"/>
        <v>Wed</v>
      </c>
    </row>
    <row r="254" spans="1:11" x14ac:dyDescent="0.35">
      <c r="A254" s="1">
        <v>35929</v>
      </c>
      <c r="B254">
        <v>0.38333299756050099</v>
      </c>
      <c r="C254">
        <v>0.39427098631858798</v>
      </c>
      <c r="D254">
        <v>0.379166990518569</v>
      </c>
      <c r="E254">
        <v>0.381509989500045</v>
      </c>
      <c r="F254">
        <v>0.381509989500045</v>
      </c>
      <c r="G254">
        <v>172008000</v>
      </c>
      <c r="H254">
        <f t="shared" si="12"/>
        <v>1998</v>
      </c>
      <c r="I254">
        <f t="shared" si="13"/>
        <v>5</v>
      </c>
      <c r="J254" t="str">
        <f t="shared" si="14"/>
        <v>May</v>
      </c>
      <c r="K254" t="str">
        <f t="shared" si="15"/>
        <v>Thu</v>
      </c>
    </row>
    <row r="255" spans="1:11" x14ac:dyDescent="0.35">
      <c r="A255" s="1">
        <v>35930</v>
      </c>
      <c r="B255">
        <v>0.38281300663947998</v>
      </c>
      <c r="C255">
        <v>0.38541701436042702</v>
      </c>
      <c r="D255">
        <v>0.37291699647903398</v>
      </c>
      <c r="E255">
        <v>0.373438000679016</v>
      </c>
      <c r="F255">
        <v>0.373438000679016</v>
      </c>
      <c r="G255">
        <v>92568000</v>
      </c>
      <c r="H255">
        <f t="shared" si="12"/>
        <v>1998</v>
      </c>
      <c r="I255">
        <f t="shared" si="13"/>
        <v>5</v>
      </c>
      <c r="J255" t="str">
        <f t="shared" si="14"/>
        <v>May</v>
      </c>
      <c r="K255" t="str">
        <f t="shared" si="15"/>
        <v>Fri</v>
      </c>
    </row>
    <row r="256" spans="1:11" x14ac:dyDescent="0.35">
      <c r="A256" s="1">
        <v>35933</v>
      </c>
      <c r="B256">
        <v>0.375</v>
      </c>
      <c r="C256">
        <v>0.37760400772094699</v>
      </c>
      <c r="D256">
        <v>0.36145800352096502</v>
      </c>
      <c r="E256">
        <v>0.36692699790000899</v>
      </c>
      <c r="F256">
        <v>0.36692699790000899</v>
      </c>
      <c r="G256">
        <v>132360000</v>
      </c>
      <c r="H256">
        <f t="shared" si="12"/>
        <v>1998</v>
      </c>
      <c r="I256">
        <f t="shared" si="13"/>
        <v>5</v>
      </c>
      <c r="J256" t="str">
        <f t="shared" si="14"/>
        <v>May</v>
      </c>
      <c r="K256" t="str">
        <f t="shared" si="15"/>
        <v>Mon</v>
      </c>
    </row>
    <row r="257" spans="1:11" x14ac:dyDescent="0.35">
      <c r="A257" s="1">
        <v>35934</v>
      </c>
      <c r="B257">
        <v>0.373438000679016</v>
      </c>
      <c r="C257">
        <v>0.37760400772094699</v>
      </c>
      <c r="D257">
        <v>0.37187498807907099</v>
      </c>
      <c r="E257">
        <v>0.37656301259994501</v>
      </c>
      <c r="F257">
        <v>0.37656301259994501</v>
      </c>
      <c r="G257">
        <v>68472000</v>
      </c>
      <c r="H257">
        <f t="shared" si="12"/>
        <v>1998</v>
      </c>
      <c r="I257">
        <f t="shared" si="13"/>
        <v>5</v>
      </c>
      <c r="J257" t="str">
        <f t="shared" si="14"/>
        <v>May</v>
      </c>
      <c r="K257" t="str">
        <f t="shared" si="15"/>
        <v>Tue</v>
      </c>
    </row>
    <row r="258" spans="1:11" x14ac:dyDescent="0.35">
      <c r="A258" s="1">
        <v>35935</v>
      </c>
      <c r="B258">
        <v>0.37656301259994501</v>
      </c>
      <c r="C258">
        <v>0.38124999403953502</v>
      </c>
      <c r="D258">
        <v>0.36770799756050099</v>
      </c>
      <c r="E258">
        <v>0.369271010160446</v>
      </c>
      <c r="F258">
        <v>0.369271010160446</v>
      </c>
      <c r="G258">
        <v>80976000</v>
      </c>
      <c r="H258">
        <f t="shared" si="12"/>
        <v>1998</v>
      </c>
      <c r="I258">
        <f t="shared" si="13"/>
        <v>5</v>
      </c>
      <c r="J258" t="str">
        <f t="shared" si="14"/>
        <v>May</v>
      </c>
      <c r="K258" t="str">
        <f t="shared" si="15"/>
        <v>Wed</v>
      </c>
    </row>
    <row r="259" spans="1:11" x14ac:dyDescent="0.35">
      <c r="A259" s="1">
        <v>35936</v>
      </c>
      <c r="B259">
        <v>0.37291699647903398</v>
      </c>
      <c r="C259">
        <v>0.375</v>
      </c>
      <c r="D259">
        <v>0.36380198597907998</v>
      </c>
      <c r="E259">
        <v>0.36979201436042702</v>
      </c>
      <c r="F259">
        <v>0.36979201436042702</v>
      </c>
      <c r="G259">
        <v>68064000</v>
      </c>
      <c r="H259">
        <f t="shared" si="12"/>
        <v>1998</v>
      </c>
      <c r="I259">
        <f t="shared" si="13"/>
        <v>5</v>
      </c>
      <c r="J259" t="str">
        <f t="shared" si="14"/>
        <v>May</v>
      </c>
      <c r="K259" t="str">
        <f t="shared" si="15"/>
        <v>Thu</v>
      </c>
    </row>
    <row r="260" spans="1:11" x14ac:dyDescent="0.35">
      <c r="A260" s="1">
        <v>35937</v>
      </c>
      <c r="B260">
        <v>0.36822900176048201</v>
      </c>
      <c r="C260">
        <v>0.369271010160446</v>
      </c>
      <c r="D260">
        <v>0.35624998807907099</v>
      </c>
      <c r="E260">
        <v>0.35833299160003601</v>
      </c>
      <c r="F260">
        <v>0.35833299160003601</v>
      </c>
      <c r="G260">
        <v>117240000</v>
      </c>
      <c r="H260">
        <f t="shared" ref="H260:H323" si="16">YEAR($A260)</f>
        <v>1998</v>
      </c>
      <c r="I260">
        <f t="shared" ref="I260:I323" si="17">MONTH($A260)</f>
        <v>5</v>
      </c>
      <c r="J260" t="str">
        <f t="shared" ref="J260:J323" si="18">TEXT($A260,"mmm")</f>
        <v>May</v>
      </c>
      <c r="K260" t="str">
        <f t="shared" ref="K260:K323" si="19">TEXT($A260,"ddd")</f>
        <v>Fri</v>
      </c>
    </row>
    <row r="261" spans="1:11" x14ac:dyDescent="0.35">
      <c r="A261" s="1">
        <v>35941</v>
      </c>
      <c r="B261">
        <v>0.358594000339508</v>
      </c>
      <c r="C261">
        <v>0.36197900772094699</v>
      </c>
      <c r="D261">
        <v>0.33697900176048201</v>
      </c>
      <c r="E261">
        <v>0.34114599227905201</v>
      </c>
      <c r="F261">
        <v>0.34114599227905201</v>
      </c>
      <c r="G261">
        <v>217680000</v>
      </c>
      <c r="H261">
        <f t="shared" si="16"/>
        <v>1998</v>
      </c>
      <c r="I261">
        <f t="shared" si="17"/>
        <v>5</v>
      </c>
      <c r="J261" t="str">
        <f t="shared" si="18"/>
        <v>May</v>
      </c>
      <c r="K261" t="str">
        <f t="shared" si="19"/>
        <v>Tue</v>
      </c>
    </row>
    <row r="262" spans="1:11" x14ac:dyDescent="0.35">
      <c r="A262" s="1">
        <v>35942</v>
      </c>
      <c r="B262">
        <v>0.33489599823951699</v>
      </c>
      <c r="C262">
        <v>0.36406299471855103</v>
      </c>
      <c r="D262">
        <v>0.332291990518569</v>
      </c>
      <c r="E262">
        <v>0.36093801259994501</v>
      </c>
      <c r="F262">
        <v>0.36093801259994501</v>
      </c>
      <c r="G262">
        <v>464688000</v>
      </c>
      <c r="H262">
        <f t="shared" si="16"/>
        <v>1998</v>
      </c>
      <c r="I262">
        <f t="shared" si="17"/>
        <v>5</v>
      </c>
      <c r="J262" t="str">
        <f t="shared" si="18"/>
        <v>May</v>
      </c>
      <c r="K262" t="str">
        <f t="shared" si="19"/>
        <v>Wed</v>
      </c>
    </row>
    <row r="263" spans="1:11" x14ac:dyDescent="0.35">
      <c r="A263" s="1">
        <v>35943</v>
      </c>
      <c r="B263">
        <v>0.363541990518569</v>
      </c>
      <c r="C263">
        <v>0.36562499403953502</v>
      </c>
      <c r="D263">
        <v>0.35520800948143</v>
      </c>
      <c r="E263">
        <v>0.35807299613952598</v>
      </c>
      <c r="F263">
        <v>0.35807299613952598</v>
      </c>
      <c r="G263">
        <v>188256000</v>
      </c>
      <c r="H263">
        <f t="shared" si="16"/>
        <v>1998</v>
      </c>
      <c r="I263">
        <f t="shared" si="17"/>
        <v>5</v>
      </c>
      <c r="J263" t="str">
        <f t="shared" si="18"/>
        <v>May</v>
      </c>
      <c r="K263" t="str">
        <f t="shared" si="19"/>
        <v>Thu</v>
      </c>
    </row>
    <row r="264" spans="1:11" x14ac:dyDescent="0.35">
      <c r="A264" s="1">
        <v>35944</v>
      </c>
      <c r="B264">
        <v>0.357813000679016</v>
      </c>
      <c r="C264">
        <v>0.37083300948143</v>
      </c>
      <c r="D264">
        <v>0.35624998807907099</v>
      </c>
      <c r="E264">
        <v>0.36718800663947998</v>
      </c>
      <c r="F264">
        <v>0.36718800663947998</v>
      </c>
      <c r="G264">
        <v>172824000</v>
      </c>
      <c r="H264">
        <f t="shared" si="16"/>
        <v>1998</v>
      </c>
      <c r="I264">
        <f t="shared" si="17"/>
        <v>5</v>
      </c>
      <c r="J264" t="str">
        <f t="shared" si="18"/>
        <v>May</v>
      </c>
      <c r="K264" t="str">
        <f t="shared" si="19"/>
        <v>Fri</v>
      </c>
    </row>
    <row r="265" spans="1:11" x14ac:dyDescent="0.35">
      <c r="A265" s="1">
        <v>35947</v>
      </c>
      <c r="B265">
        <v>0.36666700243949801</v>
      </c>
      <c r="C265">
        <v>0.36875000596046398</v>
      </c>
      <c r="D265">
        <v>0.34713500738143899</v>
      </c>
      <c r="E265">
        <v>0.35677099227905201</v>
      </c>
      <c r="F265">
        <v>0.35677099227905201</v>
      </c>
      <c r="G265">
        <v>160872000</v>
      </c>
      <c r="H265">
        <f t="shared" si="16"/>
        <v>1998</v>
      </c>
      <c r="I265">
        <f t="shared" si="17"/>
        <v>6</v>
      </c>
      <c r="J265" t="str">
        <f t="shared" si="18"/>
        <v>Jun</v>
      </c>
      <c r="K265" t="str">
        <f t="shared" si="19"/>
        <v>Mon</v>
      </c>
    </row>
    <row r="266" spans="1:11" x14ac:dyDescent="0.35">
      <c r="A266" s="1">
        <v>35948</v>
      </c>
      <c r="B266">
        <v>0.363541990518569</v>
      </c>
      <c r="C266">
        <v>0.37083300948143</v>
      </c>
      <c r="D266">
        <v>0.34583300352096502</v>
      </c>
      <c r="E266">
        <v>0.36406299471855103</v>
      </c>
      <c r="F266">
        <v>0.36406299471855103</v>
      </c>
      <c r="G266">
        <v>164028000</v>
      </c>
      <c r="H266">
        <f t="shared" si="16"/>
        <v>1998</v>
      </c>
      <c r="I266">
        <f t="shared" si="17"/>
        <v>6</v>
      </c>
      <c r="J266" t="str">
        <f t="shared" si="18"/>
        <v>Jun</v>
      </c>
      <c r="K266" t="str">
        <f t="shared" si="19"/>
        <v>Tue</v>
      </c>
    </row>
    <row r="267" spans="1:11" x14ac:dyDescent="0.35">
      <c r="A267" s="1">
        <v>35949</v>
      </c>
      <c r="B267">
        <v>0.37395799160003601</v>
      </c>
      <c r="C267">
        <v>0.37708300352096502</v>
      </c>
      <c r="D267">
        <v>0.34999999403953502</v>
      </c>
      <c r="E267">
        <v>0.35208299756050099</v>
      </c>
      <c r="F267">
        <v>0.35208299756050099</v>
      </c>
      <c r="G267">
        <v>131628000</v>
      </c>
      <c r="H267">
        <f t="shared" si="16"/>
        <v>1998</v>
      </c>
      <c r="I267">
        <f t="shared" si="17"/>
        <v>6</v>
      </c>
      <c r="J267" t="str">
        <f t="shared" si="18"/>
        <v>Jun</v>
      </c>
      <c r="K267" t="str">
        <f t="shared" si="19"/>
        <v>Wed</v>
      </c>
    </row>
    <row r="268" spans="1:11" x14ac:dyDescent="0.35">
      <c r="A268" s="1">
        <v>35950</v>
      </c>
      <c r="B268">
        <v>0.357813000679016</v>
      </c>
      <c r="C268">
        <v>0.36614599823951699</v>
      </c>
      <c r="D268">
        <v>0.34375</v>
      </c>
      <c r="E268">
        <v>0.36562499403953502</v>
      </c>
      <c r="F268">
        <v>0.36562499403953502</v>
      </c>
      <c r="G268">
        <v>99912000</v>
      </c>
      <c r="H268">
        <f t="shared" si="16"/>
        <v>1998</v>
      </c>
      <c r="I268">
        <f t="shared" si="17"/>
        <v>6</v>
      </c>
      <c r="J268" t="str">
        <f t="shared" si="18"/>
        <v>Jun</v>
      </c>
      <c r="K268" t="str">
        <f t="shared" si="19"/>
        <v>Thu</v>
      </c>
    </row>
    <row r="269" spans="1:11" x14ac:dyDescent="0.35">
      <c r="A269" s="1">
        <v>35951</v>
      </c>
      <c r="B269">
        <v>0.36458298563957198</v>
      </c>
      <c r="C269">
        <v>0.36979201436042702</v>
      </c>
      <c r="D269">
        <v>0.359375</v>
      </c>
      <c r="E269">
        <v>0.36875000596046398</v>
      </c>
      <c r="F269">
        <v>0.36875000596046398</v>
      </c>
      <c r="G269">
        <v>68544000</v>
      </c>
      <c r="H269">
        <f t="shared" si="16"/>
        <v>1998</v>
      </c>
      <c r="I269">
        <f t="shared" si="17"/>
        <v>6</v>
      </c>
      <c r="J269" t="str">
        <f t="shared" si="18"/>
        <v>Jun</v>
      </c>
      <c r="K269" t="str">
        <f t="shared" si="19"/>
        <v>Fri</v>
      </c>
    </row>
    <row r="270" spans="1:11" x14ac:dyDescent="0.35">
      <c r="A270" s="1">
        <v>35954</v>
      </c>
      <c r="B270">
        <v>0.365103989839553</v>
      </c>
      <c r="C270">
        <v>0.38593798875808699</v>
      </c>
      <c r="D270">
        <v>0.36250001192092801</v>
      </c>
      <c r="E270">
        <v>0.38541701436042702</v>
      </c>
      <c r="F270">
        <v>0.38541701436042702</v>
      </c>
      <c r="G270">
        <v>109260000</v>
      </c>
      <c r="H270">
        <f t="shared" si="16"/>
        <v>1998</v>
      </c>
      <c r="I270">
        <f t="shared" si="17"/>
        <v>6</v>
      </c>
      <c r="J270" t="str">
        <f t="shared" si="18"/>
        <v>Jun</v>
      </c>
      <c r="K270" t="str">
        <f t="shared" si="19"/>
        <v>Mon</v>
      </c>
    </row>
    <row r="271" spans="1:11" x14ac:dyDescent="0.35">
      <c r="A271" s="1">
        <v>35955</v>
      </c>
      <c r="B271">
        <v>0.38697901368141102</v>
      </c>
      <c r="C271">
        <v>0.43229201436042702</v>
      </c>
      <c r="D271">
        <v>0.38541701436042702</v>
      </c>
      <c r="E271">
        <v>0.42708298563957198</v>
      </c>
      <c r="F271">
        <v>0.42708298563957198</v>
      </c>
      <c r="G271">
        <v>388728000</v>
      </c>
      <c r="H271">
        <f t="shared" si="16"/>
        <v>1998</v>
      </c>
      <c r="I271">
        <f t="shared" si="17"/>
        <v>6</v>
      </c>
      <c r="J271" t="str">
        <f t="shared" si="18"/>
        <v>Jun</v>
      </c>
      <c r="K271" t="str">
        <f t="shared" si="19"/>
        <v>Tue</v>
      </c>
    </row>
    <row r="272" spans="1:11" x14ac:dyDescent="0.35">
      <c r="A272" s="1">
        <v>35956</v>
      </c>
      <c r="B272">
        <v>0.43020799756050099</v>
      </c>
      <c r="C272">
        <v>0.46875</v>
      </c>
      <c r="D272">
        <v>0.42500001192092801</v>
      </c>
      <c r="E272">
        <v>0.45104199647903398</v>
      </c>
      <c r="F272">
        <v>0.45104199647903398</v>
      </c>
      <c r="G272">
        <v>485700000</v>
      </c>
      <c r="H272">
        <f t="shared" si="16"/>
        <v>1998</v>
      </c>
      <c r="I272">
        <f t="shared" si="17"/>
        <v>6</v>
      </c>
      <c r="J272" t="str">
        <f t="shared" si="18"/>
        <v>Jun</v>
      </c>
      <c r="K272" t="str">
        <f t="shared" si="19"/>
        <v>Wed</v>
      </c>
    </row>
    <row r="273" spans="1:11" x14ac:dyDescent="0.35">
      <c r="A273" s="1">
        <v>35957</v>
      </c>
      <c r="B273">
        <v>0.46041700243949801</v>
      </c>
      <c r="C273">
        <v>0.52187502384185702</v>
      </c>
      <c r="D273">
        <v>0.45833298563957198</v>
      </c>
      <c r="E273">
        <v>0.52083301544189398</v>
      </c>
      <c r="F273">
        <v>0.52083301544189398</v>
      </c>
      <c r="G273">
        <v>717024000</v>
      </c>
      <c r="H273">
        <f t="shared" si="16"/>
        <v>1998</v>
      </c>
      <c r="I273">
        <f t="shared" si="17"/>
        <v>6</v>
      </c>
      <c r="J273" t="str">
        <f t="shared" si="18"/>
        <v>Jun</v>
      </c>
      <c r="K273" t="str">
        <f t="shared" si="19"/>
        <v>Thu</v>
      </c>
    </row>
    <row r="274" spans="1:11" x14ac:dyDescent="0.35">
      <c r="A274" s="1">
        <v>35958</v>
      </c>
      <c r="B274">
        <v>0.52916699647903398</v>
      </c>
      <c r="C274">
        <v>0.52916699647903398</v>
      </c>
      <c r="D274">
        <v>0.48541700839996299</v>
      </c>
      <c r="E274">
        <v>0.50833302736282304</v>
      </c>
      <c r="F274">
        <v>0.50833302736282304</v>
      </c>
      <c r="G274">
        <v>433116000</v>
      </c>
      <c r="H274">
        <f t="shared" si="16"/>
        <v>1998</v>
      </c>
      <c r="I274">
        <f t="shared" si="17"/>
        <v>6</v>
      </c>
      <c r="J274" t="str">
        <f t="shared" si="18"/>
        <v>Jun</v>
      </c>
      <c r="K274" t="str">
        <f t="shared" si="19"/>
        <v>Fri</v>
      </c>
    </row>
    <row r="275" spans="1:11" x14ac:dyDescent="0.35">
      <c r="A275" s="1">
        <v>35961</v>
      </c>
      <c r="B275">
        <v>0.49583300948143</v>
      </c>
      <c r="C275">
        <v>0.57083302736282304</v>
      </c>
      <c r="D275">
        <v>0.49270799756050099</v>
      </c>
      <c r="E275">
        <v>0.54791700839996305</v>
      </c>
      <c r="F275">
        <v>0.54791700839996305</v>
      </c>
      <c r="G275">
        <v>674028000</v>
      </c>
      <c r="H275">
        <f t="shared" si="16"/>
        <v>1998</v>
      </c>
      <c r="I275">
        <f t="shared" si="17"/>
        <v>6</v>
      </c>
      <c r="J275" t="str">
        <f t="shared" si="18"/>
        <v>Jun</v>
      </c>
      <c r="K275" t="str">
        <f t="shared" si="19"/>
        <v>Mon</v>
      </c>
    </row>
    <row r="276" spans="1:11" x14ac:dyDescent="0.35">
      <c r="A276" s="1">
        <v>35962</v>
      </c>
      <c r="B276">
        <v>0.55624997615814198</v>
      </c>
      <c r="C276">
        <v>0.61458301544189398</v>
      </c>
      <c r="D276">
        <v>0.55416697263717596</v>
      </c>
      <c r="E276">
        <v>0.613542020320892</v>
      </c>
      <c r="F276">
        <v>0.613542020320892</v>
      </c>
      <c r="G276">
        <v>783348000</v>
      </c>
      <c r="H276">
        <f t="shared" si="16"/>
        <v>1998</v>
      </c>
      <c r="I276">
        <f t="shared" si="17"/>
        <v>6</v>
      </c>
      <c r="J276" t="str">
        <f t="shared" si="18"/>
        <v>Jun</v>
      </c>
      <c r="K276" t="str">
        <f t="shared" si="19"/>
        <v>Tue</v>
      </c>
    </row>
    <row r="277" spans="1:11" x14ac:dyDescent="0.35">
      <c r="A277" s="1">
        <v>35963</v>
      </c>
      <c r="B277">
        <v>0.63229197263717596</v>
      </c>
      <c r="C277">
        <v>0.67656302452087402</v>
      </c>
      <c r="D277">
        <v>0.62812501192092896</v>
      </c>
      <c r="E277">
        <v>0.65833300352096502</v>
      </c>
      <c r="F277">
        <v>0.65833300352096502</v>
      </c>
      <c r="G277">
        <v>805308000</v>
      </c>
      <c r="H277">
        <f t="shared" si="16"/>
        <v>1998</v>
      </c>
      <c r="I277">
        <f t="shared" si="17"/>
        <v>6</v>
      </c>
      <c r="J277" t="str">
        <f t="shared" si="18"/>
        <v>Jun</v>
      </c>
      <c r="K277" t="str">
        <f t="shared" si="19"/>
        <v>Wed</v>
      </c>
    </row>
    <row r="278" spans="1:11" x14ac:dyDescent="0.35">
      <c r="A278" s="1">
        <v>35964</v>
      </c>
      <c r="B278">
        <v>0.67500001192092896</v>
      </c>
      <c r="C278">
        <v>0.6875</v>
      </c>
      <c r="D278">
        <v>0.597917020320892</v>
      </c>
      <c r="E278">
        <v>0.60104197263717596</v>
      </c>
      <c r="F278">
        <v>0.60104197263717596</v>
      </c>
      <c r="G278">
        <v>632796000</v>
      </c>
      <c r="H278">
        <f t="shared" si="16"/>
        <v>1998</v>
      </c>
      <c r="I278">
        <f t="shared" si="17"/>
        <v>6</v>
      </c>
      <c r="J278" t="str">
        <f t="shared" si="18"/>
        <v>Jun</v>
      </c>
      <c r="K278" t="str">
        <f t="shared" si="19"/>
        <v>Thu</v>
      </c>
    </row>
    <row r="279" spans="1:11" x14ac:dyDescent="0.35">
      <c r="A279" s="1">
        <v>35965</v>
      </c>
      <c r="B279">
        <v>0.592188000679016</v>
      </c>
      <c r="C279">
        <v>0.63541698455810502</v>
      </c>
      <c r="D279">
        <v>0.566667020320892</v>
      </c>
      <c r="E279">
        <v>0.63177102804183904</v>
      </c>
      <c r="F279">
        <v>0.63177102804183904</v>
      </c>
      <c r="G279">
        <v>733572000</v>
      </c>
      <c r="H279">
        <f t="shared" si="16"/>
        <v>1998</v>
      </c>
      <c r="I279">
        <f t="shared" si="17"/>
        <v>6</v>
      </c>
      <c r="J279" t="str">
        <f t="shared" si="18"/>
        <v>Jun</v>
      </c>
      <c r="K279" t="str">
        <f t="shared" si="19"/>
        <v>Fri</v>
      </c>
    </row>
    <row r="280" spans="1:11" x14ac:dyDescent="0.35">
      <c r="A280" s="1">
        <v>35968</v>
      </c>
      <c r="B280">
        <v>0.62291699647903398</v>
      </c>
      <c r="C280">
        <v>0.68645799160003595</v>
      </c>
      <c r="D280">
        <v>0.60208302736282304</v>
      </c>
      <c r="E280">
        <v>0.67812502384185702</v>
      </c>
      <c r="F280">
        <v>0.67812502384185702</v>
      </c>
      <c r="G280">
        <v>726360000</v>
      </c>
      <c r="H280">
        <f t="shared" si="16"/>
        <v>1998</v>
      </c>
      <c r="I280">
        <f t="shared" si="17"/>
        <v>6</v>
      </c>
      <c r="J280" t="str">
        <f t="shared" si="18"/>
        <v>Jun</v>
      </c>
      <c r="K280" t="str">
        <f t="shared" si="19"/>
        <v>Mon</v>
      </c>
    </row>
    <row r="281" spans="1:11" x14ac:dyDescent="0.35">
      <c r="A281" s="1">
        <v>35969</v>
      </c>
      <c r="B281">
        <v>0.67552101612090998</v>
      </c>
      <c r="C281">
        <v>0.77291697263717596</v>
      </c>
      <c r="D281">
        <v>0.67083299160003595</v>
      </c>
      <c r="E281">
        <v>0.77239602804183904</v>
      </c>
      <c r="F281">
        <v>0.77239602804183904</v>
      </c>
      <c r="G281">
        <v>749268000</v>
      </c>
      <c r="H281">
        <f t="shared" si="16"/>
        <v>1998</v>
      </c>
      <c r="I281">
        <f t="shared" si="17"/>
        <v>6</v>
      </c>
      <c r="J281" t="str">
        <f t="shared" si="18"/>
        <v>Jun</v>
      </c>
      <c r="K281" t="str">
        <f t="shared" si="19"/>
        <v>Tue</v>
      </c>
    </row>
    <row r="282" spans="1:11" x14ac:dyDescent="0.35">
      <c r="A282" s="1">
        <v>35970</v>
      </c>
      <c r="B282">
        <v>0.79166698455810502</v>
      </c>
      <c r="C282">
        <v>0.839582979679107</v>
      </c>
      <c r="D282">
        <v>0.74270802736282304</v>
      </c>
      <c r="E282">
        <v>0.83177101612090998</v>
      </c>
      <c r="F282">
        <v>0.83177101612090998</v>
      </c>
      <c r="G282">
        <v>1174092000</v>
      </c>
      <c r="H282">
        <f t="shared" si="16"/>
        <v>1998</v>
      </c>
      <c r="I282">
        <f t="shared" si="17"/>
        <v>6</v>
      </c>
      <c r="J282" t="str">
        <f t="shared" si="18"/>
        <v>Jun</v>
      </c>
      <c r="K282" t="str">
        <f t="shared" si="19"/>
        <v>Wed</v>
      </c>
    </row>
    <row r="283" spans="1:11" x14ac:dyDescent="0.35">
      <c r="A283" s="1">
        <v>35971</v>
      </c>
      <c r="B283">
        <v>0.83333301544189398</v>
      </c>
      <c r="C283">
        <v>0.87291699647903398</v>
      </c>
      <c r="D283">
        <v>0.80000001192092896</v>
      </c>
      <c r="E283">
        <v>0.82552099227905196</v>
      </c>
      <c r="F283">
        <v>0.82552099227905196</v>
      </c>
      <c r="G283">
        <v>1089300000</v>
      </c>
      <c r="H283">
        <f t="shared" si="16"/>
        <v>1998</v>
      </c>
      <c r="I283">
        <f t="shared" si="17"/>
        <v>6</v>
      </c>
      <c r="J283" t="str">
        <f t="shared" si="18"/>
        <v>Jun</v>
      </c>
      <c r="K283" t="str">
        <f t="shared" si="19"/>
        <v>Thu</v>
      </c>
    </row>
    <row r="284" spans="1:11" x14ac:dyDescent="0.35">
      <c r="A284" s="1">
        <v>35972</v>
      </c>
      <c r="B284">
        <v>0.8125</v>
      </c>
      <c r="C284">
        <v>0.83541697263717596</v>
      </c>
      <c r="D284">
        <v>0.78125</v>
      </c>
      <c r="E284">
        <v>0.785417020320892</v>
      </c>
      <c r="F284">
        <v>0.785417020320892</v>
      </c>
      <c r="G284">
        <v>622992000</v>
      </c>
      <c r="H284">
        <f t="shared" si="16"/>
        <v>1998</v>
      </c>
      <c r="I284">
        <f t="shared" si="17"/>
        <v>6</v>
      </c>
      <c r="J284" t="str">
        <f t="shared" si="18"/>
        <v>Jun</v>
      </c>
      <c r="K284" t="str">
        <f t="shared" si="19"/>
        <v>Fri</v>
      </c>
    </row>
    <row r="285" spans="1:11" x14ac:dyDescent="0.35">
      <c r="A285" s="1">
        <v>35975</v>
      </c>
      <c r="B285">
        <v>0.78958302736282304</v>
      </c>
      <c r="C285">
        <v>0.83020800352096502</v>
      </c>
      <c r="D285">
        <v>0.78958302736282304</v>
      </c>
      <c r="E285">
        <v>0.82291698455810502</v>
      </c>
      <c r="F285">
        <v>0.82291698455810502</v>
      </c>
      <c r="G285">
        <v>490152000</v>
      </c>
      <c r="H285">
        <f t="shared" si="16"/>
        <v>1998</v>
      </c>
      <c r="I285">
        <f t="shared" si="17"/>
        <v>6</v>
      </c>
      <c r="J285" t="str">
        <f t="shared" si="18"/>
        <v>Jun</v>
      </c>
      <c r="K285" t="str">
        <f t="shared" si="19"/>
        <v>Mon</v>
      </c>
    </row>
    <row r="286" spans="1:11" x14ac:dyDescent="0.35">
      <c r="A286" s="1">
        <v>35976</v>
      </c>
      <c r="B286">
        <v>0.81510400772094704</v>
      </c>
      <c r="C286">
        <v>0.84583300352096502</v>
      </c>
      <c r="D286">
        <v>0.80624997615814198</v>
      </c>
      <c r="E286">
        <v>0.83125001192092896</v>
      </c>
      <c r="F286">
        <v>0.83125001192092896</v>
      </c>
      <c r="G286">
        <v>437544000</v>
      </c>
      <c r="H286">
        <f t="shared" si="16"/>
        <v>1998</v>
      </c>
      <c r="I286">
        <f t="shared" si="17"/>
        <v>6</v>
      </c>
      <c r="J286" t="str">
        <f t="shared" si="18"/>
        <v>Jun</v>
      </c>
      <c r="K286" t="str">
        <f t="shared" si="19"/>
        <v>Tue</v>
      </c>
    </row>
    <row r="287" spans="1:11" x14ac:dyDescent="0.35">
      <c r="A287" s="1">
        <v>35977</v>
      </c>
      <c r="B287">
        <v>0.84843802452087402</v>
      </c>
      <c r="C287">
        <v>0.95416700839996305</v>
      </c>
      <c r="D287">
        <v>0.839582979679107</v>
      </c>
      <c r="E287">
        <v>0.95104199647903398</v>
      </c>
      <c r="F287">
        <v>0.95104199647903398</v>
      </c>
      <c r="G287">
        <v>565092000</v>
      </c>
      <c r="H287">
        <f t="shared" si="16"/>
        <v>1998</v>
      </c>
      <c r="I287">
        <f t="shared" si="17"/>
        <v>7</v>
      </c>
      <c r="J287" t="str">
        <f t="shared" si="18"/>
        <v>Jul</v>
      </c>
      <c r="K287" t="str">
        <f t="shared" si="19"/>
        <v>Wed</v>
      </c>
    </row>
    <row r="288" spans="1:11" x14ac:dyDescent="0.35">
      <c r="A288" s="1">
        <v>35978</v>
      </c>
      <c r="B288">
        <v>0.964582979679107</v>
      </c>
      <c r="C288">
        <v>1.04583299160003</v>
      </c>
      <c r="D288">
        <v>0.9375</v>
      </c>
      <c r="E288">
        <v>1.0333329439163199</v>
      </c>
      <c r="F288">
        <v>1.0333329439163199</v>
      </c>
      <c r="G288">
        <v>1045596000</v>
      </c>
      <c r="H288">
        <f t="shared" si="16"/>
        <v>1998</v>
      </c>
      <c r="I288">
        <f t="shared" si="17"/>
        <v>7</v>
      </c>
      <c r="J288" t="str">
        <f t="shared" si="18"/>
        <v>Jul</v>
      </c>
      <c r="K288" t="str">
        <f t="shared" si="19"/>
        <v>Thu</v>
      </c>
    </row>
    <row r="289" spans="1:11" x14ac:dyDescent="0.35">
      <c r="A289" s="1">
        <v>35982</v>
      </c>
      <c r="B289">
        <v>1.06145799160003</v>
      </c>
      <c r="C289">
        <v>1.17291700839996</v>
      </c>
      <c r="D289">
        <v>1.04583299160003</v>
      </c>
      <c r="E289">
        <v>1.1625000238418499</v>
      </c>
      <c r="F289">
        <v>1.1625000238418499</v>
      </c>
      <c r="G289">
        <v>937668000</v>
      </c>
      <c r="H289">
        <f t="shared" si="16"/>
        <v>1998</v>
      </c>
      <c r="I289">
        <f t="shared" si="17"/>
        <v>7</v>
      </c>
      <c r="J289" t="str">
        <f t="shared" si="18"/>
        <v>Jul</v>
      </c>
      <c r="K289" t="str">
        <f t="shared" si="19"/>
        <v>Mon</v>
      </c>
    </row>
    <row r="290" spans="1:11" x14ac:dyDescent="0.35">
      <c r="A290" s="1">
        <v>35983</v>
      </c>
      <c r="B290">
        <v>1.19166696071624</v>
      </c>
      <c r="C290">
        <v>1.1979169845580999</v>
      </c>
      <c r="D290">
        <v>1.0083329677581701</v>
      </c>
      <c r="E290">
        <v>1.0177079439163199</v>
      </c>
      <c r="F290">
        <v>1.0177079439163199</v>
      </c>
      <c r="G290">
        <v>945036000</v>
      </c>
      <c r="H290">
        <f t="shared" si="16"/>
        <v>1998</v>
      </c>
      <c r="I290">
        <f t="shared" si="17"/>
        <v>7</v>
      </c>
      <c r="J290" t="str">
        <f t="shared" si="18"/>
        <v>Jul</v>
      </c>
      <c r="K290" t="str">
        <f t="shared" si="19"/>
        <v>Tue</v>
      </c>
    </row>
    <row r="291" spans="1:11" x14ac:dyDescent="0.35">
      <c r="A291" s="1">
        <v>35984</v>
      </c>
      <c r="B291">
        <v>0.93229198455810502</v>
      </c>
      <c r="C291">
        <v>0.99166697263717596</v>
      </c>
      <c r="D291">
        <v>0.85312497615814198</v>
      </c>
      <c r="E291">
        <v>0.89270800352096502</v>
      </c>
      <c r="F291">
        <v>0.89270800352096502</v>
      </c>
      <c r="G291">
        <v>1166232000</v>
      </c>
      <c r="H291">
        <f t="shared" si="16"/>
        <v>1998</v>
      </c>
      <c r="I291">
        <f t="shared" si="17"/>
        <v>7</v>
      </c>
      <c r="J291" t="str">
        <f t="shared" si="18"/>
        <v>Jul</v>
      </c>
      <c r="K291" t="str">
        <f t="shared" si="19"/>
        <v>Wed</v>
      </c>
    </row>
    <row r="292" spans="1:11" x14ac:dyDescent="0.35">
      <c r="A292" s="1">
        <v>35985</v>
      </c>
      <c r="B292">
        <v>0.921875</v>
      </c>
      <c r="C292">
        <v>0.97083300352096502</v>
      </c>
      <c r="D292">
        <v>0.875</v>
      </c>
      <c r="E292">
        <v>0.879167020320892</v>
      </c>
      <c r="F292">
        <v>0.879167020320892</v>
      </c>
      <c r="G292">
        <v>589860000</v>
      </c>
      <c r="H292">
        <f t="shared" si="16"/>
        <v>1998</v>
      </c>
      <c r="I292">
        <f t="shared" si="17"/>
        <v>7</v>
      </c>
      <c r="J292" t="str">
        <f t="shared" si="18"/>
        <v>Jul</v>
      </c>
      <c r="K292" t="str">
        <f t="shared" si="19"/>
        <v>Thu</v>
      </c>
    </row>
    <row r="293" spans="1:11" x14ac:dyDescent="0.35">
      <c r="A293" s="1">
        <v>35986</v>
      </c>
      <c r="B293">
        <v>0.85833299160003595</v>
      </c>
      <c r="C293">
        <v>0.88229197263717596</v>
      </c>
      <c r="D293">
        <v>0.81770801544189398</v>
      </c>
      <c r="E293">
        <v>0.82916700839996305</v>
      </c>
      <c r="F293">
        <v>0.82916700839996305</v>
      </c>
      <c r="G293">
        <v>499644000</v>
      </c>
      <c r="H293">
        <f t="shared" si="16"/>
        <v>1998</v>
      </c>
      <c r="I293">
        <f t="shared" si="17"/>
        <v>7</v>
      </c>
      <c r="J293" t="str">
        <f t="shared" si="18"/>
        <v>Jul</v>
      </c>
      <c r="K293" t="str">
        <f t="shared" si="19"/>
        <v>Fri</v>
      </c>
    </row>
    <row r="294" spans="1:11" x14ac:dyDescent="0.35">
      <c r="A294" s="1">
        <v>35989</v>
      </c>
      <c r="B294">
        <v>0.80416697263717596</v>
      </c>
      <c r="C294">
        <v>0.89999997615814198</v>
      </c>
      <c r="D294">
        <v>0.785417020320892</v>
      </c>
      <c r="E294">
        <v>0.89687502384185702</v>
      </c>
      <c r="F294">
        <v>0.89687502384185702</v>
      </c>
      <c r="G294">
        <v>384960000</v>
      </c>
      <c r="H294">
        <f t="shared" si="16"/>
        <v>1998</v>
      </c>
      <c r="I294">
        <f t="shared" si="17"/>
        <v>7</v>
      </c>
      <c r="J294" t="str">
        <f t="shared" si="18"/>
        <v>Jul</v>
      </c>
      <c r="K294" t="str">
        <f t="shared" si="19"/>
        <v>Mon</v>
      </c>
    </row>
    <row r="295" spans="1:11" x14ac:dyDescent="0.35">
      <c r="A295" s="1">
        <v>35990</v>
      </c>
      <c r="B295">
        <v>0.90416699647903398</v>
      </c>
      <c r="C295">
        <v>0.964582979679107</v>
      </c>
      <c r="D295">
        <v>0.89166700839996305</v>
      </c>
      <c r="E295">
        <v>0.95833301544189398</v>
      </c>
      <c r="F295">
        <v>0.95833301544189398</v>
      </c>
      <c r="G295">
        <v>507168000</v>
      </c>
      <c r="H295">
        <f t="shared" si="16"/>
        <v>1998</v>
      </c>
      <c r="I295">
        <f t="shared" si="17"/>
        <v>7</v>
      </c>
      <c r="J295" t="str">
        <f t="shared" si="18"/>
        <v>Jul</v>
      </c>
      <c r="K295" t="str">
        <f t="shared" si="19"/>
        <v>Tue</v>
      </c>
    </row>
    <row r="296" spans="1:11" x14ac:dyDescent="0.35">
      <c r="A296" s="1">
        <v>35991</v>
      </c>
      <c r="B296">
        <v>0.96666699647903398</v>
      </c>
      <c r="C296">
        <v>0.97812497615814198</v>
      </c>
      <c r="D296">
        <v>0.91458302736282304</v>
      </c>
      <c r="E296">
        <v>0.9375</v>
      </c>
      <c r="F296">
        <v>0.9375</v>
      </c>
      <c r="G296">
        <v>352200000</v>
      </c>
      <c r="H296">
        <f t="shared" si="16"/>
        <v>1998</v>
      </c>
      <c r="I296">
        <f t="shared" si="17"/>
        <v>7</v>
      </c>
      <c r="J296" t="str">
        <f t="shared" si="18"/>
        <v>Jul</v>
      </c>
      <c r="K296" t="str">
        <f t="shared" si="19"/>
        <v>Wed</v>
      </c>
    </row>
    <row r="297" spans="1:11" x14ac:dyDescent="0.35">
      <c r="A297" s="1">
        <v>35992</v>
      </c>
      <c r="B297">
        <v>0.94531297683715798</v>
      </c>
      <c r="C297">
        <v>0.95833301544189398</v>
      </c>
      <c r="D297">
        <v>0.90416699647903398</v>
      </c>
      <c r="E297">
        <v>0.94479197263717596</v>
      </c>
      <c r="F297">
        <v>0.94479197263717596</v>
      </c>
      <c r="G297">
        <v>279984000</v>
      </c>
      <c r="H297">
        <f t="shared" si="16"/>
        <v>1998</v>
      </c>
      <c r="I297">
        <f t="shared" si="17"/>
        <v>7</v>
      </c>
      <c r="J297" t="str">
        <f t="shared" si="18"/>
        <v>Jul</v>
      </c>
      <c r="K297" t="str">
        <f t="shared" si="19"/>
        <v>Thu</v>
      </c>
    </row>
    <row r="298" spans="1:11" x14ac:dyDescent="0.35">
      <c r="A298" s="1">
        <v>35993</v>
      </c>
      <c r="B298">
        <v>0.93645799160003595</v>
      </c>
      <c r="C298">
        <v>1.00416696071624</v>
      </c>
      <c r="D298">
        <v>0.93229198455810502</v>
      </c>
      <c r="E298">
        <v>0.998438000679016</v>
      </c>
      <c r="F298">
        <v>0.998438000679016</v>
      </c>
      <c r="G298">
        <v>356520000</v>
      </c>
      <c r="H298">
        <f t="shared" si="16"/>
        <v>1998</v>
      </c>
      <c r="I298">
        <f t="shared" si="17"/>
        <v>7</v>
      </c>
      <c r="J298" t="str">
        <f t="shared" si="18"/>
        <v>Jul</v>
      </c>
      <c r="K298" t="str">
        <f t="shared" si="19"/>
        <v>Fri</v>
      </c>
    </row>
    <row r="299" spans="1:11" x14ac:dyDescent="0.35">
      <c r="A299" s="1">
        <v>35996</v>
      </c>
      <c r="B299">
        <v>1.0093749761581401</v>
      </c>
      <c r="C299">
        <v>1.16770803928375</v>
      </c>
      <c r="D299">
        <v>0.99791699647903398</v>
      </c>
      <c r="E299">
        <v>1.1458330154418901</v>
      </c>
      <c r="F299">
        <v>1.1458330154418901</v>
      </c>
      <c r="G299">
        <v>718500000</v>
      </c>
      <c r="H299">
        <f t="shared" si="16"/>
        <v>1998</v>
      </c>
      <c r="I299">
        <f t="shared" si="17"/>
        <v>7</v>
      </c>
      <c r="J299" t="str">
        <f t="shared" si="18"/>
        <v>Jul</v>
      </c>
      <c r="K299" t="str">
        <f t="shared" si="19"/>
        <v>Mon</v>
      </c>
    </row>
    <row r="300" spans="1:11" x14ac:dyDescent="0.35">
      <c r="A300" s="1">
        <v>35997</v>
      </c>
      <c r="B300">
        <v>1.14374995231628</v>
      </c>
      <c r="C300">
        <v>1.2250000238418499</v>
      </c>
      <c r="D300">
        <v>1.06666696071624</v>
      </c>
      <c r="E300">
        <v>1.1005209684371899</v>
      </c>
      <c r="F300">
        <v>1.1005209684371899</v>
      </c>
      <c r="G300">
        <v>946560000</v>
      </c>
      <c r="H300">
        <f t="shared" si="16"/>
        <v>1998</v>
      </c>
      <c r="I300">
        <f t="shared" si="17"/>
        <v>7</v>
      </c>
      <c r="J300" t="str">
        <f t="shared" si="18"/>
        <v>Jul</v>
      </c>
      <c r="K300" t="str">
        <f t="shared" si="19"/>
        <v>Tue</v>
      </c>
    </row>
    <row r="301" spans="1:11" x14ac:dyDescent="0.35">
      <c r="A301" s="1">
        <v>35998</v>
      </c>
      <c r="B301">
        <v>1.11666703224182</v>
      </c>
      <c r="C301">
        <v>1.1656249761581401</v>
      </c>
      <c r="D301">
        <v>1.0874999761581401</v>
      </c>
      <c r="E301">
        <v>1.11666703224182</v>
      </c>
      <c r="F301">
        <v>1.11666703224182</v>
      </c>
      <c r="G301">
        <v>559488000</v>
      </c>
      <c r="H301">
        <f t="shared" si="16"/>
        <v>1998</v>
      </c>
      <c r="I301">
        <f t="shared" si="17"/>
        <v>7</v>
      </c>
      <c r="J301" t="str">
        <f t="shared" si="18"/>
        <v>Jul</v>
      </c>
      <c r="K301" t="str">
        <f t="shared" si="19"/>
        <v>Wed</v>
      </c>
    </row>
    <row r="302" spans="1:11" x14ac:dyDescent="0.35">
      <c r="A302" s="1">
        <v>35999</v>
      </c>
      <c r="B302">
        <v>1.0833330154418901</v>
      </c>
      <c r="C302">
        <v>1.1541670560836701</v>
      </c>
      <c r="D302">
        <v>1.05833303928375</v>
      </c>
      <c r="E302">
        <v>1.06354200839996</v>
      </c>
      <c r="F302">
        <v>1.06354200839996</v>
      </c>
      <c r="G302">
        <v>556212000</v>
      </c>
      <c r="H302">
        <f t="shared" si="16"/>
        <v>1998</v>
      </c>
      <c r="I302">
        <f t="shared" si="17"/>
        <v>7</v>
      </c>
      <c r="J302" t="str">
        <f t="shared" si="18"/>
        <v>Jul</v>
      </c>
      <c r="K302" t="str">
        <f t="shared" si="19"/>
        <v>Thu</v>
      </c>
    </row>
    <row r="303" spans="1:11" x14ac:dyDescent="0.35">
      <c r="A303" s="1">
        <v>36000</v>
      </c>
      <c r="B303">
        <v>1.07708299160003</v>
      </c>
      <c r="C303">
        <v>1.0958329439163199</v>
      </c>
      <c r="D303">
        <v>0.97500002384185702</v>
      </c>
      <c r="E303">
        <v>1.03541696071624</v>
      </c>
      <c r="F303">
        <v>1.03541696071624</v>
      </c>
      <c r="G303">
        <v>579480000</v>
      </c>
      <c r="H303">
        <f t="shared" si="16"/>
        <v>1998</v>
      </c>
      <c r="I303">
        <f t="shared" si="17"/>
        <v>7</v>
      </c>
      <c r="J303" t="str">
        <f t="shared" si="18"/>
        <v>Jul</v>
      </c>
      <c r="K303" t="str">
        <f t="shared" si="19"/>
        <v>Fri</v>
      </c>
    </row>
    <row r="304" spans="1:11" x14ac:dyDescent="0.35">
      <c r="A304" s="1">
        <v>36003</v>
      </c>
      <c r="B304">
        <v>0.99270802736282304</v>
      </c>
      <c r="C304">
        <v>1.06145799160003</v>
      </c>
      <c r="D304">
        <v>0.96354198455810502</v>
      </c>
      <c r="E304">
        <v>1.04635405540466</v>
      </c>
      <c r="F304">
        <v>1.04635405540466</v>
      </c>
      <c r="G304">
        <v>576612000</v>
      </c>
      <c r="H304">
        <f t="shared" si="16"/>
        <v>1998</v>
      </c>
      <c r="I304">
        <f t="shared" si="17"/>
        <v>7</v>
      </c>
      <c r="J304" t="str">
        <f t="shared" si="18"/>
        <v>Jul</v>
      </c>
      <c r="K304" t="str">
        <f t="shared" si="19"/>
        <v>Mon</v>
      </c>
    </row>
    <row r="305" spans="1:11" x14ac:dyDescent="0.35">
      <c r="A305" s="1">
        <v>36004</v>
      </c>
      <c r="B305">
        <v>1.0369789600372299</v>
      </c>
      <c r="C305">
        <v>1.04999995231628</v>
      </c>
      <c r="D305">
        <v>0.98333299160003595</v>
      </c>
      <c r="E305">
        <v>0.99114602804183904</v>
      </c>
      <c r="F305">
        <v>0.99114602804183904</v>
      </c>
      <c r="G305">
        <v>414936000</v>
      </c>
      <c r="H305">
        <f t="shared" si="16"/>
        <v>1998</v>
      </c>
      <c r="I305">
        <f t="shared" si="17"/>
        <v>7</v>
      </c>
      <c r="J305" t="str">
        <f t="shared" si="18"/>
        <v>Jul</v>
      </c>
      <c r="K305" t="str">
        <f t="shared" si="19"/>
        <v>Tue</v>
      </c>
    </row>
    <row r="306" spans="1:11" x14ac:dyDescent="0.35">
      <c r="A306" s="1">
        <v>36005</v>
      </c>
      <c r="B306">
        <v>1.00416696071624</v>
      </c>
      <c r="C306">
        <v>1.01250004768371</v>
      </c>
      <c r="D306">
        <v>0.89583301544189398</v>
      </c>
      <c r="E306">
        <v>0.89843797683715798</v>
      </c>
      <c r="F306">
        <v>0.89843797683715798</v>
      </c>
      <c r="G306">
        <v>392892000</v>
      </c>
      <c r="H306">
        <f t="shared" si="16"/>
        <v>1998</v>
      </c>
      <c r="I306">
        <f t="shared" si="17"/>
        <v>7</v>
      </c>
      <c r="J306" t="str">
        <f t="shared" si="18"/>
        <v>Jul</v>
      </c>
      <c r="K306" t="str">
        <f t="shared" si="19"/>
        <v>Wed</v>
      </c>
    </row>
    <row r="307" spans="1:11" x14ac:dyDescent="0.35">
      <c r="A307" s="1">
        <v>36006</v>
      </c>
      <c r="B307">
        <v>0.93124997615814198</v>
      </c>
      <c r="C307">
        <v>0.95833301544189398</v>
      </c>
      <c r="D307">
        <v>0.879167020320892</v>
      </c>
      <c r="E307">
        <v>0.94791698455810502</v>
      </c>
      <c r="F307">
        <v>0.94791698455810502</v>
      </c>
      <c r="G307">
        <v>635484000</v>
      </c>
      <c r="H307">
        <f t="shared" si="16"/>
        <v>1998</v>
      </c>
      <c r="I307">
        <f t="shared" si="17"/>
        <v>7</v>
      </c>
      <c r="J307" t="str">
        <f t="shared" si="18"/>
        <v>Jul</v>
      </c>
      <c r="K307" t="str">
        <f t="shared" si="19"/>
        <v>Thu</v>
      </c>
    </row>
    <row r="308" spans="1:11" x14ac:dyDescent="0.35">
      <c r="A308" s="1">
        <v>36007</v>
      </c>
      <c r="B308">
        <v>0.95416700839996305</v>
      </c>
      <c r="C308">
        <v>0.95937502384185702</v>
      </c>
      <c r="D308">
        <v>0.90937501192092896</v>
      </c>
      <c r="E308">
        <v>0.92395800352096502</v>
      </c>
      <c r="F308">
        <v>0.92395800352096502</v>
      </c>
      <c r="G308">
        <v>268812000</v>
      </c>
      <c r="H308">
        <f t="shared" si="16"/>
        <v>1998</v>
      </c>
      <c r="I308">
        <f t="shared" si="17"/>
        <v>7</v>
      </c>
      <c r="J308" t="str">
        <f t="shared" si="18"/>
        <v>Jul</v>
      </c>
      <c r="K308" t="str">
        <f t="shared" si="19"/>
        <v>Fri</v>
      </c>
    </row>
    <row r="309" spans="1:11" x14ac:dyDescent="0.35">
      <c r="A309" s="1">
        <v>36010</v>
      </c>
      <c r="B309">
        <v>0.91458302736282304</v>
      </c>
      <c r="C309">
        <v>0.92916697263717596</v>
      </c>
      <c r="D309">
        <v>0.89375001192092896</v>
      </c>
      <c r="E309">
        <v>0.902082979679107</v>
      </c>
      <c r="F309">
        <v>0.902082979679107</v>
      </c>
      <c r="G309">
        <v>258264000</v>
      </c>
      <c r="H309">
        <f t="shared" si="16"/>
        <v>1998</v>
      </c>
      <c r="I309">
        <f t="shared" si="17"/>
        <v>8</v>
      </c>
      <c r="J309" t="str">
        <f t="shared" si="18"/>
        <v>Aug</v>
      </c>
      <c r="K309" t="str">
        <f t="shared" si="19"/>
        <v>Mon</v>
      </c>
    </row>
    <row r="310" spans="1:11" x14ac:dyDescent="0.35">
      <c r="A310" s="1">
        <v>36011</v>
      </c>
      <c r="B310">
        <v>0.917707979679107</v>
      </c>
      <c r="C310">
        <v>0.95104199647903398</v>
      </c>
      <c r="D310">
        <v>0.90104198455810502</v>
      </c>
      <c r="E310">
        <v>0.91562497615814198</v>
      </c>
      <c r="F310">
        <v>0.91562497615814198</v>
      </c>
      <c r="G310">
        <v>561300000</v>
      </c>
      <c r="H310">
        <f t="shared" si="16"/>
        <v>1998</v>
      </c>
      <c r="I310">
        <f t="shared" si="17"/>
        <v>8</v>
      </c>
      <c r="J310" t="str">
        <f t="shared" si="18"/>
        <v>Aug</v>
      </c>
      <c r="K310" t="str">
        <f t="shared" si="19"/>
        <v>Tue</v>
      </c>
    </row>
    <row r="311" spans="1:11" x14ac:dyDescent="0.35">
      <c r="A311" s="1">
        <v>36012</v>
      </c>
      <c r="B311">
        <v>0.94010400772094704</v>
      </c>
      <c r="C311">
        <v>0.94270801544189398</v>
      </c>
      <c r="D311">
        <v>0.83333301544189398</v>
      </c>
      <c r="E311">
        <v>0.884895980358123</v>
      </c>
      <c r="F311">
        <v>0.884895980358123</v>
      </c>
      <c r="G311">
        <v>461208000</v>
      </c>
      <c r="H311">
        <f t="shared" si="16"/>
        <v>1998</v>
      </c>
      <c r="I311">
        <f t="shared" si="17"/>
        <v>8</v>
      </c>
      <c r="J311" t="str">
        <f t="shared" si="18"/>
        <v>Aug</v>
      </c>
      <c r="K311" t="str">
        <f t="shared" si="19"/>
        <v>Wed</v>
      </c>
    </row>
    <row r="312" spans="1:11" x14ac:dyDescent="0.35">
      <c r="A312" s="1">
        <v>36013</v>
      </c>
      <c r="B312">
        <v>0.86979198455810502</v>
      </c>
      <c r="C312">
        <v>0.9375</v>
      </c>
      <c r="D312">
        <v>0.85885399580001798</v>
      </c>
      <c r="E312">
        <v>0.91250002384185702</v>
      </c>
      <c r="F312">
        <v>0.91250002384185702</v>
      </c>
      <c r="G312">
        <v>372072000</v>
      </c>
      <c r="H312">
        <f t="shared" si="16"/>
        <v>1998</v>
      </c>
      <c r="I312">
        <f t="shared" si="17"/>
        <v>8</v>
      </c>
      <c r="J312" t="str">
        <f t="shared" si="18"/>
        <v>Aug</v>
      </c>
      <c r="K312" t="str">
        <f t="shared" si="19"/>
        <v>Thu</v>
      </c>
    </row>
    <row r="313" spans="1:11" x14ac:dyDescent="0.35">
      <c r="A313" s="1">
        <v>36014</v>
      </c>
      <c r="B313">
        <v>0.92708301544189398</v>
      </c>
      <c r="C313">
        <v>0.99062502384185702</v>
      </c>
      <c r="D313">
        <v>0.91145801544189398</v>
      </c>
      <c r="E313">
        <v>0.96666699647903398</v>
      </c>
      <c r="F313">
        <v>0.96666699647903398</v>
      </c>
      <c r="G313">
        <v>468660000</v>
      </c>
      <c r="H313">
        <f t="shared" si="16"/>
        <v>1998</v>
      </c>
      <c r="I313">
        <f t="shared" si="17"/>
        <v>8</v>
      </c>
      <c r="J313" t="str">
        <f t="shared" si="18"/>
        <v>Aug</v>
      </c>
      <c r="K313" t="str">
        <f t="shared" si="19"/>
        <v>Fri</v>
      </c>
    </row>
    <row r="314" spans="1:11" x14ac:dyDescent="0.35">
      <c r="A314" s="1">
        <v>36017</v>
      </c>
      <c r="B314">
        <v>0.97500002384185702</v>
      </c>
      <c r="C314">
        <v>1.015625</v>
      </c>
      <c r="D314">
        <v>0.95833301544189398</v>
      </c>
      <c r="E314">
        <v>1.0135420560836701</v>
      </c>
      <c r="F314">
        <v>1.0135420560836701</v>
      </c>
      <c r="G314">
        <v>370320000</v>
      </c>
      <c r="H314">
        <f t="shared" si="16"/>
        <v>1998</v>
      </c>
      <c r="I314">
        <f t="shared" si="17"/>
        <v>8</v>
      </c>
      <c r="J314" t="str">
        <f t="shared" si="18"/>
        <v>Aug</v>
      </c>
      <c r="K314" t="str">
        <f t="shared" si="19"/>
        <v>Mon</v>
      </c>
    </row>
    <row r="315" spans="1:11" x14ac:dyDescent="0.35">
      <c r="A315" s="1">
        <v>36018</v>
      </c>
      <c r="B315">
        <v>0.96249997615814198</v>
      </c>
      <c r="C315">
        <v>1.0572919845580999</v>
      </c>
      <c r="D315">
        <v>0.96041697263717596</v>
      </c>
      <c r="E315">
        <v>1.0333329439163199</v>
      </c>
      <c r="F315">
        <v>1.0333329439163199</v>
      </c>
      <c r="G315">
        <v>563172000</v>
      </c>
      <c r="H315">
        <f t="shared" si="16"/>
        <v>1998</v>
      </c>
      <c r="I315">
        <f t="shared" si="17"/>
        <v>8</v>
      </c>
      <c r="J315" t="str">
        <f t="shared" si="18"/>
        <v>Aug</v>
      </c>
      <c r="K315" t="str">
        <f t="shared" si="19"/>
        <v>Tue</v>
      </c>
    </row>
    <row r="316" spans="1:11" x14ac:dyDescent="0.35">
      <c r="A316" s="1">
        <v>36019</v>
      </c>
      <c r="B316">
        <v>1.0562499761581401</v>
      </c>
      <c r="C316">
        <v>1.0958329439163199</v>
      </c>
      <c r="D316">
        <v>1.0338540077209399</v>
      </c>
      <c r="E316">
        <v>1.0864579677581701</v>
      </c>
      <c r="F316">
        <v>1.0864579677581701</v>
      </c>
      <c r="G316">
        <v>402816000</v>
      </c>
      <c r="H316">
        <f t="shared" si="16"/>
        <v>1998</v>
      </c>
      <c r="I316">
        <f t="shared" si="17"/>
        <v>8</v>
      </c>
      <c r="J316" t="str">
        <f t="shared" si="18"/>
        <v>Aug</v>
      </c>
      <c r="K316" t="str">
        <f t="shared" si="19"/>
        <v>Wed</v>
      </c>
    </row>
    <row r="317" spans="1:11" x14ac:dyDescent="0.35">
      <c r="A317" s="1">
        <v>36020</v>
      </c>
      <c r="B317">
        <v>1.0885419845580999</v>
      </c>
      <c r="C317">
        <v>1.125</v>
      </c>
      <c r="D317">
        <v>1.05833303928375</v>
      </c>
      <c r="E317">
        <v>1.0625</v>
      </c>
      <c r="F317">
        <v>1.0625</v>
      </c>
      <c r="G317">
        <v>492588000</v>
      </c>
      <c r="H317">
        <f t="shared" si="16"/>
        <v>1998</v>
      </c>
      <c r="I317">
        <f t="shared" si="17"/>
        <v>8</v>
      </c>
      <c r="J317" t="str">
        <f t="shared" si="18"/>
        <v>Aug</v>
      </c>
      <c r="K317" t="str">
        <f t="shared" si="19"/>
        <v>Thu</v>
      </c>
    </row>
    <row r="318" spans="1:11" x14ac:dyDescent="0.35">
      <c r="A318" s="1">
        <v>36021</v>
      </c>
      <c r="B318">
        <v>1.0890630483627299</v>
      </c>
      <c r="C318">
        <v>1.08958303928375</v>
      </c>
      <c r="D318">
        <v>1.0020829439163199</v>
      </c>
      <c r="E318">
        <v>1.02291703224182</v>
      </c>
      <c r="F318">
        <v>1.02291703224182</v>
      </c>
      <c r="G318">
        <v>388200000</v>
      </c>
      <c r="H318">
        <f t="shared" si="16"/>
        <v>1998</v>
      </c>
      <c r="I318">
        <f t="shared" si="17"/>
        <v>8</v>
      </c>
      <c r="J318" t="str">
        <f t="shared" si="18"/>
        <v>Aug</v>
      </c>
      <c r="K318" t="str">
        <f t="shared" si="19"/>
        <v>Fri</v>
      </c>
    </row>
    <row r="319" spans="1:11" x14ac:dyDescent="0.35">
      <c r="A319" s="1">
        <v>36024</v>
      </c>
      <c r="B319">
        <v>1.0062500238418499</v>
      </c>
      <c r="C319">
        <v>1.0265630483627299</v>
      </c>
      <c r="D319">
        <v>0.98750001192092896</v>
      </c>
      <c r="E319">
        <v>0.99739599227905196</v>
      </c>
      <c r="F319">
        <v>0.99739599227905196</v>
      </c>
      <c r="G319">
        <v>292356000</v>
      </c>
      <c r="H319">
        <f t="shared" si="16"/>
        <v>1998</v>
      </c>
      <c r="I319">
        <f t="shared" si="17"/>
        <v>8</v>
      </c>
      <c r="J319" t="str">
        <f t="shared" si="18"/>
        <v>Aug</v>
      </c>
      <c r="K319" t="str">
        <f t="shared" si="19"/>
        <v>Mon</v>
      </c>
    </row>
    <row r="320" spans="1:11" x14ac:dyDescent="0.35">
      <c r="A320" s="1">
        <v>36025</v>
      </c>
      <c r="B320">
        <v>1.0098960399627599</v>
      </c>
      <c r="C320">
        <v>1.0760420560836701</v>
      </c>
      <c r="D320">
        <v>0.99270802736282304</v>
      </c>
      <c r="E320">
        <v>1.0723960399627599</v>
      </c>
      <c r="F320">
        <v>1.0723960399627599</v>
      </c>
      <c r="G320">
        <v>360012000</v>
      </c>
      <c r="H320">
        <f t="shared" si="16"/>
        <v>1998</v>
      </c>
      <c r="I320">
        <f t="shared" si="17"/>
        <v>8</v>
      </c>
      <c r="J320" t="str">
        <f t="shared" si="18"/>
        <v>Aug</v>
      </c>
      <c r="K320" t="str">
        <f t="shared" si="19"/>
        <v>Tue</v>
      </c>
    </row>
    <row r="321" spans="1:11" x14ac:dyDescent="0.35">
      <c r="A321" s="1">
        <v>36026</v>
      </c>
      <c r="B321">
        <v>1.09375</v>
      </c>
      <c r="C321">
        <v>1.1145830154418901</v>
      </c>
      <c r="D321">
        <v>1.05833303928375</v>
      </c>
      <c r="E321">
        <v>1.0729169845580999</v>
      </c>
      <c r="F321">
        <v>1.0729169845580999</v>
      </c>
      <c r="G321">
        <v>385632000</v>
      </c>
      <c r="H321">
        <f t="shared" si="16"/>
        <v>1998</v>
      </c>
      <c r="I321">
        <f t="shared" si="17"/>
        <v>8</v>
      </c>
      <c r="J321" t="str">
        <f t="shared" si="18"/>
        <v>Aug</v>
      </c>
      <c r="K321" t="str">
        <f t="shared" si="19"/>
        <v>Wed</v>
      </c>
    </row>
    <row r="322" spans="1:11" x14ac:dyDescent="0.35">
      <c r="A322" s="1">
        <v>36027</v>
      </c>
      <c r="B322">
        <v>1.0520830154418901</v>
      </c>
      <c r="C322">
        <v>1.08124995231628</v>
      </c>
      <c r="D322">
        <v>1.04583299160003</v>
      </c>
      <c r="E322">
        <v>1.0760420560836701</v>
      </c>
      <c r="F322">
        <v>1.0760420560836701</v>
      </c>
      <c r="G322">
        <v>317724000</v>
      </c>
      <c r="H322">
        <f t="shared" si="16"/>
        <v>1998</v>
      </c>
      <c r="I322">
        <f t="shared" si="17"/>
        <v>8</v>
      </c>
      <c r="J322" t="str">
        <f t="shared" si="18"/>
        <v>Aug</v>
      </c>
      <c r="K322" t="str">
        <f t="shared" si="19"/>
        <v>Thu</v>
      </c>
    </row>
    <row r="323" spans="1:11" x14ac:dyDescent="0.35">
      <c r="A323" s="1">
        <v>36028</v>
      </c>
      <c r="B323">
        <v>1.0604170560836701</v>
      </c>
      <c r="C323">
        <v>1.08567702770233</v>
      </c>
      <c r="D323">
        <v>1.02708303928375</v>
      </c>
      <c r="E323">
        <v>1.0807290077209399</v>
      </c>
      <c r="F323">
        <v>1.0807290077209399</v>
      </c>
      <c r="G323">
        <v>302724000</v>
      </c>
      <c r="H323">
        <f t="shared" si="16"/>
        <v>1998</v>
      </c>
      <c r="I323">
        <f t="shared" si="17"/>
        <v>8</v>
      </c>
      <c r="J323" t="str">
        <f t="shared" si="18"/>
        <v>Aug</v>
      </c>
      <c r="K323" t="str">
        <f t="shared" si="19"/>
        <v>Fri</v>
      </c>
    </row>
    <row r="324" spans="1:11" x14ac:dyDescent="0.35">
      <c r="A324" s="1">
        <v>36031</v>
      </c>
      <c r="B324">
        <v>1.08541703224182</v>
      </c>
      <c r="C324">
        <v>1.125</v>
      </c>
      <c r="D324">
        <v>1.0843750238418499</v>
      </c>
      <c r="E324">
        <v>1.1229170560836701</v>
      </c>
      <c r="F324">
        <v>1.1229170560836701</v>
      </c>
      <c r="G324">
        <v>278988000</v>
      </c>
      <c r="H324">
        <f t="shared" ref="H324:H387" si="20">YEAR($A324)</f>
        <v>1998</v>
      </c>
      <c r="I324">
        <f t="shared" ref="I324:I387" si="21">MONTH($A324)</f>
        <v>8</v>
      </c>
      <c r="J324" t="str">
        <f t="shared" ref="J324:J387" si="22">TEXT($A324,"mmm")</f>
        <v>Aug</v>
      </c>
      <c r="K324" t="str">
        <f t="shared" ref="K324:K387" si="23">TEXT($A324,"ddd")</f>
        <v>Mon</v>
      </c>
    </row>
    <row r="325" spans="1:11" x14ac:dyDescent="0.35">
      <c r="A325" s="1">
        <v>36032</v>
      </c>
      <c r="B325">
        <v>1.14531302452087</v>
      </c>
      <c r="C325">
        <v>1.1458330154418901</v>
      </c>
      <c r="D325">
        <v>1.08958303928375</v>
      </c>
      <c r="E325">
        <v>1.09687495231628</v>
      </c>
      <c r="F325">
        <v>1.09687495231628</v>
      </c>
      <c r="G325">
        <v>287028000</v>
      </c>
      <c r="H325">
        <f t="shared" si="20"/>
        <v>1998</v>
      </c>
      <c r="I325">
        <f t="shared" si="21"/>
        <v>8</v>
      </c>
      <c r="J325" t="str">
        <f t="shared" si="22"/>
        <v>Aug</v>
      </c>
      <c r="K325" t="str">
        <f t="shared" si="23"/>
        <v>Tue</v>
      </c>
    </row>
    <row r="326" spans="1:11" x14ac:dyDescent="0.35">
      <c r="A326" s="1">
        <v>36033</v>
      </c>
      <c r="B326">
        <v>1.08124995231628</v>
      </c>
      <c r="C326">
        <v>1.08541703224182</v>
      </c>
      <c r="D326">
        <v>1.0567710399627599</v>
      </c>
      <c r="E326">
        <v>1.0604170560836701</v>
      </c>
      <c r="F326">
        <v>1.0604170560836701</v>
      </c>
      <c r="G326">
        <v>327816000</v>
      </c>
      <c r="H326">
        <f t="shared" si="20"/>
        <v>1998</v>
      </c>
      <c r="I326">
        <f t="shared" si="21"/>
        <v>8</v>
      </c>
      <c r="J326" t="str">
        <f t="shared" si="22"/>
        <v>Aug</v>
      </c>
      <c r="K326" t="str">
        <f t="shared" si="23"/>
        <v>Wed</v>
      </c>
    </row>
    <row r="327" spans="1:11" x14ac:dyDescent="0.35">
      <c r="A327" s="1">
        <v>36034</v>
      </c>
      <c r="B327">
        <v>1.0364580154418901</v>
      </c>
      <c r="C327">
        <v>1.0416669845580999</v>
      </c>
      <c r="D327">
        <v>0.99166697263717596</v>
      </c>
      <c r="E327">
        <v>0.99166697263717596</v>
      </c>
      <c r="F327">
        <v>0.99166697263717596</v>
      </c>
      <c r="G327">
        <v>320544000</v>
      </c>
      <c r="H327">
        <f t="shared" si="20"/>
        <v>1998</v>
      </c>
      <c r="I327">
        <f t="shared" si="21"/>
        <v>8</v>
      </c>
      <c r="J327" t="str">
        <f t="shared" si="22"/>
        <v>Aug</v>
      </c>
      <c r="K327" t="str">
        <f t="shared" si="23"/>
        <v>Thu</v>
      </c>
    </row>
    <row r="328" spans="1:11" x14ac:dyDescent="0.35">
      <c r="A328" s="1">
        <v>36035</v>
      </c>
      <c r="B328">
        <v>0.99791699647903398</v>
      </c>
      <c r="C328">
        <v>1.00729203224182</v>
      </c>
      <c r="D328">
        <v>0.86041700839996305</v>
      </c>
      <c r="E328">
        <v>0.88242197036743097</v>
      </c>
      <c r="F328">
        <v>0.88242197036743097</v>
      </c>
      <c r="G328">
        <v>780720000</v>
      </c>
      <c r="H328">
        <f t="shared" si="20"/>
        <v>1998</v>
      </c>
      <c r="I328">
        <f t="shared" si="21"/>
        <v>8</v>
      </c>
      <c r="J328" t="str">
        <f t="shared" si="22"/>
        <v>Aug</v>
      </c>
      <c r="K328" t="str">
        <f t="shared" si="23"/>
        <v>Fri</v>
      </c>
    </row>
    <row r="329" spans="1:11" x14ac:dyDescent="0.35">
      <c r="A329" s="1">
        <v>36038</v>
      </c>
      <c r="B329">
        <v>0.87864601612090998</v>
      </c>
      <c r="C329">
        <v>0.89687502384185702</v>
      </c>
      <c r="D329">
        <v>0.69270801544189398</v>
      </c>
      <c r="E329">
        <v>0.69791698455810502</v>
      </c>
      <c r="F329">
        <v>0.69791698455810502</v>
      </c>
      <c r="G329">
        <v>820008000</v>
      </c>
      <c r="H329">
        <f t="shared" si="20"/>
        <v>1998</v>
      </c>
      <c r="I329">
        <f t="shared" si="21"/>
        <v>8</v>
      </c>
      <c r="J329" t="str">
        <f t="shared" si="22"/>
        <v>Aug</v>
      </c>
      <c r="K329" t="str">
        <f t="shared" si="23"/>
        <v>Mon</v>
      </c>
    </row>
    <row r="330" spans="1:11" x14ac:dyDescent="0.35">
      <c r="A330" s="1">
        <v>36039</v>
      </c>
      <c r="B330">
        <v>0.63437497615814198</v>
      </c>
      <c r="C330">
        <v>0.72187501192092896</v>
      </c>
      <c r="D330">
        <v>0.54166698455810502</v>
      </c>
      <c r="E330">
        <v>0.66627597808837802</v>
      </c>
      <c r="F330">
        <v>0.66627597808837802</v>
      </c>
      <c r="G330">
        <v>1349016000</v>
      </c>
      <c r="H330">
        <f t="shared" si="20"/>
        <v>1998</v>
      </c>
      <c r="I330">
        <f t="shared" si="21"/>
        <v>9</v>
      </c>
      <c r="J330" t="str">
        <f t="shared" si="22"/>
        <v>Sep</v>
      </c>
      <c r="K330" t="str">
        <f t="shared" si="23"/>
        <v>Tue</v>
      </c>
    </row>
    <row r="331" spans="1:11" x14ac:dyDescent="0.35">
      <c r="A331" s="1">
        <v>36040</v>
      </c>
      <c r="B331">
        <v>0.69270801544189398</v>
      </c>
      <c r="C331">
        <v>0.80000001192092896</v>
      </c>
      <c r="D331">
        <v>0.683332979679107</v>
      </c>
      <c r="E331">
        <v>0.73229199647903398</v>
      </c>
      <c r="F331">
        <v>0.73229199647903398</v>
      </c>
      <c r="G331">
        <v>946572000</v>
      </c>
      <c r="H331">
        <f t="shared" si="20"/>
        <v>1998</v>
      </c>
      <c r="I331">
        <f t="shared" si="21"/>
        <v>9</v>
      </c>
      <c r="J331" t="str">
        <f t="shared" si="22"/>
        <v>Sep</v>
      </c>
      <c r="K331" t="str">
        <f t="shared" si="23"/>
        <v>Wed</v>
      </c>
    </row>
    <row r="332" spans="1:11" x14ac:dyDescent="0.35">
      <c r="A332" s="1">
        <v>36041</v>
      </c>
      <c r="B332">
        <v>0.69687497615814198</v>
      </c>
      <c r="C332">
        <v>0.75208300352096502</v>
      </c>
      <c r="D332">
        <v>0.67291700839996305</v>
      </c>
      <c r="E332">
        <v>0.71562498807907104</v>
      </c>
      <c r="F332">
        <v>0.71562498807907104</v>
      </c>
      <c r="G332">
        <v>509424000</v>
      </c>
      <c r="H332">
        <f t="shared" si="20"/>
        <v>1998</v>
      </c>
      <c r="I332">
        <f t="shared" si="21"/>
        <v>9</v>
      </c>
      <c r="J332" t="str">
        <f t="shared" si="22"/>
        <v>Sep</v>
      </c>
      <c r="K332" t="str">
        <f t="shared" si="23"/>
        <v>Thu</v>
      </c>
    </row>
    <row r="333" spans="1:11" x14ac:dyDescent="0.35">
      <c r="A333" s="1">
        <v>36042</v>
      </c>
      <c r="B333">
        <v>0.72239601612090998</v>
      </c>
      <c r="C333">
        <v>0.75</v>
      </c>
      <c r="D333">
        <v>0.683332979679107</v>
      </c>
      <c r="E333">
        <v>0.71875</v>
      </c>
      <c r="F333">
        <v>0.71875</v>
      </c>
      <c r="G333">
        <v>356244000</v>
      </c>
      <c r="H333">
        <f t="shared" si="20"/>
        <v>1998</v>
      </c>
      <c r="I333">
        <f t="shared" si="21"/>
        <v>9</v>
      </c>
      <c r="J333" t="str">
        <f t="shared" si="22"/>
        <v>Sep</v>
      </c>
      <c r="K333" t="str">
        <f t="shared" si="23"/>
        <v>Fri</v>
      </c>
    </row>
    <row r="334" spans="1:11" x14ac:dyDescent="0.35">
      <c r="A334" s="1">
        <v>36046</v>
      </c>
      <c r="B334">
        <v>0.78333300352096502</v>
      </c>
      <c r="C334">
        <v>0.78958302736282304</v>
      </c>
      <c r="D334">
        <v>0.75</v>
      </c>
      <c r="E334">
        <v>0.76875001192092896</v>
      </c>
      <c r="F334">
        <v>0.76875001192092896</v>
      </c>
      <c r="G334">
        <v>438732000</v>
      </c>
      <c r="H334">
        <f t="shared" si="20"/>
        <v>1998</v>
      </c>
      <c r="I334">
        <f t="shared" si="21"/>
        <v>9</v>
      </c>
      <c r="J334" t="str">
        <f t="shared" si="22"/>
        <v>Sep</v>
      </c>
      <c r="K334" t="str">
        <f t="shared" si="23"/>
        <v>Tue</v>
      </c>
    </row>
    <row r="335" spans="1:11" x14ac:dyDescent="0.35">
      <c r="A335" s="1">
        <v>36047</v>
      </c>
      <c r="B335">
        <v>0.745832979679107</v>
      </c>
      <c r="C335">
        <v>0.769792020320892</v>
      </c>
      <c r="D335">
        <v>0.69479197263717596</v>
      </c>
      <c r="E335">
        <v>0.70416700839996305</v>
      </c>
      <c r="F335">
        <v>0.70416700839996305</v>
      </c>
      <c r="G335">
        <v>357924000</v>
      </c>
      <c r="H335">
        <f t="shared" si="20"/>
        <v>1998</v>
      </c>
      <c r="I335">
        <f t="shared" si="21"/>
        <v>9</v>
      </c>
      <c r="J335" t="str">
        <f t="shared" si="22"/>
        <v>Sep</v>
      </c>
      <c r="K335" t="str">
        <f t="shared" si="23"/>
        <v>Wed</v>
      </c>
    </row>
    <row r="336" spans="1:11" x14ac:dyDescent="0.35">
      <c r="A336" s="1">
        <v>36048</v>
      </c>
      <c r="B336">
        <v>0.66145801544189398</v>
      </c>
      <c r="C336">
        <v>0.67083299160003595</v>
      </c>
      <c r="D336">
        <v>0.62708300352096502</v>
      </c>
      <c r="E336">
        <v>0.66354197263717596</v>
      </c>
      <c r="F336">
        <v>0.66354197263717596</v>
      </c>
      <c r="G336">
        <v>639396000</v>
      </c>
      <c r="H336">
        <f t="shared" si="20"/>
        <v>1998</v>
      </c>
      <c r="I336">
        <f t="shared" si="21"/>
        <v>9</v>
      </c>
      <c r="J336" t="str">
        <f t="shared" si="22"/>
        <v>Sep</v>
      </c>
      <c r="K336" t="str">
        <f t="shared" si="23"/>
        <v>Thu</v>
      </c>
    </row>
    <row r="337" spans="1:11" x14ac:dyDescent="0.35">
      <c r="A337" s="1">
        <v>36049</v>
      </c>
      <c r="B337">
        <v>0.65312498807907104</v>
      </c>
      <c r="C337">
        <v>0.67395800352096502</v>
      </c>
      <c r="D337">
        <v>0.61250001192092896</v>
      </c>
      <c r="E337">
        <v>0.63385397195815996</v>
      </c>
      <c r="F337">
        <v>0.63385397195815996</v>
      </c>
      <c r="G337">
        <v>472248000</v>
      </c>
      <c r="H337">
        <f t="shared" si="20"/>
        <v>1998</v>
      </c>
      <c r="I337">
        <f t="shared" si="21"/>
        <v>9</v>
      </c>
      <c r="J337" t="str">
        <f t="shared" si="22"/>
        <v>Sep</v>
      </c>
      <c r="K337" t="str">
        <f t="shared" si="23"/>
        <v>Fri</v>
      </c>
    </row>
    <row r="338" spans="1:11" x14ac:dyDescent="0.35">
      <c r="A338" s="1">
        <v>36052</v>
      </c>
      <c r="B338">
        <v>0.66979199647903398</v>
      </c>
      <c r="C338">
        <v>0.67083299160003595</v>
      </c>
      <c r="D338">
        <v>0.61250001192092896</v>
      </c>
      <c r="E338">
        <v>0.61406302452087402</v>
      </c>
      <c r="F338">
        <v>0.61406302452087402</v>
      </c>
      <c r="G338">
        <v>301200000</v>
      </c>
      <c r="H338">
        <f t="shared" si="20"/>
        <v>1998</v>
      </c>
      <c r="I338">
        <f t="shared" si="21"/>
        <v>9</v>
      </c>
      <c r="J338" t="str">
        <f t="shared" si="22"/>
        <v>Sep</v>
      </c>
      <c r="K338" t="str">
        <f t="shared" si="23"/>
        <v>Mon</v>
      </c>
    </row>
    <row r="339" spans="1:11" x14ac:dyDescent="0.35">
      <c r="A339" s="1">
        <v>36053</v>
      </c>
      <c r="B339">
        <v>0.59010398387908902</v>
      </c>
      <c r="C339">
        <v>0.62291699647903398</v>
      </c>
      <c r="D339">
        <v>0.58645802736282304</v>
      </c>
      <c r="E339">
        <v>0.60833299160003595</v>
      </c>
      <c r="F339">
        <v>0.60833299160003595</v>
      </c>
      <c r="G339">
        <v>344568000</v>
      </c>
      <c r="H339">
        <f t="shared" si="20"/>
        <v>1998</v>
      </c>
      <c r="I339">
        <f t="shared" si="21"/>
        <v>9</v>
      </c>
      <c r="J339" t="str">
        <f t="shared" si="22"/>
        <v>Sep</v>
      </c>
      <c r="K339" t="str">
        <f t="shared" si="23"/>
        <v>Tue</v>
      </c>
    </row>
    <row r="340" spans="1:11" x14ac:dyDescent="0.35">
      <c r="A340" s="1">
        <v>36054</v>
      </c>
      <c r="B340">
        <v>0.61874997615814198</v>
      </c>
      <c r="C340">
        <v>0.71614599227905196</v>
      </c>
      <c r="D340">
        <v>0.59583300352096502</v>
      </c>
      <c r="E340">
        <v>0.70416700839996305</v>
      </c>
      <c r="F340">
        <v>0.70416700839996305</v>
      </c>
      <c r="G340">
        <v>782376000</v>
      </c>
      <c r="H340">
        <f t="shared" si="20"/>
        <v>1998</v>
      </c>
      <c r="I340">
        <f t="shared" si="21"/>
        <v>9</v>
      </c>
      <c r="J340" t="str">
        <f t="shared" si="22"/>
        <v>Sep</v>
      </c>
      <c r="K340" t="str">
        <f t="shared" si="23"/>
        <v>Wed</v>
      </c>
    </row>
    <row r="341" spans="1:11" x14ac:dyDescent="0.35">
      <c r="A341" s="1">
        <v>36055</v>
      </c>
      <c r="B341">
        <v>0.670313000679016</v>
      </c>
      <c r="C341">
        <v>0.69583302736282304</v>
      </c>
      <c r="D341">
        <v>0.63749998807907104</v>
      </c>
      <c r="E341">
        <v>0.64166700839996305</v>
      </c>
      <c r="F341">
        <v>0.64166700839996305</v>
      </c>
      <c r="G341">
        <v>849156000</v>
      </c>
      <c r="H341">
        <f t="shared" si="20"/>
        <v>1998</v>
      </c>
      <c r="I341">
        <f t="shared" si="21"/>
        <v>9</v>
      </c>
      <c r="J341" t="str">
        <f t="shared" si="22"/>
        <v>Sep</v>
      </c>
      <c r="K341" t="str">
        <f t="shared" si="23"/>
        <v>Thu</v>
      </c>
    </row>
    <row r="342" spans="1:11" x14ac:dyDescent="0.35">
      <c r="A342" s="1">
        <v>36056</v>
      </c>
      <c r="B342">
        <v>0.64791697263717596</v>
      </c>
      <c r="C342">
        <v>0.67656302452087402</v>
      </c>
      <c r="D342">
        <v>0.64739602804183904</v>
      </c>
      <c r="E342">
        <v>0.66406297683715798</v>
      </c>
      <c r="F342">
        <v>0.66406297683715798</v>
      </c>
      <c r="G342">
        <v>334848000</v>
      </c>
      <c r="H342">
        <f t="shared" si="20"/>
        <v>1998</v>
      </c>
      <c r="I342">
        <f t="shared" si="21"/>
        <v>9</v>
      </c>
      <c r="J342" t="str">
        <f t="shared" si="22"/>
        <v>Sep</v>
      </c>
      <c r="K342" t="str">
        <f t="shared" si="23"/>
        <v>Fri</v>
      </c>
    </row>
    <row r="343" spans="1:11" x14ac:dyDescent="0.35">
      <c r="A343" s="1">
        <v>36059</v>
      </c>
      <c r="B343">
        <v>0.63333302736282304</v>
      </c>
      <c r="C343">
        <v>0.72395801544189398</v>
      </c>
      <c r="D343">
        <v>0.63333302736282304</v>
      </c>
      <c r="E343">
        <v>0.71249997615814198</v>
      </c>
      <c r="F343">
        <v>0.71249997615814198</v>
      </c>
      <c r="G343">
        <v>475344000</v>
      </c>
      <c r="H343">
        <f t="shared" si="20"/>
        <v>1998</v>
      </c>
      <c r="I343">
        <f t="shared" si="21"/>
        <v>9</v>
      </c>
      <c r="J343" t="str">
        <f t="shared" si="22"/>
        <v>Sep</v>
      </c>
      <c r="K343" t="str">
        <f t="shared" si="23"/>
        <v>Mon</v>
      </c>
    </row>
    <row r="344" spans="1:11" x14ac:dyDescent="0.35">
      <c r="A344" s="1">
        <v>36060</v>
      </c>
      <c r="B344">
        <v>0.73541700839996305</v>
      </c>
      <c r="C344">
        <v>0.76249998807907104</v>
      </c>
      <c r="D344">
        <v>0.730207979679107</v>
      </c>
      <c r="E344">
        <v>0.73489600419998102</v>
      </c>
      <c r="F344">
        <v>0.73489600419998102</v>
      </c>
      <c r="G344">
        <v>606108000</v>
      </c>
      <c r="H344">
        <f t="shared" si="20"/>
        <v>1998</v>
      </c>
      <c r="I344">
        <f t="shared" si="21"/>
        <v>9</v>
      </c>
      <c r="J344" t="str">
        <f t="shared" si="22"/>
        <v>Sep</v>
      </c>
      <c r="K344" t="str">
        <f t="shared" si="23"/>
        <v>Tue</v>
      </c>
    </row>
    <row r="345" spans="1:11" x14ac:dyDescent="0.35">
      <c r="A345" s="1">
        <v>36061</v>
      </c>
      <c r="B345">
        <v>0.75677102804183904</v>
      </c>
      <c r="C345">
        <v>0.879167020320892</v>
      </c>
      <c r="D345">
        <v>0.75</v>
      </c>
      <c r="E345">
        <v>0.87604200839996305</v>
      </c>
      <c r="F345">
        <v>0.87604200839996305</v>
      </c>
      <c r="G345">
        <v>911676000</v>
      </c>
      <c r="H345">
        <f t="shared" si="20"/>
        <v>1998</v>
      </c>
      <c r="I345">
        <f t="shared" si="21"/>
        <v>9</v>
      </c>
      <c r="J345" t="str">
        <f t="shared" si="22"/>
        <v>Sep</v>
      </c>
      <c r="K345" t="str">
        <f t="shared" si="23"/>
        <v>Wed</v>
      </c>
    </row>
    <row r="346" spans="1:11" x14ac:dyDescent="0.35">
      <c r="A346" s="1">
        <v>36062</v>
      </c>
      <c r="B346">
        <v>0.89270800352096502</v>
      </c>
      <c r="C346">
        <v>0.97395801544189398</v>
      </c>
      <c r="D346">
        <v>0.84583300352096502</v>
      </c>
      <c r="E346">
        <v>0.85104197263717596</v>
      </c>
      <c r="F346">
        <v>0.85104197263717596</v>
      </c>
      <c r="G346">
        <v>1022484000</v>
      </c>
      <c r="H346">
        <f t="shared" si="20"/>
        <v>1998</v>
      </c>
      <c r="I346">
        <f t="shared" si="21"/>
        <v>9</v>
      </c>
      <c r="J346" t="str">
        <f t="shared" si="22"/>
        <v>Sep</v>
      </c>
      <c r="K346" t="str">
        <f t="shared" si="23"/>
        <v>Thu</v>
      </c>
    </row>
    <row r="347" spans="1:11" x14ac:dyDescent="0.35">
      <c r="A347" s="1">
        <v>36063</v>
      </c>
      <c r="B347">
        <v>0.82083302736282304</v>
      </c>
      <c r="C347">
        <v>0.921875</v>
      </c>
      <c r="D347">
        <v>0.82083302736282304</v>
      </c>
      <c r="E347">
        <v>0.910417020320892</v>
      </c>
      <c r="F347">
        <v>0.910417020320892</v>
      </c>
      <c r="G347">
        <v>731976000</v>
      </c>
      <c r="H347">
        <f t="shared" si="20"/>
        <v>1998</v>
      </c>
      <c r="I347">
        <f t="shared" si="21"/>
        <v>9</v>
      </c>
      <c r="J347" t="str">
        <f t="shared" si="22"/>
        <v>Sep</v>
      </c>
      <c r="K347" t="str">
        <f t="shared" si="23"/>
        <v>Fri</v>
      </c>
    </row>
    <row r="348" spans="1:11" x14ac:dyDescent="0.35">
      <c r="A348" s="1">
        <v>36066</v>
      </c>
      <c r="B348">
        <v>0.96979200839996305</v>
      </c>
      <c r="C348">
        <v>1</v>
      </c>
      <c r="D348">
        <v>0.93229198455810502</v>
      </c>
      <c r="E348">
        <v>0.96354198455810502</v>
      </c>
      <c r="F348">
        <v>0.96354198455810502</v>
      </c>
      <c r="G348">
        <v>772092000</v>
      </c>
      <c r="H348">
        <f t="shared" si="20"/>
        <v>1998</v>
      </c>
      <c r="I348">
        <f t="shared" si="21"/>
        <v>9</v>
      </c>
      <c r="J348" t="str">
        <f t="shared" si="22"/>
        <v>Sep</v>
      </c>
      <c r="K348" t="str">
        <f t="shared" si="23"/>
        <v>Mon</v>
      </c>
    </row>
    <row r="349" spans="1:11" x14ac:dyDescent="0.35">
      <c r="A349" s="1">
        <v>36067</v>
      </c>
      <c r="B349">
        <v>0.97708302736282304</v>
      </c>
      <c r="C349">
        <v>0.99635398387908902</v>
      </c>
      <c r="D349">
        <v>0.92916697263717596</v>
      </c>
      <c r="E349">
        <v>0.94270801544189398</v>
      </c>
      <c r="F349">
        <v>0.94270801544189398</v>
      </c>
      <c r="G349">
        <v>766716000</v>
      </c>
      <c r="H349">
        <f t="shared" si="20"/>
        <v>1998</v>
      </c>
      <c r="I349">
        <f t="shared" si="21"/>
        <v>9</v>
      </c>
      <c r="J349" t="str">
        <f t="shared" si="22"/>
        <v>Sep</v>
      </c>
      <c r="K349" t="str">
        <f t="shared" si="23"/>
        <v>Tue</v>
      </c>
    </row>
    <row r="350" spans="1:11" x14ac:dyDescent="0.35">
      <c r="A350" s="1">
        <v>36068</v>
      </c>
      <c r="B350">
        <v>0.92916697263717596</v>
      </c>
      <c r="C350">
        <v>0.96249997615814198</v>
      </c>
      <c r="D350">
        <v>0.90677100419998102</v>
      </c>
      <c r="E350">
        <v>0.93020802736282304</v>
      </c>
      <c r="F350">
        <v>0.93020802736282304</v>
      </c>
      <c r="G350">
        <v>588612000</v>
      </c>
      <c r="H350">
        <f t="shared" si="20"/>
        <v>1998</v>
      </c>
      <c r="I350">
        <f t="shared" si="21"/>
        <v>9</v>
      </c>
      <c r="J350" t="str">
        <f t="shared" si="22"/>
        <v>Sep</v>
      </c>
      <c r="K350" t="str">
        <f t="shared" si="23"/>
        <v>Wed</v>
      </c>
    </row>
    <row r="351" spans="1:11" x14ac:dyDescent="0.35">
      <c r="A351" s="1">
        <v>36069</v>
      </c>
      <c r="B351">
        <v>0.89999997615814198</v>
      </c>
      <c r="C351">
        <v>0.92500001192092896</v>
      </c>
      <c r="D351">
        <v>0.83333301544189398</v>
      </c>
      <c r="E351">
        <v>0.855207979679107</v>
      </c>
      <c r="F351">
        <v>0.855207979679107</v>
      </c>
      <c r="G351">
        <v>687840000</v>
      </c>
      <c r="H351">
        <f t="shared" si="20"/>
        <v>1998</v>
      </c>
      <c r="I351">
        <f t="shared" si="21"/>
        <v>10</v>
      </c>
      <c r="J351" t="str">
        <f t="shared" si="22"/>
        <v>Oct</v>
      </c>
      <c r="K351" t="str">
        <f t="shared" si="23"/>
        <v>Thu</v>
      </c>
    </row>
    <row r="352" spans="1:11" x14ac:dyDescent="0.35">
      <c r="A352" s="1">
        <v>36070</v>
      </c>
      <c r="B352">
        <v>0.87760400772094704</v>
      </c>
      <c r="C352">
        <v>0.93229198455810502</v>
      </c>
      <c r="D352">
        <v>0.84166699647903398</v>
      </c>
      <c r="E352">
        <v>0.91874998807907104</v>
      </c>
      <c r="F352">
        <v>0.91874998807907104</v>
      </c>
      <c r="G352">
        <v>689916000</v>
      </c>
      <c r="H352">
        <f t="shared" si="20"/>
        <v>1998</v>
      </c>
      <c r="I352">
        <f t="shared" si="21"/>
        <v>10</v>
      </c>
      <c r="J352" t="str">
        <f t="shared" si="22"/>
        <v>Oct</v>
      </c>
      <c r="K352" t="str">
        <f t="shared" si="23"/>
        <v>Fri</v>
      </c>
    </row>
    <row r="353" spans="1:11" x14ac:dyDescent="0.35">
      <c r="A353" s="1">
        <v>36073</v>
      </c>
      <c r="B353">
        <v>0.90729200839996305</v>
      </c>
      <c r="C353">
        <v>0.92500001192092896</v>
      </c>
      <c r="D353">
        <v>0.84166699647903398</v>
      </c>
      <c r="E353">
        <v>0.87252599000930697</v>
      </c>
      <c r="F353">
        <v>0.87252599000930697</v>
      </c>
      <c r="G353">
        <v>489924000</v>
      </c>
      <c r="H353">
        <f t="shared" si="20"/>
        <v>1998</v>
      </c>
      <c r="I353">
        <f t="shared" si="21"/>
        <v>10</v>
      </c>
      <c r="J353" t="str">
        <f t="shared" si="22"/>
        <v>Oct</v>
      </c>
      <c r="K353" t="str">
        <f t="shared" si="23"/>
        <v>Mon</v>
      </c>
    </row>
    <row r="354" spans="1:11" x14ac:dyDescent="0.35">
      <c r="A354" s="1">
        <v>36074</v>
      </c>
      <c r="B354">
        <v>0.92916697263717596</v>
      </c>
      <c r="C354">
        <v>0.93541699647903398</v>
      </c>
      <c r="D354">
        <v>0.86666697263717596</v>
      </c>
      <c r="E354">
        <v>0.90260398387908902</v>
      </c>
      <c r="F354">
        <v>0.90260398387908902</v>
      </c>
      <c r="G354">
        <v>563436000</v>
      </c>
      <c r="H354">
        <f t="shared" si="20"/>
        <v>1998</v>
      </c>
      <c r="I354">
        <f t="shared" si="21"/>
        <v>10</v>
      </c>
      <c r="J354" t="str">
        <f t="shared" si="22"/>
        <v>Oct</v>
      </c>
      <c r="K354" t="str">
        <f t="shared" si="23"/>
        <v>Tue</v>
      </c>
    </row>
    <row r="355" spans="1:11" x14ac:dyDescent="0.35">
      <c r="A355" s="1">
        <v>36075</v>
      </c>
      <c r="B355">
        <v>0.855207979679107</v>
      </c>
      <c r="C355">
        <v>0.87291699647903398</v>
      </c>
      <c r="D355">
        <v>0.76041698455810502</v>
      </c>
      <c r="E355">
        <v>0.77864599227905196</v>
      </c>
      <c r="F355">
        <v>0.77864599227905196</v>
      </c>
      <c r="G355">
        <v>856680000</v>
      </c>
      <c r="H355">
        <f t="shared" si="20"/>
        <v>1998</v>
      </c>
      <c r="I355">
        <f t="shared" si="21"/>
        <v>10</v>
      </c>
      <c r="J355" t="str">
        <f t="shared" si="22"/>
        <v>Oct</v>
      </c>
      <c r="K355" t="str">
        <f t="shared" si="23"/>
        <v>Wed</v>
      </c>
    </row>
    <row r="356" spans="1:11" x14ac:dyDescent="0.35">
      <c r="A356" s="1">
        <v>36076</v>
      </c>
      <c r="B356">
        <v>0.69062501192092896</v>
      </c>
      <c r="C356">
        <v>0.73333299160003595</v>
      </c>
      <c r="D356">
        <v>0.66666698455810502</v>
      </c>
      <c r="E356">
        <v>0.71822899580001798</v>
      </c>
      <c r="F356">
        <v>0.71822899580001798</v>
      </c>
      <c r="G356">
        <v>607692000</v>
      </c>
      <c r="H356">
        <f t="shared" si="20"/>
        <v>1998</v>
      </c>
      <c r="I356">
        <f t="shared" si="21"/>
        <v>10</v>
      </c>
      <c r="J356" t="str">
        <f t="shared" si="22"/>
        <v>Oct</v>
      </c>
      <c r="K356" t="str">
        <f t="shared" si="23"/>
        <v>Thu</v>
      </c>
    </row>
    <row r="357" spans="1:11" x14ac:dyDescent="0.35">
      <c r="A357" s="1">
        <v>36077</v>
      </c>
      <c r="B357">
        <v>0.75208300352096502</v>
      </c>
      <c r="C357">
        <v>0.765625</v>
      </c>
      <c r="D357">
        <v>0.69791698455810502</v>
      </c>
      <c r="E357">
        <v>0.759895980358123</v>
      </c>
      <c r="F357">
        <v>0.759895980358123</v>
      </c>
      <c r="G357">
        <v>414540000</v>
      </c>
      <c r="H357">
        <f t="shared" si="20"/>
        <v>1998</v>
      </c>
      <c r="I357">
        <f t="shared" si="21"/>
        <v>10</v>
      </c>
      <c r="J357" t="str">
        <f t="shared" si="22"/>
        <v>Oct</v>
      </c>
      <c r="K357" t="str">
        <f t="shared" si="23"/>
        <v>Fri</v>
      </c>
    </row>
    <row r="358" spans="1:11" x14ac:dyDescent="0.35">
      <c r="A358" s="1">
        <v>36080</v>
      </c>
      <c r="B358">
        <v>0.80937498807907104</v>
      </c>
      <c r="C358">
        <v>0.84166699647903398</v>
      </c>
      <c r="D358">
        <v>0.77499997615814198</v>
      </c>
      <c r="E358">
        <v>0.77656298875808705</v>
      </c>
      <c r="F358">
        <v>0.77656298875808705</v>
      </c>
      <c r="G358">
        <v>436344000</v>
      </c>
      <c r="H358">
        <f t="shared" si="20"/>
        <v>1998</v>
      </c>
      <c r="I358">
        <f t="shared" si="21"/>
        <v>10</v>
      </c>
      <c r="J358" t="str">
        <f t="shared" si="22"/>
        <v>Oct</v>
      </c>
      <c r="K358" t="str">
        <f t="shared" si="23"/>
        <v>Mon</v>
      </c>
    </row>
    <row r="359" spans="1:11" x14ac:dyDescent="0.35">
      <c r="A359" s="1">
        <v>36081</v>
      </c>
      <c r="B359">
        <v>0.76510399580001798</v>
      </c>
      <c r="C359">
        <v>0.79479199647903398</v>
      </c>
      <c r="D359">
        <v>0.75520801544189398</v>
      </c>
      <c r="E359">
        <v>0.761457979679107</v>
      </c>
      <c r="F359">
        <v>0.761457979679107</v>
      </c>
      <c r="G359">
        <v>213708000</v>
      </c>
      <c r="H359">
        <f t="shared" si="20"/>
        <v>1998</v>
      </c>
      <c r="I359">
        <f t="shared" si="21"/>
        <v>10</v>
      </c>
      <c r="J359" t="str">
        <f t="shared" si="22"/>
        <v>Oct</v>
      </c>
      <c r="K359" t="str">
        <f t="shared" si="23"/>
        <v>Tue</v>
      </c>
    </row>
    <row r="360" spans="1:11" x14ac:dyDescent="0.35">
      <c r="A360" s="1">
        <v>36082</v>
      </c>
      <c r="B360">
        <v>0.75885397195815996</v>
      </c>
      <c r="C360">
        <v>0.81354200839996305</v>
      </c>
      <c r="D360">
        <v>0.74791699647903398</v>
      </c>
      <c r="E360">
        <v>0.77916699647903398</v>
      </c>
      <c r="F360">
        <v>0.77916699647903398</v>
      </c>
      <c r="G360">
        <v>311808000</v>
      </c>
      <c r="H360">
        <f t="shared" si="20"/>
        <v>1998</v>
      </c>
      <c r="I360">
        <f t="shared" si="21"/>
        <v>10</v>
      </c>
      <c r="J360" t="str">
        <f t="shared" si="22"/>
        <v>Oct</v>
      </c>
      <c r="K360" t="str">
        <f t="shared" si="23"/>
        <v>Wed</v>
      </c>
    </row>
    <row r="361" spans="1:11" x14ac:dyDescent="0.35">
      <c r="A361" s="1">
        <v>36083</v>
      </c>
      <c r="B361">
        <v>0.785417020320892</v>
      </c>
      <c r="C361">
        <v>0.81562501192092896</v>
      </c>
      <c r="D361">
        <v>0.77083301544189398</v>
      </c>
      <c r="E361">
        <v>0.80885398387908902</v>
      </c>
      <c r="F361">
        <v>0.80885398387908902</v>
      </c>
      <c r="G361">
        <v>339420000</v>
      </c>
      <c r="H361">
        <f t="shared" si="20"/>
        <v>1998</v>
      </c>
      <c r="I361">
        <f t="shared" si="21"/>
        <v>10</v>
      </c>
      <c r="J361" t="str">
        <f t="shared" si="22"/>
        <v>Oct</v>
      </c>
      <c r="K361" t="str">
        <f t="shared" si="23"/>
        <v>Thu</v>
      </c>
    </row>
    <row r="362" spans="1:11" x14ac:dyDescent="0.35">
      <c r="A362" s="1">
        <v>36084</v>
      </c>
      <c r="B362">
        <v>0.82187497615814198</v>
      </c>
      <c r="C362">
        <v>0.849479019641876</v>
      </c>
      <c r="D362">
        <v>0.808332979679107</v>
      </c>
      <c r="E362">
        <v>0.82864600419998102</v>
      </c>
      <c r="F362">
        <v>0.82864600419998102</v>
      </c>
      <c r="G362">
        <v>428100000</v>
      </c>
      <c r="H362">
        <f t="shared" si="20"/>
        <v>1998</v>
      </c>
      <c r="I362">
        <f t="shared" si="21"/>
        <v>10</v>
      </c>
      <c r="J362" t="str">
        <f t="shared" si="22"/>
        <v>Oct</v>
      </c>
      <c r="K362" t="str">
        <f t="shared" si="23"/>
        <v>Fri</v>
      </c>
    </row>
    <row r="363" spans="1:11" x14ac:dyDescent="0.35">
      <c r="A363" s="1">
        <v>36087</v>
      </c>
      <c r="B363">
        <v>0.82499998807907104</v>
      </c>
      <c r="C363">
        <v>0.890625</v>
      </c>
      <c r="D363">
        <v>0.82499998807907104</v>
      </c>
      <c r="E363">
        <v>0.88125002384185702</v>
      </c>
      <c r="F363">
        <v>0.88125002384185702</v>
      </c>
      <c r="G363">
        <v>333624000</v>
      </c>
      <c r="H363">
        <f t="shared" si="20"/>
        <v>1998</v>
      </c>
      <c r="I363">
        <f t="shared" si="21"/>
        <v>10</v>
      </c>
      <c r="J363" t="str">
        <f t="shared" si="22"/>
        <v>Oct</v>
      </c>
      <c r="K363" t="str">
        <f t="shared" si="23"/>
        <v>Mon</v>
      </c>
    </row>
    <row r="364" spans="1:11" x14ac:dyDescent="0.35">
      <c r="A364" s="1">
        <v>36088</v>
      </c>
      <c r="B364">
        <v>0.90625</v>
      </c>
      <c r="C364">
        <v>0.9375</v>
      </c>
      <c r="D364">
        <v>0.88854199647903398</v>
      </c>
      <c r="E364">
        <v>0.88958299160003595</v>
      </c>
      <c r="F364">
        <v>0.88958299160003595</v>
      </c>
      <c r="G364">
        <v>383352000</v>
      </c>
      <c r="H364">
        <f t="shared" si="20"/>
        <v>1998</v>
      </c>
      <c r="I364">
        <f t="shared" si="21"/>
        <v>10</v>
      </c>
      <c r="J364" t="str">
        <f t="shared" si="22"/>
        <v>Oct</v>
      </c>
      <c r="K364" t="str">
        <f t="shared" si="23"/>
        <v>Tue</v>
      </c>
    </row>
    <row r="365" spans="1:11" x14ac:dyDescent="0.35">
      <c r="A365" s="1">
        <v>36089</v>
      </c>
      <c r="B365">
        <v>0.911979019641876</v>
      </c>
      <c r="C365">
        <v>0.91874998807907104</v>
      </c>
      <c r="D365">
        <v>0.88020801544189398</v>
      </c>
      <c r="E365">
        <v>0.91666698455810502</v>
      </c>
      <c r="F365">
        <v>0.91666698455810502</v>
      </c>
      <c r="G365">
        <v>252360000</v>
      </c>
      <c r="H365">
        <f t="shared" si="20"/>
        <v>1998</v>
      </c>
      <c r="I365">
        <f t="shared" si="21"/>
        <v>10</v>
      </c>
      <c r="J365" t="str">
        <f t="shared" si="22"/>
        <v>Oct</v>
      </c>
      <c r="K365" t="str">
        <f t="shared" si="23"/>
        <v>Wed</v>
      </c>
    </row>
    <row r="366" spans="1:11" x14ac:dyDescent="0.35">
      <c r="A366" s="1">
        <v>36090</v>
      </c>
      <c r="B366">
        <v>0.89687502384185702</v>
      </c>
      <c r="C366">
        <v>0.98229199647903398</v>
      </c>
      <c r="D366">
        <v>0.894792020320892</v>
      </c>
      <c r="E366">
        <v>0.95572900772094704</v>
      </c>
      <c r="F366">
        <v>0.95572900772094704</v>
      </c>
      <c r="G366">
        <v>533904000</v>
      </c>
      <c r="H366">
        <f t="shared" si="20"/>
        <v>1998</v>
      </c>
      <c r="I366">
        <f t="shared" si="21"/>
        <v>10</v>
      </c>
      <c r="J366" t="str">
        <f t="shared" si="22"/>
        <v>Oct</v>
      </c>
      <c r="K366" t="str">
        <f t="shared" si="23"/>
        <v>Thu</v>
      </c>
    </row>
    <row r="367" spans="1:11" x14ac:dyDescent="0.35">
      <c r="A367" s="1">
        <v>36091</v>
      </c>
      <c r="B367">
        <v>0.95416700839996305</v>
      </c>
      <c r="C367">
        <v>0.98593801259994496</v>
      </c>
      <c r="D367">
        <v>0.95104199647903398</v>
      </c>
      <c r="E367">
        <v>0.96770799160003595</v>
      </c>
      <c r="F367">
        <v>0.96770799160003595</v>
      </c>
      <c r="G367">
        <v>272496000</v>
      </c>
      <c r="H367">
        <f t="shared" si="20"/>
        <v>1998</v>
      </c>
      <c r="I367">
        <f t="shared" si="21"/>
        <v>10</v>
      </c>
      <c r="J367" t="str">
        <f t="shared" si="22"/>
        <v>Oct</v>
      </c>
      <c r="K367" t="str">
        <f t="shared" si="23"/>
        <v>Fri</v>
      </c>
    </row>
    <row r="368" spans="1:11" x14ac:dyDescent="0.35">
      <c r="A368" s="1">
        <v>36094</v>
      </c>
      <c r="B368">
        <v>0.99270802736282304</v>
      </c>
      <c r="C368">
        <v>1.015625</v>
      </c>
      <c r="D368">
        <v>0.972917020320892</v>
      </c>
      <c r="E368">
        <v>1.01197898387908</v>
      </c>
      <c r="F368">
        <v>1.01197898387908</v>
      </c>
      <c r="G368">
        <v>390336000</v>
      </c>
      <c r="H368">
        <f t="shared" si="20"/>
        <v>1998</v>
      </c>
      <c r="I368">
        <f t="shared" si="21"/>
        <v>10</v>
      </c>
      <c r="J368" t="str">
        <f t="shared" si="22"/>
        <v>Oct</v>
      </c>
      <c r="K368" t="str">
        <f t="shared" si="23"/>
        <v>Mon</v>
      </c>
    </row>
    <row r="369" spans="1:11" x14ac:dyDescent="0.35">
      <c r="A369" s="1">
        <v>36095</v>
      </c>
      <c r="B369">
        <v>1.03437495231628</v>
      </c>
      <c r="C369">
        <v>1.04999995231628</v>
      </c>
      <c r="D369">
        <v>0.967188000679016</v>
      </c>
      <c r="E369">
        <v>0.96927100419998102</v>
      </c>
      <c r="F369">
        <v>0.96927100419998102</v>
      </c>
      <c r="G369">
        <v>403284000</v>
      </c>
      <c r="H369">
        <f t="shared" si="20"/>
        <v>1998</v>
      </c>
      <c r="I369">
        <f t="shared" si="21"/>
        <v>10</v>
      </c>
      <c r="J369" t="str">
        <f t="shared" si="22"/>
        <v>Oct</v>
      </c>
      <c r="K369" t="str">
        <f t="shared" si="23"/>
        <v>Tue</v>
      </c>
    </row>
    <row r="370" spans="1:11" x14ac:dyDescent="0.35">
      <c r="A370" s="1">
        <v>36096</v>
      </c>
      <c r="B370">
        <v>0.974479019641876</v>
      </c>
      <c r="C370">
        <v>0.995832979679107</v>
      </c>
      <c r="D370">
        <v>0.95208299160003595</v>
      </c>
      <c r="E370">
        <v>0.97552102804183904</v>
      </c>
      <c r="F370">
        <v>0.97552102804183904</v>
      </c>
      <c r="G370">
        <v>397836000</v>
      </c>
      <c r="H370">
        <f t="shared" si="20"/>
        <v>1998</v>
      </c>
      <c r="I370">
        <f t="shared" si="21"/>
        <v>10</v>
      </c>
      <c r="J370" t="str">
        <f t="shared" si="22"/>
        <v>Oct</v>
      </c>
      <c r="K370" t="str">
        <f t="shared" si="23"/>
        <v>Wed</v>
      </c>
    </row>
    <row r="371" spans="1:11" x14ac:dyDescent="0.35">
      <c r="A371" s="1">
        <v>36097</v>
      </c>
      <c r="B371">
        <v>1.0109380483627299</v>
      </c>
      <c r="C371">
        <v>1.0604170560836701</v>
      </c>
      <c r="D371">
        <v>0.99166697263717596</v>
      </c>
      <c r="E371">
        <v>1.05416703224182</v>
      </c>
      <c r="F371">
        <v>1.05416703224182</v>
      </c>
      <c r="G371">
        <v>658644000</v>
      </c>
      <c r="H371">
        <f t="shared" si="20"/>
        <v>1998</v>
      </c>
      <c r="I371">
        <f t="shared" si="21"/>
        <v>10</v>
      </c>
      <c r="J371" t="str">
        <f t="shared" si="22"/>
        <v>Oct</v>
      </c>
      <c r="K371" t="str">
        <f t="shared" si="23"/>
        <v>Thu</v>
      </c>
    </row>
    <row r="372" spans="1:11" x14ac:dyDescent="0.35">
      <c r="A372" s="1">
        <v>36098</v>
      </c>
      <c r="B372">
        <v>1.0552079677581701</v>
      </c>
      <c r="C372">
        <v>1.08177101612091</v>
      </c>
      <c r="D372">
        <v>1.03854203224182</v>
      </c>
      <c r="E372">
        <v>1.0536459684371899</v>
      </c>
      <c r="F372">
        <v>1.0536459684371899</v>
      </c>
      <c r="G372">
        <v>423648000</v>
      </c>
      <c r="H372">
        <f t="shared" si="20"/>
        <v>1998</v>
      </c>
      <c r="I372">
        <f t="shared" si="21"/>
        <v>10</v>
      </c>
      <c r="J372" t="str">
        <f t="shared" si="22"/>
        <v>Oct</v>
      </c>
      <c r="K372" t="str">
        <f t="shared" si="23"/>
        <v>Fri</v>
      </c>
    </row>
    <row r="373" spans="1:11" x14ac:dyDescent="0.35">
      <c r="A373" s="1">
        <v>36101</v>
      </c>
      <c r="B373">
        <v>1.0677080154418901</v>
      </c>
      <c r="C373">
        <v>1.0953129529953001</v>
      </c>
      <c r="D373">
        <v>1.0375000238418499</v>
      </c>
      <c r="E373">
        <v>1.0916670560836701</v>
      </c>
      <c r="F373">
        <v>1.0916670560836701</v>
      </c>
      <c r="G373">
        <v>629880000</v>
      </c>
      <c r="H373">
        <f t="shared" si="20"/>
        <v>1998</v>
      </c>
      <c r="I373">
        <f t="shared" si="21"/>
        <v>11</v>
      </c>
      <c r="J373" t="str">
        <f t="shared" si="22"/>
        <v>Nov</v>
      </c>
      <c r="K373" t="str">
        <f t="shared" si="23"/>
        <v>Mon</v>
      </c>
    </row>
    <row r="374" spans="1:11" x14ac:dyDescent="0.35">
      <c r="A374" s="1">
        <v>36102</v>
      </c>
      <c r="B374">
        <v>1.09270799160003</v>
      </c>
      <c r="C374">
        <v>1.10885405540466</v>
      </c>
      <c r="D374">
        <v>1.04791700839996</v>
      </c>
      <c r="E374">
        <v>1.05052101612091</v>
      </c>
      <c r="F374">
        <v>1.05052101612091</v>
      </c>
      <c r="G374">
        <v>367764000</v>
      </c>
      <c r="H374">
        <f t="shared" si="20"/>
        <v>1998</v>
      </c>
      <c r="I374">
        <f t="shared" si="21"/>
        <v>11</v>
      </c>
      <c r="J374" t="str">
        <f t="shared" si="22"/>
        <v>Nov</v>
      </c>
      <c r="K374" t="str">
        <f t="shared" si="23"/>
        <v>Tue</v>
      </c>
    </row>
    <row r="375" spans="1:11" x14ac:dyDescent="0.35">
      <c r="A375" s="1">
        <v>36103</v>
      </c>
      <c r="B375">
        <v>1.09479200839996</v>
      </c>
      <c r="C375">
        <v>1.1000000238418499</v>
      </c>
      <c r="D375">
        <v>1.0552079677581701</v>
      </c>
      <c r="E375">
        <v>1.08177101612091</v>
      </c>
      <c r="F375">
        <v>1.08177101612091</v>
      </c>
      <c r="G375">
        <v>407664000</v>
      </c>
      <c r="H375">
        <f t="shared" si="20"/>
        <v>1998</v>
      </c>
      <c r="I375">
        <f t="shared" si="21"/>
        <v>11</v>
      </c>
      <c r="J375" t="str">
        <f t="shared" si="22"/>
        <v>Nov</v>
      </c>
      <c r="K375" t="str">
        <f t="shared" si="23"/>
        <v>Wed</v>
      </c>
    </row>
    <row r="376" spans="1:11" x14ac:dyDescent="0.35">
      <c r="A376" s="1">
        <v>36104</v>
      </c>
      <c r="B376">
        <v>1.0640629529953001</v>
      </c>
      <c r="C376">
        <v>1.0843750238418499</v>
      </c>
      <c r="D376">
        <v>1.0520830154418901</v>
      </c>
      <c r="E376">
        <v>1.0708329677581701</v>
      </c>
      <c r="F376">
        <v>1.0708329677581701</v>
      </c>
      <c r="G376">
        <v>294648000</v>
      </c>
      <c r="H376">
        <f t="shared" si="20"/>
        <v>1998</v>
      </c>
      <c r="I376">
        <f t="shared" si="21"/>
        <v>11</v>
      </c>
      <c r="J376" t="str">
        <f t="shared" si="22"/>
        <v>Nov</v>
      </c>
      <c r="K376" t="str">
        <f t="shared" si="23"/>
        <v>Thu</v>
      </c>
    </row>
    <row r="377" spans="1:11" x14ac:dyDescent="0.35">
      <c r="A377" s="1">
        <v>36105</v>
      </c>
      <c r="B377">
        <v>1.04999995231628</v>
      </c>
      <c r="C377">
        <v>1.0687500238418499</v>
      </c>
      <c r="D377">
        <v>1.0333329439163199</v>
      </c>
      <c r="E377">
        <v>1.0380209684371899</v>
      </c>
      <c r="F377">
        <v>1.0380209684371899</v>
      </c>
      <c r="G377">
        <v>377880000</v>
      </c>
      <c r="H377">
        <f t="shared" si="20"/>
        <v>1998</v>
      </c>
      <c r="I377">
        <f t="shared" si="21"/>
        <v>11</v>
      </c>
      <c r="J377" t="str">
        <f t="shared" si="22"/>
        <v>Nov</v>
      </c>
      <c r="K377" t="str">
        <f t="shared" si="23"/>
        <v>Fri</v>
      </c>
    </row>
    <row r="378" spans="1:11" x14ac:dyDescent="0.35">
      <c r="A378" s="1">
        <v>36108</v>
      </c>
      <c r="B378">
        <v>1.015625</v>
      </c>
      <c r="C378">
        <v>1.06197905540466</v>
      </c>
      <c r="D378">
        <v>1.0062500238418499</v>
      </c>
      <c r="E378">
        <v>1.0572919845580999</v>
      </c>
      <c r="F378">
        <v>1.0572919845580999</v>
      </c>
      <c r="G378">
        <v>436872000</v>
      </c>
      <c r="H378">
        <f t="shared" si="20"/>
        <v>1998</v>
      </c>
      <c r="I378">
        <f t="shared" si="21"/>
        <v>11</v>
      </c>
      <c r="J378" t="str">
        <f t="shared" si="22"/>
        <v>Nov</v>
      </c>
      <c r="K378" t="str">
        <f t="shared" si="23"/>
        <v>Mon</v>
      </c>
    </row>
    <row r="379" spans="1:11" x14ac:dyDescent="0.35">
      <c r="A379" s="1">
        <v>36109</v>
      </c>
      <c r="B379">
        <v>1.0687500238418499</v>
      </c>
      <c r="C379">
        <v>1.1666669845580999</v>
      </c>
      <c r="D379">
        <v>1.0677080154418901</v>
      </c>
      <c r="E379">
        <v>1.09791696071624</v>
      </c>
      <c r="F379">
        <v>1.09791696071624</v>
      </c>
      <c r="G379">
        <v>687516000</v>
      </c>
      <c r="H379">
        <f t="shared" si="20"/>
        <v>1998</v>
      </c>
      <c r="I379">
        <f t="shared" si="21"/>
        <v>11</v>
      </c>
      <c r="J379" t="str">
        <f t="shared" si="22"/>
        <v>Nov</v>
      </c>
      <c r="K379" t="str">
        <f t="shared" si="23"/>
        <v>Tue</v>
      </c>
    </row>
    <row r="380" spans="1:11" x14ac:dyDescent="0.35">
      <c r="A380" s="1">
        <v>36110</v>
      </c>
      <c r="B380">
        <v>1.11354196071624</v>
      </c>
      <c r="C380">
        <v>1.1187499761581401</v>
      </c>
      <c r="D380">
        <v>1.04375004768371</v>
      </c>
      <c r="E380">
        <v>1.0552079677581701</v>
      </c>
      <c r="F380">
        <v>1.0552079677581701</v>
      </c>
      <c r="G380">
        <v>329268000</v>
      </c>
      <c r="H380">
        <f t="shared" si="20"/>
        <v>1998</v>
      </c>
      <c r="I380">
        <f t="shared" si="21"/>
        <v>11</v>
      </c>
      <c r="J380" t="str">
        <f t="shared" si="22"/>
        <v>Nov</v>
      </c>
      <c r="K380" t="str">
        <f t="shared" si="23"/>
        <v>Wed</v>
      </c>
    </row>
    <row r="381" spans="1:11" x14ac:dyDescent="0.35">
      <c r="A381" s="1">
        <v>36111</v>
      </c>
      <c r="B381">
        <v>1.04583299160003</v>
      </c>
      <c r="C381">
        <v>1.1072920560836701</v>
      </c>
      <c r="D381">
        <v>1.0416669845580999</v>
      </c>
      <c r="E381">
        <v>1.0916670560836701</v>
      </c>
      <c r="F381">
        <v>1.0916670560836701</v>
      </c>
      <c r="G381">
        <v>239496000</v>
      </c>
      <c r="H381">
        <f t="shared" si="20"/>
        <v>1998</v>
      </c>
      <c r="I381">
        <f t="shared" si="21"/>
        <v>11</v>
      </c>
      <c r="J381" t="str">
        <f t="shared" si="22"/>
        <v>Nov</v>
      </c>
      <c r="K381" t="str">
        <f t="shared" si="23"/>
        <v>Thu</v>
      </c>
    </row>
    <row r="382" spans="1:11" x14ac:dyDescent="0.35">
      <c r="A382" s="1">
        <v>36112</v>
      </c>
      <c r="B382">
        <v>1.0994789600372299</v>
      </c>
      <c r="C382">
        <v>1.11249995231628</v>
      </c>
      <c r="D382">
        <v>1.0476560592651301</v>
      </c>
      <c r="E382">
        <v>1.0645829439163199</v>
      </c>
      <c r="F382">
        <v>1.0645829439163199</v>
      </c>
      <c r="G382">
        <v>178812000</v>
      </c>
      <c r="H382">
        <f t="shared" si="20"/>
        <v>1998</v>
      </c>
      <c r="I382">
        <f t="shared" si="21"/>
        <v>11</v>
      </c>
      <c r="J382" t="str">
        <f t="shared" si="22"/>
        <v>Nov</v>
      </c>
      <c r="K382" t="str">
        <f t="shared" si="23"/>
        <v>Fri</v>
      </c>
    </row>
    <row r="383" spans="1:11" x14ac:dyDescent="0.35">
      <c r="A383" s="1">
        <v>36115</v>
      </c>
      <c r="B383">
        <v>1.0708329677581701</v>
      </c>
      <c r="C383">
        <v>1.08229196071624</v>
      </c>
      <c r="D383">
        <v>1.0291670560836701</v>
      </c>
      <c r="E383">
        <v>1.0520830154418901</v>
      </c>
      <c r="F383">
        <v>1.0520830154418901</v>
      </c>
      <c r="G383">
        <v>237948000</v>
      </c>
      <c r="H383">
        <f t="shared" si="20"/>
        <v>1998</v>
      </c>
      <c r="I383">
        <f t="shared" si="21"/>
        <v>11</v>
      </c>
      <c r="J383" t="str">
        <f t="shared" si="22"/>
        <v>Nov</v>
      </c>
      <c r="K383" t="str">
        <f t="shared" si="23"/>
        <v>Mon</v>
      </c>
    </row>
    <row r="384" spans="1:11" x14ac:dyDescent="0.35">
      <c r="A384" s="1">
        <v>36116</v>
      </c>
      <c r="B384">
        <v>1.078125</v>
      </c>
      <c r="C384">
        <v>1.28541696071624</v>
      </c>
      <c r="D384">
        <v>1.0708329677581701</v>
      </c>
      <c r="E384">
        <v>1.23749995231628</v>
      </c>
      <c r="F384">
        <v>1.23749995231628</v>
      </c>
      <c r="G384">
        <v>1222836000</v>
      </c>
      <c r="H384">
        <f t="shared" si="20"/>
        <v>1998</v>
      </c>
      <c r="I384">
        <f t="shared" si="21"/>
        <v>11</v>
      </c>
      <c r="J384" t="str">
        <f t="shared" si="22"/>
        <v>Nov</v>
      </c>
      <c r="K384" t="str">
        <f t="shared" si="23"/>
        <v>Tue</v>
      </c>
    </row>
    <row r="385" spans="1:11" x14ac:dyDescent="0.35">
      <c r="A385" s="1">
        <v>36117</v>
      </c>
      <c r="B385">
        <v>1.2635420560836701</v>
      </c>
      <c r="C385">
        <v>1.421875</v>
      </c>
      <c r="D385">
        <v>1.26250004768371</v>
      </c>
      <c r="E385">
        <v>1.36666703224182</v>
      </c>
      <c r="F385">
        <v>1.36666703224182</v>
      </c>
      <c r="G385">
        <v>1182672000</v>
      </c>
      <c r="H385">
        <f t="shared" si="20"/>
        <v>1998</v>
      </c>
      <c r="I385">
        <f t="shared" si="21"/>
        <v>11</v>
      </c>
      <c r="J385" t="str">
        <f t="shared" si="22"/>
        <v>Nov</v>
      </c>
      <c r="K385" t="str">
        <f t="shared" si="23"/>
        <v>Wed</v>
      </c>
    </row>
    <row r="386" spans="1:11" x14ac:dyDescent="0.35">
      <c r="A386" s="1">
        <v>36118</v>
      </c>
      <c r="B386">
        <v>1.42499995231628</v>
      </c>
      <c r="C386">
        <v>1.4624999761581401</v>
      </c>
      <c r="D386">
        <v>1.2749999761581401</v>
      </c>
      <c r="E386">
        <v>1.27708303928375</v>
      </c>
      <c r="F386">
        <v>1.27708303928375</v>
      </c>
      <c r="G386">
        <v>777912000</v>
      </c>
      <c r="H386">
        <f t="shared" si="20"/>
        <v>1998</v>
      </c>
      <c r="I386">
        <f t="shared" si="21"/>
        <v>11</v>
      </c>
      <c r="J386" t="str">
        <f t="shared" si="22"/>
        <v>Nov</v>
      </c>
      <c r="K386" t="str">
        <f t="shared" si="23"/>
        <v>Thu</v>
      </c>
    </row>
    <row r="387" spans="1:11" x14ac:dyDescent="0.35">
      <c r="A387" s="1">
        <v>36119</v>
      </c>
      <c r="B387">
        <v>1.4583330154418901</v>
      </c>
      <c r="C387">
        <v>1.51458299160003</v>
      </c>
      <c r="D387">
        <v>1.375</v>
      </c>
      <c r="E387">
        <v>1.5052080154418901</v>
      </c>
      <c r="F387">
        <v>1.5052080154418901</v>
      </c>
      <c r="G387">
        <v>1338252000</v>
      </c>
      <c r="H387">
        <f t="shared" si="20"/>
        <v>1998</v>
      </c>
      <c r="I387">
        <f t="shared" si="21"/>
        <v>11</v>
      </c>
      <c r="J387" t="str">
        <f t="shared" si="22"/>
        <v>Nov</v>
      </c>
      <c r="K387" t="str">
        <f t="shared" si="23"/>
        <v>Fri</v>
      </c>
    </row>
    <row r="388" spans="1:11" x14ac:dyDescent="0.35">
      <c r="A388" s="1">
        <v>36122</v>
      </c>
      <c r="B388">
        <v>1.59062504768371</v>
      </c>
      <c r="C388">
        <v>1.8208329677581701</v>
      </c>
      <c r="D388">
        <v>1.55052101612091</v>
      </c>
      <c r="E388">
        <v>1.81666696071624</v>
      </c>
      <c r="F388">
        <v>1.81666696071624</v>
      </c>
      <c r="G388">
        <v>1355628000</v>
      </c>
      <c r="H388">
        <f t="shared" ref="H388:H451" si="24">YEAR($A388)</f>
        <v>1998</v>
      </c>
      <c r="I388">
        <f t="shared" ref="I388:I451" si="25">MONTH($A388)</f>
        <v>11</v>
      </c>
      <c r="J388" t="str">
        <f t="shared" ref="J388:J451" si="26">TEXT($A388,"mmm")</f>
        <v>Nov</v>
      </c>
      <c r="K388" t="str">
        <f t="shared" ref="K388:K451" si="27">TEXT($A388,"ddd")</f>
        <v>Mon</v>
      </c>
    </row>
    <row r="389" spans="1:11" x14ac:dyDescent="0.35">
      <c r="A389" s="1">
        <v>36123</v>
      </c>
      <c r="B389">
        <v>1.86666703224182</v>
      </c>
      <c r="C389">
        <v>1.9427080154418901</v>
      </c>
      <c r="D389">
        <v>1.7083330154418901</v>
      </c>
      <c r="E389">
        <v>1.7875000238418499</v>
      </c>
      <c r="F389">
        <v>1.7875000238418499</v>
      </c>
      <c r="G389">
        <v>1633512000</v>
      </c>
      <c r="H389">
        <f t="shared" si="24"/>
        <v>1998</v>
      </c>
      <c r="I389">
        <f t="shared" si="25"/>
        <v>11</v>
      </c>
      <c r="J389" t="str">
        <f t="shared" si="26"/>
        <v>Nov</v>
      </c>
      <c r="K389" t="str">
        <f t="shared" si="27"/>
        <v>Tue</v>
      </c>
    </row>
    <row r="390" spans="1:11" x14ac:dyDescent="0.35">
      <c r="A390" s="1">
        <v>36124</v>
      </c>
      <c r="B390">
        <v>1.80416703224182</v>
      </c>
      <c r="C390">
        <v>1.86249995231628</v>
      </c>
      <c r="D390">
        <v>1.7083330154418901</v>
      </c>
      <c r="E390">
        <v>1.7526040077209399</v>
      </c>
      <c r="F390">
        <v>1.7526040077209399</v>
      </c>
      <c r="G390">
        <v>550452000</v>
      </c>
      <c r="H390">
        <f t="shared" si="24"/>
        <v>1998</v>
      </c>
      <c r="I390">
        <f t="shared" si="25"/>
        <v>11</v>
      </c>
      <c r="J390" t="str">
        <f t="shared" si="26"/>
        <v>Nov</v>
      </c>
      <c r="K390" t="str">
        <f t="shared" si="27"/>
        <v>Wed</v>
      </c>
    </row>
    <row r="391" spans="1:11" x14ac:dyDescent="0.35">
      <c r="A391" s="1">
        <v>36126</v>
      </c>
      <c r="B391">
        <v>1.8104170560836701</v>
      </c>
      <c r="C391">
        <v>1.81666696071624</v>
      </c>
      <c r="D391">
        <v>1.7749999761581401</v>
      </c>
      <c r="E391">
        <v>1.8052079677581701</v>
      </c>
      <c r="F391">
        <v>1.8052079677581701</v>
      </c>
      <c r="G391">
        <v>191736000</v>
      </c>
      <c r="H391">
        <f t="shared" si="24"/>
        <v>1998</v>
      </c>
      <c r="I391">
        <f t="shared" si="25"/>
        <v>11</v>
      </c>
      <c r="J391" t="str">
        <f t="shared" si="26"/>
        <v>Nov</v>
      </c>
      <c r="K391" t="str">
        <f t="shared" si="27"/>
        <v>Fri</v>
      </c>
    </row>
    <row r="392" spans="1:11" x14ac:dyDescent="0.35">
      <c r="A392" s="1">
        <v>36129</v>
      </c>
      <c r="B392">
        <v>1.8302079439163199</v>
      </c>
      <c r="C392">
        <v>1.83541703224182</v>
      </c>
      <c r="D392">
        <v>1.59791696071624</v>
      </c>
      <c r="E392">
        <v>1.6000000238418499</v>
      </c>
      <c r="F392">
        <v>1.6000000238418499</v>
      </c>
      <c r="G392">
        <v>595044000</v>
      </c>
      <c r="H392">
        <f t="shared" si="24"/>
        <v>1998</v>
      </c>
      <c r="I392">
        <f t="shared" si="25"/>
        <v>11</v>
      </c>
      <c r="J392" t="str">
        <f t="shared" si="26"/>
        <v>Nov</v>
      </c>
      <c r="K392" t="str">
        <f t="shared" si="27"/>
        <v>Mon</v>
      </c>
    </row>
    <row r="393" spans="1:11" x14ac:dyDescent="0.35">
      <c r="A393" s="1">
        <v>36130</v>
      </c>
      <c r="B393">
        <v>1.54583299160003</v>
      </c>
      <c r="C393">
        <v>1.7479170560836701</v>
      </c>
      <c r="D393">
        <v>1.51666700839996</v>
      </c>
      <c r="E393">
        <v>1.74583303928375</v>
      </c>
      <c r="F393">
        <v>1.74583303928375</v>
      </c>
      <c r="G393">
        <v>943092000</v>
      </c>
      <c r="H393">
        <f t="shared" si="24"/>
        <v>1998</v>
      </c>
      <c r="I393">
        <f t="shared" si="25"/>
        <v>12</v>
      </c>
      <c r="J393" t="str">
        <f t="shared" si="26"/>
        <v>Dec</v>
      </c>
      <c r="K393" t="str">
        <f t="shared" si="27"/>
        <v>Tue</v>
      </c>
    </row>
    <row r="394" spans="1:11" x14ac:dyDescent="0.35">
      <c r="A394" s="1">
        <v>36131</v>
      </c>
      <c r="B394">
        <v>1.7244789600372299</v>
      </c>
      <c r="C394">
        <v>1.7291669845580999</v>
      </c>
      <c r="D394">
        <v>1.6463539600372299</v>
      </c>
      <c r="E394">
        <v>1.6625000238418499</v>
      </c>
      <c r="F394">
        <v>1.6625000238418499</v>
      </c>
      <c r="G394">
        <v>592980000</v>
      </c>
      <c r="H394">
        <f t="shared" si="24"/>
        <v>1998</v>
      </c>
      <c r="I394">
        <f t="shared" si="25"/>
        <v>12</v>
      </c>
      <c r="J394" t="str">
        <f t="shared" si="26"/>
        <v>Dec</v>
      </c>
      <c r="K394" t="str">
        <f t="shared" si="27"/>
        <v>Wed</v>
      </c>
    </row>
    <row r="395" spans="1:11" x14ac:dyDescent="0.35">
      <c r="A395" s="1">
        <v>36132</v>
      </c>
      <c r="B395">
        <v>1.65937495231628</v>
      </c>
      <c r="C395">
        <v>1.70416700839996</v>
      </c>
      <c r="D395">
        <v>1.5416669845580999</v>
      </c>
      <c r="E395">
        <v>1.57916700839996</v>
      </c>
      <c r="F395">
        <v>1.57916700839996</v>
      </c>
      <c r="G395">
        <v>436728000</v>
      </c>
      <c r="H395">
        <f t="shared" si="24"/>
        <v>1998</v>
      </c>
      <c r="I395">
        <f t="shared" si="25"/>
        <v>12</v>
      </c>
      <c r="J395" t="str">
        <f t="shared" si="26"/>
        <v>Dec</v>
      </c>
      <c r="K395" t="str">
        <f t="shared" si="27"/>
        <v>Thu</v>
      </c>
    </row>
    <row r="396" spans="1:11" x14ac:dyDescent="0.35">
      <c r="A396" s="1">
        <v>36133</v>
      </c>
      <c r="B396">
        <v>1.62916696071624</v>
      </c>
      <c r="C396">
        <v>1.64166700839996</v>
      </c>
      <c r="D396">
        <v>1.5208330154418901</v>
      </c>
      <c r="E396">
        <v>1.5708329677581701</v>
      </c>
      <c r="F396">
        <v>1.5708329677581701</v>
      </c>
      <c r="G396">
        <v>445152000</v>
      </c>
      <c r="H396">
        <f t="shared" si="24"/>
        <v>1998</v>
      </c>
      <c r="I396">
        <f t="shared" si="25"/>
        <v>12</v>
      </c>
      <c r="J396" t="str">
        <f t="shared" si="26"/>
        <v>Dec</v>
      </c>
      <c r="K396" t="str">
        <f t="shared" si="27"/>
        <v>Fri</v>
      </c>
    </row>
    <row r="397" spans="1:11" x14ac:dyDescent="0.35">
      <c r="A397" s="1">
        <v>36136</v>
      </c>
      <c r="B397">
        <v>1.60833299160003</v>
      </c>
      <c r="C397">
        <v>1.61666703224182</v>
      </c>
      <c r="D397">
        <v>1.54270803928375</v>
      </c>
      <c r="E397">
        <v>1.5916670560836701</v>
      </c>
      <c r="F397">
        <v>1.5916670560836701</v>
      </c>
      <c r="G397">
        <v>315480000</v>
      </c>
      <c r="H397">
        <f t="shared" si="24"/>
        <v>1998</v>
      </c>
      <c r="I397">
        <f t="shared" si="25"/>
        <v>12</v>
      </c>
      <c r="J397" t="str">
        <f t="shared" si="26"/>
        <v>Dec</v>
      </c>
      <c r="K397" t="str">
        <f t="shared" si="27"/>
        <v>Mon</v>
      </c>
    </row>
    <row r="398" spans="1:11" x14ac:dyDescent="0.35">
      <c r="A398" s="1">
        <v>36137</v>
      </c>
      <c r="B398">
        <v>1.5802079439163199</v>
      </c>
      <c r="C398">
        <v>1.71562504768371</v>
      </c>
      <c r="D398">
        <v>1.5708329677581701</v>
      </c>
      <c r="E398">
        <v>1.7005209922790501</v>
      </c>
      <c r="F398">
        <v>1.7005209922790501</v>
      </c>
      <c r="G398">
        <v>510996000</v>
      </c>
      <c r="H398">
        <f t="shared" si="24"/>
        <v>1998</v>
      </c>
      <c r="I398">
        <f t="shared" si="25"/>
        <v>12</v>
      </c>
      <c r="J398" t="str">
        <f t="shared" si="26"/>
        <v>Dec</v>
      </c>
      <c r="K398" t="str">
        <f t="shared" si="27"/>
        <v>Tue</v>
      </c>
    </row>
    <row r="399" spans="1:11" x14ac:dyDescent="0.35">
      <c r="A399" s="1">
        <v>36138</v>
      </c>
      <c r="B399">
        <v>1.7114579677581701</v>
      </c>
      <c r="C399">
        <v>1.8692710399627599</v>
      </c>
      <c r="D399">
        <v>1.68333303928375</v>
      </c>
      <c r="E399">
        <v>1.8020830154418901</v>
      </c>
      <c r="F399">
        <v>1.8020830154418901</v>
      </c>
      <c r="G399">
        <v>930132000</v>
      </c>
      <c r="H399">
        <f t="shared" si="24"/>
        <v>1998</v>
      </c>
      <c r="I399">
        <f t="shared" si="25"/>
        <v>12</v>
      </c>
      <c r="J399" t="str">
        <f t="shared" si="26"/>
        <v>Dec</v>
      </c>
      <c r="K399" t="str">
        <f t="shared" si="27"/>
        <v>Wed</v>
      </c>
    </row>
    <row r="400" spans="1:11" x14ac:dyDescent="0.35">
      <c r="A400" s="1">
        <v>36139</v>
      </c>
      <c r="B400">
        <v>1.81354200839996</v>
      </c>
      <c r="C400">
        <v>1.86666703224182</v>
      </c>
      <c r="D400">
        <v>1.74687504768371</v>
      </c>
      <c r="E400">
        <v>1.7760419845580999</v>
      </c>
      <c r="F400">
        <v>1.7760419845580999</v>
      </c>
      <c r="G400">
        <v>607236000</v>
      </c>
      <c r="H400">
        <f t="shared" si="24"/>
        <v>1998</v>
      </c>
      <c r="I400">
        <f t="shared" si="25"/>
        <v>12</v>
      </c>
      <c r="J400" t="str">
        <f t="shared" si="26"/>
        <v>Dec</v>
      </c>
      <c r="K400" t="str">
        <f t="shared" si="27"/>
        <v>Thu</v>
      </c>
    </row>
    <row r="401" spans="1:11" x14ac:dyDescent="0.35">
      <c r="A401" s="1">
        <v>36140</v>
      </c>
      <c r="B401">
        <v>1.75052094459533</v>
      </c>
      <c r="C401">
        <v>1.86666703224182</v>
      </c>
      <c r="D401">
        <v>1.75</v>
      </c>
      <c r="E401">
        <v>1.85833299160003</v>
      </c>
      <c r="F401">
        <v>1.85833299160003</v>
      </c>
      <c r="G401">
        <v>509352000</v>
      </c>
      <c r="H401">
        <f t="shared" si="24"/>
        <v>1998</v>
      </c>
      <c r="I401">
        <f t="shared" si="25"/>
        <v>12</v>
      </c>
      <c r="J401" t="str">
        <f t="shared" si="26"/>
        <v>Dec</v>
      </c>
      <c r="K401" t="str">
        <f t="shared" si="27"/>
        <v>Fri</v>
      </c>
    </row>
    <row r="402" spans="1:11" x14ac:dyDescent="0.35">
      <c r="A402" s="1">
        <v>36143</v>
      </c>
      <c r="B402">
        <v>1.84270799160003</v>
      </c>
      <c r="C402">
        <v>1.9166669845580999</v>
      </c>
      <c r="D402">
        <v>1.81666696071624</v>
      </c>
      <c r="E402">
        <v>1.8520829677581701</v>
      </c>
      <c r="F402">
        <v>1.8520829677581701</v>
      </c>
      <c r="G402">
        <v>775020000</v>
      </c>
      <c r="H402">
        <f t="shared" si="24"/>
        <v>1998</v>
      </c>
      <c r="I402">
        <f t="shared" si="25"/>
        <v>12</v>
      </c>
      <c r="J402" t="str">
        <f t="shared" si="26"/>
        <v>Dec</v>
      </c>
      <c r="K402" t="str">
        <f t="shared" si="27"/>
        <v>Mon</v>
      </c>
    </row>
    <row r="403" spans="1:11" x14ac:dyDescent="0.35">
      <c r="A403" s="1">
        <v>36144</v>
      </c>
      <c r="B403">
        <v>1.89166700839996</v>
      </c>
      <c r="C403">
        <v>2.0250000953674299</v>
      </c>
      <c r="D403">
        <v>1.87916696071624</v>
      </c>
      <c r="E403">
        <v>2.02291703224182</v>
      </c>
      <c r="F403">
        <v>2.02291703224182</v>
      </c>
      <c r="G403">
        <v>760308000</v>
      </c>
      <c r="H403">
        <f t="shared" si="24"/>
        <v>1998</v>
      </c>
      <c r="I403">
        <f t="shared" si="25"/>
        <v>12</v>
      </c>
      <c r="J403" t="str">
        <f t="shared" si="26"/>
        <v>Dec</v>
      </c>
      <c r="K403" t="str">
        <f t="shared" si="27"/>
        <v>Tue</v>
      </c>
    </row>
    <row r="404" spans="1:11" x14ac:dyDescent="0.35">
      <c r="A404" s="1">
        <v>36145</v>
      </c>
      <c r="B404">
        <v>2.1593749523162802</v>
      </c>
      <c r="C404">
        <v>2.51458311080932</v>
      </c>
      <c r="D404">
        <v>2.1583330631256099</v>
      </c>
      <c r="E404">
        <v>2.4083330631256099</v>
      </c>
      <c r="F404">
        <v>2.4083330631256099</v>
      </c>
      <c r="G404">
        <v>2035944000</v>
      </c>
      <c r="H404">
        <f t="shared" si="24"/>
        <v>1998</v>
      </c>
      <c r="I404">
        <f t="shared" si="25"/>
        <v>12</v>
      </c>
      <c r="J404" t="str">
        <f t="shared" si="26"/>
        <v>Dec</v>
      </c>
      <c r="K404" t="str">
        <f t="shared" si="27"/>
        <v>Wed</v>
      </c>
    </row>
    <row r="405" spans="1:11" x14ac:dyDescent="0.35">
      <c r="A405" s="1">
        <v>36146</v>
      </c>
      <c r="B405">
        <v>2.20000004768371</v>
      </c>
      <c r="C405">
        <v>2.42916703224182</v>
      </c>
      <c r="D405">
        <v>2.17135405540466</v>
      </c>
      <c r="E405">
        <v>2.3062500953674299</v>
      </c>
      <c r="F405">
        <v>2.3062500953674299</v>
      </c>
      <c r="G405">
        <v>1352700000</v>
      </c>
      <c r="H405">
        <f t="shared" si="24"/>
        <v>1998</v>
      </c>
      <c r="I405">
        <f t="shared" si="25"/>
        <v>12</v>
      </c>
      <c r="J405" t="str">
        <f t="shared" si="26"/>
        <v>Dec</v>
      </c>
      <c r="K405" t="str">
        <f t="shared" si="27"/>
        <v>Thu</v>
      </c>
    </row>
    <row r="406" spans="1:11" x14ac:dyDescent="0.35">
      <c r="A406" s="1">
        <v>36147</v>
      </c>
      <c r="B406">
        <v>2.35833311080932</v>
      </c>
      <c r="C406">
        <v>2.4083330631256099</v>
      </c>
      <c r="D406">
        <v>2.3156249523162802</v>
      </c>
      <c r="E406">
        <v>2.3890628814697199</v>
      </c>
      <c r="F406">
        <v>2.3890628814697199</v>
      </c>
      <c r="G406">
        <v>459036000</v>
      </c>
      <c r="H406">
        <f t="shared" si="24"/>
        <v>1998</v>
      </c>
      <c r="I406">
        <f t="shared" si="25"/>
        <v>12</v>
      </c>
      <c r="J406" t="str">
        <f t="shared" si="26"/>
        <v>Dec</v>
      </c>
      <c r="K406" t="str">
        <f t="shared" si="27"/>
        <v>Fri</v>
      </c>
    </row>
    <row r="407" spans="1:11" x14ac:dyDescent="0.35">
      <c r="A407" s="1">
        <v>36150</v>
      </c>
      <c r="B407">
        <v>2.5291669368743799</v>
      </c>
      <c r="C407">
        <v>2.6812500953674299</v>
      </c>
      <c r="D407">
        <v>2.5</v>
      </c>
      <c r="E407">
        <v>2.65625</v>
      </c>
      <c r="F407">
        <v>2.65625</v>
      </c>
      <c r="G407">
        <v>667680000</v>
      </c>
      <c r="H407">
        <f t="shared" si="24"/>
        <v>1998</v>
      </c>
      <c r="I407">
        <f t="shared" si="25"/>
        <v>12</v>
      </c>
      <c r="J407" t="str">
        <f t="shared" si="26"/>
        <v>Dec</v>
      </c>
      <c r="K407" t="str">
        <f t="shared" si="27"/>
        <v>Mon</v>
      </c>
    </row>
    <row r="408" spans="1:11" x14ac:dyDescent="0.35">
      <c r="A408" s="1">
        <v>36151</v>
      </c>
      <c r="B408">
        <v>2.7244789600372301</v>
      </c>
      <c r="C408">
        <v>2.74166703224182</v>
      </c>
      <c r="D408">
        <v>2.5718750953674299</v>
      </c>
      <c r="E408">
        <v>2.68645811080932</v>
      </c>
      <c r="F408">
        <v>2.68645811080932</v>
      </c>
      <c r="G408">
        <v>635208000</v>
      </c>
      <c r="H408">
        <f t="shared" si="24"/>
        <v>1998</v>
      </c>
      <c r="I408">
        <f t="shared" si="25"/>
        <v>12</v>
      </c>
      <c r="J408" t="str">
        <f t="shared" si="26"/>
        <v>Dec</v>
      </c>
      <c r="K408" t="str">
        <f t="shared" si="27"/>
        <v>Tue</v>
      </c>
    </row>
    <row r="409" spans="1:11" x14ac:dyDescent="0.35">
      <c r="A409" s="1">
        <v>36152</v>
      </c>
      <c r="B409">
        <v>2.73333311080932</v>
      </c>
      <c r="C409">
        <v>2.75</v>
      </c>
      <c r="D409">
        <v>2.6593749523162802</v>
      </c>
      <c r="E409">
        <v>2.7083330154418901</v>
      </c>
      <c r="F409">
        <v>2.7083330154418901</v>
      </c>
      <c r="G409">
        <v>291276000</v>
      </c>
      <c r="H409">
        <f t="shared" si="24"/>
        <v>1998</v>
      </c>
      <c r="I409">
        <f t="shared" si="25"/>
        <v>12</v>
      </c>
      <c r="J409" t="str">
        <f t="shared" si="26"/>
        <v>Dec</v>
      </c>
      <c r="K409" t="str">
        <f t="shared" si="27"/>
        <v>Wed</v>
      </c>
    </row>
    <row r="410" spans="1:11" x14ac:dyDescent="0.35">
      <c r="A410" s="1">
        <v>36153</v>
      </c>
      <c r="B410">
        <v>2.6854169368743799</v>
      </c>
      <c r="C410">
        <v>2.7249999046325599</v>
      </c>
      <c r="D410">
        <v>2.6583330631256099</v>
      </c>
      <c r="E410">
        <v>2.7067708969116202</v>
      </c>
      <c r="F410">
        <v>2.7067708969116202</v>
      </c>
      <c r="G410">
        <v>108276000</v>
      </c>
      <c r="H410">
        <f t="shared" si="24"/>
        <v>1998</v>
      </c>
      <c r="I410">
        <f t="shared" si="25"/>
        <v>12</v>
      </c>
      <c r="J410" t="str">
        <f t="shared" si="26"/>
        <v>Dec</v>
      </c>
      <c r="K410" t="str">
        <f t="shared" si="27"/>
        <v>Thu</v>
      </c>
    </row>
    <row r="411" spans="1:11" x14ac:dyDescent="0.35">
      <c r="A411" s="1">
        <v>36157</v>
      </c>
      <c r="B411">
        <v>2.7583329677581698</v>
      </c>
      <c r="C411">
        <v>3.015625</v>
      </c>
      <c r="D411">
        <v>2.7083330154418901</v>
      </c>
      <c r="E411">
        <v>2.9328129291534402</v>
      </c>
      <c r="F411">
        <v>2.9328129291534402</v>
      </c>
      <c r="G411">
        <v>597972000</v>
      </c>
      <c r="H411">
        <f t="shared" si="24"/>
        <v>1998</v>
      </c>
      <c r="I411">
        <f t="shared" si="25"/>
        <v>12</v>
      </c>
      <c r="J411" t="str">
        <f t="shared" si="26"/>
        <v>Dec</v>
      </c>
      <c r="K411" t="str">
        <f t="shared" si="27"/>
        <v>Mon</v>
      </c>
    </row>
    <row r="412" spans="1:11" x14ac:dyDescent="0.35">
      <c r="A412" s="1">
        <v>36158</v>
      </c>
      <c r="B412">
        <v>2.9166669845581001</v>
      </c>
      <c r="C412">
        <v>2.9177079200744598</v>
      </c>
      <c r="D412">
        <v>2.7374999523162802</v>
      </c>
      <c r="E412">
        <v>2.7692708969116202</v>
      </c>
      <c r="F412">
        <v>2.7692708969116202</v>
      </c>
      <c r="G412">
        <v>492156000</v>
      </c>
      <c r="H412">
        <f t="shared" si="24"/>
        <v>1998</v>
      </c>
      <c r="I412">
        <f t="shared" si="25"/>
        <v>12</v>
      </c>
      <c r="J412" t="str">
        <f t="shared" si="26"/>
        <v>Dec</v>
      </c>
      <c r="K412" t="str">
        <f t="shared" si="27"/>
        <v>Tue</v>
      </c>
    </row>
    <row r="413" spans="1:11" x14ac:dyDescent="0.35">
      <c r="A413" s="1">
        <v>36159</v>
      </c>
      <c r="B413">
        <v>2.7750000953674299</v>
      </c>
      <c r="C413">
        <v>2.8604168891906698</v>
      </c>
      <c r="D413">
        <v>2.5322918891906698</v>
      </c>
      <c r="E413">
        <v>2.6770830154418901</v>
      </c>
      <c r="F413">
        <v>2.6770830154418901</v>
      </c>
      <c r="G413">
        <v>651672000</v>
      </c>
      <c r="H413">
        <f t="shared" si="24"/>
        <v>1998</v>
      </c>
      <c r="I413">
        <f t="shared" si="25"/>
        <v>12</v>
      </c>
      <c r="J413" t="str">
        <f t="shared" si="26"/>
        <v>Dec</v>
      </c>
      <c r="K413" t="str">
        <f t="shared" si="27"/>
        <v>Wed</v>
      </c>
    </row>
    <row r="414" spans="1:11" x14ac:dyDescent="0.35">
      <c r="A414" s="1">
        <v>36160</v>
      </c>
      <c r="B414">
        <v>2.6437499523162802</v>
      </c>
      <c r="C414">
        <v>2.7583329677581698</v>
      </c>
      <c r="D414">
        <v>2.6343750953674299</v>
      </c>
      <c r="E414">
        <v>2.6770830154418901</v>
      </c>
      <c r="F414">
        <v>2.6770830154418901</v>
      </c>
      <c r="G414">
        <v>365964000</v>
      </c>
      <c r="H414">
        <f t="shared" si="24"/>
        <v>1998</v>
      </c>
      <c r="I414">
        <f t="shared" si="25"/>
        <v>12</v>
      </c>
      <c r="J414" t="str">
        <f t="shared" si="26"/>
        <v>Dec</v>
      </c>
      <c r="K414" t="str">
        <f t="shared" si="27"/>
        <v>Thu</v>
      </c>
    </row>
    <row r="415" spans="1:11" x14ac:dyDescent="0.35">
      <c r="A415" s="1">
        <v>36164</v>
      </c>
      <c r="B415">
        <v>2.73072910308837</v>
      </c>
      <c r="C415">
        <v>2.9666669368743799</v>
      </c>
      <c r="D415">
        <v>2.6656250953674299</v>
      </c>
      <c r="E415">
        <v>2.95781302452087</v>
      </c>
      <c r="F415">
        <v>2.95781302452087</v>
      </c>
      <c r="G415">
        <v>785844000</v>
      </c>
      <c r="H415">
        <f t="shared" si="24"/>
        <v>1999</v>
      </c>
      <c r="I415">
        <f t="shared" si="25"/>
        <v>1</v>
      </c>
      <c r="J415" t="str">
        <f t="shared" si="26"/>
        <v>Jan</v>
      </c>
      <c r="K415" t="str">
        <f t="shared" si="27"/>
        <v>Mon</v>
      </c>
    </row>
    <row r="416" spans="1:11" x14ac:dyDescent="0.35">
      <c r="A416" s="1">
        <v>36165</v>
      </c>
      <c r="B416">
        <v>2.73906302452087</v>
      </c>
      <c r="C416">
        <v>3.2437500953674299</v>
      </c>
      <c r="D416">
        <v>2.6624999046325599</v>
      </c>
      <c r="E416">
        <v>3.1124999523162802</v>
      </c>
      <c r="F416">
        <v>3.1124999523162802</v>
      </c>
      <c r="G416">
        <v>1257464000</v>
      </c>
      <c r="H416">
        <f t="shared" si="24"/>
        <v>1999</v>
      </c>
      <c r="I416">
        <f t="shared" si="25"/>
        <v>1</v>
      </c>
      <c r="J416" t="str">
        <f t="shared" si="26"/>
        <v>Jan</v>
      </c>
      <c r="K416" t="str">
        <f t="shared" si="27"/>
        <v>Tue</v>
      </c>
    </row>
    <row r="417" spans="1:11" x14ac:dyDescent="0.35">
      <c r="A417" s="1">
        <v>36166</v>
      </c>
      <c r="B417">
        <v>3.4093749523162802</v>
      </c>
      <c r="C417">
        <v>3.5093750953674299</v>
      </c>
      <c r="D417">
        <v>3.3499999046325599</v>
      </c>
      <c r="E417">
        <v>3.45000004768371</v>
      </c>
      <c r="F417">
        <v>3.45000004768371</v>
      </c>
      <c r="G417">
        <v>723532000</v>
      </c>
      <c r="H417">
        <f t="shared" si="24"/>
        <v>1999</v>
      </c>
      <c r="I417">
        <f t="shared" si="25"/>
        <v>1</v>
      </c>
      <c r="J417" t="str">
        <f t="shared" si="26"/>
        <v>Jan</v>
      </c>
      <c r="K417" t="str">
        <f t="shared" si="27"/>
        <v>Wed</v>
      </c>
    </row>
    <row r="418" spans="1:11" x14ac:dyDescent="0.35">
      <c r="A418" s="1">
        <v>36167</v>
      </c>
      <c r="B418">
        <v>3.4281249046325599</v>
      </c>
      <c r="C418">
        <v>4.0062499046325604</v>
      </c>
      <c r="D418">
        <v>3.32500004768371</v>
      </c>
      <c r="E418">
        <v>3.9718749523162802</v>
      </c>
      <c r="F418">
        <v>3.9718749523162802</v>
      </c>
      <c r="G418">
        <v>945492000</v>
      </c>
      <c r="H418">
        <f t="shared" si="24"/>
        <v>1999</v>
      </c>
      <c r="I418">
        <f t="shared" si="25"/>
        <v>1</v>
      </c>
      <c r="J418" t="str">
        <f t="shared" si="26"/>
        <v>Jan</v>
      </c>
      <c r="K418" t="str">
        <f t="shared" si="27"/>
        <v>Thu</v>
      </c>
    </row>
    <row r="419" spans="1:11" x14ac:dyDescent="0.35">
      <c r="A419" s="1">
        <v>36168</v>
      </c>
      <c r="B419">
        <v>4.6062498092651296</v>
      </c>
      <c r="C419">
        <v>4.9781250953674299</v>
      </c>
      <c r="D419">
        <v>3.7999999523162802</v>
      </c>
      <c r="E419">
        <v>4.0062499046325604</v>
      </c>
      <c r="F419">
        <v>4.0062499046325604</v>
      </c>
      <c r="G419">
        <v>1333244000</v>
      </c>
      <c r="H419">
        <f t="shared" si="24"/>
        <v>1999</v>
      </c>
      <c r="I419">
        <f t="shared" si="25"/>
        <v>1</v>
      </c>
      <c r="J419" t="str">
        <f t="shared" si="26"/>
        <v>Jan</v>
      </c>
      <c r="K419" t="str">
        <f t="shared" si="27"/>
        <v>Fri</v>
      </c>
    </row>
    <row r="420" spans="1:11" x14ac:dyDescent="0.35">
      <c r="A420" s="1">
        <v>36171</v>
      </c>
      <c r="B420">
        <v>4.5999999046325604</v>
      </c>
      <c r="C420">
        <v>4.625</v>
      </c>
      <c r="D420">
        <v>4.1906251907348597</v>
      </c>
      <c r="E420">
        <v>4.6156249046325604</v>
      </c>
      <c r="F420">
        <v>4.6156249046325604</v>
      </c>
      <c r="G420">
        <v>778460000</v>
      </c>
      <c r="H420">
        <f t="shared" si="24"/>
        <v>1999</v>
      </c>
      <c r="I420">
        <f t="shared" si="25"/>
        <v>1</v>
      </c>
      <c r="J420" t="str">
        <f t="shared" si="26"/>
        <v>Jan</v>
      </c>
      <c r="K420" t="str">
        <f t="shared" si="27"/>
        <v>Mon</v>
      </c>
    </row>
    <row r="421" spans="1:11" x14ac:dyDescent="0.35">
      <c r="A421" s="1">
        <v>36172</v>
      </c>
      <c r="B421">
        <v>4.5124998092651296</v>
      </c>
      <c r="C421">
        <v>4.5500001907348597</v>
      </c>
      <c r="D421">
        <v>3.9749999046325599</v>
      </c>
      <c r="E421">
        <v>4.0843749046325604</v>
      </c>
      <c r="F421">
        <v>4.0843749046325604</v>
      </c>
      <c r="G421">
        <v>488864000</v>
      </c>
      <c r="H421">
        <f t="shared" si="24"/>
        <v>1999</v>
      </c>
      <c r="I421">
        <f t="shared" si="25"/>
        <v>1</v>
      </c>
      <c r="J421" t="str">
        <f t="shared" si="26"/>
        <v>Jan</v>
      </c>
      <c r="K421" t="str">
        <f t="shared" si="27"/>
        <v>Tue</v>
      </c>
    </row>
    <row r="422" spans="1:11" x14ac:dyDescent="0.35">
      <c r="A422" s="1">
        <v>36173</v>
      </c>
      <c r="B422">
        <v>3.125</v>
      </c>
      <c r="C422">
        <v>4.0875000953674299</v>
      </c>
      <c r="D422">
        <v>3.125</v>
      </c>
      <c r="E422">
        <v>3.70000004768371</v>
      </c>
      <c r="F422">
        <v>3.70000004768371</v>
      </c>
      <c r="G422">
        <v>597528000</v>
      </c>
      <c r="H422">
        <f t="shared" si="24"/>
        <v>1999</v>
      </c>
      <c r="I422">
        <f t="shared" si="25"/>
        <v>1</v>
      </c>
      <c r="J422" t="str">
        <f t="shared" si="26"/>
        <v>Jan</v>
      </c>
      <c r="K422" t="str">
        <f t="shared" si="27"/>
        <v>Wed</v>
      </c>
    </row>
    <row r="423" spans="1:11" x14ac:dyDescent="0.35">
      <c r="A423" s="1">
        <v>36174</v>
      </c>
      <c r="B423">
        <v>3.75</v>
      </c>
      <c r="C423">
        <v>3.98125004768371</v>
      </c>
      <c r="D423">
        <v>3.4000000953674299</v>
      </c>
      <c r="E423">
        <v>3.45000004768371</v>
      </c>
      <c r="F423">
        <v>3.45000004768371</v>
      </c>
      <c r="G423">
        <v>418248000</v>
      </c>
      <c r="H423">
        <f t="shared" si="24"/>
        <v>1999</v>
      </c>
      <c r="I423">
        <f t="shared" si="25"/>
        <v>1</v>
      </c>
      <c r="J423" t="str">
        <f t="shared" si="26"/>
        <v>Jan</v>
      </c>
      <c r="K423" t="str">
        <f t="shared" si="27"/>
        <v>Thu</v>
      </c>
    </row>
    <row r="424" spans="1:11" x14ac:dyDescent="0.35">
      <c r="A424" s="1">
        <v>36175</v>
      </c>
      <c r="B424">
        <v>3.5</v>
      </c>
      <c r="C424">
        <v>3.7515630722045898</v>
      </c>
      <c r="D424">
        <v>3.4406249523162802</v>
      </c>
      <c r="E424">
        <v>3.5093750953674299</v>
      </c>
      <c r="F424">
        <v>3.5093750953674299</v>
      </c>
      <c r="G424">
        <v>402652000</v>
      </c>
      <c r="H424">
        <f t="shared" si="24"/>
        <v>1999</v>
      </c>
      <c r="I424">
        <f t="shared" si="25"/>
        <v>1</v>
      </c>
      <c r="J424" t="str">
        <f t="shared" si="26"/>
        <v>Jan</v>
      </c>
      <c r="K424" t="str">
        <f t="shared" si="27"/>
        <v>Fri</v>
      </c>
    </row>
    <row r="425" spans="1:11" x14ac:dyDescent="0.35">
      <c r="A425" s="1">
        <v>36179</v>
      </c>
      <c r="B425">
        <v>3.76250004768371</v>
      </c>
      <c r="C425">
        <v>3.76250004768371</v>
      </c>
      <c r="D425">
        <v>3.40625</v>
      </c>
      <c r="E425">
        <v>3.4953129291534402</v>
      </c>
      <c r="F425">
        <v>3.4953129291534402</v>
      </c>
      <c r="G425">
        <v>228108000</v>
      </c>
      <c r="H425">
        <f t="shared" si="24"/>
        <v>1999</v>
      </c>
      <c r="I425">
        <f t="shared" si="25"/>
        <v>1</v>
      </c>
      <c r="J425" t="str">
        <f t="shared" si="26"/>
        <v>Jan</v>
      </c>
      <c r="K425" t="str">
        <f t="shared" si="27"/>
        <v>Tue</v>
      </c>
    </row>
    <row r="426" spans="1:11" x14ac:dyDescent="0.35">
      <c r="A426" s="1">
        <v>36180</v>
      </c>
      <c r="B426">
        <v>3.3765630722045898</v>
      </c>
      <c r="C426">
        <v>3.4249999523162802</v>
      </c>
      <c r="D426">
        <v>2.7437500953674299</v>
      </c>
      <c r="E426">
        <v>2.82500004768371</v>
      </c>
      <c r="F426">
        <v>2.82500004768371</v>
      </c>
      <c r="G426">
        <v>610704000</v>
      </c>
      <c r="H426">
        <f t="shared" si="24"/>
        <v>1999</v>
      </c>
      <c r="I426">
        <f t="shared" si="25"/>
        <v>1</v>
      </c>
      <c r="J426" t="str">
        <f t="shared" si="26"/>
        <v>Jan</v>
      </c>
      <c r="K426" t="str">
        <f t="shared" si="27"/>
        <v>Wed</v>
      </c>
    </row>
    <row r="427" spans="1:11" x14ac:dyDescent="0.35">
      <c r="A427" s="1">
        <v>36181</v>
      </c>
      <c r="B427">
        <v>2.6124999523162802</v>
      </c>
      <c r="C427">
        <v>2.7593750953674299</v>
      </c>
      <c r="D427">
        <v>2.3140630722045898</v>
      </c>
      <c r="E427">
        <v>2.6500000953674299</v>
      </c>
      <c r="F427">
        <v>2.6500000953674299</v>
      </c>
      <c r="G427">
        <v>940964000</v>
      </c>
      <c r="H427">
        <f t="shared" si="24"/>
        <v>1999</v>
      </c>
      <c r="I427">
        <f t="shared" si="25"/>
        <v>1</v>
      </c>
      <c r="J427" t="str">
        <f t="shared" si="26"/>
        <v>Jan</v>
      </c>
      <c r="K427" t="str">
        <f t="shared" si="27"/>
        <v>Thu</v>
      </c>
    </row>
    <row r="428" spans="1:11" x14ac:dyDescent="0.35">
      <c r="A428" s="1">
        <v>36182</v>
      </c>
      <c r="B428">
        <v>2.4874999523162802</v>
      </c>
      <c r="C428">
        <v>3.1468749046325599</v>
      </c>
      <c r="D428">
        <v>2.46875</v>
      </c>
      <c r="E428">
        <v>3.07500004768371</v>
      </c>
      <c r="F428">
        <v>3.07500004768371</v>
      </c>
      <c r="G428">
        <v>875316000</v>
      </c>
      <c r="H428">
        <f t="shared" si="24"/>
        <v>1999</v>
      </c>
      <c r="I428">
        <f t="shared" si="25"/>
        <v>1</v>
      </c>
      <c r="J428" t="str">
        <f t="shared" si="26"/>
        <v>Jan</v>
      </c>
      <c r="K428" t="str">
        <f t="shared" si="27"/>
        <v>Fri</v>
      </c>
    </row>
    <row r="429" spans="1:11" x14ac:dyDescent="0.35">
      <c r="A429" s="1">
        <v>36185</v>
      </c>
      <c r="B429">
        <v>3.0374999046325599</v>
      </c>
      <c r="C429">
        <v>3.0843749046325599</v>
      </c>
      <c r="D429">
        <v>2.75</v>
      </c>
      <c r="E429">
        <v>2.80937504768371</v>
      </c>
      <c r="F429">
        <v>2.80937504768371</v>
      </c>
      <c r="G429">
        <v>546476000</v>
      </c>
      <c r="H429">
        <f t="shared" si="24"/>
        <v>1999</v>
      </c>
      <c r="I429">
        <f t="shared" si="25"/>
        <v>1</v>
      </c>
      <c r="J429" t="str">
        <f t="shared" si="26"/>
        <v>Jan</v>
      </c>
      <c r="K429" t="str">
        <f t="shared" si="27"/>
        <v>Mon</v>
      </c>
    </row>
    <row r="430" spans="1:11" x14ac:dyDescent="0.35">
      <c r="A430" s="1">
        <v>36186</v>
      </c>
      <c r="B430">
        <v>2.8156249523162802</v>
      </c>
      <c r="C430">
        <v>3.03125</v>
      </c>
      <c r="D430">
        <v>2.765625</v>
      </c>
      <c r="E430">
        <v>2.8773438930511399</v>
      </c>
      <c r="F430">
        <v>2.8773438930511399</v>
      </c>
      <c r="G430">
        <v>490696000</v>
      </c>
      <c r="H430">
        <f t="shared" si="24"/>
        <v>1999</v>
      </c>
      <c r="I430">
        <f t="shared" si="25"/>
        <v>1</v>
      </c>
      <c r="J430" t="str">
        <f t="shared" si="26"/>
        <v>Jan</v>
      </c>
      <c r="K430" t="str">
        <f t="shared" si="27"/>
        <v>Tue</v>
      </c>
    </row>
    <row r="431" spans="1:11" x14ac:dyDescent="0.35">
      <c r="A431" s="1">
        <v>36187</v>
      </c>
      <c r="B431">
        <v>3.3531250953674299</v>
      </c>
      <c r="C431">
        <v>3.4937500953674299</v>
      </c>
      <c r="D431">
        <v>3</v>
      </c>
      <c r="E431">
        <v>3.140625</v>
      </c>
      <c r="F431">
        <v>3.140625</v>
      </c>
      <c r="G431">
        <v>700452000</v>
      </c>
      <c r="H431">
        <f t="shared" si="24"/>
        <v>1999</v>
      </c>
      <c r="I431">
        <f t="shared" si="25"/>
        <v>1</v>
      </c>
      <c r="J431" t="str">
        <f t="shared" si="26"/>
        <v>Jan</v>
      </c>
      <c r="K431" t="str">
        <f t="shared" si="27"/>
        <v>Wed</v>
      </c>
    </row>
    <row r="432" spans="1:11" x14ac:dyDescent="0.35">
      <c r="A432" s="1">
        <v>36188</v>
      </c>
      <c r="B432">
        <v>3.16093802452087</v>
      </c>
      <c r="C432">
        <v>3.21875</v>
      </c>
      <c r="D432">
        <v>3.0062499046325599</v>
      </c>
      <c r="E432">
        <v>3.0718750953674299</v>
      </c>
      <c r="F432">
        <v>3.0718750953674299</v>
      </c>
      <c r="G432">
        <v>475012000</v>
      </c>
      <c r="H432">
        <f t="shared" si="24"/>
        <v>1999</v>
      </c>
      <c r="I432">
        <f t="shared" si="25"/>
        <v>1</v>
      </c>
      <c r="J432" t="str">
        <f t="shared" si="26"/>
        <v>Jan</v>
      </c>
      <c r="K432" t="str">
        <f t="shared" si="27"/>
        <v>Thu</v>
      </c>
    </row>
    <row r="433" spans="1:11" x14ac:dyDescent="0.35">
      <c r="A433" s="1">
        <v>36189</v>
      </c>
      <c r="B433">
        <v>3.0406250953674299</v>
      </c>
      <c r="C433">
        <v>3.0406250953674299</v>
      </c>
      <c r="D433">
        <v>2.875</v>
      </c>
      <c r="E433">
        <v>2.9234380722045898</v>
      </c>
      <c r="F433">
        <v>2.9234380722045898</v>
      </c>
      <c r="G433">
        <v>327920000</v>
      </c>
      <c r="H433">
        <f t="shared" si="24"/>
        <v>1999</v>
      </c>
      <c r="I433">
        <f t="shared" si="25"/>
        <v>1</v>
      </c>
      <c r="J433" t="str">
        <f t="shared" si="26"/>
        <v>Jan</v>
      </c>
      <c r="K433" t="str">
        <f t="shared" si="27"/>
        <v>Fri</v>
      </c>
    </row>
    <row r="434" spans="1:11" x14ac:dyDescent="0.35">
      <c r="A434" s="1">
        <v>36192</v>
      </c>
      <c r="B434">
        <v>2.9437499046325599</v>
      </c>
      <c r="C434">
        <v>3.0578129291534402</v>
      </c>
      <c r="D434">
        <v>2.875</v>
      </c>
      <c r="E434">
        <v>2.8968749046325599</v>
      </c>
      <c r="F434">
        <v>2.8968749046325599</v>
      </c>
      <c r="G434">
        <v>255620000</v>
      </c>
      <c r="H434">
        <f t="shared" si="24"/>
        <v>1999</v>
      </c>
      <c r="I434">
        <f t="shared" si="25"/>
        <v>2</v>
      </c>
      <c r="J434" t="str">
        <f t="shared" si="26"/>
        <v>Feb</v>
      </c>
      <c r="K434" t="str">
        <f t="shared" si="27"/>
        <v>Mon</v>
      </c>
    </row>
    <row r="435" spans="1:11" x14ac:dyDescent="0.35">
      <c r="A435" s="1">
        <v>36193</v>
      </c>
      <c r="B435">
        <v>2.9093749523162802</v>
      </c>
      <c r="C435">
        <v>2.91093802452087</v>
      </c>
      <c r="D435">
        <v>2.7125000953674299</v>
      </c>
      <c r="E435">
        <v>2.7562499046325599</v>
      </c>
      <c r="F435">
        <v>2.7562499046325599</v>
      </c>
      <c r="G435">
        <v>260972000</v>
      </c>
      <c r="H435">
        <f t="shared" si="24"/>
        <v>1999</v>
      </c>
      <c r="I435">
        <f t="shared" si="25"/>
        <v>2</v>
      </c>
      <c r="J435" t="str">
        <f t="shared" si="26"/>
        <v>Feb</v>
      </c>
      <c r="K435" t="str">
        <f t="shared" si="27"/>
        <v>Tue</v>
      </c>
    </row>
    <row r="436" spans="1:11" x14ac:dyDescent="0.35">
      <c r="A436" s="1">
        <v>36194</v>
      </c>
      <c r="B436">
        <v>2.7249999046325599</v>
      </c>
      <c r="C436">
        <v>3.1500000953674299</v>
      </c>
      <c r="D436">
        <v>2.7125000953674299</v>
      </c>
      <c r="E436">
        <v>3.1437499523162802</v>
      </c>
      <c r="F436">
        <v>3.1437499523162802</v>
      </c>
      <c r="G436">
        <v>375820000</v>
      </c>
      <c r="H436">
        <f t="shared" si="24"/>
        <v>1999</v>
      </c>
      <c r="I436">
        <f t="shared" si="25"/>
        <v>2</v>
      </c>
      <c r="J436" t="str">
        <f t="shared" si="26"/>
        <v>Feb</v>
      </c>
      <c r="K436" t="str">
        <f t="shared" si="27"/>
        <v>Wed</v>
      </c>
    </row>
    <row r="437" spans="1:11" x14ac:dyDescent="0.35">
      <c r="A437" s="1">
        <v>36195</v>
      </c>
      <c r="B437">
        <v>3.1312499046325599</v>
      </c>
      <c r="C437">
        <v>3.16875004768371</v>
      </c>
      <c r="D437">
        <v>2.90625</v>
      </c>
      <c r="E437">
        <v>2.95000004768371</v>
      </c>
      <c r="F437">
        <v>2.95000004768371</v>
      </c>
      <c r="G437">
        <v>232992000</v>
      </c>
      <c r="H437">
        <f t="shared" si="24"/>
        <v>1999</v>
      </c>
      <c r="I437">
        <f t="shared" si="25"/>
        <v>2</v>
      </c>
      <c r="J437" t="str">
        <f t="shared" si="26"/>
        <v>Feb</v>
      </c>
      <c r="K437" t="str">
        <f t="shared" si="27"/>
        <v>Thu</v>
      </c>
    </row>
    <row r="438" spans="1:11" x14ac:dyDescent="0.35">
      <c r="A438" s="1">
        <v>36196</v>
      </c>
      <c r="B438">
        <v>2.9249999523162802</v>
      </c>
      <c r="C438">
        <v>3.0718750953674299</v>
      </c>
      <c r="D438">
        <v>2.8078129291534402</v>
      </c>
      <c r="E438">
        <v>2.8968749046325599</v>
      </c>
      <c r="F438">
        <v>2.8968749046325599</v>
      </c>
      <c r="G438">
        <v>171320000</v>
      </c>
      <c r="H438">
        <f t="shared" si="24"/>
        <v>1999</v>
      </c>
      <c r="I438">
        <f t="shared" si="25"/>
        <v>2</v>
      </c>
      <c r="J438" t="str">
        <f t="shared" si="26"/>
        <v>Feb</v>
      </c>
      <c r="K438" t="str">
        <f t="shared" si="27"/>
        <v>Fri</v>
      </c>
    </row>
    <row r="439" spans="1:11" x14ac:dyDescent="0.35">
      <c r="A439" s="1">
        <v>36199</v>
      </c>
      <c r="B439">
        <v>2.859375</v>
      </c>
      <c r="C439">
        <v>2.8781249523162802</v>
      </c>
      <c r="D439">
        <v>2.6437499523162802</v>
      </c>
      <c r="E439">
        <v>2.7281250953674299</v>
      </c>
      <c r="F439">
        <v>2.7281250953674299</v>
      </c>
      <c r="G439">
        <v>251964000</v>
      </c>
      <c r="H439">
        <f t="shared" si="24"/>
        <v>1999</v>
      </c>
      <c r="I439">
        <f t="shared" si="25"/>
        <v>2</v>
      </c>
      <c r="J439" t="str">
        <f t="shared" si="26"/>
        <v>Feb</v>
      </c>
      <c r="K439" t="str">
        <f t="shared" si="27"/>
        <v>Mon</v>
      </c>
    </row>
    <row r="440" spans="1:11" x14ac:dyDescent="0.35">
      <c r="A440" s="1">
        <v>36200</v>
      </c>
      <c r="B440">
        <v>2.6984379291534402</v>
      </c>
      <c r="C440">
        <v>2.70000004768371</v>
      </c>
      <c r="D440">
        <v>2.4984378814697199</v>
      </c>
      <c r="E440">
        <v>2.5</v>
      </c>
      <c r="F440">
        <v>2.5</v>
      </c>
      <c r="G440">
        <v>256520000</v>
      </c>
      <c r="H440">
        <f t="shared" si="24"/>
        <v>1999</v>
      </c>
      <c r="I440">
        <f t="shared" si="25"/>
        <v>2</v>
      </c>
      <c r="J440" t="str">
        <f t="shared" si="26"/>
        <v>Feb</v>
      </c>
      <c r="K440" t="str">
        <f t="shared" si="27"/>
        <v>Tue</v>
      </c>
    </row>
    <row r="441" spans="1:11" x14ac:dyDescent="0.35">
      <c r="A441" s="1">
        <v>36201</v>
      </c>
      <c r="B441">
        <v>2.4562499523162802</v>
      </c>
      <c r="C441">
        <v>2.5843749046325599</v>
      </c>
      <c r="D441">
        <v>2.375</v>
      </c>
      <c r="E441">
        <v>2.4359378814697199</v>
      </c>
      <c r="F441">
        <v>2.4359378814697199</v>
      </c>
      <c r="G441">
        <v>264100000</v>
      </c>
      <c r="H441">
        <f t="shared" si="24"/>
        <v>1999</v>
      </c>
      <c r="I441">
        <f t="shared" si="25"/>
        <v>2</v>
      </c>
      <c r="J441" t="str">
        <f t="shared" si="26"/>
        <v>Feb</v>
      </c>
      <c r="K441" t="str">
        <f t="shared" si="27"/>
        <v>Wed</v>
      </c>
    </row>
    <row r="442" spans="1:11" x14ac:dyDescent="0.35">
      <c r="A442" s="1">
        <v>36202</v>
      </c>
      <c r="B442">
        <v>2.51250004768371</v>
      </c>
      <c r="C442">
        <v>2.75468802452087</v>
      </c>
      <c r="D442">
        <v>2.4874999523162802</v>
      </c>
      <c r="E442">
        <v>2.74687504768371</v>
      </c>
      <c r="F442">
        <v>2.74687504768371</v>
      </c>
      <c r="G442">
        <v>275860000</v>
      </c>
      <c r="H442">
        <f t="shared" si="24"/>
        <v>1999</v>
      </c>
      <c r="I442">
        <f t="shared" si="25"/>
        <v>2</v>
      </c>
      <c r="J442" t="str">
        <f t="shared" si="26"/>
        <v>Feb</v>
      </c>
      <c r="K442" t="str">
        <f t="shared" si="27"/>
        <v>Thu</v>
      </c>
    </row>
    <row r="443" spans="1:11" x14ac:dyDescent="0.35">
      <c r="A443" s="1">
        <v>36203</v>
      </c>
      <c r="B443">
        <v>2.70000004768371</v>
      </c>
      <c r="C443">
        <v>2.74687504768371</v>
      </c>
      <c r="D443">
        <v>2.59062504768371</v>
      </c>
      <c r="E443">
        <v>2.6124999523162802</v>
      </c>
      <c r="F443">
        <v>2.6124999523162802</v>
      </c>
      <c r="G443">
        <v>155308000</v>
      </c>
      <c r="H443">
        <f t="shared" si="24"/>
        <v>1999</v>
      </c>
      <c r="I443">
        <f t="shared" si="25"/>
        <v>2</v>
      </c>
      <c r="J443" t="str">
        <f t="shared" si="26"/>
        <v>Feb</v>
      </c>
      <c r="K443" t="str">
        <f t="shared" si="27"/>
        <v>Fri</v>
      </c>
    </row>
    <row r="444" spans="1:11" x14ac:dyDescent="0.35">
      <c r="A444" s="1">
        <v>36207</v>
      </c>
      <c r="B444">
        <v>2.671875</v>
      </c>
      <c r="C444">
        <v>2.7125000953674299</v>
      </c>
      <c r="D444">
        <v>2.4249999523162802</v>
      </c>
      <c r="E444">
        <v>2.46562504768371</v>
      </c>
      <c r="F444">
        <v>2.46562504768371</v>
      </c>
      <c r="G444">
        <v>155596000</v>
      </c>
      <c r="H444">
        <f t="shared" si="24"/>
        <v>1999</v>
      </c>
      <c r="I444">
        <f t="shared" si="25"/>
        <v>2</v>
      </c>
      <c r="J444" t="str">
        <f t="shared" si="26"/>
        <v>Feb</v>
      </c>
      <c r="K444" t="str">
        <f t="shared" si="27"/>
        <v>Tue</v>
      </c>
    </row>
    <row r="445" spans="1:11" x14ac:dyDescent="0.35">
      <c r="A445" s="1">
        <v>36208</v>
      </c>
      <c r="B445">
        <v>2.4609379768371502</v>
      </c>
      <c r="C445">
        <v>2.55156302452087</v>
      </c>
      <c r="D445">
        <v>2.3125</v>
      </c>
      <c r="E445">
        <v>2.3375000953674299</v>
      </c>
      <c r="F445">
        <v>2.3375000953674299</v>
      </c>
      <c r="G445">
        <v>193372000</v>
      </c>
      <c r="H445">
        <f t="shared" si="24"/>
        <v>1999</v>
      </c>
      <c r="I445">
        <f t="shared" si="25"/>
        <v>2</v>
      </c>
      <c r="J445" t="str">
        <f t="shared" si="26"/>
        <v>Feb</v>
      </c>
      <c r="K445" t="str">
        <f t="shared" si="27"/>
        <v>Wed</v>
      </c>
    </row>
    <row r="446" spans="1:11" x14ac:dyDescent="0.35">
      <c r="A446" s="1">
        <v>36209</v>
      </c>
      <c r="B446">
        <v>2.4124999046325599</v>
      </c>
      <c r="C446">
        <v>2.4124999046325599</v>
      </c>
      <c r="D446">
        <v>2.10625004768371</v>
      </c>
      <c r="E446">
        <v>2.2374999523162802</v>
      </c>
      <c r="F446">
        <v>2.2374999523162802</v>
      </c>
      <c r="G446">
        <v>431252000</v>
      </c>
      <c r="H446">
        <f t="shared" si="24"/>
        <v>1999</v>
      </c>
      <c r="I446">
        <f t="shared" si="25"/>
        <v>2</v>
      </c>
      <c r="J446" t="str">
        <f t="shared" si="26"/>
        <v>Feb</v>
      </c>
      <c r="K446" t="str">
        <f t="shared" si="27"/>
        <v>Thu</v>
      </c>
    </row>
    <row r="447" spans="1:11" x14ac:dyDescent="0.35">
      <c r="A447" s="1">
        <v>36210</v>
      </c>
      <c r="B447">
        <v>2.359375</v>
      </c>
      <c r="C447">
        <v>2.5625</v>
      </c>
      <c r="D447">
        <v>2.2750000953674299</v>
      </c>
      <c r="E447">
        <v>2.546875</v>
      </c>
      <c r="F447">
        <v>2.546875</v>
      </c>
      <c r="G447">
        <v>538364000</v>
      </c>
      <c r="H447">
        <f t="shared" si="24"/>
        <v>1999</v>
      </c>
      <c r="I447">
        <f t="shared" si="25"/>
        <v>2</v>
      </c>
      <c r="J447" t="str">
        <f t="shared" si="26"/>
        <v>Feb</v>
      </c>
      <c r="K447" t="str">
        <f t="shared" si="27"/>
        <v>Fri</v>
      </c>
    </row>
    <row r="448" spans="1:11" x14ac:dyDescent="0.35">
      <c r="A448" s="1">
        <v>36213</v>
      </c>
      <c r="B448">
        <v>2.54375004768371</v>
      </c>
      <c r="C448">
        <v>2.7406249046325599</v>
      </c>
      <c r="D448">
        <v>2.45000004768371</v>
      </c>
      <c r="E448">
        <v>2.6624999046325599</v>
      </c>
      <c r="F448">
        <v>2.6624999046325599</v>
      </c>
      <c r="G448">
        <v>384244000</v>
      </c>
      <c r="H448">
        <f t="shared" si="24"/>
        <v>1999</v>
      </c>
      <c r="I448">
        <f t="shared" si="25"/>
        <v>2</v>
      </c>
      <c r="J448" t="str">
        <f t="shared" si="26"/>
        <v>Feb</v>
      </c>
      <c r="K448" t="str">
        <f t="shared" si="27"/>
        <v>Mon</v>
      </c>
    </row>
    <row r="449" spans="1:11" x14ac:dyDescent="0.35">
      <c r="A449" s="1">
        <v>36214</v>
      </c>
      <c r="B449">
        <v>2.7531249523162802</v>
      </c>
      <c r="C449">
        <v>2.9249999523162802</v>
      </c>
      <c r="D449">
        <v>2.7374999523162802</v>
      </c>
      <c r="E449">
        <v>2.87968802452087</v>
      </c>
      <c r="F449">
        <v>2.87968802452087</v>
      </c>
      <c r="G449">
        <v>422784000</v>
      </c>
      <c r="H449">
        <f t="shared" si="24"/>
        <v>1999</v>
      </c>
      <c r="I449">
        <f t="shared" si="25"/>
        <v>2</v>
      </c>
      <c r="J449" t="str">
        <f t="shared" si="26"/>
        <v>Feb</v>
      </c>
      <c r="K449" t="str">
        <f t="shared" si="27"/>
        <v>Tue</v>
      </c>
    </row>
    <row r="450" spans="1:11" x14ac:dyDescent="0.35">
      <c r="A450" s="1">
        <v>36215</v>
      </c>
      <c r="B450">
        <v>2.9406249523162802</v>
      </c>
      <c r="C450">
        <v>3.0546879768371502</v>
      </c>
      <c r="D450">
        <v>2.7562499046325599</v>
      </c>
      <c r="E450">
        <v>2.7734379768371502</v>
      </c>
      <c r="F450">
        <v>2.7734379768371502</v>
      </c>
      <c r="G450">
        <v>495728000</v>
      </c>
      <c r="H450">
        <f t="shared" si="24"/>
        <v>1999</v>
      </c>
      <c r="I450">
        <f t="shared" si="25"/>
        <v>2</v>
      </c>
      <c r="J450" t="str">
        <f t="shared" si="26"/>
        <v>Feb</v>
      </c>
      <c r="K450" t="str">
        <f t="shared" si="27"/>
        <v>Wed</v>
      </c>
    </row>
    <row r="451" spans="1:11" x14ac:dyDescent="0.35">
      <c r="A451" s="1">
        <v>36216</v>
      </c>
      <c r="B451">
        <v>2.9156250953674299</v>
      </c>
      <c r="C451">
        <v>3.140625</v>
      </c>
      <c r="D451">
        <v>2.8656249046325599</v>
      </c>
      <c r="E451">
        <v>3.125</v>
      </c>
      <c r="F451">
        <v>3.125</v>
      </c>
      <c r="G451">
        <v>733796000</v>
      </c>
      <c r="H451">
        <f t="shared" si="24"/>
        <v>1999</v>
      </c>
      <c r="I451">
        <f t="shared" si="25"/>
        <v>2</v>
      </c>
      <c r="J451" t="str">
        <f t="shared" si="26"/>
        <v>Feb</v>
      </c>
      <c r="K451" t="str">
        <f t="shared" si="27"/>
        <v>Thu</v>
      </c>
    </row>
    <row r="452" spans="1:11" x14ac:dyDescent="0.35">
      <c r="A452" s="1">
        <v>36217</v>
      </c>
      <c r="B452">
        <v>3.16875004768371</v>
      </c>
      <c r="C452">
        <v>3.25</v>
      </c>
      <c r="D452">
        <v>3.0250000953674299</v>
      </c>
      <c r="E452">
        <v>3.203125</v>
      </c>
      <c r="F452">
        <v>3.203125</v>
      </c>
      <c r="G452">
        <v>507308000</v>
      </c>
      <c r="H452">
        <f t="shared" ref="H452:H515" si="28">YEAR($A452)</f>
        <v>1999</v>
      </c>
      <c r="I452">
        <f t="shared" ref="I452:I515" si="29">MONTH($A452)</f>
        <v>2</v>
      </c>
      <c r="J452" t="str">
        <f t="shared" ref="J452:J515" si="30">TEXT($A452,"mmm")</f>
        <v>Feb</v>
      </c>
      <c r="K452" t="str">
        <f t="shared" ref="K452:K515" si="31">TEXT($A452,"ddd")</f>
        <v>Fri</v>
      </c>
    </row>
    <row r="453" spans="1:11" x14ac:dyDescent="0.35">
      <c r="A453" s="1">
        <v>36220</v>
      </c>
      <c r="B453">
        <v>3.1749999523162802</v>
      </c>
      <c r="C453">
        <v>3.4015629291534402</v>
      </c>
      <c r="D453">
        <v>3.0999999046325599</v>
      </c>
      <c r="E453">
        <v>3.32500004768371</v>
      </c>
      <c r="F453">
        <v>3.32500004768371</v>
      </c>
      <c r="G453">
        <v>387380000</v>
      </c>
      <c r="H453">
        <f t="shared" si="28"/>
        <v>1999</v>
      </c>
      <c r="I453">
        <f t="shared" si="29"/>
        <v>3</v>
      </c>
      <c r="J453" t="str">
        <f t="shared" si="30"/>
        <v>Mar</v>
      </c>
      <c r="K453" t="str">
        <f t="shared" si="31"/>
        <v>Mon</v>
      </c>
    </row>
    <row r="454" spans="1:11" x14ac:dyDescent="0.35">
      <c r="A454" s="1">
        <v>36221</v>
      </c>
      <c r="B454">
        <v>3.3609380722045898</v>
      </c>
      <c r="C454">
        <v>3.3937499523162802</v>
      </c>
      <c r="D454">
        <v>3.0265629291534402</v>
      </c>
      <c r="E454">
        <v>3.0328130722045898</v>
      </c>
      <c r="F454">
        <v>3.0328130722045898</v>
      </c>
      <c r="G454">
        <v>332064000</v>
      </c>
      <c r="H454">
        <f t="shared" si="28"/>
        <v>1999</v>
      </c>
      <c r="I454">
        <f t="shared" si="29"/>
        <v>3</v>
      </c>
      <c r="J454" t="str">
        <f t="shared" si="30"/>
        <v>Mar</v>
      </c>
      <c r="K454" t="str">
        <f t="shared" si="31"/>
        <v>Tue</v>
      </c>
    </row>
    <row r="455" spans="1:11" x14ac:dyDescent="0.35">
      <c r="A455" s="1">
        <v>36222</v>
      </c>
      <c r="B455">
        <v>3.09375</v>
      </c>
      <c r="C455">
        <v>3.1875</v>
      </c>
      <c r="D455">
        <v>3.0062499046325599</v>
      </c>
      <c r="E455">
        <v>3.0875000953674299</v>
      </c>
      <c r="F455">
        <v>3.0875000953674299</v>
      </c>
      <c r="G455">
        <v>310576000</v>
      </c>
      <c r="H455">
        <f t="shared" si="28"/>
        <v>1999</v>
      </c>
      <c r="I455">
        <f t="shared" si="29"/>
        <v>3</v>
      </c>
      <c r="J455" t="str">
        <f t="shared" si="30"/>
        <v>Mar</v>
      </c>
      <c r="K455" t="str">
        <f t="shared" si="31"/>
        <v>Wed</v>
      </c>
    </row>
    <row r="456" spans="1:11" x14ac:dyDescent="0.35">
      <c r="A456" s="1">
        <v>36223</v>
      </c>
      <c r="B456">
        <v>3.13750004768371</v>
      </c>
      <c r="C456">
        <v>3.1749999523162802</v>
      </c>
      <c r="D456">
        <v>2.8968749046325599</v>
      </c>
      <c r="E456">
        <v>3.0031249523162802</v>
      </c>
      <c r="F456">
        <v>3.0031249523162802</v>
      </c>
      <c r="G456">
        <v>357748000</v>
      </c>
      <c r="H456">
        <f t="shared" si="28"/>
        <v>1999</v>
      </c>
      <c r="I456">
        <f t="shared" si="29"/>
        <v>3</v>
      </c>
      <c r="J456" t="str">
        <f t="shared" si="30"/>
        <v>Mar</v>
      </c>
      <c r="K456" t="str">
        <f t="shared" si="31"/>
        <v>Thu</v>
      </c>
    </row>
    <row r="457" spans="1:11" x14ac:dyDescent="0.35">
      <c r="A457" s="1">
        <v>36224</v>
      </c>
      <c r="B457">
        <v>3.09843802452087</v>
      </c>
      <c r="C457">
        <v>3.1124999523162802</v>
      </c>
      <c r="D457">
        <v>2.9593749046325599</v>
      </c>
      <c r="E457">
        <v>3.0374999046325599</v>
      </c>
      <c r="F457">
        <v>3.0374999046325599</v>
      </c>
      <c r="G457">
        <v>243524000</v>
      </c>
      <c r="H457">
        <f t="shared" si="28"/>
        <v>1999</v>
      </c>
      <c r="I457">
        <f t="shared" si="29"/>
        <v>3</v>
      </c>
      <c r="J457" t="str">
        <f t="shared" si="30"/>
        <v>Mar</v>
      </c>
      <c r="K457" t="str">
        <f t="shared" si="31"/>
        <v>Fri</v>
      </c>
    </row>
    <row r="458" spans="1:11" x14ac:dyDescent="0.35">
      <c r="A458" s="1">
        <v>36227</v>
      </c>
      <c r="B458">
        <v>3.03593802452087</v>
      </c>
      <c r="C458">
        <v>3.16093802452087</v>
      </c>
      <c r="D458">
        <v>2.98125004768371</v>
      </c>
      <c r="E458">
        <v>3.0546879768371502</v>
      </c>
      <c r="F458">
        <v>3.0546879768371502</v>
      </c>
      <c r="G458">
        <v>209252000</v>
      </c>
      <c r="H458">
        <f t="shared" si="28"/>
        <v>1999</v>
      </c>
      <c r="I458">
        <f t="shared" si="29"/>
        <v>3</v>
      </c>
      <c r="J458" t="str">
        <f t="shared" si="30"/>
        <v>Mar</v>
      </c>
      <c r="K458" t="str">
        <f t="shared" si="31"/>
        <v>Mon</v>
      </c>
    </row>
    <row r="459" spans="1:11" x14ac:dyDescent="0.35">
      <c r="A459" s="1">
        <v>36228</v>
      </c>
      <c r="B459">
        <v>3.1281249523162802</v>
      </c>
      <c r="C459">
        <v>3.3312499523162802</v>
      </c>
      <c r="D459">
        <v>3.0859379768371502</v>
      </c>
      <c r="E459">
        <v>3.2484378814697199</v>
      </c>
      <c r="F459">
        <v>3.2484378814697199</v>
      </c>
      <c r="G459">
        <v>325840000</v>
      </c>
      <c r="H459">
        <f t="shared" si="28"/>
        <v>1999</v>
      </c>
      <c r="I459">
        <f t="shared" si="29"/>
        <v>3</v>
      </c>
      <c r="J459" t="str">
        <f t="shared" si="30"/>
        <v>Mar</v>
      </c>
      <c r="K459" t="str">
        <f t="shared" si="31"/>
        <v>Tue</v>
      </c>
    </row>
    <row r="460" spans="1:11" x14ac:dyDescent="0.35">
      <c r="A460" s="1">
        <v>36229</v>
      </c>
      <c r="B460">
        <v>3.41875004768371</v>
      </c>
      <c r="C460">
        <v>3.47343802452087</v>
      </c>
      <c r="D460">
        <v>3.3499999046325599</v>
      </c>
      <c r="E460">
        <v>3.4281249046325599</v>
      </c>
      <c r="F460">
        <v>3.4281249046325599</v>
      </c>
      <c r="G460">
        <v>282352000</v>
      </c>
      <c r="H460">
        <f t="shared" si="28"/>
        <v>1999</v>
      </c>
      <c r="I460">
        <f t="shared" si="29"/>
        <v>3</v>
      </c>
      <c r="J460" t="str">
        <f t="shared" si="30"/>
        <v>Mar</v>
      </c>
      <c r="K460" t="str">
        <f t="shared" si="31"/>
        <v>Wed</v>
      </c>
    </row>
    <row r="461" spans="1:11" x14ac:dyDescent="0.35">
      <c r="A461" s="1">
        <v>36230</v>
      </c>
      <c r="B461">
        <v>3.4937500953674299</v>
      </c>
      <c r="C461">
        <v>3.5687499046325599</v>
      </c>
      <c r="D461">
        <v>3.2750000953674299</v>
      </c>
      <c r="E461">
        <v>3.37187504768371</v>
      </c>
      <c r="F461">
        <v>3.37187504768371</v>
      </c>
      <c r="G461">
        <v>325044000</v>
      </c>
      <c r="H461">
        <f t="shared" si="28"/>
        <v>1999</v>
      </c>
      <c r="I461">
        <f t="shared" si="29"/>
        <v>3</v>
      </c>
      <c r="J461" t="str">
        <f t="shared" si="30"/>
        <v>Mar</v>
      </c>
      <c r="K461" t="str">
        <f t="shared" si="31"/>
        <v>Thu</v>
      </c>
    </row>
    <row r="462" spans="1:11" x14ac:dyDescent="0.35">
      <c r="A462" s="1">
        <v>36231</v>
      </c>
      <c r="B462">
        <v>3.3499999046325599</v>
      </c>
      <c r="C462">
        <v>3.3843750953674299</v>
      </c>
      <c r="D462">
        <v>3.21562504768371</v>
      </c>
      <c r="E462">
        <v>3.33281302452087</v>
      </c>
      <c r="F462">
        <v>3.33281302452087</v>
      </c>
      <c r="G462">
        <v>186652000</v>
      </c>
      <c r="H462">
        <f t="shared" si="28"/>
        <v>1999</v>
      </c>
      <c r="I462">
        <f t="shared" si="29"/>
        <v>3</v>
      </c>
      <c r="J462" t="str">
        <f t="shared" si="30"/>
        <v>Mar</v>
      </c>
      <c r="K462" t="str">
        <f t="shared" si="31"/>
        <v>Fri</v>
      </c>
    </row>
    <row r="463" spans="1:11" x14ac:dyDescent="0.35">
      <c r="A463" s="1">
        <v>36234</v>
      </c>
      <c r="B463">
        <v>3.32500004768371</v>
      </c>
      <c r="C463">
        <v>3.4749999046325599</v>
      </c>
      <c r="D463">
        <v>3.2750000953674299</v>
      </c>
      <c r="E463">
        <v>3.47343802452087</v>
      </c>
      <c r="F463">
        <v>3.47343802452087</v>
      </c>
      <c r="G463">
        <v>140416000</v>
      </c>
      <c r="H463">
        <f t="shared" si="28"/>
        <v>1999</v>
      </c>
      <c r="I463">
        <f t="shared" si="29"/>
        <v>3</v>
      </c>
      <c r="J463" t="str">
        <f t="shared" si="30"/>
        <v>Mar</v>
      </c>
      <c r="K463" t="str">
        <f t="shared" si="31"/>
        <v>Mon</v>
      </c>
    </row>
    <row r="464" spans="1:11" x14ac:dyDescent="0.35">
      <c r="A464" s="1">
        <v>36235</v>
      </c>
      <c r="B464">
        <v>3.4749999046325599</v>
      </c>
      <c r="C464">
        <v>3.5093750953674299</v>
      </c>
      <c r="D464">
        <v>3.3187499046325599</v>
      </c>
      <c r="E464">
        <v>3.3453130722045898</v>
      </c>
      <c r="F464">
        <v>3.3453130722045898</v>
      </c>
      <c r="G464">
        <v>150688000</v>
      </c>
      <c r="H464">
        <f t="shared" si="28"/>
        <v>1999</v>
      </c>
      <c r="I464">
        <f t="shared" si="29"/>
        <v>3</v>
      </c>
      <c r="J464" t="str">
        <f t="shared" si="30"/>
        <v>Mar</v>
      </c>
      <c r="K464" t="str">
        <f t="shared" si="31"/>
        <v>Tue</v>
      </c>
    </row>
    <row r="465" spans="1:11" x14ac:dyDescent="0.35">
      <c r="A465" s="1">
        <v>36236</v>
      </c>
      <c r="B465">
        <v>3.2828130722045898</v>
      </c>
      <c r="C465">
        <v>3.3375000953674299</v>
      </c>
      <c r="D465">
        <v>3.2062499523162802</v>
      </c>
      <c r="E465">
        <v>3.2750000953674299</v>
      </c>
      <c r="F465">
        <v>3.2750000953674299</v>
      </c>
      <c r="G465">
        <v>157348000</v>
      </c>
      <c r="H465">
        <f t="shared" si="28"/>
        <v>1999</v>
      </c>
      <c r="I465">
        <f t="shared" si="29"/>
        <v>3</v>
      </c>
      <c r="J465" t="str">
        <f t="shared" si="30"/>
        <v>Mar</v>
      </c>
      <c r="K465" t="str">
        <f t="shared" si="31"/>
        <v>Wed</v>
      </c>
    </row>
    <row r="466" spans="1:11" x14ac:dyDescent="0.35">
      <c r="A466" s="1">
        <v>36237</v>
      </c>
      <c r="B466">
        <v>3.3218750953674299</v>
      </c>
      <c r="C466">
        <v>3.5</v>
      </c>
      <c r="D466">
        <v>3.30937504768371</v>
      </c>
      <c r="E466">
        <v>3.4609379768371502</v>
      </c>
      <c r="F466">
        <v>3.4609379768371502</v>
      </c>
      <c r="G466">
        <v>246004000</v>
      </c>
      <c r="H466">
        <f t="shared" si="28"/>
        <v>1999</v>
      </c>
      <c r="I466">
        <f t="shared" si="29"/>
        <v>3</v>
      </c>
      <c r="J466" t="str">
        <f t="shared" si="30"/>
        <v>Mar</v>
      </c>
      <c r="K466" t="str">
        <f t="shared" si="31"/>
        <v>Thu</v>
      </c>
    </row>
    <row r="467" spans="1:11" x14ac:dyDescent="0.35">
      <c r="A467" s="1">
        <v>36238</v>
      </c>
      <c r="B467">
        <v>3.546875</v>
      </c>
      <c r="C467">
        <v>3.5765628814697199</v>
      </c>
      <c r="D467">
        <v>3.375</v>
      </c>
      <c r="E467">
        <v>3.3765630722045898</v>
      </c>
      <c r="F467">
        <v>3.3765630722045898</v>
      </c>
      <c r="G467">
        <v>214504000</v>
      </c>
      <c r="H467">
        <f t="shared" si="28"/>
        <v>1999</v>
      </c>
      <c r="I467">
        <f t="shared" si="29"/>
        <v>3</v>
      </c>
      <c r="J467" t="str">
        <f t="shared" si="30"/>
        <v>Mar</v>
      </c>
      <c r="K467" t="str">
        <f t="shared" si="31"/>
        <v>Fri</v>
      </c>
    </row>
    <row r="468" spans="1:11" x14ac:dyDescent="0.35">
      <c r="A468" s="1">
        <v>36241</v>
      </c>
      <c r="B468">
        <v>3.3296880722045898</v>
      </c>
      <c r="C468">
        <v>3.4124999046325599</v>
      </c>
      <c r="D468">
        <v>3.26250004768371</v>
      </c>
      <c r="E468">
        <v>3.2999999523162802</v>
      </c>
      <c r="F468">
        <v>3.2999999523162802</v>
      </c>
      <c r="G468">
        <v>131968000</v>
      </c>
      <c r="H468">
        <f t="shared" si="28"/>
        <v>1999</v>
      </c>
      <c r="I468">
        <f t="shared" si="29"/>
        <v>3</v>
      </c>
      <c r="J468" t="str">
        <f t="shared" si="30"/>
        <v>Mar</v>
      </c>
      <c r="K468" t="str">
        <f t="shared" si="31"/>
        <v>Mon</v>
      </c>
    </row>
    <row r="469" spans="1:11" x14ac:dyDescent="0.35">
      <c r="A469" s="1">
        <v>36242</v>
      </c>
      <c r="B469">
        <v>3.21562504768371</v>
      </c>
      <c r="C469">
        <v>3.24687504768371</v>
      </c>
      <c r="D469">
        <v>2.95000004768371</v>
      </c>
      <c r="E469">
        <v>2.984375</v>
      </c>
      <c r="F469">
        <v>2.984375</v>
      </c>
      <c r="G469">
        <v>224336000</v>
      </c>
      <c r="H469">
        <f t="shared" si="28"/>
        <v>1999</v>
      </c>
      <c r="I469">
        <f t="shared" si="29"/>
        <v>3</v>
      </c>
      <c r="J469" t="str">
        <f t="shared" si="30"/>
        <v>Mar</v>
      </c>
      <c r="K469" t="str">
        <f t="shared" si="31"/>
        <v>Tue</v>
      </c>
    </row>
    <row r="470" spans="1:11" x14ac:dyDescent="0.35">
      <c r="A470" s="1">
        <v>36243</v>
      </c>
      <c r="B470">
        <v>2.9296879768371502</v>
      </c>
      <c r="C470">
        <v>3.0999999046325599</v>
      </c>
      <c r="D470">
        <v>2.8499999046325599</v>
      </c>
      <c r="E470">
        <v>3.0921878814697199</v>
      </c>
      <c r="F470">
        <v>3.0921878814697199</v>
      </c>
      <c r="G470">
        <v>230876000</v>
      </c>
      <c r="H470">
        <f t="shared" si="28"/>
        <v>1999</v>
      </c>
      <c r="I470">
        <f t="shared" si="29"/>
        <v>3</v>
      </c>
      <c r="J470" t="str">
        <f t="shared" si="30"/>
        <v>Mar</v>
      </c>
      <c r="K470" t="str">
        <f t="shared" si="31"/>
        <v>Wed</v>
      </c>
    </row>
    <row r="471" spans="1:11" x14ac:dyDescent="0.35">
      <c r="A471" s="1">
        <v>36244</v>
      </c>
      <c r="B471">
        <v>3.22343802452087</v>
      </c>
      <c r="C471">
        <v>3.5</v>
      </c>
      <c r="D471">
        <v>3.2046880722045898</v>
      </c>
      <c r="E471">
        <v>3.49687504768371</v>
      </c>
      <c r="F471">
        <v>3.49687504768371</v>
      </c>
      <c r="G471">
        <v>321996000</v>
      </c>
      <c r="H471">
        <f t="shared" si="28"/>
        <v>1999</v>
      </c>
      <c r="I471">
        <f t="shared" si="29"/>
        <v>3</v>
      </c>
      <c r="J471" t="str">
        <f t="shared" si="30"/>
        <v>Mar</v>
      </c>
      <c r="K471" t="str">
        <f t="shared" si="31"/>
        <v>Thu</v>
      </c>
    </row>
    <row r="472" spans="1:11" x14ac:dyDescent="0.35">
      <c r="A472" s="1">
        <v>36245</v>
      </c>
      <c r="B472">
        <v>3.5</v>
      </c>
      <c r="C472">
        <v>3.6937499046325599</v>
      </c>
      <c r="D472">
        <v>3.43437504768371</v>
      </c>
      <c r="E472">
        <v>3.4765629768371502</v>
      </c>
      <c r="F472">
        <v>3.4765629768371502</v>
      </c>
      <c r="G472">
        <v>498440000</v>
      </c>
      <c r="H472">
        <f t="shared" si="28"/>
        <v>1999</v>
      </c>
      <c r="I472">
        <f t="shared" si="29"/>
        <v>3</v>
      </c>
      <c r="J472" t="str">
        <f t="shared" si="30"/>
        <v>Mar</v>
      </c>
      <c r="K472" t="str">
        <f t="shared" si="31"/>
        <v>Fri</v>
      </c>
    </row>
    <row r="473" spans="1:11" x14ac:dyDescent="0.35">
      <c r="A473" s="1">
        <v>36248</v>
      </c>
      <c r="B473">
        <v>3.75</v>
      </c>
      <c r="C473">
        <v>3.7874999046325599</v>
      </c>
      <c r="D473">
        <v>3.70000004768371</v>
      </c>
      <c r="E473">
        <v>3.7406249046325599</v>
      </c>
      <c r="F473">
        <v>3.7406249046325599</v>
      </c>
      <c r="G473">
        <v>377760000</v>
      </c>
      <c r="H473">
        <f t="shared" si="28"/>
        <v>1999</v>
      </c>
      <c r="I473">
        <f t="shared" si="29"/>
        <v>3</v>
      </c>
      <c r="J473" t="str">
        <f t="shared" si="30"/>
        <v>Mar</v>
      </c>
      <c r="K473" t="str">
        <f t="shared" si="31"/>
        <v>Mon</v>
      </c>
    </row>
    <row r="474" spans="1:11" x14ac:dyDescent="0.35">
      <c r="A474" s="1">
        <v>36249</v>
      </c>
      <c r="B474">
        <v>3.7999999523162802</v>
      </c>
      <c r="C474">
        <v>4.2375001907348597</v>
      </c>
      <c r="D474">
        <v>3.7882809638977002</v>
      </c>
      <c r="E474">
        <v>4.1171879768371502</v>
      </c>
      <c r="F474">
        <v>4.1171879768371502</v>
      </c>
      <c r="G474">
        <v>523548000</v>
      </c>
      <c r="H474">
        <f t="shared" si="28"/>
        <v>1999</v>
      </c>
      <c r="I474">
        <f t="shared" si="29"/>
        <v>3</v>
      </c>
      <c r="J474" t="str">
        <f t="shared" si="30"/>
        <v>Mar</v>
      </c>
      <c r="K474" t="str">
        <f t="shared" si="31"/>
        <v>Tue</v>
      </c>
    </row>
    <row r="475" spans="1:11" x14ac:dyDescent="0.35">
      <c r="A475" s="1">
        <v>36250</v>
      </c>
      <c r="B475">
        <v>4.28125</v>
      </c>
      <c r="C475">
        <v>4.4499998092651296</v>
      </c>
      <c r="D475">
        <v>4.1281251907348597</v>
      </c>
      <c r="E475">
        <v>4.3046879768371502</v>
      </c>
      <c r="F475">
        <v>4.3046879768371502</v>
      </c>
      <c r="G475">
        <v>441884000</v>
      </c>
      <c r="H475">
        <f t="shared" si="28"/>
        <v>1999</v>
      </c>
      <c r="I475">
        <f t="shared" si="29"/>
        <v>3</v>
      </c>
      <c r="J475" t="str">
        <f t="shared" si="30"/>
        <v>Mar</v>
      </c>
      <c r="K475" t="str">
        <f t="shared" si="31"/>
        <v>Wed</v>
      </c>
    </row>
    <row r="476" spans="1:11" x14ac:dyDescent="0.35">
      <c r="A476" s="1">
        <v>36251</v>
      </c>
      <c r="B476">
        <v>4.484375</v>
      </c>
      <c r="C476">
        <v>4.5031251907348597</v>
      </c>
      <c r="D476">
        <v>4.1875</v>
      </c>
      <c r="E476">
        <v>4.2750000953674299</v>
      </c>
      <c r="F476">
        <v>4.2750000953674299</v>
      </c>
      <c r="G476">
        <v>231464000</v>
      </c>
      <c r="H476">
        <f t="shared" si="28"/>
        <v>1999</v>
      </c>
      <c r="I476">
        <f t="shared" si="29"/>
        <v>4</v>
      </c>
      <c r="J476" t="str">
        <f t="shared" si="30"/>
        <v>Apr</v>
      </c>
      <c r="K476" t="str">
        <f t="shared" si="31"/>
        <v>Thu</v>
      </c>
    </row>
    <row r="477" spans="1:11" x14ac:dyDescent="0.35">
      <c r="A477" s="1">
        <v>36255</v>
      </c>
      <c r="B477">
        <v>4.3156251907348597</v>
      </c>
      <c r="C477">
        <v>4.6875</v>
      </c>
      <c r="D477">
        <v>4.2937498092651296</v>
      </c>
      <c r="E477">
        <v>4.6624999046325604</v>
      </c>
      <c r="F477">
        <v>4.6624999046325604</v>
      </c>
      <c r="G477">
        <v>318336000</v>
      </c>
      <c r="H477">
        <f t="shared" si="28"/>
        <v>1999</v>
      </c>
      <c r="I477">
        <f t="shared" si="29"/>
        <v>4</v>
      </c>
      <c r="J477" t="str">
        <f t="shared" si="30"/>
        <v>Apr</v>
      </c>
      <c r="K477" t="str">
        <f t="shared" si="31"/>
        <v>Mon</v>
      </c>
    </row>
    <row r="478" spans="1:11" x14ac:dyDescent="0.35">
      <c r="A478" s="1">
        <v>36256</v>
      </c>
      <c r="B478">
        <v>4.6125001907348597</v>
      </c>
      <c r="C478">
        <v>4.8937501907348597</v>
      </c>
      <c r="D478">
        <v>4.4875001907348597</v>
      </c>
      <c r="E478">
        <v>4.5718750953674299</v>
      </c>
      <c r="F478">
        <v>4.5718750953674299</v>
      </c>
      <c r="G478">
        <v>290636000</v>
      </c>
      <c r="H478">
        <f t="shared" si="28"/>
        <v>1999</v>
      </c>
      <c r="I478">
        <f t="shared" si="29"/>
        <v>4</v>
      </c>
      <c r="J478" t="str">
        <f t="shared" si="30"/>
        <v>Apr</v>
      </c>
      <c r="K478" t="str">
        <f t="shared" si="31"/>
        <v>Tue</v>
      </c>
    </row>
    <row r="479" spans="1:11" x14ac:dyDescent="0.35">
      <c r="A479" s="1">
        <v>36257</v>
      </c>
      <c r="B479">
        <v>4.6656250953674299</v>
      </c>
      <c r="C479">
        <v>4.6828131675720197</v>
      </c>
      <c r="D479">
        <v>4.28125</v>
      </c>
      <c r="E479">
        <v>4.3953127861022896</v>
      </c>
      <c r="F479">
        <v>4.3953127861022896</v>
      </c>
      <c r="G479">
        <v>263332000</v>
      </c>
      <c r="H479">
        <f t="shared" si="28"/>
        <v>1999</v>
      </c>
      <c r="I479">
        <f t="shared" si="29"/>
        <v>4</v>
      </c>
      <c r="J479" t="str">
        <f t="shared" si="30"/>
        <v>Apr</v>
      </c>
      <c r="K479" t="str">
        <f t="shared" si="31"/>
        <v>Wed</v>
      </c>
    </row>
    <row r="480" spans="1:11" x14ac:dyDescent="0.35">
      <c r="A480" s="1">
        <v>36258</v>
      </c>
      <c r="B480">
        <v>4.3703131675720197</v>
      </c>
      <c r="C480">
        <v>4.6031250953674299</v>
      </c>
      <c r="D480">
        <v>4.1500000953674299</v>
      </c>
      <c r="E480">
        <v>4.4749999046325604</v>
      </c>
      <c r="F480">
        <v>4.4749999046325604</v>
      </c>
      <c r="G480">
        <v>229756000</v>
      </c>
      <c r="H480">
        <f t="shared" si="28"/>
        <v>1999</v>
      </c>
      <c r="I480">
        <f t="shared" si="29"/>
        <v>4</v>
      </c>
      <c r="J480" t="str">
        <f t="shared" si="30"/>
        <v>Apr</v>
      </c>
      <c r="K480" t="str">
        <f t="shared" si="31"/>
        <v>Thu</v>
      </c>
    </row>
    <row r="481" spans="1:11" x14ac:dyDescent="0.35">
      <c r="A481" s="1">
        <v>36259</v>
      </c>
      <c r="B481">
        <v>4.453125</v>
      </c>
      <c r="C481">
        <v>4.6500000953674299</v>
      </c>
      <c r="D481">
        <v>4.3937501907348597</v>
      </c>
      <c r="E481">
        <v>4.5718750953674299</v>
      </c>
      <c r="F481">
        <v>4.5718750953674299</v>
      </c>
      <c r="G481">
        <v>136780000</v>
      </c>
      <c r="H481">
        <f t="shared" si="28"/>
        <v>1999</v>
      </c>
      <c r="I481">
        <f t="shared" si="29"/>
        <v>4</v>
      </c>
      <c r="J481" t="str">
        <f t="shared" si="30"/>
        <v>Apr</v>
      </c>
      <c r="K481" t="str">
        <f t="shared" si="31"/>
        <v>Fri</v>
      </c>
    </row>
    <row r="482" spans="1:11" x14ac:dyDescent="0.35">
      <c r="A482" s="1">
        <v>36262</v>
      </c>
      <c r="B482">
        <v>4.4031248092651296</v>
      </c>
      <c r="C482">
        <v>4.7062501907348597</v>
      </c>
      <c r="D482">
        <v>4.4000000953674299</v>
      </c>
      <c r="E482">
        <v>4.6109380722045898</v>
      </c>
      <c r="F482">
        <v>4.6109380722045898</v>
      </c>
      <c r="G482">
        <v>171384000</v>
      </c>
      <c r="H482">
        <f t="shared" si="28"/>
        <v>1999</v>
      </c>
      <c r="I482">
        <f t="shared" si="29"/>
        <v>4</v>
      </c>
      <c r="J482" t="str">
        <f t="shared" si="30"/>
        <v>Apr</v>
      </c>
      <c r="K482" t="str">
        <f t="shared" si="31"/>
        <v>Mon</v>
      </c>
    </row>
    <row r="483" spans="1:11" x14ac:dyDescent="0.35">
      <c r="A483" s="1">
        <v>36263</v>
      </c>
      <c r="B483">
        <v>4.6687498092651296</v>
      </c>
      <c r="C483">
        <v>4.8000001907348597</v>
      </c>
      <c r="D483">
        <v>4.4562501907348597</v>
      </c>
      <c r="E483">
        <v>4.4593749046325604</v>
      </c>
      <c r="F483">
        <v>4.4593749046325604</v>
      </c>
      <c r="G483">
        <v>160776000</v>
      </c>
      <c r="H483">
        <f t="shared" si="28"/>
        <v>1999</v>
      </c>
      <c r="I483">
        <f t="shared" si="29"/>
        <v>4</v>
      </c>
      <c r="J483" t="str">
        <f t="shared" si="30"/>
        <v>Apr</v>
      </c>
      <c r="K483" t="str">
        <f t="shared" si="31"/>
        <v>Tue</v>
      </c>
    </row>
    <row r="484" spans="1:11" x14ac:dyDescent="0.35">
      <c r="A484" s="1">
        <v>36264</v>
      </c>
      <c r="B484">
        <v>4.5500001907348597</v>
      </c>
      <c r="C484">
        <v>4.6125001907348597</v>
      </c>
      <c r="D484">
        <v>4.1656250953674299</v>
      </c>
      <c r="E484">
        <v>4.1999998092651296</v>
      </c>
      <c r="F484">
        <v>4.1999998092651296</v>
      </c>
      <c r="G484">
        <v>199056000</v>
      </c>
      <c r="H484">
        <f t="shared" si="28"/>
        <v>1999</v>
      </c>
      <c r="I484">
        <f t="shared" si="29"/>
        <v>4</v>
      </c>
      <c r="J484" t="str">
        <f t="shared" si="30"/>
        <v>Apr</v>
      </c>
      <c r="K484" t="str">
        <f t="shared" si="31"/>
        <v>Wed</v>
      </c>
    </row>
    <row r="485" spans="1:11" x14ac:dyDescent="0.35">
      <c r="A485" s="1">
        <v>36265</v>
      </c>
      <c r="B485">
        <v>4.1468749046325604</v>
      </c>
      <c r="C485">
        <v>4.2624998092651296</v>
      </c>
      <c r="D485">
        <v>3.7750000953674299</v>
      </c>
      <c r="E485">
        <v>4.1812500953674299</v>
      </c>
      <c r="F485">
        <v>4.1812500953674299</v>
      </c>
      <c r="G485">
        <v>329968000</v>
      </c>
      <c r="H485">
        <f t="shared" si="28"/>
        <v>1999</v>
      </c>
      <c r="I485">
        <f t="shared" si="29"/>
        <v>4</v>
      </c>
      <c r="J485" t="str">
        <f t="shared" si="30"/>
        <v>Apr</v>
      </c>
      <c r="K485" t="str">
        <f t="shared" si="31"/>
        <v>Thu</v>
      </c>
    </row>
    <row r="486" spans="1:11" x14ac:dyDescent="0.35">
      <c r="A486" s="1">
        <v>36266</v>
      </c>
      <c r="B486">
        <v>4.5968751907348597</v>
      </c>
      <c r="C486">
        <v>4.7874999046325604</v>
      </c>
      <c r="D486">
        <v>4.5171880722045898</v>
      </c>
      <c r="E486">
        <v>4.75</v>
      </c>
      <c r="F486">
        <v>4.75</v>
      </c>
      <c r="G486">
        <v>633204000</v>
      </c>
      <c r="H486">
        <f t="shared" si="28"/>
        <v>1999</v>
      </c>
      <c r="I486">
        <f t="shared" si="29"/>
        <v>4</v>
      </c>
      <c r="J486" t="str">
        <f t="shared" si="30"/>
        <v>Apr</v>
      </c>
      <c r="K486" t="str">
        <f t="shared" si="31"/>
        <v>Fri</v>
      </c>
    </row>
    <row r="487" spans="1:11" x14ac:dyDescent="0.35">
      <c r="A487" s="1">
        <v>36269</v>
      </c>
      <c r="B487">
        <v>4.7249999046325604</v>
      </c>
      <c r="C487">
        <v>4.7249999046325604</v>
      </c>
      <c r="D487">
        <v>3.875</v>
      </c>
      <c r="E487">
        <v>3.97343802452087</v>
      </c>
      <c r="F487">
        <v>3.97343802452087</v>
      </c>
      <c r="G487">
        <v>567396000</v>
      </c>
      <c r="H487">
        <f t="shared" si="28"/>
        <v>1999</v>
      </c>
      <c r="I487">
        <f t="shared" si="29"/>
        <v>4</v>
      </c>
      <c r="J487" t="str">
        <f t="shared" si="30"/>
        <v>Apr</v>
      </c>
      <c r="K487" t="str">
        <f t="shared" si="31"/>
        <v>Mon</v>
      </c>
    </row>
    <row r="488" spans="1:11" x14ac:dyDescent="0.35">
      <c r="A488" s="1">
        <v>36270</v>
      </c>
      <c r="B488">
        <v>3.9328129291534402</v>
      </c>
      <c r="C488">
        <v>4.3578128814697203</v>
      </c>
      <c r="D488">
        <v>3.8375000953674299</v>
      </c>
      <c r="E488">
        <v>4.3000001907348597</v>
      </c>
      <c r="F488">
        <v>4.3000001907348597</v>
      </c>
      <c r="G488">
        <v>400100000</v>
      </c>
      <c r="H488">
        <f t="shared" si="28"/>
        <v>1999</v>
      </c>
      <c r="I488">
        <f t="shared" si="29"/>
        <v>4</v>
      </c>
      <c r="J488" t="str">
        <f t="shared" si="30"/>
        <v>Apr</v>
      </c>
      <c r="K488" t="str">
        <f t="shared" si="31"/>
        <v>Tue</v>
      </c>
    </row>
    <row r="489" spans="1:11" x14ac:dyDescent="0.35">
      <c r="A489" s="1">
        <v>36271</v>
      </c>
      <c r="B489">
        <v>4.3093748092651296</v>
      </c>
      <c r="C489">
        <v>4.5500001907348597</v>
      </c>
      <c r="D489">
        <v>4.2249999046325604</v>
      </c>
      <c r="E489">
        <v>4.4812498092651296</v>
      </c>
      <c r="F489">
        <v>4.4812498092651296</v>
      </c>
      <c r="G489">
        <v>221640000</v>
      </c>
      <c r="H489">
        <f t="shared" si="28"/>
        <v>1999</v>
      </c>
      <c r="I489">
        <f t="shared" si="29"/>
        <v>4</v>
      </c>
      <c r="J489" t="str">
        <f t="shared" si="30"/>
        <v>Apr</v>
      </c>
      <c r="K489" t="str">
        <f t="shared" si="31"/>
        <v>Wed</v>
      </c>
    </row>
    <row r="490" spans="1:11" x14ac:dyDescent="0.35">
      <c r="A490" s="1">
        <v>36272</v>
      </c>
      <c r="B490">
        <v>4.6078128814697203</v>
      </c>
      <c r="C490">
        <v>4.7750000953674299</v>
      </c>
      <c r="D490">
        <v>4.4484381675720197</v>
      </c>
      <c r="E490">
        <v>4.7515630722045898</v>
      </c>
      <c r="F490">
        <v>4.7515630722045898</v>
      </c>
      <c r="G490">
        <v>250764000</v>
      </c>
      <c r="H490">
        <f t="shared" si="28"/>
        <v>1999</v>
      </c>
      <c r="I490">
        <f t="shared" si="29"/>
        <v>4</v>
      </c>
      <c r="J490" t="str">
        <f t="shared" si="30"/>
        <v>Apr</v>
      </c>
      <c r="K490" t="str">
        <f t="shared" si="31"/>
        <v>Thu</v>
      </c>
    </row>
    <row r="491" spans="1:11" x14ac:dyDescent="0.35">
      <c r="A491" s="1">
        <v>36273</v>
      </c>
      <c r="B491">
        <v>4.8218750953674299</v>
      </c>
      <c r="C491">
        <v>5.4124999046325604</v>
      </c>
      <c r="D491">
        <v>4.7937498092651296</v>
      </c>
      <c r="E491">
        <v>5.2531251907348597</v>
      </c>
      <c r="F491">
        <v>5.2531251907348597</v>
      </c>
      <c r="G491">
        <v>634336000</v>
      </c>
      <c r="H491">
        <f t="shared" si="28"/>
        <v>1999</v>
      </c>
      <c r="I491">
        <f t="shared" si="29"/>
        <v>4</v>
      </c>
      <c r="J491" t="str">
        <f t="shared" si="30"/>
        <v>Apr</v>
      </c>
      <c r="K491" t="str">
        <f t="shared" si="31"/>
        <v>Fri</v>
      </c>
    </row>
    <row r="492" spans="1:11" x14ac:dyDescent="0.35">
      <c r="A492" s="1">
        <v>36276</v>
      </c>
      <c r="B492">
        <v>5.2249999046325604</v>
      </c>
      <c r="C492">
        <v>5.3968749046325604</v>
      </c>
      <c r="D492">
        <v>5.0999999046325604</v>
      </c>
      <c r="E492">
        <v>5.1796879768371502</v>
      </c>
      <c r="F492">
        <v>5.1796879768371502</v>
      </c>
      <c r="G492">
        <v>279700000</v>
      </c>
      <c r="H492">
        <f t="shared" si="28"/>
        <v>1999</v>
      </c>
      <c r="I492">
        <f t="shared" si="29"/>
        <v>4</v>
      </c>
      <c r="J492" t="str">
        <f t="shared" si="30"/>
        <v>Apr</v>
      </c>
      <c r="K492" t="str">
        <f t="shared" si="31"/>
        <v>Mon</v>
      </c>
    </row>
    <row r="493" spans="1:11" x14ac:dyDescent="0.35">
      <c r="A493" s="1">
        <v>36277</v>
      </c>
      <c r="B493">
        <v>5.4250001907348597</v>
      </c>
      <c r="C493">
        <v>5.53125</v>
      </c>
      <c r="D493">
        <v>5.0500001907348597</v>
      </c>
      <c r="E493">
        <v>5.1468749046325604</v>
      </c>
      <c r="F493">
        <v>5.1468749046325604</v>
      </c>
      <c r="G493">
        <v>357908000</v>
      </c>
      <c r="H493">
        <f t="shared" si="28"/>
        <v>1999</v>
      </c>
      <c r="I493">
        <f t="shared" si="29"/>
        <v>4</v>
      </c>
      <c r="J493" t="str">
        <f t="shared" si="30"/>
        <v>Apr</v>
      </c>
      <c r="K493" t="str">
        <f t="shared" si="31"/>
        <v>Tue</v>
      </c>
    </row>
    <row r="494" spans="1:11" x14ac:dyDescent="0.35">
      <c r="A494" s="1">
        <v>36278</v>
      </c>
      <c r="B494">
        <v>5</v>
      </c>
      <c r="C494">
        <v>5.0500001907348597</v>
      </c>
      <c r="D494">
        <v>4.5593748092651296</v>
      </c>
      <c r="E494">
        <v>4.8375000953674299</v>
      </c>
      <c r="F494">
        <v>4.8375000953674299</v>
      </c>
      <c r="G494">
        <v>389476000</v>
      </c>
      <c r="H494">
        <f t="shared" si="28"/>
        <v>1999</v>
      </c>
      <c r="I494">
        <f t="shared" si="29"/>
        <v>4</v>
      </c>
      <c r="J494" t="str">
        <f t="shared" si="30"/>
        <v>Apr</v>
      </c>
      <c r="K494" t="str">
        <f t="shared" si="31"/>
        <v>Wed</v>
      </c>
    </row>
    <row r="495" spans="1:11" x14ac:dyDescent="0.35">
      <c r="A495" s="1">
        <v>36279</v>
      </c>
      <c r="B495">
        <v>4.3109378814697203</v>
      </c>
      <c r="C495">
        <v>4.5437498092651296</v>
      </c>
      <c r="D495">
        <v>4.125</v>
      </c>
      <c r="E495">
        <v>4.2062501907348597</v>
      </c>
      <c r="F495">
        <v>4.2062501907348597</v>
      </c>
      <c r="G495">
        <v>844168000</v>
      </c>
      <c r="H495">
        <f t="shared" si="28"/>
        <v>1999</v>
      </c>
      <c r="I495">
        <f t="shared" si="29"/>
        <v>4</v>
      </c>
      <c r="J495" t="str">
        <f t="shared" si="30"/>
        <v>Apr</v>
      </c>
      <c r="K495" t="str">
        <f t="shared" si="31"/>
        <v>Thu</v>
      </c>
    </row>
    <row r="496" spans="1:11" x14ac:dyDescent="0.35">
      <c r="A496" s="1">
        <v>36280</v>
      </c>
      <c r="B496">
        <v>4.4250001907348597</v>
      </c>
      <c r="C496">
        <v>4.5</v>
      </c>
      <c r="D496">
        <v>4.125</v>
      </c>
      <c r="E496">
        <v>4.3015627861022896</v>
      </c>
      <c r="F496">
        <v>4.3015627861022896</v>
      </c>
      <c r="G496">
        <v>355528000</v>
      </c>
      <c r="H496">
        <f t="shared" si="28"/>
        <v>1999</v>
      </c>
      <c r="I496">
        <f t="shared" si="29"/>
        <v>4</v>
      </c>
      <c r="J496" t="str">
        <f t="shared" si="30"/>
        <v>Apr</v>
      </c>
      <c r="K496" t="str">
        <f t="shared" si="31"/>
        <v>Fri</v>
      </c>
    </row>
    <row r="497" spans="1:11" x14ac:dyDescent="0.35">
      <c r="A497" s="1">
        <v>36283</v>
      </c>
      <c r="B497">
        <v>4.171875</v>
      </c>
      <c r="C497">
        <v>4.1765627861022896</v>
      </c>
      <c r="D497">
        <v>3.7531249523162802</v>
      </c>
      <c r="E497">
        <v>3.7734379768371502</v>
      </c>
      <c r="F497">
        <v>3.7734379768371502</v>
      </c>
      <c r="G497">
        <v>523728000</v>
      </c>
      <c r="H497">
        <f t="shared" si="28"/>
        <v>1999</v>
      </c>
      <c r="I497">
        <f t="shared" si="29"/>
        <v>5</v>
      </c>
      <c r="J497" t="str">
        <f t="shared" si="30"/>
        <v>May</v>
      </c>
      <c r="K497" t="str">
        <f t="shared" si="31"/>
        <v>Mon</v>
      </c>
    </row>
    <row r="498" spans="1:11" x14ac:dyDescent="0.35">
      <c r="A498" s="1">
        <v>36284</v>
      </c>
      <c r="B498">
        <v>3.8156249523162802</v>
      </c>
      <c r="C498">
        <v>4.0124998092651296</v>
      </c>
      <c r="D498">
        <v>3.51250004768371</v>
      </c>
      <c r="E498">
        <v>3.57500004768371</v>
      </c>
      <c r="F498">
        <v>3.57500004768371</v>
      </c>
      <c r="G498">
        <v>433928000</v>
      </c>
      <c r="H498">
        <f t="shared" si="28"/>
        <v>1999</v>
      </c>
      <c r="I498">
        <f t="shared" si="29"/>
        <v>5</v>
      </c>
      <c r="J498" t="str">
        <f t="shared" si="30"/>
        <v>May</v>
      </c>
      <c r="K498" t="str">
        <f t="shared" si="31"/>
        <v>Tue</v>
      </c>
    </row>
    <row r="499" spans="1:11" x14ac:dyDescent="0.35">
      <c r="A499" s="1">
        <v>36285</v>
      </c>
      <c r="B499">
        <v>3.5968749523162802</v>
      </c>
      <c r="C499">
        <v>3.7062499523162802</v>
      </c>
      <c r="D499">
        <v>3.3468749523162802</v>
      </c>
      <c r="E499">
        <v>3.6624999046325599</v>
      </c>
      <c r="F499">
        <v>3.6624999046325599</v>
      </c>
      <c r="G499">
        <v>554196000</v>
      </c>
      <c r="H499">
        <f t="shared" si="28"/>
        <v>1999</v>
      </c>
      <c r="I499">
        <f t="shared" si="29"/>
        <v>5</v>
      </c>
      <c r="J499" t="str">
        <f t="shared" si="30"/>
        <v>May</v>
      </c>
      <c r="K499" t="str">
        <f t="shared" si="31"/>
        <v>Wed</v>
      </c>
    </row>
    <row r="500" spans="1:11" x14ac:dyDescent="0.35">
      <c r="A500" s="1">
        <v>36286</v>
      </c>
      <c r="B500">
        <v>3.70000004768371</v>
      </c>
      <c r="C500">
        <v>3.7750000953674299</v>
      </c>
      <c r="D500">
        <v>3.3937499523162802</v>
      </c>
      <c r="E500">
        <v>3.43437504768371</v>
      </c>
      <c r="F500">
        <v>3.43437504768371</v>
      </c>
      <c r="G500">
        <v>365688000</v>
      </c>
      <c r="H500">
        <f t="shared" si="28"/>
        <v>1999</v>
      </c>
      <c r="I500">
        <f t="shared" si="29"/>
        <v>5</v>
      </c>
      <c r="J500" t="str">
        <f t="shared" si="30"/>
        <v>May</v>
      </c>
      <c r="K500" t="str">
        <f t="shared" si="31"/>
        <v>Thu</v>
      </c>
    </row>
    <row r="501" spans="1:11" x14ac:dyDescent="0.35">
      <c r="A501" s="1">
        <v>36287</v>
      </c>
      <c r="B501">
        <v>3.5187499523162802</v>
      </c>
      <c r="C501">
        <v>3.5999999046325599</v>
      </c>
      <c r="D501">
        <v>3.2750000953674299</v>
      </c>
      <c r="E501">
        <v>3.4093749523162802</v>
      </c>
      <c r="F501">
        <v>3.4093749523162802</v>
      </c>
      <c r="G501">
        <v>333080000</v>
      </c>
      <c r="H501">
        <f t="shared" si="28"/>
        <v>1999</v>
      </c>
      <c r="I501">
        <f t="shared" si="29"/>
        <v>5</v>
      </c>
      <c r="J501" t="str">
        <f t="shared" si="30"/>
        <v>May</v>
      </c>
      <c r="K501" t="str">
        <f t="shared" si="31"/>
        <v>Fri</v>
      </c>
    </row>
    <row r="502" spans="1:11" x14ac:dyDescent="0.35">
      <c r="A502" s="1">
        <v>36290</v>
      </c>
      <c r="B502">
        <v>3.4156250953674299</v>
      </c>
      <c r="C502">
        <v>3.6749999523162802</v>
      </c>
      <c r="D502">
        <v>3.3499999046325599</v>
      </c>
      <c r="E502">
        <v>3.671875</v>
      </c>
      <c r="F502">
        <v>3.671875</v>
      </c>
      <c r="G502">
        <v>284824000</v>
      </c>
      <c r="H502">
        <f t="shared" si="28"/>
        <v>1999</v>
      </c>
      <c r="I502">
        <f t="shared" si="29"/>
        <v>5</v>
      </c>
      <c r="J502" t="str">
        <f t="shared" si="30"/>
        <v>May</v>
      </c>
      <c r="K502" t="str">
        <f t="shared" si="31"/>
        <v>Mon</v>
      </c>
    </row>
    <row r="503" spans="1:11" x14ac:dyDescent="0.35">
      <c r="A503" s="1">
        <v>36291</v>
      </c>
      <c r="B503">
        <v>3.7671880722045898</v>
      </c>
      <c r="C503">
        <v>3.8468749523162802</v>
      </c>
      <c r="D503">
        <v>3.5999999046325599</v>
      </c>
      <c r="E503">
        <v>3.7093749046325599</v>
      </c>
      <c r="F503">
        <v>3.7093749046325599</v>
      </c>
      <c r="G503">
        <v>278828000</v>
      </c>
      <c r="H503">
        <f t="shared" si="28"/>
        <v>1999</v>
      </c>
      <c r="I503">
        <f t="shared" si="29"/>
        <v>5</v>
      </c>
      <c r="J503" t="str">
        <f t="shared" si="30"/>
        <v>May</v>
      </c>
      <c r="K503" t="str">
        <f t="shared" si="31"/>
        <v>Tue</v>
      </c>
    </row>
    <row r="504" spans="1:11" x14ac:dyDescent="0.35">
      <c r="A504" s="1">
        <v>36292</v>
      </c>
      <c r="B504">
        <v>3.7015628814697199</v>
      </c>
      <c r="C504">
        <v>3.71562504768371</v>
      </c>
      <c r="D504">
        <v>3.5374999046325599</v>
      </c>
      <c r="E504">
        <v>3.5734379291534402</v>
      </c>
      <c r="F504">
        <v>3.5734379291534402</v>
      </c>
      <c r="G504">
        <v>146548000</v>
      </c>
      <c r="H504">
        <f t="shared" si="28"/>
        <v>1999</v>
      </c>
      <c r="I504">
        <f t="shared" si="29"/>
        <v>5</v>
      </c>
      <c r="J504" t="str">
        <f t="shared" si="30"/>
        <v>May</v>
      </c>
      <c r="K504" t="str">
        <f t="shared" si="31"/>
        <v>Wed</v>
      </c>
    </row>
    <row r="505" spans="1:11" x14ac:dyDescent="0.35">
      <c r="A505" s="1">
        <v>36293</v>
      </c>
      <c r="B505">
        <v>3.609375</v>
      </c>
      <c r="C505">
        <v>3.6968750953674299</v>
      </c>
      <c r="D505">
        <v>3.4000000953674299</v>
      </c>
      <c r="E505">
        <v>3.4000000953674299</v>
      </c>
      <c r="F505">
        <v>3.4000000953674299</v>
      </c>
      <c r="G505">
        <v>229980000</v>
      </c>
      <c r="H505">
        <f t="shared" si="28"/>
        <v>1999</v>
      </c>
      <c r="I505">
        <f t="shared" si="29"/>
        <v>5</v>
      </c>
      <c r="J505" t="str">
        <f t="shared" si="30"/>
        <v>May</v>
      </c>
      <c r="K505" t="str">
        <f t="shared" si="31"/>
        <v>Thu</v>
      </c>
    </row>
    <row r="506" spans="1:11" x14ac:dyDescent="0.35">
      <c r="A506" s="1">
        <v>36294</v>
      </c>
      <c r="B506">
        <v>3.328125</v>
      </c>
      <c r="C506">
        <v>3.3687500953674299</v>
      </c>
      <c r="D506">
        <v>3.2453129291534402</v>
      </c>
      <c r="E506">
        <v>3.30937504768371</v>
      </c>
      <c r="F506">
        <v>3.30937504768371</v>
      </c>
      <c r="G506">
        <v>225336000</v>
      </c>
      <c r="H506">
        <f t="shared" si="28"/>
        <v>1999</v>
      </c>
      <c r="I506">
        <f t="shared" si="29"/>
        <v>5</v>
      </c>
      <c r="J506" t="str">
        <f t="shared" si="30"/>
        <v>May</v>
      </c>
      <c r="K506" t="str">
        <f t="shared" si="31"/>
        <v>Fri</v>
      </c>
    </row>
    <row r="507" spans="1:11" x14ac:dyDescent="0.35">
      <c r="A507" s="1">
        <v>36297</v>
      </c>
      <c r="B507">
        <v>3.25</v>
      </c>
      <c r="C507">
        <v>3.45000004768371</v>
      </c>
      <c r="D507">
        <v>3.0374999046325599</v>
      </c>
      <c r="E507">
        <v>3.4406249523162802</v>
      </c>
      <c r="F507">
        <v>3.4406249523162802</v>
      </c>
      <c r="G507">
        <v>417164000</v>
      </c>
      <c r="H507">
        <f t="shared" si="28"/>
        <v>1999</v>
      </c>
      <c r="I507">
        <f t="shared" si="29"/>
        <v>5</v>
      </c>
      <c r="J507" t="str">
        <f t="shared" si="30"/>
        <v>May</v>
      </c>
      <c r="K507" t="str">
        <f t="shared" si="31"/>
        <v>Mon</v>
      </c>
    </row>
    <row r="508" spans="1:11" x14ac:dyDescent="0.35">
      <c r="A508" s="1">
        <v>36298</v>
      </c>
      <c r="B508">
        <v>3.41093802452087</v>
      </c>
      <c r="C508">
        <v>3.4375</v>
      </c>
      <c r="D508">
        <v>3.2734379768371502</v>
      </c>
      <c r="E508">
        <v>3.3156249523162802</v>
      </c>
      <c r="F508">
        <v>3.3156249523162802</v>
      </c>
      <c r="G508">
        <v>248156000</v>
      </c>
      <c r="H508">
        <f t="shared" si="28"/>
        <v>1999</v>
      </c>
      <c r="I508">
        <f t="shared" si="29"/>
        <v>5</v>
      </c>
      <c r="J508" t="str">
        <f t="shared" si="30"/>
        <v>May</v>
      </c>
      <c r="K508" t="str">
        <f t="shared" si="31"/>
        <v>Tue</v>
      </c>
    </row>
    <row r="509" spans="1:11" x14ac:dyDescent="0.35">
      <c r="A509" s="1">
        <v>36299</v>
      </c>
      <c r="B509">
        <v>3.34843802452087</v>
      </c>
      <c r="C509">
        <v>3.4906249046325599</v>
      </c>
      <c r="D509">
        <v>3.3375000953674299</v>
      </c>
      <c r="E509">
        <v>3.48906302452087</v>
      </c>
      <c r="F509">
        <v>3.48906302452087</v>
      </c>
      <c r="G509">
        <v>252384000</v>
      </c>
      <c r="H509">
        <f t="shared" si="28"/>
        <v>1999</v>
      </c>
      <c r="I509">
        <f t="shared" si="29"/>
        <v>5</v>
      </c>
      <c r="J509" t="str">
        <f t="shared" si="30"/>
        <v>May</v>
      </c>
      <c r="K509" t="str">
        <f t="shared" si="31"/>
        <v>Wed</v>
      </c>
    </row>
    <row r="510" spans="1:11" x14ac:dyDescent="0.35">
      <c r="A510" s="1">
        <v>36300</v>
      </c>
      <c r="B510">
        <v>3.41875004768371</v>
      </c>
      <c r="C510">
        <v>3.45000004768371</v>
      </c>
      <c r="D510">
        <v>3.26250004768371</v>
      </c>
      <c r="E510">
        <v>3.27031302452087</v>
      </c>
      <c r="F510">
        <v>3.27031302452087</v>
      </c>
      <c r="G510">
        <v>137880000</v>
      </c>
      <c r="H510">
        <f t="shared" si="28"/>
        <v>1999</v>
      </c>
      <c r="I510">
        <f t="shared" si="29"/>
        <v>5</v>
      </c>
      <c r="J510" t="str">
        <f t="shared" si="30"/>
        <v>May</v>
      </c>
      <c r="K510" t="str">
        <f t="shared" si="31"/>
        <v>Thu</v>
      </c>
    </row>
    <row r="511" spans="1:11" x14ac:dyDescent="0.35">
      <c r="A511" s="1">
        <v>36301</v>
      </c>
      <c r="B511">
        <v>3.2687499523162802</v>
      </c>
      <c r="C511">
        <v>3.2999999523162802</v>
      </c>
      <c r="D511">
        <v>3.1437499523162802</v>
      </c>
      <c r="E511">
        <v>3.2140629291534402</v>
      </c>
      <c r="F511">
        <v>3.2140629291534402</v>
      </c>
      <c r="G511">
        <v>160112000</v>
      </c>
      <c r="H511">
        <f t="shared" si="28"/>
        <v>1999</v>
      </c>
      <c r="I511">
        <f t="shared" si="29"/>
        <v>5</v>
      </c>
      <c r="J511" t="str">
        <f t="shared" si="30"/>
        <v>May</v>
      </c>
      <c r="K511" t="str">
        <f t="shared" si="31"/>
        <v>Fri</v>
      </c>
    </row>
    <row r="512" spans="1:11" x14ac:dyDescent="0.35">
      <c r="A512" s="1">
        <v>36304</v>
      </c>
      <c r="B512">
        <v>3.21562504768371</v>
      </c>
      <c r="C512">
        <v>3.234375</v>
      </c>
      <c r="D512">
        <v>2.9000000953674299</v>
      </c>
      <c r="E512">
        <v>2.9375</v>
      </c>
      <c r="F512">
        <v>2.9375</v>
      </c>
      <c r="G512">
        <v>285076000</v>
      </c>
      <c r="H512">
        <f t="shared" si="28"/>
        <v>1999</v>
      </c>
      <c r="I512">
        <f t="shared" si="29"/>
        <v>5</v>
      </c>
      <c r="J512" t="str">
        <f t="shared" si="30"/>
        <v>May</v>
      </c>
      <c r="K512" t="str">
        <f t="shared" si="31"/>
        <v>Mon</v>
      </c>
    </row>
    <row r="513" spans="1:11" x14ac:dyDescent="0.35">
      <c r="A513" s="1">
        <v>36305</v>
      </c>
      <c r="B513">
        <v>2.9312500953674299</v>
      </c>
      <c r="C513">
        <v>3.02812504768371</v>
      </c>
      <c r="D513">
        <v>2.7843749523162802</v>
      </c>
      <c r="E513">
        <v>2.7890629768371502</v>
      </c>
      <c r="F513">
        <v>2.7890629768371502</v>
      </c>
      <c r="G513">
        <v>310204000</v>
      </c>
      <c r="H513">
        <f t="shared" si="28"/>
        <v>1999</v>
      </c>
      <c r="I513">
        <f t="shared" si="29"/>
        <v>5</v>
      </c>
      <c r="J513" t="str">
        <f t="shared" si="30"/>
        <v>May</v>
      </c>
      <c r="K513" t="str">
        <f t="shared" si="31"/>
        <v>Tue</v>
      </c>
    </row>
    <row r="514" spans="1:11" x14ac:dyDescent="0.35">
      <c r="A514" s="1">
        <v>36306</v>
      </c>
      <c r="B514">
        <v>2.8296880722045898</v>
      </c>
      <c r="C514">
        <v>3.046875</v>
      </c>
      <c r="D514">
        <v>2.6124999523162802</v>
      </c>
      <c r="E514">
        <v>3.0234379768371502</v>
      </c>
      <c r="F514">
        <v>3.0234379768371502</v>
      </c>
      <c r="G514">
        <v>423172000</v>
      </c>
      <c r="H514">
        <f t="shared" si="28"/>
        <v>1999</v>
      </c>
      <c r="I514">
        <f t="shared" si="29"/>
        <v>5</v>
      </c>
      <c r="J514" t="str">
        <f t="shared" si="30"/>
        <v>May</v>
      </c>
      <c r="K514" t="str">
        <f t="shared" si="31"/>
        <v>Wed</v>
      </c>
    </row>
    <row r="515" spans="1:11" x14ac:dyDescent="0.35">
      <c r="A515" s="1">
        <v>36307</v>
      </c>
      <c r="B515">
        <v>2.9906249046325599</v>
      </c>
      <c r="C515">
        <v>3.0140628814697199</v>
      </c>
      <c r="D515">
        <v>2.8499999046325599</v>
      </c>
      <c r="E515">
        <v>2.86406302452087</v>
      </c>
      <c r="F515">
        <v>2.86406302452087</v>
      </c>
      <c r="G515">
        <v>271468000</v>
      </c>
      <c r="H515">
        <f t="shared" si="28"/>
        <v>1999</v>
      </c>
      <c r="I515">
        <f t="shared" si="29"/>
        <v>5</v>
      </c>
      <c r="J515" t="str">
        <f t="shared" si="30"/>
        <v>May</v>
      </c>
      <c r="K515" t="str">
        <f t="shared" si="31"/>
        <v>Thu</v>
      </c>
    </row>
    <row r="516" spans="1:11" x14ac:dyDescent="0.35">
      <c r="A516" s="1">
        <v>36308</v>
      </c>
      <c r="B516">
        <v>2.890625</v>
      </c>
      <c r="C516">
        <v>3.0093750953674299</v>
      </c>
      <c r="D516">
        <v>2.7999999523162802</v>
      </c>
      <c r="E516">
        <v>2.96875</v>
      </c>
      <c r="F516">
        <v>2.96875</v>
      </c>
      <c r="G516">
        <v>193604000</v>
      </c>
      <c r="H516">
        <f t="shared" ref="H516:H579" si="32">YEAR($A516)</f>
        <v>1999</v>
      </c>
      <c r="I516">
        <f t="shared" ref="I516:I579" si="33">MONTH($A516)</f>
        <v>5</v>
      </c>
      <c r="J516" t="str">
        <f t="shared" ref="J516:J579" si="34">TEXT($A516,"mmm")</f>
        <v>May</v>
      </c>
      <c r="K516" t="str">
        <f t="shared" ref="K516:K579" si="35">TEXT($A516,"ddd")</f>
        <v>Fri</v>
      </c>
    </row>
    <row r="517" spans="1:11" x14ac:dyDescent="0.35">
      <c r="A517" s="1">
        <v>36312</v>
      </c>
      <c r="B517">
        <v>2.7874999046325599</v>
      </c>
      <c r="C517">
        <v>2.8375000953674299</v>
      </c>
      <c r="D517">
        <v>2.6246089935302699</v>
      </c>
      <c r="E517">
        <v>2.64531302452087</v>
      </c>
      <c r="F517">
        <v>2.64531302452087</v>
      </c>
      <c r="G517">
        <v>401528000</v>
      </c>
      <c r="H517">
        <f t="shared" si="32"/>
        <v>1999</v>
      </c>
      <c r="I517">
        <f t="shared" si="33"/>
        <v>6</v>
      </c>
      <c r="J517" t="str">
        <f t="shared" si="34"/>
        <v>Jun</v>
      </c>
      <c r="K517" t="str">
        <f t="shared" si="35"/>
        <v>Tue</v>
      </c>
    </row>
    <row r="518" spans="1:11" x14ac:dyDescent="0.35">
      <c r="A518" s="1">
        <v>36313</v>
      </c>
      <c r="B518">
        <v>2.6187500953674299</v>
      </c>
      <c r="C518">
        <v>2.875</v>
      </c>
      <c r="D518">
        <v>2.4281249046325599</v>
      </c>
      <c r="E518">
        <v>2.8031249046325599</v>
      </c>
      <c r="F518">
        <v>2.8031249046325599</v>
      </c>
      <c r="G518">
        <v>738128000</v>
      </c>
      <c r="H518">
        <f t="shared" si="32"/>
        <v>1999</v>
      </c>
      <c r="I518">
        <f t="shared" si="33"/>
        <v>6</v>
      </c>
      <c r="J518" t="str">
        <f t="shared" si="34"/>
        <v>Jun</v>
      </c>
      <c r="K518" t="str">
        <f t="shared" si="35"/>
        <v>Wed</v>
      </c>
    </row>
    <row r="519" spans="1:11" x14ac:dyDescent="0.35">
      <c r="A519" s="1">
        <v>36314</v>
      </c>
      <c r="B519">
        <v>2.84843802452087</v>
      </c>
      <c r="C519">
        <v>2.8624999523162802</v>
      </c>
      <c r="D519">
        <v>2.6124999523162802</v>
      </c>
      <c r="E519">
        <v>2.6265630722045898</v>
      </c>
      <c r="F519">
        <v>2.6265630722045898</v>
      </c>
      <c r="G519">
        <v>346232000</v>
      </c>
      <c r="H519">
        <f t="shared" si="32"/>
        <v>1999</v>
      </c>
      <c r="I519">
        <f t="shared" si="33"/>
        <v>6</v>
      </c>
      <c r="J519" t="str">
        <f t="shared" si="34"/>
        <v>Jun</v>
      </c>
      <c r="K519" t="str">
        <f t="shared" si="35"/>
        <v>Thu</v>
      </c>
    </row>
    <row r="520" spans="1:11" x14ac:dyDescent="0.35">
      <c r="A520" s="1">
        <v>36315</v>
      </c>
      <c r="B520">
        <v>2.640625</v>
      </c>
      <c r="C520">
        <v>2.75</v>
      </c>
      <c r="D520">
        <v>2.5406250953674299</v>
      </c>
      <c r="E520">
        <v>2.7109379768371502</v>
      </c>
      <c r="F520">
        <v>2.7109379768371502</v>
      </c>
      <c r="G520">
        <v>389836000</v>
      </c>
      <c r="H520">
        <f t="shared" si="32"/>
        <v>1999</v>
      </c>
      <c r="I520">
        <f t="shared" si="33"/>
        <v>6</v>
      </c>
      <c r="J520" t="str">
        <f t="shared" si="34"/>
        <v>Jun</v>
      </c>
      <c r="K520" t="str">
        <f t="shared" si="35"/>
        <v>Fri</v>
      </c>
    </row>
    <row r="521" spans="1:11" x14ac:dyDescent="0.35">
      <c r="A521" s="1">
        <v>36318</v>
      </c>
      <c r="B521">
        <v>2.7140629291534402</v>
      </c>
      <c r="C521">
        <v>2.99687504768371</v>
      </c>
      <c r="D521">
        <v>2.70000004768371</v>
      </c>
      <c r="E521">
        <v>2.93437504768371</v>
      </c>
      <c r="F521">
        <v>2.93437504768371</v>
      </c>
      <c r="G521">
        <v>338028000</v>
      </c>
      <c r="H521">
        <f t="shared" si="32"/>
        <v>1999</v>
      </c>
      <c r="I521">
        <f t="shared" si="33"/>
        <v>6</v>
      </c>
      <c r="J521" t="str">
        <f t="shared" si="34"/>
        <v>Jun</v>
      </c>
      <c r="K521" t="str">
        <f t="shared" si="35"/>
        <v>Mon</v>
      </c>
    </row>
    <row r="522" spans="1:11" x14ac:dyDescent="0.35">
      <c r="A522" s="1">
        <v>36319</v>
      </c>
      <c r="B522">
        <v>3</v>
      </c>
      <c r="C522">
        <v>3.0343749523162802</v>
      </c>
      <c r="D522">
        <v>2.7593750953674299</v>
      </c>
      <c r="E522">
        <v>2.7890629768371502</v>
      </c>
      <c r="F522">
        <v>2.7890629768371502</v>
      </c>
      <c r="G522">
        <v>276888000</v>
      </c>
      <c r="H522">
        <f t="shared" si="32"/>
        <v>1999</v>
      </c>
      <c r="I522">
        <f t="shared" si="33"/>
        <v>6</v>
      </c>
      <c r="J522" t="str">
        <f t="shared" si="34"/>
        <v>Jun</v>
      </c>
      <c r="K522" t="str">
        <f t="shared" si="35"/>
        <v>Tue</v>
      </c>
    </row>
    <row r="523" spans="1:11" x14ac:dyDescent="0.35">
      <c r="A523" s="1">
        <v>36320</v>
      </c>
      <c r="B523">
        <v>2.84843802452087</v>
      </c>
      <c r="C523">
        <v>2.8624999523162802</v>
      </c>
      <c r="D523">
        <v>2.7437500953674299</v>
      </c>
      <c r="E523">
        <v>2.8499999046325599</v>
      </c>
      <c r="F523">
        <v>2.8499999046325599</v>
      </c>
      <c r="G523">
        <v>178084000</v>
      </c>
      <c r="H523">
        <f t="shared" si="32"/>
        <v>1999</v>
      </c>
      <c r="I523">
        <f t="shared" si="33"/>
        <v>6</v>
      </c>
      <c r="J523" t="str">
        <f t="shared" si="34"/>
        <v>Jun</v>
      </c>
      <c r="K523" t="str">
        <f t="shared" si="35"/>
        <v>Wed</v>
      </c>
    </row>
    <row r="524" spans="1:11" x14ac:dyDescent="0.35">
      <c r="A524" s="1">
        <v>36321</v>
      </c>
      <c r="B524">
        <v>2.796875</v>
      </c>
      <c r="C524">
        <v>2.953125</v>
      </c>
      <c r="D524">
        <v>2.7531249523162802</v>
      </c>
      <c r="E524">
        <v>2.8984379768371502</v>
      </c>
      <c r="F524">
        <v>2.8984379768371502</v>
      </c>
      <c r="G524">
        <v>254212000</v>
      </c>
      <c r="H524">
        <f t="shared" si="32"/>
        <v>1999</v>
      </c>
      <c r="I524">
        <f t="shared" si="33"/>
        <v>6</v>
      </c>
      <c r="J524" t="str">
        <f t="shared" si="34"/>
        <v>Jun</v>
      </c>
      <c r="K524" t="str">
        <f t="shared" si="35"/>
        <v>Thu</v>
      </c>
    </row>
    <row r="525" spans="1:11" x14ac:dyDescent="0.35">
      <c r="A525" s="1">
        <v>36322</v>
      </c>
      <c r="B525">
        <v>2.8781249523162802</v>
      </c>
      <c r="C525">
        <v>2.9249999523162802</v>
      </c>
      <c r="D525">
        <v>2.6187500953674299</v>
      </c>
      <c r="E525">
        <v>2.64531302452087</v>
      </c>
      <c r="F525">
        <v>2.64531302452087</v>
      </c>
      <c r="G525">
        <v>277732000</v>
      </c>
      <c r="H525">
        <f t="shared" si="32"/>
        <v>1999</v>
      </c>
      <c r="I525">
        <f t="shared" si="33"/>
        <v>6</v>
      </c>
      <c r="J525" t="str">
        <f t="shared" si="34"/>
        <v>Jun</v>
      </c>
      <c r="K525" t="str">
        <f t="shared" si="35"/>
        <v>Fri</v>
      </c>
    </row>
    <row r="526" spans="1:11" x14ac:dyDescent="0.35">
      <c r="A526" s="1">
        <v>36325</v>
      </c>
      <c r="B526">
        <v>2.59843802452087</v>
      </c>
      <c r="C526">
        <v>2.6124999523162802</v>
      </c>
      <c r="D526">
        <v>2.2437500953674299</v>
      </c>
      <c r="E526">
        <v>2.2999999523162802</v>
      </c>
      <c r="F526">
        <v>2.2999999523162802</v>
      </c>
      <c r="G526">
        <v>415292000</v>
      </c>
      <c r="H526">
        <f t="shared" si="32"/>
        <v>1999</v>
      </c>
      <c r="I526">
        <f t="shared" si="33"/>
        <v>6</v>
      </c>
      <c r="J526" t="str">
        <f t="shared" si="34"/>
        <v>Jun</v>
      </c>
      <c r="K526" t="str">
        <f t="shared" si="35"/>
        <v>Mon</v>
      </c>
    </row>
    <row r="527" spans="1:11" x14ac:dyDescent="0.35">
      <c r="A527" s="1">
        <v>36326</v>
      </c>
      <c r="B527">
        <v>2.3062500953674299</v>
      </c>
      <c r="C527">
        <v>2.4937500953674299</v>
      </c>
      <c r="D527">
        <v>2.265625</v>
      </c>
      <c r="E527">
        <v>2.4124999046325599</v>
      </c>
      <c r="F527">
        <v>2.4124999046325599</v>
      </c>
      <c r="G527">
        <v>366188000</v>
      </c>
      <c r="H527">
        <f t="shared" si="32"/>
        <v>1999</v>
      </c>
      <c r="I527">
        <f t="shared" si="33"/>
        <v>6</v>
      </c>
      <c r="J527" t="str">
        <f t="shared" si="34"/>
        <v>Jun</v>
      </c>
      <c r="K527" t="str">
        <f t="shared" si="35"/>
        <v>Tue</v>
      </c>
    </row>
    <row r="528" spans="1:11" x14ac:dyDescent="0.35">
      <c r="A528" s="1">
        <v>36327</v>
      </c>
      <c r="B528">
        <v>2.5328130722045898</v>
      </c>
      <c r="C528">
        <v>2.82500004768371</v>
      </c>
      <c r="D528">
        <v>2.5250000953674299</v>
      </c>
      <c r="E528">
        <v>2.7921879291534402</v>
      </c>
      <c r="F528">
        <v>2.7921879291534402</v>
      </c>
      <c r="G528">
        <v>434144000</v>
      </c>
      <c r="H528">
        <f t="shared" si="32"/>
        <v>1999</v>
      </c>
      <c r="I528">
        <f t="shared" si="33"/>
        <v>6</v>
      </c>
      <c r="J528" t="str">
        <f t="shared" si="34"/>
        <v>Jun</v>
      </c>
      <c r="K528" t="str">
        <f t="shared" si="35"/>
        <v>Wed</v>
      </c>
    </row>
    <row r="529" spans="1:11" x14ac:dyDescent="0.35">
      <c r="A529" s="1">
        <v>36328</v>
      </c>
      <c r="B529">
        <v>2.7906250953674299</v>
      </c>
      <c r="C529">
        <v>2.9781250953674299</v>
      </c>
      <c r="D529">
        <v>2.7406249046325599</v>
      </c>
      <c r="E529">
        <v>2.8234379291534402</v>
      </c>
      <c r="F529">
        <v>2.8234379291534402</v>
      </c>
      <c r="G529">
        <v>380828000</v>
      </c>
      <c r="H529">
        <f t="shared" si="32"/>
        <v>1999</v>
      </c>
      <c r="I529">
        <f t="shared" si="33"/>
        <v>6</v>
      </c>
      <c r="J529" t="str">
        <f t="shared" si="34"/>
        <v>Jun</v>
      </c>
      <c r="K529" t="str">
        <f t="shared" si="35"/>
        <v>Thu</v>
      </c>
    </row>
    <row r="530" spans="1:11" x14ac:dyDescent="0.35">
      <c r="A530" s="1">
        <v>36329</v>
      </c>
      <c r="B530">
        <v>2.7984380722045898</v>
      </c>
      <c r="C530">
        <v>2.8624999523162802</v>
      </c>
      <c r="D530">
        <v>2.7374999523162802</v>
      </c>
      <c r="E530">
        <v>2.7828130722045898</v>
      </c>
      <c r="F530">
        <v>2.7828130722045898</v>
      </c>
      <c r="G530">
        <v>159440000</v>
      </c>
      <c r="H530">
        <f t="shared" si="32"/>
        <v>1999</v>
      </c>
      <c r="I530">
        <f t="shared" si="33"/>
        <v>6</v>
      </c>
      <c r="J530" t="str">
        <f t="shared" si="34"/>
        <v>Jun</v>
      </c>
      <c r="K530" t="str">
        <f t="shared" si="35"/>
        <v>Fri</v>
      </c>
    </row>
    <row r="531" spans="1:11" x14ac:dyDescent="0.35">
      <c r="A531" s="1">
        <v>36332</v>
      </c>
      <c r="B531">
        <v>2.8390629291534402</v>
      </c>
      <c r="C531">
        <v>3.0890629291534402</v>
      </c>
      <c r="D531">
        <v>2.79375004768371</v>
      </c>
      <c r="E531">
        <v>3.0875000953674299</v>
      </c>
      <c r="F531">
        <v>3.0875000953674299</v>
      </c>
      <c r="G531">
        <v>324544000</v>
      </c>
      <c r="H531">
        <f t="shared" si="32"/>
        <v>1999</v>
      </c>
      <c r="I531">
        <f t="shared" si="33"/>
        <v>6</v>
      </c>
      <c r="J531" t="str">
        <f t="shared" si="34"/>
        <v>Jun</v>
      </c>
      <c r="K531" t="str">
        <f t="shared" si="35"/>
        <v>Mon</v>
      </c>
    </row>
    <row r="532" spans="1:11" x14ac:dyDescent="0.35">
      <c r="A532" s="1">
        <v>36333</v>
      </c>
      <c r="B532">
        <v>3.0796880722045898</v>
      </c>
      <c r="C532">
        <v>3.2374999523162802</v>
      </c>
      <c r="D532">
        <v>2.9124999046325599</v>
      </c>
      <c r="E532">
        <v>2.9375</v>
      </c>
      <c r="F532">
        <v>2.9375</v>
      </c>
      <c r="G532">
        <v>334588000</v>
      </c>
      <c r="H532">
        <f t="shared" si="32"/>
        <v>1999</v>
      </c>
      <c r="I532">
        <f t="shared" si="33"/>
        <v>6</v>
      </c>
      <c r="J532" t="str">
        <f t="shared" si="34"/>
        <v>Jun</v>
      </c>
      <c r="K532" t="str">
        <f t="shared" si="35"/>
        <v>Tue</v>
      </c>
    </row>
    <row r="533" spans="1:11" x14ac:dyDescent="0.35">
      <c r="A533" s="1">
        <v>36334</v>
      </c>
      <c r="B533">
        <v>2.8890628814697199</v>
      </c>
      <c r="C533">
        <v>3.0328130722045898</v>
      </c>
      <c r="D533">
        <v>2.8031249046325599</v>
      </c>
      <c r="E533">
        <v>2.9437499046325599</v>
      </c>
      <c r="F533">
        <v>2.9437499046325599</v>
      </c>
      <c r="G533">
        <v>328596000</v>
      </c>
      <c r="H533">
        <f t="shared" si="32"/>
        <v>1999</v>
      </c>
      <c r="I533">
        <f t="shared" si="33"/>
        <v>6</v>
      </c>
      <c r="J533" t="str">
        <f t="shared" si="34"/>
        <v>Jun</v>
      </c>
      <c r="K533" t="str">
        <f t="shared" si="35"/>
        <v>Wed</v>
      </c>
    </row>
    <row r="534" spans="1:11" x14ac:dyDescent="0.35">
      <c r="A534" s="1">
        <v>36335</v>
      </c>
      <c r="B534">
        <v>2.953125</v>
      </c>
      <c r="C534">
        <v>2.9703130722045898</v>
      </c>
      <c r="D534">
        <v>2.82500004768371</v>
      </c>
      <c r="E534">
        <v>2.84062504768371</v>
      </c>
      <c r="F534">
        <v>2.84062504768371</v>
      </c>
      <c r="G534">
        <v>167104000</v>
      </c>
      <c r="H534">
        <f t="shared" si="32"/>
        <v>1999</v>
      </c>
      <c r="I534">
        <f t="shared" si="33"/>
        <v>6</v>
      </c>
      <c r="J534" t="str">
        <f t="shared" si="34"/>
        <v>Jun</v>
      </c>
      <c r="K534" t="str">
        <f t="shared" si="35"/>
        <v>Thu</v>
      </c>
    </row>
    <row r="535" spans="1:11" x14ac:dyDescent="0.35">
      <c r="A535" s="1">
        <v>36336</v>
      </c>
      <c r="B535">
        <v>2.91093802452087</v>
      </c>
      <c r="C535">
        <v>2.9375</v>
      </c>
      <c r="D535">
        <v>2.703125</v>
      </c>
      <c r="E535">
        <v>2.75468802452087</v>
      </c>
      <c r="F535">
        <v>2.75468802452087</v>
      </c>
      <c r="G535">
        <v>195036000</v>
      </c>
      <c r="H535">
        <f t="shared" si="32"/>
        <v>1999</v>
      </c>
      <c r="I535">
        <f t="shared" si="33"/>
        <v>6</v>
      </c>
      <c r="J535" t="str">
        <f t="shared" si="34"/>
        <v>Jun</v>
      </c>
      <c r="K535" t="str">
        <f t="shared" si="35"/>
        <v>Fri</v>
      </c>
    </row>
    <row r="536" spans="1:11" x14ac:dyDescent="0.35">
      <c r="A536" s="1">
        <v>36339</v>
      </c>
      <c r="B536">
        <v>2.7750000953674299</v>
      </c>
      <c r="C536">
        <v>2.796875</v>
      </c>
      <c r="D536">
        <v>2.5609378814697199</v>
      </c>
      <c r="E536">
        <v>2.7671880722045898</v>
      </c>
      <c r="F536">
        <v>2.7671880722045898</v>
      </c>
      <c r="G536">
        <v>337436000</v>
      </c>
      <c r="H536">
        <f t="shared" si="32"/>
        <v>1999</v>
      </c>
      <c r="I536">
        <f t="shared" si="33"/>
        <v>6</v>
      </c>
      <c r="J536" t="str">
        <f t="shared" si="34"/>
        <v>Jun</v>
      </c>
      <c r="K536" t="str">
        <f t="shared" si="35"/>
        <v>Mon</v>
      </c>
    </row>
    <row r="537" spans="1:11" x14ac:dyDescent="0.35">
      <c r="A537" s="1">
        <v>36340</v>
      </c>
      <c r="B537">
        <v>2.7562499046325599</v>
      </c>
      <c r="C537">
        <v>2.9562499523162802</v>
      </c>
      <c r="D537">
        <v>2.71875</v>
      </c>
      <c r="E537">
        <v>2.9015629291534402</v>
      </c>
      <c r="F537">
        <v>2.9015629291534402</v>
      </c>
      <c r="G537">
        <v>312960000</v>
      </c>
      <c r="H537">
        <f t="shared" si="32"/>
        <v>1999</v>
      </c>
      <c r="I537">
        <f t="shared" si="33"/>
        <v>6</v>
      </c>
      <c r="J537" t="str">
        <f t="shared" si="34"/>
        <v>Jun</v>
      </c>
      <c r="K537" t="str">
        <f t="shared" si="35"/>
        <v>Tue</v>
      </c>
    </row>
    <row r="538" spans="1:11" x14ac:dyDescent="0.35">
      <c r="A538" s="1">
        <v>36341</v>
      </c>
      <c r="B538">
        <v>2.9124999046325599</v>
      </c>
      <c r="C538">
        <v>3.23125004768371</v>
      </c>
      <c r="D538">
        <v>2.875</v>
      </c>
      <c r="E538">
        <v>3.1281249523162802</v>
      </c>
      <c r="F538">
        <v>3.1281249523162802</v>
      </c>
      <c r="G538">
        <v>338124000</v>
      </c>
      <c r="H538">
        <f t="shared" si="32"/>
        <v>1999</v>
      </c>
      <c r="I538">
        <f t="shared" si="33"/>
        <v>6</v>
      </c>
      <c r="J538" t="str">
        <f t="shared" si="34"/>
        <v>Jun</v>
      </c>
      <c r="K538" t="str">
        <f t="shared" si="35"/>
        <v>Wed</v>
      </c>
    </row>
    <row r="539" spans="1:11" x14ac:dyDescent="0.35">
      <c r="A539" s="1">
        <v>36342</v>
      </c>
      <c r="B539">
        <v>3.1312499046325599</v>
      </c>
      <c r="C539">
        <v>3.1624999046325599</v>
      </c>
      <c r="D539">
        <v>2.95000004768371</v>
      </c>
      <c r="E539">
        <v>3.05937504768371</v>
      </c>
      <c r="F539">
        <v>3.05937504768371</v>
      </c>
      <c r="G539">
        <v>287656000</v>
      </c>
      <c r="H539">
        <f t="shared" si="32"/>
        <v>1999</v>
      </c>
      <c r="I539">
        <f t="shared" si="33"/>
        <v>7</v>
      </c>
      <c r="J539" t="str">
        <f t="shared" si="34"/>
        <v>Jul</v>
      </c>
      <c r="K539" t="str">
        <f t="shared" si="35"/>
        <v>Thu</v>
      </c>
    </row>
    <row r="540" spans="1:11" x14ac:dyDescent="0.35">
      <c r="A540" s="1">
        <v>36343</v>
      </c>
      <c r="B540">
        <v>3.0812499523162802</v>
      </c>
      <c r="C540">
        <v>3.1500000953674299</v>
      </c>
      <c r="D540">
        <v>3.0187499523162802</v>
      </c>
      <c r="E540">
        <v>3.1015629768371502</v>
      </c>
      <c r="F540">
        <v>3.1015629768371502</v>
      </c>
      <c r="G540">
        <v>144168000</v>
      </c>
      <c r="H540">
        <f t="shared" si="32"/>
        <v>1999</v>
      </c>
      <c r="I540">
        <f t="shared" si="33"/>
        <v>7</v>
      </c>
      <c r="J540" t="str">
        <f t="shared" si="34"/>
        <v>Jul</v>
      </c>
      <c r="K540" t="str">
        <f t="shared" si="35"/>
        <v>Fri</v>
      </c>
    </row>
    <row r="541" spans="1:11" x14ac:dyDescent="0.35">
      <c r="A541" s="1">
        <v>36347</v>
      </c>
      <c r="B541">
        <v>3.20000004768371</v>
      </c>
      <c r="C541">
        <v>3.33281302452087</v>
      </c>
      <c r="D541">
        <v>3.13750004768371</v>
      </c>
      <c r="E541">
        <v>3.171875</v>
      </c>
      <c r="F541">
        <v>3.171875</v>
      </c>
      <c r="G541">
        <v>297724000</v>
      </c>
      <c r="H541">
        <f t="shared" si="32"/>
        <v>1999</v>
      </c>
      <c r="I541">
        <f t="shared" si="33"/>
        <v>7</v>
      </c>
      <c r="J541" t="str">
        <f t="shared" si="34"/>
        <v>Jul</v>
      </c>
      <c r="K541" t="str">
        <f t="shared" si="35"/>
        <v>Tue</v>
      </c>
    </row>
    <row r="542" spans="1:11" x14ac:dyDescent="0.35">
      <c r="A542" s="1">
        <v>36348</v>
      </c>
      <c r="B542">
        <v>3.15312504768371</v>
      </c>
      <c r="C542">
        <v>3.1875</v>
      </c>
      <c r="D542">
        <v>3</v>
      </c>
      <c r="E542">
        <v>3.046875</v>
      </c>
      <c r="F542">
        <v>3.046875</v>
      </c>
      <c r="G542">
        <v>199760000</v>
      </c>
      <c r="H542">
        <f t="shared" si="32"/>
        <v>1999</v>
      </c>
      <c r="I542">
        <f t="shared" si="33"/>
        <v>7</v>
      </c>
      <c r="J542" t="str">
        <f t="shared" si="34"/>
        <v>Jul</v>
      </c>
      <c r="K542" t="str">
        <f t="shared" si="35"/>
        <v>Wed</v>
      </c>
    </row>
    <row r="543" spans="1:11" x14ac:dyDescent="0.35">
      <c r="A543" s="1">
        <v>36349</v>
      </c>
      <c r="B543">
        <v>3.140625</v>
      </c>
      <c r="C543">
        <v>3.1875</v>
      </c>
      <c r="D543">
        <v>3.0328130722045898</v>
      </c>
      <c r="E543">
        <v>3.1343750953674299</v>
      </c>
      <c r="F543">
        <v>3.1343750953674299</v>
      </c>
      <c r="G543">
        <v>212488000</v>
      </c>
      <c r="H543">
        <f t="shared" si="32"/>
        <v>1999</v>
      </c>
      <c r="I543">
        <f t="shared" si="33"/>
        <v>7</v>
      </c>
      <c r="J543" t="str">
        <f t="shared" si="34"/>
        <v>Jul</v>
      </c>
      <c r="K543" t="str">
        <f t="shared" si="35"/>
        <v>Thu</v>
      </c>
    </row>
    <row r="544" spans="1:11" x14ac:dyDescent="0.35">
      <c r="A544" s="1">
        <v>36350</v>
      </c>
      <c r="B544">
        <v>3.15312504768371</v>
      </c>
      <c r="C544">
        <v>3.1937499046325599</v>
      </c>
      <c r="D544">
        <v>3.1015629768371502</v>
      </c>
      <c r="E544">
        <v>3.13750004768371</v>
      </c>
      <c r="F544">
        <v>3.13750004768371</v>
      </c>
      <c r="G544">
        <v>111636000</v>
      </c>
      <c r="H544">
        <f t="shared" si="32"/>
        <v>1999</v>
      </c>
      <c r="I544">
        <f t="shared" si="33"/>
        <v>7</v>
      </c>
      <c r="J544" t="str">
        <f t="shared" si="34"/>
        <v>Jul</v>
      </c>
      <c r="K544" t="str">
        <f t="shared" si="35"/>
        <v>Fri</v>
      </c>
    </row>
    <row r="545" spans="1:11" x14ac:dyDescent="0.35">
      <c r="A545" s="1">
        <v>36353</v>
      </c>
      <c r="B545">
        <v>3.125</v>
      </c>
      <c r="C545">
        <v>3.13750004768371</v>
      </c>
      <c r="D545">
        <v>2.9000000953674299</v>
      </c>
      <c r="E545">
        <v>2.93437504768371</v>
      </c>
      <c r="F545">
        <v>2.93437504768371</v>
      </c>
      <c r="G545">
        <v>213064000</v>
      </c>
      <c r="H545">
        <f t="shared" si="32"/>
        <v>1999</v>
      </c>
      <c r="I545">
        <f t="shared" si="33"/>
        <v>7</v>
      </c>
      <c r="J545" t="str">
        <f t="shared" si="34"/>
        <v>Jul</v>
      </c>
      <c r="K545" t="str">
        <f t="shared" si="35"/>
        <v>Mon</v>
      </c>
    </row>
    <row r="546" spans="1:11" x14ac:dyDescent="0.35">
      <c r="A546" s="1">
        <v>36354</v>
      </c>
      <c r="B546">
        <v>2.90625</v>
      </c>
      <c r="C546">
        <v>3.1796879768371502</v>
      </c>
      <c r="D546">
        <v>2.875</v>
      </c>
      <c r="E546">
        <v>3.15312504768371</v>
      </c>
      <c r="F546">
        <v>3.15312504768371</v>
      </c>
      <c r="G546">
        <v>409064000</v>
      </c>
      <c r="H546">
        <f t="shared" si="32"/>
        <v>1999</v>
      </c>
      <c r="I546">
        <f t="shared" si="33"/>
        <v>7</v>
      </c>
      <c r="J546" t="str">
        <f t="shared" si="34"/>
        <v>Jul</v>
      </c>
      <c r="K546" t="str">
        <f t="shared" si="35"/>
        <v>Tue</v>
      </c>
    </row>
    <row r="547" spans="1:11" x14ac:dyDescent="0.35">
      <c r="A547" s="1">
        <v>36355</v>
      </c>
      <c r="B547">
        <v>3.18437504768371</v>
      </c>
      <c r="C547">
        <v>3.375</v>
      </c>
      <c r="D547">
        <v>3.14531302452087</v>
      </c>
      <c r="E547">
        <v>3.375</v>
      </c>
      <c r="F547">
        <v>3.375</v>
      </c>
      <c r="G547">
        <v>388072000</v>
      </c>
      <c r="H547">
        <f t="shared" si="32"/>
        <v>1999</v>
      </c>
      <c r="I547">
        <f t="shared" si="33"/>
        <v>7</v>
      </c>
      <c r="J547" t="str">
        <f t="shared" si="34"/>
        <v>Jul</v>
      </c>
      <c r="K547" t="str">
        <f t="shared" si="35"/>
        <v>Wed</v>
      </c>
    </row>
    <row r="548" spans="1:11" x14ac:dyDescent="0.35">
      <c r="A548" s="1">
        <v>36356</v>
      </c>
      <c r="B548">
        <v>3.375</v>
      </c>
      <c r="C548">
        <v>3.5374999046325599</v>
      </c>
      <c r="D548">
        <v>3.3343749046325599</v>
      </c>
      <c r="E548">
        <v>3.48906302452087</v>
      </c>
      <c r="F548">
        <v>3.48906302452087</v>
      </c>
      <c r="G548">
        <v>455260000</v>
      </c>
      <c r="H548">
        <f t="shared" si="32"/>
        <v>1999</v>
      </c>
      <c r="I548">
        <f t="shared" si="33"/>
        <v>7</v>
      </c>
      <c r="J548" t="str">
        <f t="shared" si="34"/>
        <v>Jul</v>
      </c>
      <c r="K548" t="str">
        <f t="shared" si="35"/>
        <v>Thu</v>
      </c>
    </row>
    <row r="549" spans="1:11" x14ac:dyDescent="0.35">
      <c r="A549" s="1">
        <v>36357</v>
      </c>
      <c r="B549">
        <v>3.46875</v>
      </c>
      <c r="C549">
        <v>3.5625</v>
      </c>
      <c r="D549">
        <v>3.40312504768371</v>
      </c>
      <c r="E549">
        <v>3.4406249523162802</v>
      </c>
      <c r="F549">
        <v>3.4406249523162802</v>
      </c>
      <c r="G549">
        <v>205948000</v>
      </c>
      <c r="H549">
        <f t="shared" si="32"/>
        <v>1999</v>
      </c>
      <c r="I549">
        <f t="shared" si="33"/>
        <v>7</v>
      </c>
      <c r="J549" t="str">
        <f t="shared" si="34"/>
        <v>Jul</v>
      </c>
      <c r="K549" t="str">
        <f t="shared" si="35"/>
        <v>Fri</v>
      </c>
    </row>
    <row r="550" spans="1:11" x14ac:dyDescent="0.35">
      <c r="A550" s="1">
        <v>36360</v>
      </c>
      <c r="B550">
        <v>3.4000000953674299</v>
      </c>
      <c r="C550">
        <v>3.4156250953674299</v>
      </c>
      <c r="D550">
        <v>3.2874999046325599</v>
      </c>
      <c r="E550">
        <v>3.2921879291534402</v>
      </c>
      <c r="F550">
        <v>3.2921879291534402</v>
      </c>
      <c r="G550">
        <v>188768000</v>
      </c>
      <c r="H550">
        <f t="shared" si="32"/>
        <v>1999</v>
      </c>
      <c r="I550">
        <f t="shared" si="33"/>
        <v>7</v>
      </c>
      <c r="J550" t="str">
        <f t="shared" si="34"/>
        <v>Jul</v>
      </c>
      <c r="K550" t="str">
        <f t="shared" si="35"/>
        <v>Mon</v>
      </c>
    </row>
    <row r="551" spans="1:11" x14ac:dyDescent="0.35">
      <c r="A551" s="1">
        <v>36361</v>
      </c>
      <c r="B551">
        <v>3.2281250953674299</v>
      </c>
      <c r="C551">
        <v>3.234375</v>
      </c>
      <c r="D551">
        <v>3.0015630722045898</v>
      </c>
      <c r="E551">
        <v>3.0031249523162802</v>
      </c>
      <c r="F551">
        <v>3.0031249523162802</v>
      </c>
      <c r="G551">
        <v>344436000</v>
      </c>
      <c r="H551">
        <f t="shared" si="32"/>
        <v>1999</v>
      </c>
      <c r="I551">
        <f t="shared" si="33"/>
        <v>7</v>
      </c>
      <c r="J551" t="str">
        <f t="shared" si="34"/>
        <v>Jul</v>
      </c>
      <c r="K551" t="str">
        <f t="shared" si="35"/>
        <v>Tue</v>
      </c>
    </row>
    <row r="552" spans="1:11" x14ac:dyDescent="0.35">
      <c r="A552" s="1">
        <v>36362</v>
      </c>
      <c r="B552">
        <v>3.0250000953674299</v>
      </c>
      <c r="C552">
        <v>3.2062499523162802</v>
      </c>
      <c r="D552">
        <v>3.0062499046325599</v>
      </c>
      <c r="E552">
        <v>3.1359379291534402</v>
      </c>
      <c r="F552">
        <v>3.1359379291534402</v>
      </c>
      <c r="G552">
        <v>342688000</v>
      </c>
      <c r="H552">
        <f t="shared" si="32"/>
        <v>1999</v>
      </c>
      <c r="I552">
        <f t="shared" si="33"/>
        <v>7</v>
      </c>
      <c r="J552" t="str">
        <f t="shared" si="34"/>
        <v>Jul</v>
      </c>
      <c r="K552" t="str">
        <f t="shared" si="35"/>
        <v>Wed</v>
      </c>
    </row>
    <row r="553" spans="1:11" x14ac:dyDescent="0.35">
      <c r="A553" s="1">
        <v>36363</v>
      </c>
      <c r="B553">
        <v>2.91093802452087</v>
      </c>
      <c r="C553">
        <v>2.9281249046325599</v>
      </c>
      <c r="D553">
        <v>2.6187500953674299</v>
      </c>
      <c r="E553">
        <v>2.6703128814697199</v>
      </c>
      <c r="F553">
        <v>2.6703128814697199</v>
      </c>
      <c r="G553">
        <v>1150944000</v>
      </c>
      <c r="H553">
        <f t="shared" si="32"/>
        <v>1999</v>
      </c>
      <c r="I553">
        <f t="shared" si="33"/>
        <v>7</v>
      </c>
      <c r="J553" t="str">
        <f t="shared" si="34"/>
        <v>Jul</v>
      </c>
      <c r="K553" t="str">
        <f t="shared" si="35"/>
        <v>Thu</v>
      </c>
    </row>
    <row r="554" spans="1:11" x14ac:dyDescent="0.35">
      <c r="A554" s="1">
        <v>36364</v>
      </c>
      <c r="B554">
        <v>2.7453129291534402</v>
      </c>
      <c r="C554">
        <v>2.8687500953674299</v>
      </c>
      <c r="D554">
        <v>2.5796880722045898</v>
      </c>
      <c r="E554">
        <v>2.86406302452087</v>
      </c>
      <c r="F554">
        <v>2.86406302452087</v>
      </c>
      <c r="G554">
        <v>601612000</v>
      </c>
      <c r="H554">
        <f t="shared" si="32"/>
        <v>1999</v>
      </c>
      <c r="I554">
        <f t="shared" si="33"/>
        <v>7</v>
      </c>
      <c r="J554" t="str">
        <f t="shared" si="34"/>
        <v>Jul</v>
      </c>
      <c r="K554" t="str">
        <f t="shared" si="35"/>
        <v>Fri</v>
      </c>
    </row>
    <row r="555" spans="1:11" x14ac:dyDescent="0.35">
      <c r="A555" s="1">
        <v>36367</v>
      </c>
      <c r="B555">
        <v>2.7609379291534402</v>
      </c>
      <c r="C555">
        <v>2.88750004768371</v>
      </c>
      <c r="D555">
        <v>2.625</v>
      </c>
      <c r="E555">
        <v>2.6484379768371502</v>
      </c>
      <c r="F555">
        <v>2.6484379768371502</v>
      </c>
      <c r="G555">
        <v>612552000</v>
      </c>
      <c r="H555">
        <f t="shared" si="32"/>
        <v>1999</v>
      </c>
      <c r="I555">
        <f t="shared" si="33"/>
        <v>7</v>
      </c>
      <c r="J555" t="str">
        <f t="shared" si="34"/>
        <v>Jul</v>
      </c>
      <c r="K555" t="str">
        <f t="shared" si="35"/>
        <v>Mon</v>
      </c>
    </row>
    <row r="556" spans="1:11" x14ac:dyDescent="0.35">
      <c r="A556" s="1">
        <v>36368</v>
      </c>
      <c r="B556">
        <v>2.7249999046325599</v>
      </c>
      <c r="C556">
        <v>2.7593750953674299</v>
      </c>
      <c r="D556">
        <v>2.5031249523162802</v>
      </c>
      <c r="E556">
        <v>2.5250000953674299</v>
      </c>
      <c r="F556">
        <v>2.5250000953674299</v>
      </c>
      <c r="G556">
        <v>475396000</v>
      </c>
      <c r="H556">
        <f t="shared" si="32"/>
        <v>1999</v>
      </c>
      <c r="I556">
        <f t="shared" si="33"/>
        <v>7</v>
      </c>
      <c r="J556" t="str">
        <f t="shared" si="34"/>
        <v>Jul</v>
      </c>
      <c r="K556" t="str">
        <f t="shared" si="35"/>
        <v>Tue</v>
      </c>
    </row>
    <row r="557" spans="1:11" x14ac:dyDescent="0.35">
      <c r="A557" s="1">
        <v>36369</v>
      </c>
      <c r="B557">
        <v>2.5496089458465501</v>
      </c>
      <c r="C557">
        <v>2.65312504768371</v>
      </c>
      <c r="D557">
        <v>2.4906249046325599</v>
      </c>
      <c r="E557">
        <v>2.6437499523162802</v>
      </c>
      <c r="F557">
        <v>2.6437499523162802</v>
      </c>
      <c r="G557">
        <v>515672000</v>
      </c>
      <c r="H557">
        <f t="shared" si="32"/>
        <v>1999</v>
      </c>
      <c r="I557">
        <f t="shared" si="33"/>
        <v>7</v>
      </c>
      <c r="J557" t="str">
        <f t="shared" si="34"/>
        <v>Jul</v>
      </c>
      <c r="K557" t="str">
        <f t="shared" si="35"/>
        <v>Wed</v>
      </c>
    </row>
    <row r="558" spans="1:11" x14ac:dyDescent="0.35">
      <c r="A558" s="1">
        <v>36370</v>
      </c>
      <c r="B558">
        <v>2.55937504768371</v>
      </c>
      <c r="C558">
        <v>2.609375</v>
      </c>
      <c r="D558">
        <v>2.5</v>
      </c>
      <c r="E558">
        <v>2.5390629768371502</v>
      </c>
      <c r="F558">
        <v>2.5390629768371502</v>
      </c>
      <c r="G558">
        <v>374960000</v>
      </c>
      <c r="H558">
        <f t="shared" si="32"/>
        <v>1999</v>
      </c>
      <c r="I558">
        <f t="shared" si="33"/>
        <v>7</v>
      </c>
      <c r="J558" t="str">
        <f t="shared" si="34"/>
        <v>Jul</v>
      </c>
      <c r="K558" t="str">
        <f t="shared" si="35"/>
        <v>Thu</v>
      </c>
    </row>
    <row r="559" spans="1:11" x14ac:dyDescent="0.35">
      <c r="A559" s="1">
        <v>36371</v>
      </c>
      <c r="B559">
        <v>2.5531249046325599</v>
      </c>
      <c r="C559">
        <v>2.5687499046325599</v>
      </c>
      <c r="D559">
        <v>2.4375</v>
      </c>
      <c r="E559">
        <v>2.5015630722045898</v>
      </c>
      <c r="F559">
        <v>2.5015630722045898</v>
      </c>
      <c r="G559">
        <v>241140000</v>
      </c>
      <c r="H559">
        <f t="shared" si="32"/>
        <v>1999</v>
      </c>
      <c r="I559">
        <f t="shared" si="33"/>
        <v>7</v>
      </c>
      <c r="J559" t="str">
        <f t="shared" si="34"/>
        <v>Jul</v>
      </c>
      <c r="K559" t="str">
        <f t="shared" si="35"/>
        <v>Fri</v>
      </c>
    </row>
    <row r="560" spans="1:11" x14ac:dyDescent="0.35">
      <c r="A560" s="1">
        <v>36374</v>
      </c>
      <c r="B560">
        <v>2.4593749046325599</v>
      </c>
      <c r="C560">
        <v>2.5531249046325599</v>
      </c>
      <c r="D560">
        <v>2.34843802452087</v>
      </c>
      <c r="E560">
        <v>2.3499999046325599</v>
      </c>
      <c r="F560">
        <v>2.3499999046325599</v>
      </c>
      <c r="G560">
        <v>339356000</v>
      </c>
      <c r="H560">
        <f t="shared" si="32"/>
        <v>1999</v>
      </c>
      <c r="I560">
        <f t="shared" si="33"/>
        <v>8</v>
      </c>
      <c r="J560" t="str">
        <f t="shared" si="34"/>
        <v>Aug</v>
      </c>
      <c r="K560" t="str">
        <f t="shared" si="35"/>
        <v>Mon</v>
      </c>
    </row>
    <row r="561" spans="1:11" x14ac:dyDescent="0.35">
      <c r="A561" s="1">
        <v>36375</v>
      </c>
      <c r="B561">
        <v>2.4249999523162802</v>
      </c>
      <c r="C561">
        <v>2.4249999523162802</v>
      </c>
      <c r="D561">
        <v>2.2406249046325599</v>
      </c>
      <c r="E561">
        <v>2.37187504768371</v>
      </c>
      <c r="F561">
        <v>2.37187504768371</v>
      </c>
      <c r="G561">
        <v>582780000</v>
      </c>
      <c r="H561">
        <f t="shared" si="32"/>
        <v>1999</v>
      </c>
      <c r="I561">
        <f t="shared" si="33"/>
        <v>8</v>
      </c>
      <c r="J561" t="str">
        <f t="shared" si="34"/>
        <v>Aug</v>
      </c>
      <c r="K561" t="str">
        <f t="shared" si="35"/>
        <v>Tue</v>
      </c>
    </row>
    <row r="562" spans="1:11" x14ac:dyDescent="0.35">
      <c r="A562" s="1">
        <v>36376</v>
      </c>
      <c r="B562">
        <v>2.34375</v>
      </c>
      <c r="C562">
        <v>2.4093749523162802</v>
      </c>
      <c r="D562">
        <v>2.20000004768371</v>
      </c>
      <c r="E562">
        <v>2.2109379768371502</v>
      </c>
      <c r="F562">
        <v>2.2109379768371502</v>
      </c>
      <c r="G562">
        <v>448228000</v>
      </c>
      <c r="H562">
        <f t="shared" si="32"/>
        <v>1999</v>
      </c>
      <c r="I562">
        <f t="shared" si="33"/>
        <v>8</v>
      </c>
      <c r="J562" t="str">
        <f t="shared" si="34"/>
        <v>Aug</v>
      </c>
      <c r="K562" t="str">
        <f t="shared" si="35"/>
        <v>Wed</v>
      </c>
    </row>
    <row r="563" spans="1:11" x14ac:dyDescent="0.35">
      <c r="A563" s="1">
        <v>36377</v>
      </c>
      <c r="B563">
        <v>2.1890630722045898</v>
      </c>
      <c r="C563">
        <v>2.45000004768371</v>
      </c>
      <c r="D563">
        <v>2.0499999523162802</v>
      </c>
      <c r="E563">
        <v>2.4312500953674299</v>
      </c>
      <c r="F563">
        <v>2.4312500953674299</v>
      </c>
      <c r="G563">
        <v>750340000</v>
      </c>
      <c r="H563">
        <f t="shared" si="32"/>
        <v>1999</v>
      </c>
      <c r="I563">
        <f t="shared" si="33"/>
        <v>8</v>
      </c>
      <c r="J563" t="str">
        <f t="shared" si="34"/>
        <v>Aug</v>
      </c>
      <c r="K563" t="str">
        <f t="shared" si="35"/>
        <v>Thu</v>
      </c>
    </row>
    <row r="564" spans="1:11" x14ac:dyDescent="0.35">
      <c r="A564" s="1">
        <v>36378</v>
      </c>
      <c r="B564">
        <v>2.4156250953674299</v>
      </c>
      <c r="C564">
        <v>2.4874999523162802</v>
      </c>
      <c r="D564">
        <v>2.23125004768371</v>
      </c>
      <c r="E564">
        <v>2.23906302452087</v>
      </c>
      <c r="F564">
        <v>2.23906302452087</v>
      </c>
      <c r="G564">
        <v>424376000</v>
      </c>
      <c r="H564">
        <f t="shared" si="32"/>
        <v>1999</v>
      </c>
      <c r="I564">
        <f t="shared" si="33"/>
        <v>8</v>
      </c>
      <c r="J564" t="str">
        <f t="shared" si="34"/>
        <v>Aug</v>
      </c>
      <c r="K564" t="str">
        <f t="shared" si="35"/>
        <v>Fri</v>
      </c>
    </row>
    <row r="565" spans="1:11" x14ac:dyDescent="0.35">
      <c r="A565" s="1">
        <v>36381</v>
      </c>
      <c r="B565">
        <v>2.2874999046325599</v>
      </c>
      <c r="C565">
        <v>2.2874999046325599</v>
      </c>
      <c r="D565">
        <v>2.11406302452087</v>
      </c>
      <c r="E565">
        <v>2.13750004768371</v>
      </c>
      <c r="F565">
        <v>2.13750004768371</v>
      </c>
      <c r="G565">
        <v>260828000</v>
      </c>
      <c r="H565">
        <f t="shared" si="32"/>
        <v>1999</v>
      </c>
      <c r="I565">
        <f t="shared" si="33"/>
        <v>8</v>
      </c>
      <c r="J565" t="str">
        <f t="shared" si="34"/>
        <v>Aug</v>
      </c>
      <c r="K565" t="str">
        <f t="shared" si="35"/>
        <v>Mon</v>
      </c>
    </row>
    <row r="566" spans="1:11" x14ac:dyDescent="0.35">
      <c r="A566" s="1">
        <v>36382</v>
      </c>
      <c r="B566">
        <v>2.1343750953674299</v>
      </c>
      <c r="C566">
        <v>2.3046879768371502</v>
      </c>
      <c r="D566">
        <v>2.0499999523162802</v>
      </c>
      <c r="E566">
        <v>2.2750000953674299</v>
      </c>
      <c r="F566">
        <v>2.2750000953674299</v>
      </c>
      <c r="G566">
        <v>463900000</v>
      </c>
      <c r="H566">
        <f t="shared" si="32"/>
        <v>1999</v>
      </c>
      <c r="I566">
        <f t="shared" si="33"/>
        <v>8</v>
      </c>
      <c r="J566" t="str">
        <f t="shared" si="34"/>
        <v>Aug</v>
      </c>
      <c r="K566" t="str">
        <f t="shared" si="35"/>
        <v>Tue</v>
      </c>
    </row>
    <row r="567" spans="1:11" x14ac:dyDescent="0.35">
      <c r="A567" s="1">
        <v>36383</v>
      </c>
      <c r="B567">
        <v>2.30937504768371</v>
      </c>
      <c r="C567">
        <v>2.3812499046325599</v>
      </c>
      <c r="D567">
        <v>2.12968802452087</v>
      </c>
      <c r="E567">
        <v>2.2734379768371502</v>
      </c>
      <c r="F567">
        <v>2.2734379768371502</v>
      </c>
      <c r="G567">
        <v>513100000</v>
      </c>
      <c r="H567">
        <f t="shared" si="32"/>
        <v>1999</v>
      </c>
      <c r="I567">
        <f t="shared" si="33"/>
        <v>8</v>
      </c>
      <c r="J567" t="str">
        <f t="shared" si="34"/>
        <v>Aug</v>
      </c>
      <c r="K567" t="str">
        <f t="shared" si="35"/>
        <v>Wed</v>
      </c>
    </row>
    <row r="568" spans="1:11" x14ac:dyDescent="0.35">
      <c r="A568" s="1">
        <v>36384</v>
      </c>
      <c r="B568">
        <v>2.2750000953674299</v>
      </c>
      <c r="C568">
        <v>2.3937499523162802</v>
      </c>
      <c r="D568">
        <v>2.234375</v>
      </c>
      <c r="E568">
        <v>2.29375004768371</v>
      </c>
      <c r="F568">
        <v>2.29375004768371</v>
      </c>
      <c r="G568">
        <v>262816000</v>
      </c>
      <c r="H568">
        <f t="shared" si="32"/>
        <v>1999</v>
      </c>
      <c r="I568">
        <f t="shared" si="33"/>
        <v>8</v>
      </c>
      <c r="J568" t="str">
        <f t="shared" si="34"/>
        <v>Aug</v>
      </c>
      <c r="K568" t="str">
        <f t="shared" si="35"/>
        <v>Thu</v>
      </c>
    </row>
    <row r="569" spans="1:11" x14ac:dyDescent="0.35">
      <c r="A569" s="1">
        <v>36385</v>
      </c>
      <c r="B569">
        <v>2.375</v>
      </c>
      <c r="C569">
        <v>2.4359378814697199</v>
      </c>
      <c r="D569">
        <v>2.3531250953674299</v>
      </c>
      <c r="E569">
        <v>2.4359378814697199</v>
      </c>
      <c r="F569">
        <v>2.4359378814697199</v>
      </c>
      <c r="G569">
        <v>215696000</v>
      </c>
      <c r="H569">
        <f t="shared" si="32"/>
        <v>1999</v>
      </c>
      <c r="I569">
        <f t="shared" si="33"/>
        <v>8</v>
      </c>
      <c r="J569" t="str">
        <f t="shared" si="34"/>
        <v>Aug</v>
      </c>
      <c r="K569" t="str">
        <f t="shared" si="35"/>
        <v>Fri</v>
      </c>
    </row>
    <row r="570" spans="1:11" x14ac:dyDescent="0.35">
      <c r="A570" s="1">
        <v>36388</v>
      </c>
      <c r="B570">
        <v>2.4562499523162802</v>
      </c>
      <c r="C570">
        <v>2.5218749046325599</v>
      </c>
      <c r="D570">
        <v>2.38750004768371</v>
      </c>
      <c r="E570">
        <v>2.45781302452087</v>
      </c>
      <c r="F570">
        <v>2.45781302452087</v>
      </c>
      <c r="G570">
        <v>255064000</v>
      </c>
      <c r="H570">
        <f t="shared" si="32"/>
        <v>1999</v>
      </c>
      <c r="I570">
        <f t="shared" si="33"/>
        <v>8</v>
      </c>
      <c r="J570" t="str">
        <f t="shared" si="34"/>
        <v>Aug</v>
      </c>
      <c r="K570" t="str">
        <f t="shared" si="35"/>
        <v>Mon</v>
      </c>
    </row>
    <row r="571" spans="1:11" x14ac:dyDescent="0.35">
      <c r="A571" s="1">
        <v>36389</v>
      </c>
      <c r="B571">
        <v>2.51250004768371</v>
      </c>
      <c r="C571">
        <v>2.7374999523162802</v>
      </c>
      <c r="D571">
        <v>2.49687504768371</v>
      </c>
      <c r="E571">
        <v>2.73125004768371</v>
      </c>
      <c r="F571">
        <v>2.73125004768371</v>
      </c>
      <c r="G571">
        <v>473376000</v>
      </c>
      <c r="H571">
        <f t="shared" si="32"/>
        <v>1999</v>
      </c>
      <c r="I571">
        <f t="shared" si="33"/>
        <v>8</v>
      </c>
      <c r="J571" t="str">
        <f t="shared" si="34"/>
        <v>Aug</v>
      </c>
      <c r="K571" t="str">
        <f t="shared" si="35"/>
        <v>Tue</v>
      </c>
    </row>
    <row r="572" spans="1:11" x14ac:dyDescent="0.35">
      <c r="A572" s="1">
        <v>36390</v>
      </c>
      <c r="B572">
        <v>2.8781249523162802</v>
      </c>
      <c r="C572">
        <v>2.9375</v>
      </c>
      <c r="D572">
        <v>2.8125</v>
      </c>
      <c r="E572">
        <v>2.828125</v>
      </c>
      <c r="F572">
        <v>2.828125</v>
      </c>
      <c r="G572">
        <v>568308000</v>
      </c>
      <c r="H572">
        <f t="shared" si="32"/>
        <v>1999</v>
      </c>
      <c r="I572">
        <f t="shared" si="33"/>
        <v>8</v>
      </c>
      <c r="J572" t="str">
        <f t="shared" si="34"/>
        <v>Aug</v>
      </c>
      <c r="K572" t="str">
        <f t="shared" si="35"/>
        <v>Wed</v>
      </c>
    </row>
    <row r="573" spans="1:11" x14ac:dyDescent="0.35">
      <c r="A573" s="1">
        <v>36391</v>
      </c>
      <c r="B573">
        <v>2.7687499523162802</v>
      </c>
      <c r="C573">
        <v>2.7796878814697199</v>
      </c>
      <c r="D573">
        <v>2.6281249523162802</v>
      </c>
      <c r="E573">
        <v>2.65312504768371</v>
      </c>
      <c r="F573">
        <v>2.65312504768371</v>
      </c>
      <c r="G573">
        <v>365700000</v>
      </c>
      <c r="H573">
        <f t="shared" si="32"/>
        <v>1999</v>
      </c>
      <c r="I573">
        <f t="shared" si="33"/>
        <v>8</v>
      </c>
      <c r="J573" t="str">
        <f t="shared" si="34"/>
        <v>Aug</v>
      </c>
      <c r="K573" t="str">
        <f t="shared" si="35"/>
        <v>Thu</v>
      </c>
    </row>
    <row r="574" spans="1:11" x14ac:dyDescent="0.35">
      <c r="A574" s="1">
        <v>36392</v>
      </c>
      <c r="B574">
        <v>2.65625</v>
      </c>
      <c r="C574">
        <v>2.8390629291534402</v>
      </c>
      <c r="D574">
        <v>2.6281249523162802</v>
      </c>
      <c r="E574">
        <v>2.8359379768371502</v>
      </c>
      <c r="F574">
        <v>2.8359379768371502</v>
      </c>
      <c r="G574">
        <v>285624000</v>
      </c>
      <c r="H574">
        <f t="shared" si="32"/>
        <v>1999</v>
      </c>
      <c r="I574">
        <f t="shared" si="33"/>
        <v>8</v>
      </c>
      <c r="J574" t="str">
        <f t="shared" si="34"/>
        <v>Aug</v>
      </c>
      <c r="K574" t="str">
        <f t="shared" si="35"/>
        <v>Fri</v>
      </c>
    </row>
    <row r="575" spans="1:11" x14ac:dyDescent="0.35">
      <c r="A575" s="1">
        <v>36395</v>
      </c>
      <c r="B575">
        <v>2.8984379768371502</v>
      </c>
      <c r="C575">
        <v>3.01250004768371</v>
      </c>
      <c r="D575">
        <v>2.8937499523162802</v>
      </c>
      <c r="E575">
        <v>2.9593749046325599</v>
      </c>
      <c r="F575">
        <v>2.9593749046325599</v>
      </c>
      <c r="G575">
        <v>384120000</v>
      </c>
      <c r="H575">
        <f t="shared" si="32"/>
        <v>1999</v>
      </c>
      <c r="I575">
        <f t="shared" si="33"/>
        <v>8</v>
      </c>
      <c r="J575" t="str">
        <f t="shared" si="34"/>
        <v>Aug</v>
      </c>
      <c r="K575" t="str">
        <f t="shared" si="35"/>
        <v>Mon</v>
      </c>
    </row>
    <row r="576" spans="1:11" x14ac:dyDescent="0.35">
      <c r="A576" s="1">
        <v>36396</v>
      </c>
      <c r="B576">
        <v>2.9000000953674299</v>
      </c>
      <c r="C576">
        <v>3.13750004768371</v>
      </c>
      <c r="D576">
        <v>2.8984379768371502</v>
      </c>
      <c r="E576">
        <v>3.0015630722045898</v>
      </c>
      <c r="F576">
        <v>3.0015630722045898</v>
      </c>
      <c r="G576">
        <v>500200000</v>
      </c>
      <c r="H576">
        <f t="shared" si="32"/>
        <v>1999</v>
      </c>
      <c r="I576">
        <f t="shared" si="33"/>
        <v>8</v>
      </c>
      <c r="J576" t="str">
        <f t="shared" si="34"/>
        <v>Aug</v>
      </c>
      <c r="K576" t="str">
        <f t="shared" si="35"/>
        <v>Tue</v>
      </c>
    </row>
    <row r="577" spans="1:11" x14ac:dyDescent="0.35">
      <c r="A577" s="1">
        <v>36397</v>
      </c>
      <c r="B577">
        <v>3.0703129768371502</v>
      </c>
      <c r="C577">
        <v>3.32500004768371</v>
      </c>
      <c r="D577">
        <v>3.0374999046325599</v>
      </c>
      <c r="E577">
        <v>3.3218750953674299</v>
      </c>
      <c r="F577">
        <v>3.3218750953674299</v>
      </c>
      <c r="G577">
        <v>418828000</v>
      </c>
      <c r="H577">
        <f t="shared" si="32"/>
        <v>1999</v>
      </c>
      <c r="I577">
        <f t="shared" si="33"/>
        <v>8</v>
      </c>
      <c r="J577" t="str">
        <f t="shared" si="34"/>
        <v>Aug</v>
      </c>
      <c r="K577" t="str">
        <f t="shared" si="35"/>
        <v>Wed</v>
      </c>
    </row>
    <row r="578" spans="1:11" x14ac:dyDescent="0.35">
      <c r="A578" s="1">
        <v>36398</v>
      </c>
      <c r="B578">
        <v>3.32500004768371</v>
      </c>
      <c r="C578">
        <v>3.3890628814697199</v>
      </c>
      <c r="D578">
        <v>3.1875</v>
      </c>
      <c r="E578">
        <v>3.2140629291534402</v>
      </c>
      <c r="F578">
        <v>3.2140629291534402</v>
      </c>
      <c r="G578">
        <v>384884000</v>
      </c>
      <c r="H578">
        <f t="shared" si="32"/>
        <v>1999</v>
      </c>
      <c r="I578">
        <f t="shared" si="33"/>
        <v>8</v>
      </c>
      <c r="J578" t="str">
        <f t="shared" si="34"/>
        <v>Aug</v>
      </c>
      <c r="K578" t="str">
        <f t="shared" si="35"/>
        <v>Thu</v>
      </c>
    </row>
    <row r="579" spans="1:11" x14ac:dyDescent="0.35">
      <c r="A579" s="1">
        <v>36399</v>
      </c>
      <c r="B579">
        <v>3.26250004768371</v>
      </c>
      <c r="C579">
        <v>3.2632811069488499</v>
      </c>
      <c r="D579">
        <v>3.125</v>
      </c>
      <c r="E579">
        <v>3.2125000953674299</v>
      </c>
      <c r="F579">
        <v>3.2125000953674299</v>
      </c>
      <c r="G579">
        <v>258456000</v>
      </c>
      <c r="H579">
        <f t="shared" si="32"/>
        <v>1999</v>
      </c>
      <c r="I579">
        <f t="shared" si="33"/>
        <v>8</v>
      </c>
      <c r="J579" t="str">
        <f t="shared" si="34"/>
        <v>Aug</v>
      </c>
      <c r="K579" t="str">
        <f t="shared" si="35"/>
        <v>Fri</v>
      </c>
    </row>
    <row r="580" spans="1:11" x14ac:dyDescent="0.35">
      <c r="A580" s="1">
        <v>36402</v>
      </c>
      <c r="B580">
        <v>3.1890630722045898</v>
      </c>
      <c r="C580">
        <v>3.25</v>
      </c>
      <c r="D580">
        <v>2.9468750953674299</v>
      </c>
      <c r="E580">
        <v>2.98125004768371</v>
      </c>
      <c r="F580">
        <v>2.98125004768371</v>
      </c>
      <c r="G580">
        <v>369888000</v>
      </c>
      <c r="H580">
        <f t="shared" ref="H580:H643" si="36">YEAR($A580)</f>
        <v>1999</v>
      </c>
      <c r="I580">
        <f t="shared" ref="I580:I643" si="37">MONTH($A580)</f>
        <v>8</v>
      </c>
      <c r="J580" t="str">
        <f t="shared" ref="J580:J643" si="38">TEXT($A580,"mmm")</f>
        <v>Aug</v>
      </c>
      <c r="K580" t="str">
        <f t="shared" ref="K580:K643" si="39">TEXT($A580,"ddd")</f>
        <v>Mon</v>
      </c>
    </row>
    <row r="581" spans="1:11" x14ac:dyDescent="0.35">
      <c r="A581" s="1">
        <v>36403</v>
      </c>
      <c r="B581">
        <v>2.9593749046325599</v>
      </c>
      <c r="C581">
        <v>3.1171879768371502</v>
      </c>
      <c r="D581">
        <v>2.8046879768371502</v>
      </c>
      <c r="E581">
        <v>3.109375</v>
      </c>
      <c r="F581">
        <v>3.109375</v>
      </c>
      <c r="G581">
        <v>655848000</v>
      </c>
      <c r="H581">
        <f t="shared" si="36"/>
        <v>1999</v>
      </c>
      <c r="I581">
        <f t="shared" si="37"/>
        <v>8</v>
      </c>
      <c r="J581" t="str">
        <f t="shared" si="38"/>
        <v>Aug</v>
      </c>
      <c r="K581" t="str">
        <f t="shared" si="39"/>
        <v>Tue</v>
      </c>
    </row>
    <row r="582" spans="1:11" x14ac:dyDescent="0.35">
      <c r="A582" s="1">
        <v>36404</v>
      </c>
      <c r="B582">
        <v>3.1749999523162802</v>
      </c>
      <c r="C582">
        <v>3.1749999523162802</v>
      </c>
      <c r="D582">
        <v>2.9375</v>
      </c>
      <c r="E582">
        <v>2.9765629768371502</v>
      </c>
      <c r="F582">
        <v>2.9765629768371502</v>
      </c>
      <c r="G582">
        <v>439232000</v>
      </c>
      <c r="H582">
        <f t="shared" si="36"/>
        <v>1999</v>
      </c>
      <c r="I582">
        <f t="shared" si="37"/>
        <v>9</v>
      </c>
      <c r="J582" t="str">
        <f t="shared" si="38"/>
        <v>Sep</v>
      </c>
      <c r="K582" t="str">
        <f t="shared" si="39"/>
        <v>Wed</v>
      </c>
    </row>
    <row r="583" spans="1:11" x14ac:dyDescent="0.35">
      <c r="A583" s="1">
        <v>36405</v>
      </c>
      <c r="B583">
        <v>2.875</v>
      </c>
      <c r="C583">
        <v>3.0968749523162802</v>
      </c>
      <c r="D583">
        <v>2.8687500953674299</v>
      </c>
      <c r="E583">
        <v>3.0031249523162802</v>
      </c>
      <c r="F583">
        <v>3.0031249523162802</v>
      </c>
      <c r="G583">
        <v>336774000</v>
      </c>
      <c r="H583">
        <f t="shared" si="36"/>
        <v>1999</v>
      </c>
      <c r="I583">
        <f t="shared" si="37"/>
        <v>9</v>
      </c>
      <c r="J583" t="str">
        <f t="shared" si="38"/>
        <v>Sep</v>
      </c>
      <c r="K583" t="str">
        <f t="shared" si="39"/>
        <v>Thu</v>
      </c>
    </row>
    <row r="584" spans="1:11" x14ac:dyDescent="0.35">
      <c r="A584" s="1">
        <v>36406</v>
      </c>
      <c r="B584">
        <v>3.1812500953674299</v>
      </c>
      <c r="C584">
        <v>3.20000004768371</v>
      </c>
      <c r="D584">
        <v>3.03125</v>
      </c>
      <c r="E584">
        <v>3.12187504768371</v>
      </c>
      <c r="F584">
        <v>3.12187504768371</v>
      </c>
      <c r="G584">
        <v>328718000</v>
      </c>
      <c r="H584">
        <f t="shared" si="36"/>
        <v>1999</v>
      </c>
      <c r="I584">
        <f t="shared" si="37"/>
        <v>9</v>
      </c>
      <c r="J584" t="str">
        <f t="shared" si="38"/>
        <v>Sep</v>
      </c>
      <c r="K584" t="str">
        <f t="shared" si="39"/>
        <v>Fri</v>
      </c>
    </row>
    <row r="585" spans="1:11" x14ac:dyDescent="0.35">
      <c r="A585" s="1">
        <v>36410</v>
      </c>
      <c r="B585">
        <v>3.1906249523162802</v>
      </c>
      <c r="C585">
        <v>3.21875</v>
      </c>
      <c r="D585">
        <v>3.10625004768371</v>
      </c>
      <c r="E585">
        <v>3.1468749046325599</v>
      </c>
      <c r="F585">
        <v>3.1468749046325599</v>
      </c>
      <c r="G585">
        <v>180174000</v>
      </c>
      <c r="H585">
        <f t="shared" si="36"/>
        <v>1999</v>
      </c>
      <c r="I585">
        <f t="shared" si="37"/>
        <v>9</v>
      </c>
      <c r="J585" t="str">
        <f t="shared" si="38"/>
        <v>Sep</v>
      </c>
      <c r="K585" t="str">
        <f t="shared" si="39"/>
        <v>Tue</v>
      </c>
    </row>
    <row r="586" spans="1:11" x14ac:dyDescent="0.35">
      <c r="A586" s="1">
        <v>36411</v>
      </c>
      <c r="B586">
        <v>3.0999999046325599</v>
      </c>
      <c r="C586">
        <v>3.1624999046325599</v>
      </c>
      <c r="D586">
        <v>3.046875</v>
      </c>
      <c r="E586">
        <v>3.0718750953674299</v>
      </c>
      <c r="F586">
        <v>3.0718750953674299</v>
      </c>
      <c r="G586">
        <v>139520000</v>
      </c>
      <c r="H586">
        <f t="shared" si="36"/>
        <v>1999</v>
      </c>
      <c r="I586">
        <f t="shared" si="37"/>
        <v>9</v>
      </c>
      <c r="J586" t="str">
        <f t="shared" si="38"/>
        <v>Sep</v>
      </c>
      <c r="K586" t="str">
        <f t="shared" si="39"/>
        <v>Wed</v>
      </c>
    </row>
    <row r="587" spans="1:11" x14ac:dyDescent="0.35">
      <c r="A587" s="1">
        <v>36412</v>
      </c>
      <c r="B587">
        <v>3.1749999523162802</v>
      </c>
      <c r="C587">
        <v>3.2218749523162802</v>
      </c>
      <c r="D587">
        <v>3.1187500953674299</v>
      </c>
      <c r="E587">
        <v>3.1812500953674299</v>
      </c>
      <c r="F587">
        <v>3.1812500953674299</v>
      </c>
      <c r="G587">
        <v>183664000</v>
      </c>
      <c r="H587">
        <f t="shared" si="36"/>
        <v>1999</v>
      </c>
      <c r="I587">
        <f t="shared" si="37"/>
        <v>9</v>
      </c>
      <c r="J587" t="str">
        <f t="shared" si="38"/>
        <v>Sep</v>
      </c>
      <c r="K587" t="str">
        <f t="shared" si="39"/>
        <v>Thu</v>
      </c>
    </row>
    <row r="588" spans="1:11" x14ac:dyDescent="0.35">
      <c r="A588" s="1">
        <v>36413</v>
      </c>
      <c r="B588">
        <v>3.296875</v>
      </c>
      <c r="C588">
        <v>3.4000000953674299</v>
      </c>
      <c r="D588">
        <v>3.2437500953674299</v>
      </c>
      <c r="E588">
        <v>3.32500004768371</v>
      </c>
      <c r="F588">
        <v>3.32500004768371</v>
      </c>
      <c r="G588">
        <v>248418000</v>
      </c>
      <c r="H588">
        <f t="shared" si="36"/>
        <v>1999</v>
      </c>
      <c r="I588">
        <f t="shared" si="37"/>
        <v>9</v>
      </c>
      <c r="J588" t="str">
        <f t="shared" si="38"/>
        <v>Sep</v>
      </c>
      <c r="K588" t="str">
        <f t="shared" si="39"/>
        <v>Fri</v>
      </c>
    </row>
    <row r="589" spans="1:11" x14ac:dyDescent="0.35">
      <c r="A589" s="1">
        <v>36416</v>
      </c>
      <c r="B589">
        <v>3.28125</v>
      </c>
      <c r="C589">
        <v>3.2999999523162802</v>
      </c>
      <c r="D589">
        <v>3.125</v>
      </c>
      <c r="E589">
        <v>3.1656250953674299</v>
      </c>
      <c r="F589">
        <v>3.1656250953674299</v>
      </c>
      <c r="G589">
        <v>154952000</v>
      </c>
      <c r="H589">
        <f t="shared" si="36"/>
        <v>1999</v>
      </c>
      <c r="I589">
        <f t="shared" si="37"/>
        <v>9</v>
      </c>
      <c r="J589" t="str">
        <f t="shared" si="38"/>
        <v>Sep</v>
      </c>
      <c r="K589" t="str">
        <f t="shared" si="39"/>
        <v>Mon</v>
      </c>
    </row>
    <row r="590" spans="1:11" x14ac:dyDescent="0.35">
      <c r="A590" s="1">
        <v>36417</v>
      </c>
      <c r="B590">
        <v>3.13750004768371</v>
      </c>
      <c r="C590">
        <v>3.3218750953674299</v>
      </c>
      <c r="D590">
        <v>3.13750004768371</v>
      </c>
      <c r="E590">
        <v>3.2999999523162802</v>
      </c>
      <c r="F590">
        <v>3.2999999523162802</v>
      </c>
      <c r="G590">
        <v>175656000</v>
      </c>
      <c r="H590">
        <f t="shared" si="36"/>
        <v>1999</v>
      </c>
      <c r="I590">
        <f t="shared" si="37"/>
        <v>9</v>
      </c>
      <c r="J590" t="str">
        <f t="shared" si="38"/>
        <v>Sep</v>
      </c>
      <c r="K590" t="str">
        <f t="shared" si="39"/>
        <v>Tue</v>
      </c>
    </row>
    <row r="591" spans="1:11" x14ac:dyDescent="0.35">
      <c r="A591" s="1">
        <v>36418</v>
      </c>
      <c r="B591">
        <v>3.38750004768371</v>
      </c>
      <c r="C591">
        <v>3.3968749046325599</v>
      </c>
      <c r="D591">
        <v>3.25</v>
      </c>
      <c r="E591">
        <v>3.27812504768371</v>
      </c>
      <c r="F591">
        <v>3.27812504768371</v>
      </c>
      <c r="G591">
        <v>156346000</v>
      </c>
      <c r="H591">
        <f t="shared" si="36"/>
        <v>1999</v>
      </c>
      <c r="I591">
        <f t="shared" si="37"/>
        <v>9</v>
      </c>
      <c r="J591" t="str">
        <f t="shared" si="38"/>
        <v>Sep</v>
      </c>
      <c r="K591" t="str">
        <f t="shared" si="39"/>
        <v>Wed</v>
      </c>
    </row>
    <row r="592" spans="1:11" x14ac:dyDescent="0.35">
      <c r="A592" s="1">
        <v>36419</v>
      </c>
      <c r="B592">
        <v>3.24687504768371</v>
      </c>
      <c r="C592">
        <v>3.2906250953674299</v>
      </c>
      <c r="D592">
        <v>3.13750004768371</v>
      </c>
      <c r="E592">
        <v>3.26250004768371</v>
      </c>
      <c r="F592">
        <v>3.26250004768371</v>
      </c>
      <c r="G592">
        <v>141178000</v>
      </c>
      <c r="H592">
        <f t="shared" si="36"/>
        <v>1999</v>
      </c>
      <c r="I592">
        <f t="shared" si="37"/>
        <v>9</v>
      </c>
      <c r="J592" t="str">
        <f t="shared" si="38"/>
        <v>Sep</v>
      </c>
      <c r="K592" t="str">
        <f t="shared" si="39"/>
        <v>Thu</v>
      </c>
    </row>
    <row r="593" spans="1:11" x14ac:dyDescent="0.35">
      <c r="A593" s="1">
        <v>36420</v>
      </c>
      <c r="B593">
        <v>3.28125</v>
      </c>
      <c r="C593">
        <v>3.2999999523162802</v>
      </c>
      <c r="D593">
        <v>3.13750004768371</v>
      </c>
      <c r="E593">
        <v>3.1906249523162802</v>
      </c>
      <c r="F593">
        <v>3.1906249523162802</v>
      </c>
      <c r="G593">
        <v>144790000</v>
      </c>
      <c r="H593">
        <f t="shared" si="36"/>
        <v>1999</v>
      </c>
      <c r="I593">
        <f t="shared" si="37"/>
        <v>9</v>
      </c>
      <c r="J593" t="str">
        <f t="shared" si="38"/>
        <v>Sep</v>
      </c>
      <c r="K593" t="str">
        <f t="shared" si="39"/>
        <v>Fri</v>
      </c>
    </row>
    <row r="594" spans="1:11" x14ac:dyDescent="0.35">
      <c r="A594" s="1">
        <v>36423</v>
      </c>
      <c r="B594">
        <v>3.18437504768371</v>
      </c>
      <c r="C594">
        <v>3.25</v>
      </c>
      <c r="D594">
        <v>3.1343750953674299</v>
      </c>
      <c r="E594">
        <v>3.13750004768371</v>
      </c>
      <c r="F594">
        <v>3.13750004768371</v>
      </c>
      <c r="G594">
        <v>119142000</v>
      </c>
      <c r="H594">
        <f t="shared" si="36"/>
        <v>1999</v>
      </c>
      <c r="I594">
        <f t="shared" si="37"/>
        <v>9</v>
      </c>
      <c r="J594" t="str">
        <f t="shared" si="38"/>
        <v>Sep</v>
      </c>
      <c r="K594" t="str">
        <f t="shared" si="39"/>
        <v>Mon</v>
      </c>
    </row>
    <row r="595" spans="1:11" x14ac:dyDescent="0.35">
      <c r="A595" s="1">
        <v>36424</v>
      </c>
      <c r="B595">
        <v>3.0812499523162802</v>
      </c>
      <c r="C595">
        <v>3.1968750953674299</v>
      </c>
      <c r="D595">
        <v>3.0499999523162802</v>
      </c>
      <c r="E595">
        <v>3.1124999523162802</v>
      </c>
      <c r="F595">
        <v>3.1124999523162802</v>
      </c>
      <c r="G595">
        <v>164650000</v>
      </c>
      <c r="H595">
        <f t="shared" si="36"/>
        <v>1999</v>
      </c>
      <c r="I595">
        <f t="shared" si="37"/>
        <v>9</v>
      </c>
      <c r="J595" t="str">
        <f t="shared" si="38"/>
        <v>Sep</v>
      </c>
      <c r="K595" t="str">
        <f t="shared" si="39"/>
        <v>Tue</v>
      </c>
    </row>
    <row r="596" spans="1:11" x14ac:dyDescent="0.35">
      <c r="A596" s="1">
        <v>36425</v>
      </c>
      <c r="B596">
        <v>3.1437499523162802</v>
      </c>
      <c r="C596">
        <v>3.32500004768371</v>
      </c>
      <c r="D596">
        <v>3.0343749523162802</v>
      </c>
      <c r="E596">
        <v>3.2999999523162802</v>
      </c>
      <c r="F596">
        <v>3.2999999523162802</v>
      </c>
      <c r="G596">
        <v>200750000</v>
      </c>
      <c r="H596">
        <f t="shared" si="36"/>
        <v>1999</v>
      </c>
      <c r="I596">
        <f t="shared" si="37"/>
        <v>9</v>
      </c>
      <c r="J596" t="str">
        <f t="shared" si="38"/>
        <v>Sep</v>
      </c>
      <c r="K596" t="str">
        <f t="shared" si="39"/>
        <v>Wed</v>
      </c>
    </row>
    <row r="597" spans="1:11" x14ac:dyDescent="0.35">
      <c r="A597" s="1">
        <v>36426</v>
      </c>
      <c r="B597">
        <v>3.3499999046325599</v>
      </c>
      <c r="C597">
        <v>3.4375</v>
      </c>
      <c r="D597">
        <v>3.0617189407348602</v>
      </c>
      <c r="E597">
        <v>3.1124999523162802</v>
      </c>
      <c r="F597">
        <v>3.1124999523162802</v>
      </c>
      <c r="G597">
        <v>287472000</v>
      </c>
      <c r="H597">
        <f t="shared" si="36"/>
        <v>1999</v>
      </c>
      <c r="I597">
        <f t="shared" si="37"/>
        <v>9</v>
      </c>
      <c r="J597" t="str">
        <f t="shared" si="38"/>
        <v>Sep</v>
      </c>
      <c r="K597" t="str">
        <f t="shared" si="39"/>
        <v>Thu</v>
      </c>
    </row>
    <row r="598" spans="1:11" x14ac:dyDescent="0.35">
      <c r="A598" s="1">
        <v>36427</v>
      </c>
      <c r="B598">
        <v>3.0999999046325599</v>
      </c>
      <c r="C598">
        <v>3.2999999523162802</v>
      </c>
      <c r="D598">
        <v>3.07500004768371</v>
      </c>
      <c r="E598">
        <v>3.25</v>
      </c>
      <c r="F598">
        <v>3.25</v>
      </c>
      <c r="G598">
        <v>219450000</v>
      </c>
      <c r="H598">
        <f t="shared" si="36"/>
        <v>1999</v>
      </c>
      <c r="I598">
        <f t="shared" si="37"/>
        <v>9</v>
      </c>
      <c r="J598" t="str">
        <f t="shared" si="38"/>
        <v>Sep</v>
      </c>
      <c r="K598" t="str">
        <f t="shared" si="39"/>
        <v>Fri</v>
      </c>
    </row>
    <row r="599" spans="1:11" x14ac:dyDescent="0.35">
      <c r="A599" s="1">
        <v>36430</v>
      </c>
      <c r="B599">
        <v>3.30937504768371</v>
      </c>
      <c r="C599">
        <v>3.3937499523162802</v>
      </c>
      <c r="D599">
        <v>3.09375</v>
      </c>
      <c r="E599">
        <v>3.1281249523162802</v>
      </c>
      <c r="F599">
        <v>3.1281249523162802</v>
      </c>
      <c r="G599">
        <v>287662000</v>
      </c>
      <c r="H599">
        <f t="shared" si="36"/>
        <v>1999</v>
      </c>
      <c r="I599">
        <f t="shared" si="37"/>
        <v>9</v>
      </c>
      <c r="J599" t="str">
        <f t="shared" si="38"/>
        <v>Sep</v>
      </c>
      <c r="K599" t="str">
        <f t="shared" si="39"/>
        <v>Mon</v>
      </c>
    </row>
    <row r="600" spans="1:11" x14ac:dyDescent="0.35">
      <c r="A600" s="1">
        <v>36431</v>
      </c>
      <c r="B600">
        <v>3.125</v>
      </c>
      <c r="C600">
        <v>3.32500004768371</v>
      </c>
      <c r="D600">
        <v>3.0562500953674299</v>
      </c>
      <c r="E600">
        <v>3.29375004768371</v>
      </c>
      <c r="F600">
        <v>3.29375004768371</v>
      </c>
      <c r="G600">
        <v>315376000</v>
      </c>
      <c r="H600">
        <f t="shared" si="36"/>
        <v>1999</v>
      </c>
      <c r="I600">
        <f t="shared" si="37"/>
        <v>9</v>
      </c>
      <c r="J600" t="str">
        <f t="shared" si="38"/>
        <v>Sep</v>
      </c>
      <c r="K600" t="str">
        <f t="shared" si="39"/>
        <v>Tue</v>
      </c>
    </row>
    <row r="601" spans="1:11" x14ac:dyDescent="0.35">
      <c r="A601" s="1">
        <v>36432</v>
      </c>
      <c r="B601">
        <v>3.32500004768371</v>
      </c>
      <c r="C601">
        <v>4.25</v>
      </c>
      <c r="D601">
        <v>3.2874999046325599</v>
      </c>
      <c r="E601">
        <v>4.0374999046325604</v>
      </c>
      <c r="F601">
        <v>4.0374999046325604</v>
      </c>
      <c r="G601">
        <v>1587488000</v>
      </c>
      <c r="H601">
        <f t="shared" si="36"/>
        <v>1999</v>
      </c>
      <c r="I601">
        <f t="shared" si="37"/>
        <v>9</v>
      </c>
      <c r="J601" t="str">
        <f t="shared" si="38"/>
        <v>Sep</v>
      </c>
      <c r="K601" t="str">
        <f t="shared" si="39"/>
        <v>Wed</v>
      </c>
    </row>
    <row r="602" spans="1:11" x14ac:dyDescent="0.35">
      <c r="A602" s="1">
        <v>36433</v>
      </c>
      <c r="B602">
        <v>3.9906249046325599</v>
      </c>
      <c r="C602">
        <v>4.0749998092651296</v>
      </c>
      <c r="D602">
        <v>3.8125</v>
      </c>
      <c r="E602">
        <v>3.99687504768371</v>
      </c>
      <c r="F602">
        <v>3.99687504768371</v>
      </c>
      <c r="G602">
        <v>620924000</v>
      </c>
      <c r="H602">
        <f t="shared" si="36"/>
        <v>1999</v>
      </c>
      <c r="I602">
        <f t="shared" si="37"/>
        <v>9</v>
      </c>
      <c r="J602" t="str">
        <f t="shared" si="38"/>
        <v>Sep</v>
      </c>
      <c r="K602" t="str">
        <f t="shared" si="39"/>
        <v>Thu</v>
      </c>
    </row>
    <row r="603" spans="1:11" x14ac:dyDescent="0.35">
      <c r="A603" s="1">
        <v>36434</v>
      </c>
      <c r="B603">
        <v>3.8499999046325599</v>
      </c>
      <c r="C603">
        <v>3.9625000953674299</v>
      </c>
      <c r="D603">
        <v>3.83281302452087</v>
      </c>
      <c r="E603">
        <v>3.8624999523162802</v>
      </c>
      <c r="F603">
        <v>3.8624999523162802</v>
      </c>
      <c r="G603">
        <v>208606000</v>
      </c>
      <c r="H603">
        <f t="shared" si="36"/>
        <v>1999</v>
      </c>
      <c r="I603">
        <f t="shared" si="37"/>
        <v>10</v>
      </c>
      <c r="J603" t="str">
        <f t="shared" si="38"/>
        <v>Oct</v>
      </c>
      <c r="K603" t="str">
        <f t="shared" si="39"/>
        <v>Fri</v>
      </c>
    </row>
    <row r="604" spans="1:11" x14ac:dyDescent="0.35">
      <c r="A604" s="1">
        <v>36437</v>
      </c>
      <c r="B604">
        <v>3.9718749523162802</v>
      </c>
      <c r="C604">
        <v>3.9874999523162802</v>
      </c>
      <c r="D604">
        <v>3.7874999046325599</v>
      </c>
      <c r="E604">
        <v>3.8531250953674299</v>
      </c>
      <c r="F604">
        <v>3.8531250953674299</v>
      </c>
      <c r="G604">
        <v>195148000</v>
      </c>
      <c r="H604">
        <f t="shared" si="36"/>
        <v>1999</v>
      </c>
      <c r="I604">
        <f t="shared" si="37"/>
        <v>10</v>
      </c>
      <c r="J604" t="str">
        <f t="shared" si="38"/>
        <v>Oct</v>
      </c>
      <c r="K604" t="str">
        <f t="shared" si="39"/>
        <v>Mon</v>
      </c>
    </row>
    <row r="605" spans="1:11" x14ac:dyDescent="0.35">
      <c r="A605" s="1">
        <v>36438</v>
      </c>
      <c r="B605">
        <v>3.85625004768371</v>
      </c>
      <c r="C605">
        <v>3.9874999523162802</v>
      </c>
      <c r="D605">
        <v>3.7374999523162802</v>
      </c>
      <c r="E605">
        <v>3.921875</v>
      </c>
      <c r="F605">
        <v>3.921875</v>
      </c>
      <c r="G605">
        <v>328402000</v>
      </c>
      <c r="H605">
        <f t="shared" si="36"/>
        <v>1999</v>
      </c>
      <c r="I605">
        <f t="shared" si="37"/>
        <v>10</v>
      </c>
      <c r="J605" t="str">
        <f t="shared" si="38"/>
        <v>Oct</v>
      </c>
      <c r="K605" t="str">
        <f t="shared" si="39"/>
        <v>Tue</v>
      </c>
    </row>
    <row r="606" spans="1:11" x14ac:dyDescent="0.35">
      <c r="A606" s="1">
        <v>36439</v>
      </c>
      <c r="B606">
        <v>3.9781250953674299</v>
      </c>
      <c r="C606">
        <v>4.1812500953674299</v>
      </c>
      <c r="D606">
        <v>3.9749999046325599</v>
      </c>
      <c r="E606">
        <v>4.1218748092651296</v>
      </c>
      <c r="F606">
        <v>4.1218748092651296</v>
      </c>
      <c r="G606">
        <v>310644000</v>
      </c>
      <c r="H606">
        <f t="shared" si="36"/>
        <v>1999</v>
      </c>
      <c r="I606">
        <f t="shared" si="37"/>
        <v>10</v>
      </c>
      <c r="J606" t="str">
        <f t="shared" si="38"/>
        <v>Oct</v>
      </c>
      <c r="K606" t="str">
        <f t="shared" si="39"/>
        <v>Wed</v>
      </c>
    </row>
    <row r="607" spans="1:11" x14ac:dyDescent="0.35">
      <c r="A607" s="1">
        <v>36440</v>
      </c>
      <c r="B607">
        <v>4.28125</v>
      </c>
      <c r="C607">
        <v>4.5</v>
      </c>
      <c r="D607">
        <v>4.1750001907348597</v>
      </c>
      <c r="E607">
        <v>4.3656249046325604</v>
      </c>
      <c r="F607">
        <v>4.3656249046325604</v>
      </c>
      <c r="G607">
        <v>492188000</v>
      </c>
      <c r="H607">
        <f t="shared" si="36"/>
        <v>1999</v>
      </c>
      <c r="I607">
        <f t="shared" si="37"/>
        <v>10</v>
      </c>
      <c r="J607" t="str">
        <f t="shared" si="38"/>
        <v>Oct</v>
      </c>
      <c r="K607" t="str">
        <f t="shared" si="39"/>
        <v>Thu</v>
      </c>
    </row>
    <row r="608" spans="1:11" x14ac:dyDescent="0.35">
      <c r="A608" s="1">
        <v>36441</v>
      </c>
      <c r="B608">
        <v>4.34375</v>
      </c>
      <c r="C608">
        <v>4.4749999046325604</v>
      </c>
      <c r="D608">
        <v>4.2218751907348597</v>
      </c>
      <c r="E608">
        <v>4.4625000953674299</v>
      </c>
      <c r="F608">
        <v>4.4625000953674299</v>
      </c>
      <c r="G608">
        <v>229174000</v>
      </c>
      <c r="H608">
        <f t="shared" si="36"/>
        <v>1999</v>
      </c>
      <c r="I608">
        <f t="shared" si="37"/>
        <v>10</v>
      </c>
      <c r="J608" t="str">
        <f t="shared" si="38"/>
        <v>Oct</v>
      </c>
      <c r="K608" t="str">
        <f t="shared" si="39"/>
        <v>Fri</v>
      </c>
    </row>
    <row r="609" spans="1:11" x14ac:dyDescent="0.35">
      <c r="A609" s="1">
        <v>36444</v>
      </c>
      <c r="B609">
        <v>4.4562501907348597</v>
      </c>
      <c r="C609">
        <v>4.46875</v>
      </c>
      <c r="D609">
        <v>4.3375000953674299</v>
      </c>
      <c r="E609">
        <v>4.4187498092651296</v>
      </c>
      <c r="F609">
        <v>4.4187498092651296</v>
      </c>
      <c r="G609">
        <v>133848000</v>
      </c>
      <c r="H609">
        <f t="shared" si="36"/>
        <v>1999</v>
      </c>
      <c r="I609">
        <f t="shared" si="37"/>
        <v>10</v>
      </c>
      <c r="J609" t="str">
        <f t="shared" si="38"/>
        <v>Oct</v>
      </c>
      <c r="K609" t="str">
        <f t="shared" si="39"/>
        <v>Mon</v>
      </c>
    </row>
    <row r="610" spans="1:11" x14ac:dyDescent="0.35">
      <c r="A610" s="1">
        <v>36445</v>
      </c>
      <c r="B610">
        <v>4.3843750953674299</v>
      </c>
      <c r="C610">
        <v>4.4250001907348597</v>
      </c>
      <c r="D610">
        <v>4.2437500953674299</v>
      </c>
      <c r="E610">
        <v>4.2468748092651296</v>
      </c>
      <c r="F610">
        <v>4.2468748092651296</v>
      </c>
      <c r="G610">
        <v>144628000</v>
      </c>
      <c r="H610">
        <f t="shared" si="36"/>
        <v>1999</v>
      </c>
      <c r="I610">
        <f t="shared" si="37"/>
        <v>10</v>
      </c>
      <c r="J610" t="str">
        <f t="shared" si="38"/>
        <v>Oct</v>
      </c>
      <c r="K610" t="str">
        <f t="shared" si="39"/>
        <v>Tue</v>
      </c>
    </row>
    <row r="611" spans="1:11" x14ac:dyDescent="0.35">
      <c r="A611" s="1">
        <v>36446</v>
      </c>
      <c r="B611">
        <v>4.125</v>
      </c>
      <c r="C611">
        <v>4.25</v>
      </c>
      <c r="D611">
        <v>3.9781250953674299</v>
      </c>
      <c r="E611">
        <v>3.99687504768371</v>
      </c>
      <c r="F611">
        <v>3.99687504768371</v>
      </c>
      <c r="G611">
        <v>231236000</v>
      </c>
      <c r="H611">
        <f t="shared" si="36"/>
        <v>1999</v>
      </c>
      <c r="I611">
        <f t="shared" si="37"/>
        <v>10</v>
      </c>
      <c r="J611" t="str">
        <f t="shared" si="38"/>
        <v>Oct</v>
      </c>
      <c r="K611" t="str">
        <f t="shared" si="39"/>
        <v>Wed</v>
      </c>
    </row>
    <row r="612" spans="1:11" x14ac:dyDescent="0.35">
      <c r="A612" s="1">
        <v>36447</v>
      </c>
      <c r="B612">
        <v>4.0250000953674299</v>
      </c>
      <c r="C612">
        <v>4.1687498092651296</v>
      </c>
      <c r="D612">
        <v>3.921875</v>
      </c>
      <c r="E612">
        <v>3.9796879291534402</v>
      </c>
      <c r="F612">
        <v>3.9796879291534402</v>
      </c>
      <c r="G612">
        <v>254260000</v>
      </c>
      <c r="H612">
        <f t="shared" si="36"/>
        <v>1999</v>
      </c>
      <c r="I612">
        <f t="shared" si="37"/>
        <v>10</v>
      </c>
      <c r="J612" t="str">
        <f t="shared" si="38"/>
        <v>Oct</v>
      </c>
      <c r="K612" t="str">
        <f t="shared" si="39"/>
        <v>Thu</v>
      </c>
    </row>
    <row r="613" spans="1:11" x14ac:dyDescent="0.35">
      <c r="A613" s="1">
        <v>36448</v>
      </c>
      <c r="B613">
        <v>3.79375004768371</v>
      </c>
      <c r="C613">
        <v>3.8531250953674299</v>
      </c>
      <c r="D613">
        <v>3.6968750953674299</v>
      </c>
      <c r="E613">
        <v>3.7531249523162802</v>
      </c>
      <c r="F613">
        <v>3.7531249523162802</v>
      </c>
      <c r="G613">
        <v>243738000</v>
      </c>
      <c r="H613">
        <f t="shared" si="36"/>
        <v>1999</v>
      </c>
      <c r="I613">
        <f t="shared" si="37"/>
        <v>10</v>
      </c>
      <c r="J613" t="str">
        <f t="shared" si="38"/>
        <v>Oct</v>
      </c>
      <c r="K613" t="str">
        <f t="shared" si="39"/>
        <v>Fri</v>
      </c>
    </row>
    <row r="614" spans="1:11" x14ac:dyDescent="0.35">
      <c r="A614" s="1">
        <v>36451</v>
      </c>
      <c r="B614">
        <v>3.7531249523162802</v>
      </c>
      <c r="C614">
        <v>3.82500004768371</v>
      </c>
      <c r="D614">
        <v>3.5531249046325599</v>
      </c>
      <c r="E614">
        <v>3.703125</v>
      </c>
      <c r="F614">
        <v>3.703125</v>
      </c>
      <c r="G614">
        <v>215876000</v>
      </c>
      <c r="H614">
        <f t="shared" si="36"/>
        <v>1999</v>
      </c>
      <c r="I614">
        <f t="shared" si="37"/>
        <v>10</v>
      </c>
      <c r="J614" t="str">
        <f t="shared" si="38"/>
        <v>Oct</v>
      </c>
      <c r="K614" t="str">
        <f t="shared" si="39"/>
        <v>Mon</v>
      </c>
    </row>
    <row r="615" spans="1:11" x14ac:dyDescent="0.35">
      <c r="A615" s="1">
        <v>36452</v>
      </c>
      <c r="B615">
        <v>3.8812499046325599</v>
      </c>
      <c r="C615">
        <v>3.9124999046325599</v>
      </c>
      <c r="D615">
        <v>3.78125</v>
      </c>
      <c r="E615">
        <v>3.8312499523162802</v>
      </c>
      <c r="F615">
        <v>3.8312499523162802</v>
      </c>
      <c r="G615">
        <v>155600000</v>
      </c>
      <c r="H615">
        <f t="shared" si="36"/>
        <v>1999</v>
      </c>
      <c r="I615">
        <f t="shared" si="37"/>
        <v>10</v>
      </c>
      <c r="J615" t="str">
        <f t="shared" si="38"/>
        <v>Oct</v>
      </c>
      <c r="K615" t="str">
        <f t="shared" si="39"/>
        <v>Tue</v>
      </c>
    </row>
    <row r="616" spans="1:11" x14ac:dyDescent="0.35">
      <c r="A616" s="1">
        <v>36453</v>
      </c>
      <c r="B616">
        <v>3.9156250953674299</v>
      </c>
      <c r="C616">
        <v>4.03125</v>
      </c>
      <c r="D616">
        <v>3.81718802452087</v>
      </c>
      <c r="E616">
        <v>4.0250000953674299</v>
      </c>
      <c r="F616">
        <v>4.0250000953674299</v>
      </c>
      <c r="G616">
        <v>154710000</v>
      </c>
      <c r="H616">
        <f t="shared" si="36"/>
        <v>1999</v>
      </c>
      <c r="I616">
        <f t="shared" si="37"/>
        <v>10</v>
      </c>
      <c r="J616" t="str">
        <f t="shared" si="38"/>
        <v>Oct</v>
      </c>
      <c r="K616" t="str">
        <f t="shared" si="39"/>
        <v>Wed</v>
      </c>
    </row>
    <row r="617" spans="1:11" x14ac:dyDescent="0.35">
      <c r="A617" s="1">
        <v>36454</v>
      </c>
      <c r="B617">
        <v>3.8968749046325599</v>
      </c>
      <c r="C617">
        <v>4.140625</v>
      </c>
      <c r="D617">
        <v>3.8531250953674299</v>
      </c>
      <c r="E617">
        <v>4.0374999046325604</v>
      </c>
      <c r="F617">
        <v>4.0374999046325604</v>
      </c>
      <c r="G617">
        <v>179220000</v>
      </c>
      <c r="H617">
        <f t="shared" si="36"/>
        <v>1999</v>
      </c>
      <c r="I617">
        <f t="shared" si="37"/>
        <v>10</v>
      </c>
      <c r="J617" t="str">
        <f t="shared" si="38"/>
        <v>Oct</v>
      </c>
      <c r="K617" t="str">
        <f t="shared" si="39"/>
        <v>Thu</v>
      </c>
    </row>
    <row r="618" spans="1:11" x14ac:dyDescent="0.35">
      <c r="A618" s="1">
        <v>36455</v>
      </c>
      <c r="B618">
        <v>4.0718750953674299</v>
      </c>
      <c r="C618">
        <v>4.1812500953674299</v>
      </c>
      <c r="D618">
        <v>3.9000000953674299</v>
      </c>
      <c r="E618">
        <v>3.9312500953674299</v>
      </c>
      <c r="F618">
        <v>3.9312500953674299</v>
      </c>
      <c r="G618">
        <v>146096000</v>
      </c>
      <c r="H618">
        <f t="shared" si="36"/>
        <v>1999</v>
      </c>
      <c r="I618">
        <f t="shared" si="37"/>
        <v>10</v>
      </c>
      <c r="J618" t="str">
        <f t="shared" si="38"/>
        <v>Oct</v>
      </c>
      <c r="K618" t="str">
        <f t="shared" si="39"/>
        <v>Fri</v>
      </c>
    </row>
    <row r="619" spans="1:11" x14ac:dyDescent="0.35">
      <c r="A619" s="1">
        <v>36458</v>
      </c>
      <c r="B619">
        <v>3.95000004768371</v>
      </c>
      <c r="C619">
        <v>4.1500000953674299</v>
      </c>
      <c r="D619">
        <v>3.8968749046325599</v>
      </c>
      <c r="E619">
        <v>4.1374998092651296</v>
      </c>
      <c r="F619">
        <v>4.1374998092651296</v>
      </c>
      <c r="G619">
        <v>143618000</v>
      </c>
      <c r="H619">
        <f t="shared" si="36"/>
        <v>1999</v>
      </c>
      <c r="I619">
        <f t="shared" si="37"/>
        <v>10</v>
      </c>
      <c r="J619" t="str">
        <f t="shared" si="38"/>
        <v>Oct</v>
      </c>
      <c r="K619" t="str">
        <f t="shared" si="39"/>
        <v>Mon</v>
      </c>
    </row>
    <row r="620" spans="1:11" x14ac:dyDescent="0.35">
      <c r="A620" s="1">
        <v>36459</v>
      </c>
      <c r="B620">
        <v>4.15625</v>
      </c>
      <c r="C620">
        <v>4.2156248092651296</v>
      </c>
      <c r="D620">
        <v>4.0062499046325604</v>
      </c>
      <c r="E620">
        <v>4.0625</v>
      </c>
      <c r="F620">
        <v>4.0625</v>
      </c>
      <c r="G620">
        <v>154230000</v>
      </c>
      <c r="H620">
        <f t="shared" si="36"/>
        <v>1999</v>
      </c>
      <c r="I620">
        <f t="shared" si="37"/>
        <v>10</v>
      </c>
      <c r="J620" t="str">
        <f t="shared" si="38"/>
        <v>Oct</v>
      </c>
      <c r="K620" t="str">
        <f t="shared" si="39"/>
        <v>Tue</v>
      </c>
    </row>
    <row r="621" spans="1:11" x14ac:dyDescent="0.35">
      <c r="A621" s="1">
        <v>36460</v>
      </c>
      <c r="B621">
        <v>3.96875</v>
      </c>
      <c r="C621">
        <v>3.96875</v>
      </c>
      <c r="D621">
        <v>3.7406249046325599</v>
      </c>
      <c r="E621">
        <v>3.796875</v>
      </c>
      <c r="F621">
        <v>3.796875</v>
      </c>
      <c r="G621">
        <v>256704000</v>
      </c>
      <c r="H621">
        <f t="shared" si="36"/>
        <v>1999</v>
      </c>
      <c r="I621">
        <f t="shared" si="37"/>
        <v>10</v>
      </c>
      <c r="J621" t="str">
        <f t="shared" si="38"/>
        <v>Oct</v>
      </c>
      <c r="K621" t="str">
        <f t="shared" si="39"/>
        <v>Wed</v>
      </c>
    </row>
    <row r="622" spans="1:11" x14ac:dyDescent="0.35">
      <c r="A622" s="1">
        <v>36461</v>
      </c>
      <c r="B622">
        <v>3.4749999046325599</v>
      </c>
      <c r="C622">
        <v>3.65625</v>
      </c>
      <c r="D622">
        <v>3.29375004768371</v>
      </c>
      <c r="E622">
        <v>3.5499999523162802</v>
      </c>
      <c r="F622">
        <v>3.5499999523162802</v>
      </c>
      <c r="G622">
        <v>714528000</v>
      </c>
      <c r="H622">
        <f t="shared" si="36"/>
        <v>1999</v>
      </c>
      <c r="I622">
        <f t="shared" si="37"/>
        <v>10</v>
      </c>
      <c r="J622" t="str">
        <f t="shared" si="38"/>
        <v>Oct</v>
      </c>
      <c r="K622" t="str">
        <f t="shared" si="39"/>
        <v>Thu</v>
      </c>
    </row>
    <row r="623" spans="1:11" x14ac:dyDescent="0.35">
      <c r="A623" s="1">
        <v>36462</v>
      </c>
      <c r="B623">
        <v>3.63750004768371</v>
      </c>
      <c r="C623">
        <v>3.640625</v>
      </c>
      <c r="D623">
        <v>3.4625000953674299</v>
      </c>
      <c r="E623">
        <v>3.53125</v>
      </c>
      <c r="F623">
        <v>3.53125</v>
      </c>
      <c r="G623">
        <v>193776000</v>
      </c>
      <c r="H623">
        <f t="shared" si="36"/>
        <v>1999</v>
      </c>
      <c r="I623">
        <f t="shared" si="37"/>
        <v>10</v>
      </c>
      <c r="J623" t="str">
        <f t="shared" si="38"/>
        <v>Oct</v>
      </c>
      <c r="K623" t="str">
        <f t="shared" si="39"/>
        <v>Fri</v>
      </c>
    </row>
    <row r="624" spans="1:11" x14ac:dyDescent="0.35">
      <c r="A624" s="1">
        <v>36465</v>
      </c>
      <c r="B624">
        <v>3.40312504768371</v>
      </c>
      <c r="C624">
        <v>3.59375</v>
      </c>
      <c r="D624">
        <v>3.3156249523162802</v>
      </c>
      <c r="E624">
        <v>3.4562499523162802</v>
      </c>
      <c r="F624">
        <v>3.4562499523162802</v>
      </c>
      <c r="G624">
        <v>256482000</v>
      </c>
      <c r="H624">
        <f t="shared" si="36"/>
        <v>1999</v>
      </c>
      <c r="I624">
        <f t="shared" si="37"/>
        <v>11</v>
      </c>
      <c r="J624" t="str">
        <f t="shared" si="38"/>
        <v>Nov</v>
      </c>
      <c r="K624" t="str">
        <f t="shared" si="39"/>
        <v>Mon</v>
      </c>
    </row>
    <row r="625" spans="1:11" x14ac:dyDescent="0.35">
      <c r="A625" s="1">
        <v>36466</v>
      </c>
      <c r="B625">
        <v>3.4874999523162802</v>
      </c>
      <c r="C625">
        <v>3.5</v>
      </c>
      <c r="D625">
        <v>3.2531249523162802</v>
      </c>
      <c r="E625">
        <v>3.3218750953674299</v>
      </c>
      <c r="F625">
        <v>3.3218750953674299</v>
      </c>
      <c r="G625">
        <v>264864000</v>
      </c>
      <c r="H625">
        <f t="shared" si="36"/>
        <v>1999</v>
      </c>
      <c r="I625">
        <f t="shared" si="37"/>
        <v>11</v>
      </c>
      <c r="J625" t="str">
        <f t="shared" si="38"/>
        <v>Nov</v>
      </c>
      <c r="K625" t="str">
        <f t="shared" si="39"/>
        <v>Tue</v>
      </c>
    </row>
    <row r="626" spans="1:11" x14ac:dyDescent="0.35">
      <c r="A626" s="1">
        <v>36467</v>
      </c>
      <c r="B626">
        <v>3.4093749523162802</v>
      </c>
      <c r="C626">
        <v>3.4249999523162802</v>
      </c>
      <c r="D626">
        <v>3.25</v>
      </c>
      <c r="E626">
        <v>3.2906250953674299</v>
      </c>
      <c r="F626">
        <v>3.2906250953674299</v>
      </c>
      <c r="G626">
        <v>215442000</v>
      </c>
      <c r="H626">
        <f t="shared" si="36"/>
        <v>1999</v>
      </c>
      <c r="I626">
        <f t="shared" si="37"/>
        <v>11</v>
      </c>
      <c r="J626" t="str">
        <f t="shared" si="38"/>
        <v>Nov</v>
      </c>
      <c r="K626" t="str">
        <f t="shared" si="39"/>
        <v>Wed</v>
      </c>
    </row>
    <row r="627" spans="1:11" x14ac:dyDescent="0.35">
      <c r="A627" s="1">
        <v>36468</v>
      </c>
      <c r="B627">
        <v>3.359375</v>
      </c>
      <c r="C627">
        <v>3.3937499523162802</v>
      </c>
      <c r="D627">
        <v>3.0499999523162802</v>
      </c>
      <c r="E627">
        <v>3.15312504768371</v>
      </c>
      <c r="F627">
        <v>3.15312504768371</v>
      </c>
      <c r="G627">
        <v>335184000</v>
      </c>
      <c r="H627">
        <f t="shared" si="36"/>
        <v>1999</v>
      </c>
      <c r="I627">
        <f t="shared" si="37"/>
        <v>11</v>
      </c>
      <c r="J627" t="str">
        <f t="shared" si="38"/>
        <v>Nov</v>
      </c>
      <c r="K627" t="str">
        <f t="shared" si="39"/>
        <v>Thu</v>
      </c>
    </row>
    <row r="628" spans="1:11" x14ac:dyDescent="0.35">
      <c r="A628" s="1">
        <v>36469</v>
      </c>
      <c r="B628">
        <v>3.2374999523162802</v>
      </c>
      <c r="C628">
        <v>3.2750000953674299</v>
      </c>
      <c r="D628">
        <v>3.1124999523162802</v>
      </c>
      <c r="E628">
        <v>3.24687504768371</v>
      </c>
      <c r="F628">
        <v>3.24687504768371</v>
      </c>
      <c r="G628">
        <v>221828000</v>
      </c>
      <c r="H628">
        <f t="shared" si="36"/>
        <v>1999</v>
      </c>
      <c r="I628">
        <f t="shared" si="37"/>
        <v>11</v>
      </c>
      <c r="J628" t="str">
        <f t="shared" si="38"/>
        <v>Nov</v>
      </c>
      <c r="K628" t="str">
        <f t="shared" si="39"/>
        <v>Fri</v>
      </c>
    </row>
    <row r="629" spans="1:11" x14ac:dyDescent="0.35">
      <c r="A629" s="1">
        <v>36472</v>
      </c>
      <c r="B629">
        <v>3.2406249046325599</v>
      </c>
      <c r="C629">
        <v>4</v>
      </c>
      <c r="D629">
        <v>3.1749999523162802</v>
      </c>
      <c r="E629">
        <v>3.9000000953674299</v>
      </c>
      <c r="F629">
        <v>3.9000000953674299</v>
      </c>
      <c r="G629">
        <v>646788000</v>
      </c>
      <c r="H629">
        <f t="shared" si="36"/>
        <v>1999</v>
      </c>
      <c r="I629">
        <f t="shared" si="37"/>
        <v>11</v>
      </c>
      <c r="J629" t="str">
        <f t="shared" si="38"/>
        <v>Nov</v>
      </c>
      <c r="K629" t="str">
        <f t="shared" si="39"/>
        <v>Mon</v>
      </c>
    </row>
    <row r="630" spans="1:11" x14ac:dyDescent="0.35">
      <c r="A630" s="1">
        <v>36473</v>
      </c>
      <c r="B630">
        <v>4.0999999046325604</v>
      </c>
      <c r="C630">
        <v>4.1531248092651296</v>
      </c>
      <c r="D630">
        <v>3.5</v>
      </c>
      <c r="E630">
        <v>3.5406250953674299</v>
      </c>
      <c r="F630">
        <v>3.5406250953674299</v>
      </c>
      <c r="G630">
        <v>529542000</v>
      </c>
      <c r="H630">
        <f t="shared" si="36"/>
        <v>1999</v>
      </c>
      <c r="I630">
        <f t="shared" si="37"/>
        <v>11</v>
      </c>
      <c r="J630" t="str">
        <f t="shared" si="38"/>
        <v>Nov</v>
      </c>
      <c r="K630" t="str">
        <f t="shared" si="39"/>
        <v>Tue</v>
      </c>
    </row>
    <row r="631" spans="1:11" x14ac:dyDescent="0.35">
      <c r="A631" s="1">
        <v>36474</v>
      </c>
      <c r="B631">
        <v>3.578125</v>
      </c>
      <c r="C631">
        <v>3.75</v>
      </c>
      <c r="D631">
        <v>3.5062499046325599</v>
      </c>
      <c r="E631">
        <v>3.5999999046325599</v>
      </c>
      <c r="F631">
        <v>3.5999999046325599</v>
      </c>
      <c r="G631">
        <v>230134000</v>
      </c>
      <c r="H631">
        <f t="shared" si="36"/>
        <v>1999</v>
      </c>
      <c r="I631">
        <f t="shared" si="37"/>
        <v>11</v>
      </c>
      <c r="J631" t="str">
        <f t="shared" si="38"/>
        <v>Nov</v>
      </c>
      <c r="K631" t="str">
        <f t="shared" si="39"/>
        <v>Wed</v>
      </c>
    </row>
    <row r="632" spans="1:11" x14ac:dyDescent="0.35">
      <c r="A632" s="1">
        <v>36475</v>
      </c>
      <c r="B632">
        <v>3.7374999523162802</v>
      </c>
      <c r="C632">
        <v>3.8312499523162802</v>
      </c>
      <c r="D632">
        <v>3.5687499046325599</v>
      </c>
      <c r="E632">
        <v>3.6500000953674299</v>
      </c>
      <c r="F632">
        <v>3.6500000953674299</v>
      </c>
      <c r="G632">
        <v>185878000</v>
      </c>
      <c r="H632">
        <f t="shared" si="36"/>
        <v>1999</v>
      </c>
      <c r="I632">
        <f t="shared" si="37"/>
        <v>11</v>
      </c>
      <c r="J632" t="str">
        <f t="shared" si="38"/>
        <v>Nov</v>
      </c>
      <c r="K632" t="str">
        <f t="shared" si="39"/>
        <v>Thu</v>
      </c>
    </row>
    <row r="633" spans="1:11" x14ac:dyDescent="0.35">
      <c r="A633" s="1">
        <v>36476</v>
      </c>
      <c r="B633">
        <v>3.6875</v>
      </c>
      <c r="C633">
        <v>3.75</v>
      </c>
      <c r="D633">
        <v>3.5406250953674299</v>
      </c>
      <c r="E633">
        <v>3.74687504768371</v>
      </c>
      <c r="F633">
        <v>3.74687504768371</v>
      </c>
      <c r="G633">
        <v>206392000</v>
      </c>
      <c r="H633">
        <f t="shared" si="36"/>
        <v>1999</v>
      </c>
      <c r="I633">
        <f t="shared" si="37"/>
        <v>11</v>
      </c>
      <c r="J633" t="str">
        <f t="shared" si="38"/>
        <v>Nov</v>
      </c>
      <c r="K633" t="str">
        <f t="shared" si="39"/>
        <v>Fri</v>
      </c>
    </row>
    <row r="634" spans="1:11" x14ac:dyDescent="0.35">
      <c r="A634" s="1">
        <v>36479</v>
      </c>
      <c r="B634">
        <v>3.78125</v>
      </c>
      <c r="C634">
        <v>3.7999999523162802</v>
      </c>
      <c r="D634">
        <v>3.6656250953674299</v>
      </c>
      <c r="E634">
        <v>3.6749999523162802</v>
      </c>
      <c r="F634">
        <v>3.6749999523162802</v>
      </c>
      <c r="G634">
        <v>128744000</v>
      </c>
      <c r="H634">
        <f t="shared" si="36"/>
        <v>1999</v>
      </c>
      <c r="I634">
        <f t="shared" si="37"/>
        <v>11</v>
      </c>
      <c r="J634" t="str">
        <f t="shared" si="38"/>
        <v>Nov</v>
      </c>
      <c r="K634" t="str">
        <f t="shared" si="39"/>
        <v>Mon</v>
      </c>
    </row>
    <row r="635" spans="1:11" x14ac:dyDescent="0.35">
      <c r="A635" s="1">
        <v>36480</v>
      </c>
      <c r="B635">
        <v>3.7125000953674299</v>
      </c>
      <c r="C635">
        <v>3.98125004768371</v>
      </c>
      <c r="D635">
        <v>3.6875</v>
      </c>
      <c r="E635">
        <v>3.9468750953674299</v>
      </c>
      <c r="F635">
        <v>3.9468750953674299</v>
      </c>
      <c r="G635">
        <v>304774000</v>
      </c>
      <c r="H635">
        <f t="shared" si="36"/>
        <v>1999</v>
      </c>
      <c r="I635">
        <f t="shared" si="37"/>
        <v>11</v>
      </c>
      <c r="J635" t="str">
        <f t="shared" si="38"/>
        <v>Nov</v>
      </c>
      <c r="K635" t="str">
        <f t="shared" si="39"/>
        <v>Tue</v>
      </c>
    </row>
    <row r="636" spans="1:11" x14ac:dyDescent="0.35">
      <c r="A636" s="1">
        <v>36481</v>
      </c>
      <c r="B636">
        <v>3.8968749046325599</v>
      </c>
      <c r="C636">
        <v>4</v>
      </c>
      <c r="D636">
        <v>3.7718749046325599</v>
      </c>
      <c r="E636">
        <v>3.82500004768371</v>
      </c>
      <c r="F636">
        <v>3.82500004768371</v>
      </c>
      <c r="G636">
        <v>133148000</v>
      </c>
      <c r="H636">
        <f t="shared" si="36"/>
        <v>1999</v>
      </c>
      <c r="I636">
        <f t="shared" si="37"/>
        <v>11</v>
      </c>
      <c r="J636" t="str">
        <f t="shared" si="38"/>
        <v>Nov</v>
      </c>
      <c r="K636" t="str">
        <f t="shared" si="39"/>
        <v>Wed</v>
      </c>
    </row>
    <row r="637" spans="1:11" x14ac:dyDescent="0.35">
      <c r="A637" s="1">
        <v>36482</v>
      </c>
      <c r="B637">
        <v>3.8375000953674299</v>
      </c>
      <c r="C637">
        <v>3.9093749523162802</v>
      </c>
      <c r="D637">
        <v>3.76250004768371</v>
      </c>
      <c r="E637">
        <v>3.8968749046325599</v>
      </c>
      <c r="F637">
        <v>3.8968749046325599</v>
      </c>
      <c r="G637">
        <v>116208000</v>
      </c>
      <c r="H637">
        <f t="shared" si="36"/>
        <v>1999</v>
      </c>
      <c r="I637">
        <f t="shared" si="37"/>
        <v>11</v>
      </c>
      <c r="J637" t="str">
        <f t="shared" si="38"/>
        <v>Nov</v>
      </c>
      <c r="K637" t="str">
        <f t="shared" si="39"/>
        <v>Thu</v>
      </c>
    </row>
    <row r="638" spans="1:11" x14ac:dyDescent="0.35">
      <c r="A638" s="1">
        <v>36483</v>
      </c>
      <c r="B638">
        <v>3.8937499523162802</v>
      </c>
      <c r="C638">
        <v>3.90625</v>
      </c>
      <c r="D638">
        <v>3.8031249046325599</v>
      </c>
      <c r="E638">
        <v>3.8968749046325599</v>
      </c>
      <c r="F638">
        <v>3.8968749046325599</v>
      </c>
      <c r="G638">
        <v>115212000</v>
      </c>
      <c r="H638">
        <f t="shared" si="36"/>
        <v>1999</v>
      </c>
      <c r="I638">
        <f t="shared" si="37"/>
        <v>11</v>
      </c>
      <c r="J638" t="str">
        <f t="shared" si="38"/>
        <v>Nov</v>
      </c>
      <c r="K638" t="str">
        <f t="shared" si="39"/>
        <v>Fri</v>
      </c>
    </row>
    <row r="639" spans="1:11" x14ac:dyDescent="0.35">
      <c r="A639" s="1">
        <v>36486</v>
      </c>
      <c r="B639">
        <v>3.8937499523162802</v>
      </c>
      <c r="C639">
        <v>4.125</v>
      </c>
      <c r="D639">
        <v>3.7999999523162802</v>
      </c>
      <c r="E639">
        <v>4.0250000953674299</v>
      </c>
      <c r="F639">
        <v>4.0250000953674299</v>
      </c>
      <c r="G639">
        <v>214168000</v>
      </c>
      <c r="H639">
        <f t="shared" si="36"/>
        <v>1999</v>
      </c>
      <c r="I639">
        <f t="shared" si="37"/>
        <v>11</v>
      </c>
      <c r="J639" t="str">
        <f t="shared" si="38"/>
        <v>Nov</v>
      </c>
      <c r="K639" t="str">
        <f t="shared" si="39"/>
        <v>Mon</v>
      </c>
    </row>
    <row r="640" spans="1:11" x14ac:dyDescent="0.35">
      <c r="A640" s="1">
        <v>36487</v>
      </c>
      <c r="B640">
        <v>4.0187501907348597</v>
      </c>
      <c r="C640">
        <v>4.28125</v>
      </c>
      <c r="D640">
        <v>3.8125</v>
      </c>
      <c r="E640">
        <v>4.0875000953674299</v>
      </c>
      <c r="F640">
        <v>4.0875000953674299</v>
      </c>
      <c r="G640">
        <v>366650000</v>
      </c>
      <c r="H640">
        <f t="shared" si="36"/>
        <v>1999</v>
      </c>
      <c r="I640">
        <f t="shared" si="37"/>
        <v>11</v>
      </c>
      <c r="J640" t="str">
        <f t="shared" si="38"/>
        <v>Nov</v>
      </c>
      <c r="K640" t="str">
        <f t="shared" si="39"/>
        <v>Tue</v>
      </c>
    </row>
    <row r="641" spans="1:11" x14ac:dyDescent="0.35">
      <c r="A641" s="1">
        <v>36488</v>
      </c>
      <c r="B641">
        <v>4.2125000953674299</v>
      </c>
      <c r="C641">
        <v>4.3874998092651296</v>
      </c>
      <c r="D641">
        <v>4.1624999046325604</v>
      </c>
      <c r="E641">
        <v>4.3625001907348597</v>
      </c>
      <c r="F641">
        <v>4.3625001907348597</v>
      </c>
      <c r="G641">
        <v>289662000</v>
      </c>
      <c r="H641">
        <f t="shared" si="36"/>
        <v>1999</v>
      </c>
      <c r="I641">
        <f t="shared" si="37"/>
        <v>11</v>
      </c>
      <c r="J641" t="str">
        <f t="shared" si="38"/>
        <v>Nov</v>
      </c>
      <c r="K641" t="str">
        <f t="shared" si="39"/>
        <v>Wed</v>
      </c>
    </row>
    <row r="642" spans="1:11" x14ac:dyDescent="0.35">
      <c r="A642" s="1">
        <v>36490</v>
      </c>
      <c r="B642">
        <v>4.5531249046325604</v>
      </c>
      <c r="C642">
        <v>4.7562499046325604</v>
      </c>
      <c r="D642">
        <v>4.53125</v>
      </c>
      <c r="E642">
        <v>4.65625</v>
      </c>
      <c r="F642">
        <v>4.65625</v>
      </c>
      <c r="G642">
        <v>229920000</v>
      </c>
      <c r="H642">
        <f t="shared" si="36"/>
        <v>1999</v>
      </c>
      <c r="I642">
        <f t="shared" si="37"/>
        <v>11</v>
      </c>
      <c r="J642" t="str">
        <f t="shared" si="38"/>
        <v>Nov</v>
      </c>
      <c r="K642" t="str">
        <f t="shared" si="39"/>
        <v>Fri</v>
      </c>
    </row>
    <row r="643" spans="1:11" x14ac:dyDescent="0.35">
      <c r="A643" s="1">
        <v>36493</v>
      </c>
      <c r="B643">
        <v>4.7750000953674299</v>
      </c>
      <c r="C643">
        <v>4.84375</v>
      </c>
      <c r="D643">
        <v>4.5062499046325604</v>
      </c>
      <c r="E643">
        <v>4.5218749046325604</v>
      </c>
      <c r="F643">
        <v>4.5218749046325604</v>
      </c>
      <c r="G643">
        <v>361074000</v>
      </c>
      <c r="H643">
        <f t="shared" si="36"/>
        <v>1999</v>
      </c>
      <c r="I643">
        <f t="shared" si="37"/>
        <v>11</v>
      </c>
      <c r="J643" t="str">
        <f t="shared" si="38"/>
        <v>Nov</v>
      </c>
      <c r="K643" t="str">
        <f t="shared" si="39"/>
        <v>Mon</v>
      </c>
    </row>
    <row r="644" spans="1:11" x14ac:dyDescent="0.35">
      <c r="A644" s="1">
        <v>36494</v>
      </c>
      <c r="B644">
        <v>4.4132809638976997</v>
      </c>
      <c r="C644">
        <v>4.4437499046325604</v>
      </c>
      <c r="D644">
        <v>4.1906251907348597</v>
      </c>
      <c r="E644">
        <v>4.2531251907348597</v>
      </c>
      <c r="F644">
        <v>4.2531251907348597</v>
      </c>
      <c r="G644">
        <v>269310000</v>
      </c>
      <c r="H644">
        <f t="shared" ref="H644:H707" si="40">YEAR($A644)</f>
        <v>1999</v>
      </c>
      <c r="I644">
        <f t="shared" ref="I644:I707" si="41">MONTH($A644)</f>
        <v>11</v>
      </c>
      <c r="J644" t="str">
        <f t="shared" ref="J644:J707" si="42">TEXT($A644,"mmm")</f>
        <v>Nov</v>
      </c>
      <c r="K644" t="str">
        <f t="shared" ref="K644:K707" si="43">TEXT($A644,"ddd")</f>
        <v>Tue</v>
      </c>
    </row>
    <row r="645" spans="1:11" x14ac:dyDescent="0.35">
      <c r="A645" s="1">
        <v>36495</v>
      </c>
      <c r="B645">
        <v>4.3625001907348597</v>
      </c>
      <c r="C645">
        <v>4.3937501907348597</v>
      </c>
      <c r="D645">
        <v>4.0984377861022896</v>
      </c>
      <c r="E645">
        <v>4.25</v>
      </c>
      <c r="F645">
        <v>4.25</v>
      </c>
      <c r="G645">
        <v>213272000</v>
      </c>
      <c r="H645">
        <f t="shared" si="40"/>
        <v>1999</v>
      </c>
      <c r="I645">
        <f t="shared" si="41"/>
        <v>12</v>
      </c>
      <c r="J645" t="str">
        <f t="shared" si="42"/>
        <v>Dec</v>
      </c>
      <c r="K645" t="str">
        <f t="shared" si="43"/>
        <v>Wed</v>
      </c>
    </row>
    <row r="646" spans="1:11" x14ac:dyDescent="0.35">
      <c r="A646" s="1">
        <v>36496</v>
      </c>
      <c r="B646">
        <v>4.3000001907348597</v>
      </c>
      <c r="C646">
        <v>4.5656251907348597</v>
      </c>
      <c r="D646">
        <v>4.28125</v>
      </c>
      <c r="E646">
        <v>4.453125</v>
      </c>
      <c r="F646">
        <v>4.453125</v>
      </c>
      <c r="G646">
        <v>190774000</v>
      </c>
      <c r="H646">
        <f t="shared" si="40"/>
        <v>1999</v>
      </c>
      <c r="I646">
        <f t="shared" si="41"/>
        <v>12</v>
      </c>
      <c r="J646" t="str">
        <f t="shared" si="42"/>
        <v>Dec</v>
      </c>
      <c r="K646" t="str">
        <f t="shared" si="43"/>
        <v>Thu</v>
      </c>
    </row>
    <row r="647" spans="1:11" x14ac:dyDescent="0.35">
      <c r="A647" s="1">
        <v>36497</v>
      </c>
      <c r="B647">
        <v>4.625</v>
      </c>
      <c r="C647">
        <v>4.6687498092651296</v>
      </c>
      <c r="D647">
        <v>4.3031249046325604</v>
      </c>
      <c r="E647">
        <v>4.328125</v>
      </c>
      <c r="F647">
        <v>4.328125</v>
      </c>
      <c r="G647">
        <v>223024000</v>
      </c>
      <c r="H647">
        <f t="shared" si="40"/>
        <v>1999</v>
      </c>
      <c r="I647">
        <f t="shared" si="41"/>
        <v>12</v>
      </c>
      <c r="J647" t="str">
        <f t="shared" si="42"/>
        <v>Dec</v>
      </c>
      <c r="K647" t="str">
        <f t="shared" si="43"/>
        <v>Fri</v>
      </c>
    </row>
    <row r="648" spans="1:11" x14ac:dyDescent="0.35">
      <c r="A648" s="1">
        <v>36500</v>
      </c>
      <c r="B648">
        <v>4.34375</v>
      </c>
      <c r="C648">
        <v>4.4937500953674299</v>
      </c>
      <c r="D648">
        <v>4.234375</v>
      </c>
      <c r="E648">
        <v>4.3874998092651296</v>
      </c>
      <c r="F648">
        <v>4.3874998092651296</v>
      </c>
      <c r="G648">
        <v>183984000</v>
      </c>
      <c r="H648">
        <f t="shared" si="40"/>
        <v>1999</v>
      </c>
      <c r="I648">
        <f t="shared" si="41"/>
        <v>12</v>
      </c>
      <c r="J648" t="str">
        <f t="shared" si="42"/>
        <v>Dec</v>
      </c>
      <c r="K648" t="str">
        <f t="shared" si="43"/>
        <v>Mon</v>
      </c>
    </row>
    <row r="649" spans="1:11" x14ac:dyDescent="0.35">
      <c r="A649" s="1">
        <v>36501</v>
      </c>
      <c r="B649">
        <v>4.4000000953674299</v>
      </c>
      <c r="C649">
        <v>4.4000000953674299</v>
      </c>
      <c r="D649">
        <v>4.21875</v>
      </c>
      <c r="E649">
        <v>4.3031249046325604</v>
      </c>
      <c r="F649">
        <v>4.3031249046325604</v>
      </c>
      <c r="G649">
        <v>134542000</v>
      </c>
      <c r="H649">
        <f t="shared" si="40"/>
        <v>1999</v>
      </c>
      <c r="I649">
        <f t="shared" si="41"/>
        <v>12</v>
      </c>
      <c r="J649" t="str">
        <f t="shared" si="42"/>
        <v>Dec</v>
      </c>
      <c r="K649" t="str">
        <f t="shared" si="43"/>
        <v>Tue</v>
      </c>
    </row>
    <row r="650" spans="1:11" x14ac:dyDescent="0.35">
      <c r="A650" s="1">
        <v>36502</v>
      </c>
      <c r="B650">
        <v>4.3406248092651296</v>
      </c>
      <c r="C650">
        <v>4.6500000953674299</v>
      </c>
      <c r="D650">
        <v>4.3000001907348597</v>
      </c>
      <c r="E650">
        <v>4.4281249046325604</v>
      </c>
      <c r="F650">
        <v>4.4281249046325604</v>
      </c>
      <c r="G650">
        <v>257344000</v>
      </c>
      <c r="H650">
        <f t="shared" si="40"/>
        <v>1999</v>
      </c>
      <c r="I650">
        <f t="shared" si="41"/>
        <v>12</v>
      </c>
      <c r="J650" t="str">
        <f t="shared" si="42"/>
        <v>Dec</v>
      </c>
      <c r="K650" t="str">
        <f t="shared" si="43"/>
        <v>Wed</v>
      </c>
    </row>
    <row r="651" spans="1:11" x14ac:dyDescent="0.35">
      <c r="A651" s="1">
        <v>36503</v>
      </c>
      <c r="B651">
        <v>4.7750000953674299</v>
      </c>
      <c r="C651">
        <v>5.6500000953674299</v>
      </c>
      <c r="D651">
        <v>4.671875</v>
      </c>
      <c r="E651">
        <v>5.1812500953674299</v>
      </c>
      <c r="F651">
        <v>5.1812500953674299</v>
      </c>
      <c r="G651">
        <v>827292000</v>
      </c>
      <c r="H651">
        <f t="shared" si="40"/>
        <v>1999</v>
      </c>
      <c r="I651">
        <f t="shared" si="41"/>
        <v>12</v>
      </c>
      <c r="J651" t="str">
        <f t="shared" si="42"/>
        <v>Dec</v>
      </c>
      <c r="K651" t="str">
        <f t="shared" si="43"/>
        <v>Thu</v>
      </c>
    </row>
    <row r="652" spans="1:11" x14ac:dyDescent="0.35">
      <c r="A652" s="1">
        <v>36504</v>
      </c>
      <c r="B652">
        <v>5.5968751907348597</v>
      </c>
      <c r="C652">
        <v>5.5999999046325604</v>
      </c>
      <c r="D652">
        <v>5.2218751907348597</v>
      </c>
      <c r="E652">
        <v>5.3343749046325604</v>
      </c>
      <c r="F652">
        <v>5.3343749046325604</v>
      </c>
      <c r="G652">
        <v>298580000</v>
      </c>
      <c r="H652">
        <f t="shared" si="40"/>
        <v>1999</v>
      </c>
      <c r="I652">
        <f t="shared" si="41"/>
        <v>12</v>
      </c>
      <c r="J652" t="str">
        <f t="shared" si="42"/>
        <v>Dec</v>
      </c>
      <c r="K652" t="str">
        <f t="shared" si="43"/>
        <v>Fri</v>
      </c>
    </row>
    <row r="653" spans="1:11" x14ac:dyDescent="0.35">
      <c r="A653" s="1">
        <v>36507</v>
      </c>
      <c r="B653">
        <v>5.3312501907348597</v>
      </c>
      <c r="C653">
        <v>5.3312501907348597</v>
      </c>
      <c r="D653">
        <v>5.0749998092651296</v>
      </c>
      <c r="E653">
        <v>5.125</v>
      </c>
      <c r="F653">
        <v>5.125</v>
      </c>
      <c r="G653">
        <v>173074000</v>
      </c>
      <c r="H653">
        <f t="shared" si="40"/>
        <v>1999</v>
      </c>
      <c r="I653">
        <f t="shared" si="41"/>
        <v>12</v>
      </c>
      <c r="J653" t="str">
        <f t="shared" si="42"/>
        <v>Dec</v>
      </c>
      <c r="K653" t="str">
        <f t="shared" si="43"/>
        <v>Mon</v>
      </c>
    </row>
    <row r="654" spans="1:11" x14ac:dyDescent="0.35">
      <c r="A654" s="1">
        <v>36508</v>
      </c>
      <c r="B654">
        <v>5.1875</v>
      </c>
      <c r="C654">
        <v>5.1999998092651296</v>
      </c>
      <c r="D654">
        <v>4.6781249046325604</v>
      </c>
      <c r="E654">
        <v>4.78125</v>
      </c>
      <c r="F654">
        <v>4.78125</v>
      </c>
      <c r="G654">
        <v>202158000</v>
      </c>
      <c r="H654">
        <f t="shared" si="40"/>
        <v>1999</v>
      </c>
      <c r="I654">
        <f t="shared" si="41"/>
        <v>12</v>
      </c>
      <c r="J654" t="str">
        <f t="shared" si="42"/>
        <v>Dec</v>
      </c>
      <c r="K654" t="str">
        <f t="shared" si="43"/>
        <v>Tue</v>
      </c>
    </row>
    <row r="655" spans="1:11" x14ac:dyDescent="0.35">
      <c r="A655" s="1">
        <v>36509</v>
      </c>
      <c r="B655">
        <v>4.6437501907348597</v>
      </c>
      <c r="C655">
        <v>4.9718751907348597</v>
      </c>
      <c r="D655">
        <v>4.5500001907348597</v>
      </c>
      <c r="E655">
        <v>4.8249998092651296</v>
      </c>
      <c r="F655">
        <v>4.8249998092651296</v>
      </c>
      <c r="G655">
        <v>202670000</v>
      </c>
      <c r="H655">
        <f t="shared" si="40"/>
        <v>1999</v>
      </c>
      <c r="I655">
        <f t="shared" si="41"/>
        <v>12</v>
      </c>
      <c r="J655" t="str">
        <f t="shared" si="42"/>
        <v>Dec</v>
      </c>
      <c r="K655" t="str">
        <f t="shared" si="43"/>
        <v>Wed</v>
      </c>
    </row>
    <row r="656" spans="1:11" x14ac:dyDescent="0.35">
      <c r="A656" s="1">
        <v>36510</v>
      </c>
      <c r="B656">
        <v>4.9124999046325604</v>
      </c>
      <c r="C656">
        <v>4.9375</v>
      </c>
      <c r="D656">
        <v>4.6750001907348597</v>
      </c>
      <c r="E656">
        <v>4.7437500953674299</v>
      </c>
      <c r="F656">
        <v>4.7437500953674299</v>
      </c>
      <c r="G656">
        <v>140088000</v>
      </c>
      <c r="H656">
        <f t="shared" si="40"/>
        <v>1999</v>
      </c>
      <c r="I656">
        <f t="shared" si="41"/>
        <v>12</v>
      </c>
      <c r="J656" t="str">
        <f t="shared" si="42"/>
        <v>Dec</v>
      </c>
      <c r="K656" t="str">
        <f t="shared" si="43"/>
        <v>Thu</v>
      </c>
    </row>
    <row r="657" spans="1:11" x14ac:dyDescent="0.35">
      <c r="A657" s="1">
        <v>36511</v>
      </c>
      <c r="B657">
        <v>4.859375</v>
      </c>
      <c r="C657">
        <v>4.8812499046325604</v>
      </c>
      <c r="D657">
        <v>4.6906251907348597</v>
      </c>
      <c r="E657">
        <v>4.703125</v>
      </c>
      <c r="F657">
        <v>4.703125</v>
      </c>
      <c r="G657">
        <v>119118000</v>
      </c>
      <c r="H657">
        <f t="shared" si="40"/>
        <v>1999</v>
      </c>
      <c r="I657">
        <f t="shared" si="41"/>
        <v>12</v>
      </c>
      <c r="J657" t="str">
        <f t="shared" si="42"/>
        <v>Dec</v>
      </c>
      <c r="K657" t="str">
        <f t="shared" si="43"/>
        <v>Fri</v>
      </c>
    </row>
    <row r="658" spans="1:11" x14ac:dyDescent="0.35">
      <c r="A658" s="1">
        <v>36514</v>
      </c>
      <c r="B658">
        <v>4.8874998092651296</v>
      </c>
      <c r="C658">
        <v>5.0999999046325604</v>
      </c>
      <c r="D658">
        <v>4.7531251907348597</v>
      </c>
      <c r="E658">
        <v>4.8499999046325604</v>
      </c>
      <c r="F658">
        <v>4.8499999046325604</v>
      </c>
      <c r="G658">
        <v>211332000</v>
      </c>
      <c r="H658">
        <f t="shared" si="40"/>
        <v>1999</v>
      </c>
      <c r="I658">
        <f t="shared" si="41"/>
        <v>12</v>
      </c>
      <c r="J658" t="str">
        <f t="shared" si="42"/>
        <v>Dec</v>
      </c>
      <c r="K658" t="str">
        <f t="shared" si="43"/>
        <v>Mon</v>
      </c>
    </row>
    <row r="659" spans="1:11" x14ac:dyDescent="0.35">
      <c r="A659" s="1">
        <v>36515</v>
      </c>
      <c r="B659">
        <v>4.828125</v>
      </c>
      <c r="C659">
        <v>5.0218749046325604</v>
      </c>
      <c r="D659">
        <v>4.7750000953674299</v>
      </c>
      <c r="E659">
        <v>4.9937500953674299</v>
      </c>
      <c r="F659">
        <v>4.9937500953674299</v>
      </c>
      <c r="G659">
        <v>190190000</v>
      </c>
      <c r="H659">
        <f t="shared" si="40"/>
        <v>1999</v>
      </c>
      <c r="I659">
        <f t="shared" si="41"/>
        <v>12</v>
      </c>
      <c r="J659" t="str">
        <f t="shared" si="42"/>
        <v>Dec</v>
      </c>
      <c r="K659" t="str">
        <f t="shared" si="43"/>
        <v>Tue</v>
      </c>
    </row>
    <row r="660" spans="1:11" x14ac:dyDescent="0.35">
      <c r="A660" s="1">
        <v>36516</v>
      </c>
      <c r="B660">
        <v>5.0281248092651296</v>
      </c>
      <c r="C660">
        <v>5.0281248092651296</v>
      </c>
      <c r="D660">
        <v>4.7750000953674299</v>
      </c>
      <c r="E660">
        <v>4.8843750953674299</v>
      </c>
      <c r="F660">
        <v>4.8843750953674299</v>
      </c>
      <c r="G660">
        <v>118420000</v>
      </c>
      <c r="H660">
        <f t="shared" si="40"/>
        <v>1999</v>
      </c>
      <c r="I660">
        <f t="shared" si="41"/>
        <v>12</v>
      </c>
      <c r="J660" t="str">
        <f t="shared" si="42"/>
        <v>Dec</v>
      </c>
      <c r="K660" t="str">
        <f t="shared" si="43"/>
        <v>Wed</v>
      </c>
    </row>
    <row r="661" spans="1:11" x14ac:dyDescent="0.35">
      <c r="A661" s="1">
        <v>36517</v>
      </c>
      <c r="B661">
        <v>4.9000000953674299</v>
      </c>
      <c r="C661">
        <v>4.9499998092651296</v>
      </c>
      <c r="D661">
        <v>4.453125</v>
      </c>
      <c r="E661">
        <v>4.5</v>
      </c>
      <c r="F661">
        <v>4.5</v>
      </c>
      <c r="G661">
        <v>258292000</v>
      </c>
      <c r="H661">
        <f t="shared" si="40"/>
        <v>1999</v>
      </c>
      <c r="I661">
        <f t="shared" si="41"/>
        <v>12</v>
      </c>
      <c r="J661" t="str">
        <f t="shared" si="42"/>
        <v>Dec</v>
      </c>
      <c r="K661" t="str">
        <f t="shared" si="43"/>
        <v>Thu</v>
      </c>
    </row>
    <row r="662" spans="1:11" x14ac:dyDescent="0.35">
      <c r="A662" s="1">
        <v>36521</v>
      </c>
      <c r="B662">
        <v>4.3874998092651296</v>
      </c>
      <c r="C662">
        <v>4.4124999046325604</v>
      </c>
      <c r="D662">
        <v>4</v>
      </c>
      <c r="E662">
        <v>4.0562500953674299</v>
      </c>
      <c r="F662">
        <v>4.0562500953674299</v>
      </c>
      <c r="G662">
        <v>330476000</v>
      </c>
      <c r="H662">
        <f t="shared" si="40"/>
        <v>1999</v>
      </c>
      <c r="I662">
        <f t="shared" si="41"/>
        <v>12</v>
      </c>
      <c r="J662" t="str">
        <f t="shared" si="42"/>
        <v>Dec</v>
      </c>
      <c r="K662" t="str">
        <f t="shared" si="43"/>
        <v>Mon</v>
      </c>
    </row>
    <row r="663" spans="1:11" x14ac:dyDescent="0.35">
      <c r="A663" s="1">
        <v>36522</v>
      </c>
      <c r="B663">
        <v>4.1531248092651296</v>
      </c>
      <c r="C663">
        <v>4.3249998092651296</v>
      </c>
      <c r="D663">
        <v>4.078125</v>
      </c>
      <c r="E663">
        <v>4.1156249046325604</v>
      </c>
      <c r="F663">
        <v>4.1156249046325604</v>
      </c>
      <c r="G663">
        <v>206086000</v>
      </c>
      <c r="H663">
        <f t="shared" si="40"/>
        <v>1999</v>
      </c>
      <c r="I663">
        <f t="shared" si="41"/>
        <v>12</v>
      </c>
      <c r="J663" t="str">
        <f t="shared" si="42"/>
        <v>Dec</v>
      </c>
      <c r="K663" t="str">
        <f t="shared" si="43"/>
        <v>Tue</v>
      </c>
    </row>
    <row r="664" spans="1:11" x14ac:dyDescent="0.35">
      <c r="A664" s="1">
        <v>36523</v>
      </c>
      <c r="B664">
        <v>4.171875</v>
      </c>
      <c r="C664">
        <v>4.2687501907348597</v>
      </c>
      <c r="D664">
        <v>4.1312499046325604</v>
      </c>
      <c r="E664">
        <v>4.1750001907348597</v>
      </c>
      <c r="F664">
        <v>4.1750001907348597</v>
      </c>
      <c r="G664">
        <v>118260000</v>
      </c>
      <c r="H664">
        <f t="shared" si="40"/>
        <v>1999</v>
      </c>
      <c r="I664">
        <f t="shared" si="41"/>
        <v>12</v>
      </c>
      <c r="J664" t="str">
        <f t="shared" si="42"/>
        <v>Dec</v>
      </c>
      <c r="K664" t="str">
        <f t="shared" si="43"/>
        <v>Wed</v>
      </c>
    </row>
    <row r="665" spans="1:11" x14ac:dyDescent="0.35">
      <c r="A665" s="1">
        <v>36524</v>
      </c>
      <c r="B665">
        <v>4.2312498092651296</v>
      </c>
      <c r="C665">
        <v>4.2562499046325604</v>
      </c>
      <c r="D665">
        <v>3.9249999523162802</v>
      </c>
      <c r="E665">
        <v>3.953125</v>
      </c>
      <c r="F665">
        <v>3.953125</v>
      </c>
      <c r="G665">
        <v>185132000</v>
      </c>
      <c r="H665">
        <f t="shared" si="40"/>
        <v>1999</v>
      </c>
      <c r="I665">
        <f t="shared" si="41"/>
        <v>12</v>
      </c>
      <c r="J665" t="str">
        <f t="shared" si="42"/>
        <v>Dec</v>
      </c>
      <c r="K665" t="str">
        <f t="shared" si="43"/>
        <v>Thu</v>
      </c>
    </row>
    <row r="666" spans="1:11" x14ac:dyDescent="0.35">
      <c r="A666" s="1">
        <v>36525</v>
      </c>
      <c r="B666">
        <v>3.96562504768371</v>
      </c>
      <c r="C666">
        <v>3.96875</v>
      </c>
      <c r="D666">
        <v>3.7999999523162802</v>
      </c>
      <c r="E666">
        <v>3.8062500953674299</v>
      </c>
      <c r="F666">
        <v>3.8062500953674299</v>
      </c>
      <c r="G666">
        <v>145414000</v>
      </c>
      <c r="H666">
        <f t="shared" si="40"/>
        <v>1999</v>
      </c>
      <c r="I666">
        <f t="shared" si="41"/>
        <v>12</v>
      </c>
      <c r="J666" t="str">
        <f t="shared" si="42"/>
        <v>Dec</v>
      </c>
      <c r="K666" t="str">
        <f t="shared" si="43"/>
        <v>Fri</v>
      </c>
    </row>
    <row r="667" spans="1:11" x14ac:dyDescent="0.35">
      <c r="A667" s="1">
        <v>36528</v>
      </c>
      <c r="B667">
        <v>4.0749998092651296</v>
      </c>
      <c r="C667">
        <v>4.4781250953674299</v>
      </c>
      <c r="D667">
        <v>3.9523439407348602</v>
      </c>
      <c r="E667">
        <v>4.46875</v>
      </c>
      <c r="F667">
        <v>4.46875</v>
      </c>
      <c r="G667">
        <v>322352000</v>
      </c>
      <c r="H667">
        <f t="shared" si="40"/>
        <v>2000</v>
      </c>
      <c r="I667">
        <f t="shared" si="41"/>
        <v>1</v>
      </c>
      <c r="J667" t="str">
        <f t="shared" si="42"/>
        <v>Jan</v>
      </c>
      <c r="K667" t="str">
        <f t="shared" si="43"/>
        <v>Mon</v>
      </c>
    </row>
    <row r="668" spans="1:11" x14ac:dyDescent="0.35">
      <c r="A668" s="1">
        <v>36529</v>
      </c>
      <c r="B668">
        <v>4.2687501907348597</v>
      </c>
      <c r="C668">
        <v>4.5749998092651296</v>
      </c>
      <c r="D668">
        <v>4.0875000953674299</v>
      </c>
      <c r="E668">
        <v>4.0968751907348597</v>
      </c>
      <c r="F668">
        <v>4.0968751907348597</v>
      </c>
      <c r="G668">
        <v>349748000</v>
      </c>
      <c r="H668">
        <f t="shared" si="40"/>
        <v>2000</v>
      </c>
      <c r="I668">
        <f t="shared" si="41"/>
        <v>1</v>
      </c>
      <c r="J668" t="str">
        <f t="shared" si="42"/>
        <v>Jan</v>
      </c>
      <c r="K668" t="str">
        <f t="shared" si="43"/>
        <v>Tue</v>
      </c>
    </row>
    <row r="669" spans="1:11" x14ac:dyDescent="0.35">
      <c r="A669" s="1">
        <v>36530</v>
      </c>
      <c r="B669">
        <v>3.5250000953674299</v>
      </c>
      <c r="C669">
        <v>3.7562499046325599</v>
      </c>
      <c r="D669">
        <v>3.4000000953674299</v>
      </c>
      <c r="E669">
        <v>3.4874999523162802</v>
      </c>
      <c r="F669">
        <v>3.4874999523162802</v>
      </c>
      <c r="G669">
        <v>769148000</v>
      </c>
      <c r="H669">
        <f t="shared" si="40"/>
        <v>2000</v>
      </c>
      <c r="I669">
        <f t="shared" si="41"/>
        <v>1</v>
      </c>
      <c r="J669" t="str">
        <f t="shared" si="42"/>
        <v>Jan</v>
      </c>
      <c r="K669" t="str">
        <f t="shared" si="43"/>
        <v>Wed</v>
      </c>
    </row>
    <row r="670" spans="1:11" x14ac:dyDescent="0.35">
      <c r="A670" s="1">
        <v>36531</v>
      </c>
      <c r="B670">
        <v>3.5656249523162802</v>
      </c>
      <c r="C670">
        <v>3.6343750953674299</v>
      </c>
      <c r="D670">
        <v>3.20000004768371</v>
      </c>
      <c r="E670">
        <v>3.27812504768371</v>
      </c>
      <c r="F670">
        <v>3.27812504768371</v>
      </c>
      <c r="G670">
        <v>375040000</v>
      </c>
      <c r="H670">
        <f t="shared" si="40"/>
        <v>2000</v>
      </c>
      <c r="I670">
        <f t="shared" si="41"/>
        <v>1</v>
      </c>
      <c r="J670" t="str">
        <f t="shared" si="42"/>
        <v>Jan</v>
      </c>
      <c r="K670" t="str">
        <f t="shared" si="43"/>
        <v>Thu</v>
      </c>
    </row>
    <row r="671" spans="1:11" x14ac:dyDescent="0.35">
      <c r="A671" s="1">
        <v>36532</v>
      </c>
      <c r="B671">
        <v>3.3499999046325599</v>
      </c>
      <c r="C671">
        <v>3.5250000953674299</v>
      </c>
      <c r="D671">
        <v>3.30937504768371</v>
      </c>
      <c r="E671">
        <v>3.4781250953674299</v>
      </c>
      <c r="F671">
        <v>3.4781250953674299</v>
      </c>
      <c r="G671">
        <v>210108000</v>
      </c>
      <c r="H671">
        <f t="shared" si="40"/>
        <v>2000</v>
      </c>
      <c r="I671">
        <f t="shared" si="41"/>
        <v>1</v>
      </c>
      <c r="J671" t="str">
        <f t="shared" si="42"/>
        <v>Jan</v>
      </c>
      <c r="K671" t="str">
        <f t="shared" si="43"/>
        <v>Fri</v>
      </c>
    </row>
    <row r="672" spans="1:11" x14ac:dyDescent="0.35">
      <c r="A672" s="1">
        <v>36535</v>
      </c>
      <c r="B672">
        <v>3.6281249523162802</v>
      </c>
      <c r="C672">
        <v>3.6312499046325599</v>
      </c>
      <c r="D672">
        <v>3.27812504768371</v>
      </c>
      <c r="E672">
        <v>3.4593749046325599</v>
      </c>
      <c r="F672">
        <v>3.4593749046325599</v>
      </c>
      <c r="G672">
        <v>295158000</v>
      </c>
      <c r="H672">
        <f t="shared" si="40"/>
        <v>2000</v>
      </c>
      <c r="I672">
        <f t="shared" si="41"/>
        <v>1</v>
      </c>
      <c r="J672" t="str">
        <f t="shared" si="42"/>
        <v>Jan</v>
      </c>
      <c r="K672" t="str">
        <f t="shared" si="43"/>
        <v>Mon</v>
      </c>
    </row>
    <row r="673" spans="1:11" x14ac:dyDescent="0.35">
      <c r="A673" s="1">
        <v>36536</v>
      </c>
      <c r="B673">
        <v>3.34375</v>
      </c>
      <c r="C673">
        <v>3.5</v>
      </c>
      <c r="D673">
        <v>3.25</v>
      </c>
      <c r="E673">
        <v>3.3375000953674299</v>
      </c>
      <c r="F673">
        <v>3.3375000953674299</v>
      </c>
      <c r="G673">
        <v>210654000</v>
      </c>
      <c r="H673">
        <f t="shared" si="40"/>
        <v>2000</v>
      </c>
      <c r="I673">
        <f t="shared" si="41"/>
        <v>1</v>
      </c>
      <c r="J673" t="str">
        <f t="shared" si="42"/>
        <v>Jan</v>
      </c>
      <c r="K673" t="str">
        <f t="shared" si="43"/>
        <v>Tue</v>
      </c>
    </row>
    <row r="674" spans="1:11" x14ac:dyDescent="0.35">
      <c r="A674" s="1">
        <v>36537</v>
      </c>
      <c r="B674">
        <v>3.3937499523162802</v>
      </c>
      <c r="C674">
        <v>3.4000000953674299</v>
      </c>
      <c r="D674">
        <v>3.1500000953674299</v>
      </c>
      <c r="E674">
        <v>3.1781249046325599</v>
      </c>
      <c r="F674">
        <v>3.1781249046325599</v>
      </c>
      <c r="G674">
        <v>216090000</v>
      </c>
      <c r="H674">
        <f t="shared" si="40"/>
        <v>2000</v>
      </c>
      <c r="I674">
        <f t="shared" si="41"/>
        <v>1</v>
      </c>
      <c r="J674" t="str">
        <f t="shared" si="42"/>
        <v>Jan</v>
      </c>
      <c r="K674" t="str">
        <f t="shared" si="43"/>
        <v>Wed</v>
      </c>
    </row>
    <row r="675" spans="1:11" x14ac:dyDescent="0.35">
      <c r="A675" s="1">
        <v>36538</v>
      </c>
      <c r="B675">
        <v>3.24687504768371</v>
      </c>
      <c r="C675">
        <v>3.359375</v>
      </c>
      <c r="D675">
        <v>3.15625</v>
      </c>
      <c r="E675">
        <v>3.296875</v>
      </c>
      <c r="F675">
        <v>3.296875</v>
      </c>
      <c r="G675">
        <v>208962000</v>
      </c>
      <c r="H675">
        <f t="shared" si="40"/>
        <v>2000</v>
      </c>
      <c r="I675">
        <f t="shared" si="41"/>
        <v>1</v>
      </c>
      <c r="J675" t="str">
        <f t="shared" si="42"/>
        <v>Jan</v>
      </c>
      <c r="K675" t="str">
        <f t="shared" si="43"/>
        <v>Thu</v>
      </c>
    </row>
    <row r="676" spans="1:11" x14ac:dyDescent="0.35">
      <c r="A676" s="1">
        <v>36539</v>
      </c>
      <c r="B676">
        <v>3.3375000953674299</v>
      </c>
      <c r="C676">
        <v>3.4312500953674299</v>
      </c>
      <c r="D676">
        <v>3.20000004768371</v>
      </c>
      <c r="E676">
        <v>3.2125000953674299</v>
      </c>
      <c r="F676">
        <v>3.2125000953674299</v>
      </c>
      <c r="G676">
        <v>137072000</v>
      </c>
      <c r="H676">
        <f t="shared" si="40"/>
        <v>2000</v>
      </c>
      <c r="I676">
        <f t="shared" si="41"/>
        <v>1</v>
      </c>
      <c r="J676" t="str">
        <f t="shared" si="42"/>
        <v>Jan</v>
      </c>
      <c r="K676" t="str">
        <f t="shared" si="43"/>
        <v>Fri</v>
      </c>
    </row>
    <row r="677" spans="1:11" x14ac:dyDescent="0.35">
      <c r="A677" s="1">
        <v>36543</v>
      </c>
      <c r="B677">
        <v>3.171875</v>
      </c>
      <c r="C677">
        <v>3.2593750953674299</v>
      </c>
      <c r="D677">
        <v>3.1500000953674299</v>
      </c>
      <c r="E677">
        <v>3.2062499523162802</v>
      </c>
      <c r="F677">
        <v>3.2062499523162802</v>
      </c>
      <c r="G677">
        <v>107698000</v>
      </c>
      <c r="H677">
        <f t="shared" si="40"/>
        <v>2000</v>
      </c>
      <c r="I677">
        <f t="shared" si="41"/>
        <v>1</v>
      </c>
      <c r="J677" t="str">
        <f t="shared" si="42"/>
        <v>Jan</v>
      </c>
      <c r="K677" t="str">
        <f t="shared" si="43"/>
        <v>Tue</v>
      </c>
    </row>
    <row r="678" spans="1:11" x14ac:dyDescent="0.35">
      <c r="A678" s="1">
        <v>36544</v>
      </c>
      <c r="B678">
        <v>3.2062499523162802</v>
      </c>
      <c r="C678">
        <v>3.375</v>
      </c>
      <c r="D678">
        <v>3.1500000953674299</v>
      </c>
      <c r="E678">
        <v>3.34062504768371</v>
      </c>
      <c r="F678">
        <v>3.34062504768371</v>
      </c>
      <c r="G678">
        <v>164910000</v>
      </c>
      <c r="H678">
        <f t="shared" si="40"/>
        <v>2000</v>
      </c>
      <c r="I678">
        <f t="shared" si="41"/>
        <v>1</v>
      </c>
      <c r="J678" t="str">
        <f t="shared" si="42"/>
        <v>Jan</v>
      </c>
      <c r="K678" t="str">
        <f t="shared" si="43"/>
        <v>Wed</v>
      </c>
    </row>
    <row r="679" spans="1:11" x14ac:dyDescent="0.35">
      <c r="A679" s="1">
        <v>36545</v>
      </c>
      <c r="B679">
        <v>3.3468749523162802</v>
      </c>
      <c r="C679">
        <v>3.3499999046325599</v>
      </c>
      <c r="D679">
        <v>3.1968750953674299</v>
      </c>
      <c r="E679">
        <v>3.2374999523162802</v>
      </c>
      <c r="F679">
        <v>3.2374999523162802</v>
      </c>
      <c r="G679">
        <v>119560000</v>
      </c>
      <c r="H679">
        <f t="shared" si="40"/>
        <v>2000</v>
      </c>
      <c r="I679">
        <f t="shared" si="41"/>
        <v>1</v>
      </c>
      <c r="J679" t="str">
        <f t="shared" si="42"/>
        <v>Jan</v>
      </c>
      <c r="K679" t="str">
        <f t="shared" si="43"/>
        <v>Thu</v>
      </c>
    </row>
    <row r="680" spans="1:11" x14ac:dyDescent="0.35">
      <c r="A680" s="1">
        <v>36546</v>
      </c>
      <c r="B680">
        <v>3.23125004768371</v>
      </c>
      <c r="C680">
        <v>3.23125004768371</v>
      </c>
      <c r="D680">
        <v>3</v>
      </c>
      <c r="E680">
        <v>3.1031250953674299</v>
      </c>
      <c r="F680">
        <v>3.1031250953674299</v>
      </c>
      <c r="G680">
        <v>229238000</v>
      </c>
      <c r="H680">
        <f t="shared" si="40"/>
        <v>2000</v>
      </c>
      <c r="I680">
        <f t="shared" si="41"/>
        <v>1</v>
      </c>
      <c r="J680" t="str">
        <f t="shared" si="42"/>
        <v>Jan</v>
      </c>
      <c r="K680" t="str">
        <f t="shared" si="43"/>
        <v>Fri</v>
      </c>
    </row>
    <row r="681" spans="1:11" x14ac:dyDescent="0.35">
      <c r="A681" s="1">
        <v>36549</v>
      </c>
      <c r="B681">
        <v>3.3781249523162802</v>
      </c>
      <c r="C681">
        <v>3.66875004768371</v>
      </c>
      <c r="D681">
        <v>3.375</v>
      </c>
      <c r="E681">
        <v>3.5062499046325599</v>
      </c>
      <c r="F681">
        <v>3.5062499046325599</v>
      </c>
      <c r="G681">
        <v>583404000</v>
      </c>
      <c r="H681">
        <f t="shared" si="40"/>
        <v>2000</v>
      </c>
      <c r="I681">
        <f t="shared" si="41"/>
        <v>1</v>
      </c>
      <c r="J681" t="str">
        <f t="shared" si="42"/>
        <v>Jan</v>
      </c>
      <c r="K681" t="str">
        <f t="shared" si="43"/>
        <v>Mon</v>
      </c>
    </row>
    <row r="682" spans="1:11" x14ac:dyDescent="0.35">
      <c r="A682" s="1">
        <v>36550</v>
      </c>
      <c r="B682">
        <v>3.5</v>
      </c>
      <c r="C682">
        <v>3.5625</v>
      </c>
      <c r="D682">
        <v>3.2999999523162802</v>
      </c>
      <c r="E682">
        <v>3.4625000953674299</v>
      </c>
      <c r="F682">
        <v>3.4625000953674299</v>
      </c>
      <c r="G682">
        <v>188682000</v>
      </c>
      <c r="H682">
        <f t="shared" si="40"/>
        <v>2000</v>
      </c>
      <c r="I682">
        <f t="shared" si="41"/>
        <v>1</v>
      </c>
      <c r="J682" t="str">
        <f t="shared" si="42"/>
        <v>Jan</v>
      </c>
      <c r="K682" t="str">
        <f t="shared" si="43"/>
        <v>Tue</v>
      </c>
    </row>
    <row r="683" spans="1:11" x14ac:dyDescent="0.35">
      <c r="A683" s="1">
        <v>36551</v>
      </c>
      <c r="B683">
        <v>3.4312500953674299</v>
      </c>
      <c r="C683">
        <v>3.5</v>
      </c>
      <c r="D683">
        <v>3.2374999523162802</v>
      </c>
      <c r="E683">
        <v>3.2406249046325599</v>
      </c>
      <c r="F683">
        <v>3.2406249046325599</v>
      </c>
      <c r="G683">
        <v>131160000</v>
      </c>
      <c r="H683">
        <f t="shared" si="40"/>
        <v>2000</v>
      </c>
      <c r="I683">
        <f t="shared" si="41"/>
        <v>1</v>
      </c>
      <c r="J683" t="str">
        <f t="shared" si="42"/>
        <v>Jan</v>
      </c>
      <c r="K683" t="str">
        <f t="shared" si="43"/>
        <v>Wed</v>
      </c>
    </row>
    <row r="684" spans="1:11" x14ac:dyDescent="0.35">
      <c r="A684" s="1">
        <v>36552</v>
      </c>
      <c r="B684">
        <v>3.2593750953674299</v>
      </c>
      <c r="C684">
        <v>3.38750004768371</v>
      </c>
      <c r="D684">
        <v>3.23125004768371</v>
      </c>
      <c r="E684">
        <v>3.3468749523162802</v>
      </c>
      <c r="F684">
        <v>3.3468749523162802</v>
      </c>
      <c r="G684">
        <v>135680000</v>
      </c>
      <c r="H684">
        <f t="shared" si="40"/>
        <v>2000</v>
      </c>
      <c r="I684">
        <f t="shared" si="41"/>
        <v>1</v>
      </c>
      <c r="J684" t="str">
        <f t="shared" si="42"/>
        <v>Jan</v>
      </c>
      <c r="K684" t="str">
        <f t="shared" si="43"/>
        <v>Thu</v>
      </c>
    </row>
    <row r="685" spans="1:11" x14ac:dyDescent="0.35">
      <c r="A685" s="1">
        <v>36553</v>
      </c>
      <c r="B685">
        <v>3.25</v>
      </c>
      <c r="C685">
        <v>3.3218750953674299</v>
      </c>
      <c r="D685">
        <v>3</v>
      </c>
      <c r="E685">
        <v>3.0843749046325599</v>
      </c>
      <c r="F685">
        <v>3.0843749046325599</v>
      </c>
      <c r="G685">
        <v>275558000</v>
      </c>
      <c r="H685">
        <f t="shared" si="40"/>
        <v>2000</v>
      </c>
      <c r="I685">
        <f t="shared" si="41"/>
        <v>1</v>
      </c>
      <c r="J685" t="str">
        <f t="shared" si="42"/>
        <v>Jan</v>
      </c>
      <c r="K685" t="str">
        <f t="shared" si="43"/>
        <v>Fri</v>
      </c>
    </row>
    <row r="686" spans="1:11" x14ac:dyDescent="0.35">
      <c r="A686" s="1">
        <v>36556</v>
      </c>
      <c r="B686">
        <v>3.0187499523162802</v>
      </c>
      <c r="C686">
        <v>3.2374999523162802</v>
      </c>
      <c r="D686">
        <v>2.921875</v>
      </c>
      <c r="E686">
        <v>3.2281250953674299</v>
      </c>
      <c r="F686">
        <v>3.2281250953674299</v>
      </c>
      <c r="G686">
        <v>213958000</v>
      </c>
      <c r="H686">
        <f t="shared" si="40"/>
        <v>2000</v>
      </c>
      <c r="I686">
        <f t="shared" si="41"/>
        <v>1</v>
      </c>
      <c r="J686" t="str">
        <f t="shared" si="42"/>
        <v>Jan</v>
      </c>
      <c r="K686" t="str">
        <f t="shared" si="43"/>
        <v>Mon</v>
      </c>
    </row>
    <row r="687" spans="1:11" x14ac:dyDescent="0.35">
      <c r="A687" s="1">
        <v>36557</v>
      </c>
      <c r="B687">
        <v>3.375</v>
      </c>
      <c r="C687">
        <v>3.53125</v>
      </c>
      <c r="D687">
        <v>3.21875</v>
      </c>
      <c r="E687">
        <v>3.37187504768371</v>
      </c>
      <c r="F687">
        <v>3.37187504768371</v>
      </c>
      <c r="G687">
        <v>268092000</v>
      </c>
      <c r="H687">
        <f t="shared" si="40"/>
        <v>2000</v>
      </c>
      <c r="I687">
        <f t="shared" si="41"/>
        <v>2</v>
      </c>
      <c r="J687" t="str">
        <f t="shared" si="42"/>
        <v>Feb</v>
      </c>
      <c r="K687" t="str">
        <f t="shared" si="43"/>
        <v>Tue</v>
      </c>
    </row>
    <row r="688" spans="1:11" x14ac:dyDescent="0.35">
      <c r="A688" s="1">
        <v>36558</v>
      </c>
      <c r="B688">
        <v>3.3968749046325599</v>
      </c>
      <c r="C688">
        <v>3.6124999523162802</v>
      </c>
      <c r="D688">
        <v>3.38750004768371</v>
      </c>
      <c r="E688">
        <v>3.4718749523162802</v>
      </c>
      <c r="F688">
        <v>3.4718749523162802</v>
      </c>
      <c r="G688">
        <v>280518000</v>
      </c>
      <c r="H688">
        <f t="shared" si="40"/>
        <v>2000</v>
      </c>
      <c r="I688">
        <f t="shared" si="41"/>
        <v>2</v>
      </c>
      <c r="J688" t="str">
        <f t="shared" si="42"/>
        <v>Feb</v>
      </c>
      <c r="K688" t="str">
        <f t="shared" si="43"/>
        <v>Wed</v>
      </c>
    </row>
    <row r="689" spans="1:11" x14ac:dyDescent="0.35">
      <c r="A689" s="1">
        <v>36559</v>
      </c>
      <c r="B689">
        <v>4.0562500953674299</v>
      </c>
      <c r="C689">
        <v>4.296875</v>
      </c>
      <c r="D689">
        <v>3.8687500953674299</v>
      </c>
      <c r="E689">
        <v>4.2093749046325604</v>
      </c>
      <c r="F689">
        <v>4.2093749046325604</v>
      </c>
      <c r="G689">
        <v>875000000</v>
      </c>
      <c r="H689">
        <f t="shared" si="40"/>
        <v>2000</v>
      </c>
      <c r="I689">
        <f t="shared" si="41"/>
        <v>2</v>
      </c>
      <c r="J689" t="str">
        <f t="shared" si="42"/>
        <v>Feb</v>
      </c>
      <c r="K689" t="str">
        <f t="shared" si="43"/>
        <v>Thu</v>
      </c>
    </row>
    <row r="690" spans="1:11" x14ac:dyDescent="0.35">
      <c r="A690" s="1">
        <v>36560</v>
      </c>
      <c r="B690">
        <v>4.1374998092651296</v>
      </c>
      <c r="C690">
        <v>4.1374998092651296</v>
      </c>
      <c r="D690">
        <v>3.8937499523162802</v>
      </c>
      <c r="E690">
        <v>3.9281249046325599</v>
      </c>
      <c r="F690">
        <v>3.9281249046325599</v>
      </c>
      <c r="G690">
        <v>220460000</v>
      </c>
      <c r="H690">
        <f t="shared" si="40"/>
        <v>2000</v>
      </c>
      <c r="I690">
        <f t="shared" si="41"/>
        <v>2</v>
      </c>
      <c r="J690" t="str">
        <f t="shared" si="42"/>
        <v>Feb</v>
      </c>
      <c r="K690" t="str">
        <f t="shared" si="43"/>
        <v>Fri</v>
      </c>
    </row>
    <row r="691" spans="1:11" x14ac:dyDescent="0.35">
      <c r="A691" s="1">
        <v>36563</v>
      </c>
      <c r="B691">
        <v>3.80937504768371</v>
      </c>
      <c r="C691">
        <v>3.84375</v>
      </c>
      <c r="D691">
        <v>3.65625</v>
      </c>
      <c r="E691">
        <v>3.75</v>
      </c>
      <c r="F691">
        <v>3.75</v>
      </c>
      <c r="G691">
        <v>202580000</v>
      </c>
      <c r="H691">
        <f t="shared" si="40"/>
        <v>2000</v>
      </c>
      <c r="I691">
        <f t="shared" si="41"/>
        <v>2</v>
      </c>
      <c r="J691" t="str">
        <f t="shared" si="42"/>
        <v>Feb</v>
      </c>
      <c r="K691" t="str">
        <f t="shared" si="43"/>
        <v>Mon</v>
      </c>
    </row>
    <row r="692" spans="1:11" x14ac:dyDescent="0.35">
      <c r="A692" s="1">
        <v>36564</v>
      </c>
      <c r="B692">
        <v>3.70000004768371</v>
      </c>
      <c r="C692">
        <v>4.1999998092651296</v>
      </c>
      <c r="D692">
        <v>3.671875</v>
      </c>
      <c r="E692">
        <v>4.15625</v>
      </c>
      <c r="F692">
        <v>4.15625</v>
      </c>
      <c r="G692">
        <v>389456000</v>
      </c>
      <c r="H692">
        <f t="shared" si="40"/>
        <v>2000</v>
      </c>
      <c r="I692">
        <f t="shared" si="41"/>
        <v>2</v>
      </c>
      <c r="J692" t="str">
        <f t="shared" si="42"/>
        <v>Feb</v>
      </c>
      <c r="K692" t="str">
        <f t="shared" si="43"/>
        <v>Tue</v>
      </c>
    </row>
    <row r="693" spans="1:11" x14ac:dyDescent="0.35">
      <c r="A693" s="1">
        <v>36565</v>
      </c>
      <c r="B693">
        <v>4.0273442268371502</v>
      </c>
      <c r="C693">
        <v>4.1867189407348597</v>
      </c>
      <c r="D693">
        <v>4.0007810592651296</v>
      </c>
      <c r="E693">
        <v>4.0124998092651296</v>
      </c>
      <c r="F693">
        <v>4.0124998092651296</v>
      </c>
      <c r="G693">
        <v>191608000</v>
      </c>
      <c r="H693">
        <f t="shared" si="40"/>
        <v>2000</v>
      </c>
      <c r="I693">
        <f t="shared" si="41"/>
        <v>2</v>
      </c>
      <c r="J693" t="str">
        <f t="shared" si="42"/>
        <v>Feb</v>
      </c>
      <c r="K693" t="str">
        <f t="shared" si="43"/>
        <v>Wed</v>
      </c>
    </row>
    <row r="694" spans="1:11" x14ac:dyDescent="0.35">
      <c r="A694" s="1">
        <v>36566</v>
      </c>
      <c r="B694">
        <v>3.9249999523162802</v>
      </c>
      <c r="C694">
        <v>3.9937500953674299</v>
      </c>
      <c r="D694">
        <v>3.7750000953674299</v>
      </c>
      <c r="E694">
        <v>3.80937504768371</v>
      </c>
      <c r="F694">
        <v>3.80937504768371</v>
      </c>
      <c r="G694">
        <v>199592000</v>
      </c>
      <c r="H694">
        <f t="shared" si="40"/>
        <v>2000</v>
      </c>
      <c r="I694">
        <f t="shared" si="41"/>
        <v>2</v>
      </c>
      <c r="J694" t="str">
        <f t="shared" si="42"/>
        <v>Feb</v>
      </c>
      <c r="K694" t="str">
        <f t="shared" si="43"/>
        <v>Thu</v>
      </c>
    </row>
    <row r="695" spans="1:11" x14ac:dyDescent="0.35">
      <c r="A695" s="1">
        <v>36567</v>
      </c>
      <c r="B695">
        <v>3.85625004768371</v>
      </c>
      <c r="C695">
        <v>3.9562499523162802</v>
      </c>
      <c r="D695">
        <v>3.7750000953674299</v>
      </c>
      <c r="E695">
        <v>3.80937504768371</v>
      </c>
      <c r="F695">
        <v>3.80937504768371</v>
      </c>
      <c r="G695">
        <v>166180000</v>
      </c>
      <c r="H695">
        <f t="shared" si="40"/>
        <v>2000</v>
      </c>
      <c r="I695">
        <f t="shared" si="41"/>
        <v>2</v>
      </c>
      <c r="J695" t="str">
        <f t="shared" si="42"/>
        <v>Feb</v>
      </c>
      <c r="K695" t="str">
        <f t="shared" si="43"/>
        <v>Fri</v>
      </c>
    </row>
    <row r="696" spans="1:11" x14ac:dyDescent="0.35">
      <c r="A696" s="1">
        <v>36570</v>
      </c>
      <c r="B696">
        <v>3.7843749523162802</v>
      </c>
      <c r="C696">
        <v>3.7874999046325599</v>
      </c>
      <c r="D696">
        <v>3.6781249046325599</v>
      </c>
      <c r="E696">
        <v>3.7218749523162802</v>
      </c>
      <c r="F696">
        <v>3.7218749523162802</v>
      </c>
      <c r="G696">
        <v>103394000</v>
      </c>
      <c r="H696">
        <f t="shared" si="40"/>
        <v>2000</v>
      </c>
      <c r="I696">
        <f t="shared" si="41"/>
        <v>2</v>
      </c>
      <c r="J696" t="str">
        <f t="shared" si="42"/>
        <v>Feb</v>
      </c>
      <c r="K696" t="str">
        <f t="shared" si="43"/>
        <v>Mon</v>
      </c>
    </row>
    <row r="697" spans="1:11" x14ac:dyDescent="0.35">
      <c r="A697" s="1">
        <v>36571</v>
      </c>
      <c r="B697">
        <v>3.671875</v>
      </c>
      <c r="C697">
        <v>3.80937504768371</v>
      </c>
      <c r="D697">
        <v>3.53125</v>
      </c>
      <c r="E697">
        <v>3.6906249523162802</v>
      </c>
      <c r="F697">
        <v>3.6906249523162802</v>
      </c>
      <c r="G697">
        <v>128490000</v>
      </c>
      <c r="H697">
        <f t="shared" si="40"/>
        <v>2000</v>
      </c>
      <c r="I697">
        <f t="shared" si="41"/>
        <v>2</v>
      </c>
      <c r="J697" t="str">
        <f t="shared" si="42"/>
        <v>Feb</v>
      </c>
      <c r="K697" t="str">
        <f t="shared" si="43"/>
        <v>Tue</v>
      </c>
    </row>
    <row r="698" spans="1:11" x14ac:dyDescent="0.35">
      <c r="A698" s="1">
        <v>36572</v>
      </c>
      <c r="B698">
        <v>3.63750004768371</v>
      </c>
      <c r="C698">
        <v>3.671875</v>
      </c>
      <c r="D698">
        <v>3.53125</v>
      </c>
      <c r="E698">
        <v>3.5343749523162802</v>
      </c>
      <c r="F698">
        <v>3.5343749523162802</v>
      </c>
      <c r="G698">
        <v>85204000</v>
      </c>
      <c r="H698">
        <f t="shared" si="40"/>
        <v>2000</v>
      </c>
      <c r="I698">
        <f t="shared" si="41"/>
        <v>2</v>
      </c>
      <c r="J698" t="str">
        <f t="shared" si="42"/>
        <v>Feb</v>
      </c>
      <c r="K698" t="str">
        <f t="shared" si="43"/>
        <v>Wed</v>
      </c>
    </row>
    <row r="699" spans="1:11" x14ac:dyDescent="0.35">
      <c r="A699" s="1">
        <v>36573</v>
      </c>
      <c r="B699">
        <v>3.5625</v>
      </c>
      <c r="C699">
        <v>3.5656249523162802</v>
      </c>
      <c r="D699">
        <v>3.4000000953674299</v>
      </c>
      <c r="E699">
        <v>3.45000004768371</v>
      </c>
      <c r="F699">
        <v>3.45000004768371</v>
      </c>
      <c r="G699">
        <v>122592000</v>
      </c>
      <c r="H699">
        <f t="shared" si="40"/>
        <v>2000</v>
      </c>
      <c r="I699">
        <f t="shared" si="41"/>
        <v>2</v>
      </c>
      <c r="J699" t="str">
        <f t="shared" si="42"/>
        <v>Feb</v>
      </c>
      <c r="K699" t="str">
        <f t="shared" si="43"/>
        <v>Thu</v>
      </c>
    </row>
    <row r="700" spans="1:11" x14ac:dyDescent="0.35">
      <c r="A700" s="1">
        <v>36574</v>
      </c>
      <c r="B700">
        <v>3.421875</v>
      </c>
      <c r="C700">
        <v>3.45000004768371</v>
      </c>
      <c r="D700">
        <v>3.1937499046325599</v>
      </c>
      <c r="E700">
        <v>3.2374999523162802</v>
      </c>
      <c r="F700">
        <v>3.2374999523162802</v>
      </c>
      <c r="G700">
        <v>174528000</v>
      </c>
      <c r="H700">
        <f t="shared" si="40"/>
        <v>2000</v>
      </c>
      <c r="I700">
        <f t="shared" si="41"/>
        <v>2</v>
      </c>
      <c r="J700" t="str">
        <f t="shared" si="42"/>
        <v>Feb</v>
      </c>
      <c r="K700" t="str">
        <f t="shared" si="43"/>
        <v>Fri</v>
      </c>
    </row>
    <row r="701" spans="1:11" x14ac:dyDescent="0.35">
      <c r="A701" s="1">
        <v>36578</v>
      </c>
      <c r="B701">
        <v>3.24687504768371</v>
      </c>
      <c r="C701">
        <v>3.32500004768371</v>
      </c>
      <c r="D701">
        <v>3.15312504768371</v>
      </c>
      <c r="E701">
        <v>3.1781249046325599</v>
      </c>
      <c r="F701">
        <v>3.1781249046325599</v>
      </c>
      <c r="G701">
        <v>113716000</v>
      </c>
      <c r="H701">
        <f t="shared" si="40"/>
        <v>2000</v>
      </c>
      <c r="I701">
        <f t="shared" si="41"/>
        <v>2</v>
      </c>
      <c r="J701" t="str">
        <f t="shared" si="42"/>
        <v>Feb</v>
      </c>
      <c r="K701" t="str">
        <f t="shared" si="43"/>
        <v>Tue</v>
      </c>
    </row>
    <row r="702" spans="1:11" x14ac:dyDescent="0.35">
      <c r="A702" s="1">
        <v>36579</v>
      </c>
      <c r="B702">
        <v>3.2437500953674299</v>
      </c>
      <c r="C702">
        <v>3.5875000953674299</v>
      </c>
      <c r="D702">
        <v>3.234375</v>
      </c>
      <c r="E702">
        <v>3.5218749046325599</v>
      </c>
      <c r="F702">
        <v>3.5218749046325599</v>
      </c>
      <c r="G702">
        <v>168824000</v>
      </c>
      <c r="H702">
        <f t="shared" si="40"/>
        <v>2000</v>
      </c>
      <c r="I702">
        <f t="shared" si="41"/>
        <v>2</v>
      </c>
      <c r="J702" t="str">
        <f t="shared" si="42"/>
        <v>Feb</v>
      </c>
      <c r="K702" t="str">
        <f t="shared" si="43"/>
        <v>Wed</v>
      </c>
    </row>
    <row r="703" spans="1:11" x14ac:dyDescent="0.35">
      <c r="A703" s="1">
        <v>36580</v>
      </c>
      <c r="B703">
        <v>3.52812504768371</v>
      </c>
      <c r="C703">
        <v>3.5687499046325599</v>
      </c>
      <c r="D703">
        <v>3.28125</v>
      </c>
      <c r="E703">
        <v>3.421875</v>
      </c>
      <c r="F703">
        <v>3.421875</v>
      </c>
      <c r="G703">
        <v>117386000</v>
      </c>
      <c r="H703">
        <f t="shared" si="40"/>
        <v>2000</v>
      </c>
      <c r="I703">
        <f t="shared" si="41"/>
        <v>2</v>
      </c>
      <c r="J703" t="str">
        <f t="shared" si="42"/>
        <v>Feb</v>
      </c>
      <c r="K703" t="str">
        <f t="shared" si="43"/>
        <v>Thu</v>
      </c>
    </row>
    <row r="704" spans="1:11" x14ac:dyDescent="0.35">
      <c r="A704" s="1">
        <v>36581</v>
      </c>
      <c r="B704">
        <v>3.37187504768371</v>
      </c>
      <c r="C704">
        <v>3.46875</v>
      </c>
      <c r="D704">
        <v>3.2593750953674299</v>
      </c>
      <c r="E704">
        <v>3.4562499523162802</v>
      </c>
      <c r="F704">
        <v>3.4562499523162802</v>
      </c>
      <c r="G704">
        <v>97410000</v>
      </c>
      <c r="H704">
        <f t="shared" si="40"/>
        <v>2000</v>
      </c>
      <c r="I704">
        <f t="shared" si="41"/>
        <v>2</v>
      </c>
      <c r="J704" t="str">
        <f t="shared" si="42"/>
        <v>Feb</v>
      </c>
      <c r="K704" t="str">
        <f t="shared" si="43"/>
        <v>Fri</v>
      </c>
    </row>
    <row r="705" spans="1:11" x14ac:dyDescent="0.35">
      <c r="A705" s="1">
        <v>36584</v>
      </c>
      <c r="B705">
        <v>3.328125</v>
      </c>
      <c r="C705">
        <v>3.359375</v>
      </c>
      <c r="D705">
        <v>3.2062499523162802</v>
      </c>
      <c r="E705">
        <v>3.2874999046325599</v>
      </c>
      <c r="F705">
        <v>3.2874999046325599</v>
      </c>
      <c r="G705">
        <v>101154000</v>
      </c>
      <c r="H705">
        <f t="shared" si="40"/>
        <v>2000</v>
      </c>
      <c r="I705">
        <f t="shared" si="41"/>
        <v>2</v>
      </c>
      <c r="J705" t="str">
        <f t="shared" si="42"/>
        <v>Feb</v>
      </c>
      <c r="K705" t="str">
        <f t="shared" si="43"/>
        <v>Mon</v>
      </c>
    </row>
    <row r="706" spans="1:11" x14ac:dyDescent="0.35">
      <c r="A706" s="1">
        <v>36585</v>
      </c>
      <c r="B706">
        <v>3.2999999523162802</v>
      </c>
      <c r="C706">
        <v>3.4484379291534402</v>
      </c>
      <c r="D706">
        <v>3.29375004768371</v>
      </c>
      <c r="E706">
        <v>3.4437499046325599</v>
      </c>
      <c r="F706">
        <v>3.4437499046325599</v>
      </c>
      <c r="G706">
        <v>142970000</v>
      </c>
      <c r="H706">
        <f t="shared" si="40"/>
        <v>2000</v>
      </c>
      <c r="I706">
        <f t="shared" si="41"/>
        <v>2</v>
      </c>
      <c r="J706" t="str">
        <f t="shared" si="42"/>
        <v>Feb</v>
      </c>
      <c r="K706" t="str">
        <f t="shared" si="43"/>
        <v>Tue</v>
      </c>
    </row>
    <row r="707" spans="1:11" x14ac:dyDescent="0.35">
      <c r="A707" s="1">
        <v>36586</v>
      </c>
      <c r="B707">
        <v>3.3812499046325599</v>
      </c>
      <c r="C707">
        <v>3.4249999523162802</v>
      </c>
      <c r="D707">
        <v>3.25</v>
      </c>
      <c r="E707">
        <v>3.29375004768371</v>
      </c>
      <c r="F707">
        <v>3.29375004768371</v>
      </c>
      <c r="G707">
        <v>111534000</v>
      </c>
      <c r="H707">
        <f t="shared" si="40"/>
        <v>2000</v>
      </c>
      <c r="I707">
        <f t="shared" si="41"/>
        <v>3</v>
      </c>
      <c r="J707" t="str">
        <f t="shared" si="42"/>
        <v>Mar</v>
      </c>
      <c r="K707" t="str">
        <f t="shared" si="43"/>
        <v>Wed</v>
      </c>
    </row>
    <row r="708" spans="1:11" x14ac:dyDescent="0.35">
      <c r="A708" s="1">
        <v>36587</v>
      </c>
      <c r="B708">
        <v>3.24687504768371</v>
      </c>
      <c r="C708">
        <v>3.25</v>
      </c>
      <c r="D708">
        <v>3.109375</v>
      </c>
      <c r="E708">
        <v>3.1281249523162802</v>
      </c>
      <c r="F708">
        <v>3.1281249523162802</v>
      </c>
      <c r="G708">
        <v>159602000</v>
      </c>
      <c r="H708">
        <f t="shared" ref="H708:H771" si="44">YEAR($A708)</f>
        <v>2000</v>
      </c>
      <c r="I708">
        <f t="shared" ref="I708:I771" si="45">MONTH($A708)</f>
        <v>3</v>
      </c>
      <c r="J708" t="str">
        <f t="shared" ref="J708:J771" si="46">TEXT($A708,"mmm")</f>
        <v>Mar</v>
      </c>
      <c r="K708" t="str">
        <f t="shared" ref="K708:K771" si="47">TEXT($A708,"ddd")</f>
        <v>Thu</v>
      </c>
    </row>
    <row r="709" spans="1:11" x14ac:dyDescent="0.35">
      <c r="A709" s="1">
        <v>36588</v>
      </c>
      <c r="B709">
        <v>3.1624999046325599</v>
      </c>
      <c r="C709">
        <v>3.2374999523162802</v>
      </c>
      <c r="D709">
        <v>3.1031250953674299</v>
      </c>
      <c r="E709">
        <v>3.125</v>
      </c>
      <c r="F709">
        <v>3.125</v>
      </c>
      <c r="G709">
        <v>121190000</v>
      </c>
      <c r="H709">
        <f t="shared" si="44"/>
        <v>2000</v>
      </c>
      <c r="I709">
        <f t="shared" si="45"/>
        <v>3</v>
      </c>
      <c r="J709" t="str">
        <f t="shared" si="46"/>
        <v>Mar</v>
      </c>
      <c r="K709" t="str">
        <f t="shared" si="47"/>
        <v>Fri</v>
      </c>
    </row>
    <row r="710" spans="1:11" x14ac:dyDescent="0.35">
      <c r="A710" s="1">
        <v>36591</v>
      </c>
      <c r="B710">
        <v>3.1437499523162802</v>
      </c>
      <c r="C710">
        <v>3.3624999523162802</v>
      </c>
      <c r="D710">
        <v>3.140625</v>
      </c>
      <c r="E710">
        <v>3.1968750953674299</v>
      </c>
      <c r="F710">
        <v>3.1968750953674299</v>
      </c>
      <c r="G710">
        <v>153316000</v>
      </c>
      <c r="H710">
        <f t="shared" si="44"/>
        <v>2000</v>
      </c>
      <c r="I710">
        <f t="shared" si="45"/>
        <v>3</v>
      </c>
      <c r="J710" t="str">
        <f t="shared" si="46"/>
        <v>Mar</v>
      </c>
      <c r="K710" t="str">
        <f t="shared" si="47"/>
        <v>Mon</v>
      </c>
    </row>
    <row r="711" spans="1:11" x14ac:dyDescent="0.35">
      <c r="A711" s="1">
        <v>36592</v>
      </c>
      <c r="B711">
        <v>3.2437500953674299</v>
      </c>
      <c r="C711">
        <v>3.2906250953674299</v>
      </c>
      <c r="D711">
        <v>3.10625004768371</v>
      </c>
      <c r="E711">
        <v>3.1749999523162802</v>
      </c>
      <c r="F711">
        <v>3.1749999523162802</v>
      </c>
      <c r="G711">
        <v>83576000</v>
      </c>
      <c r="H711">
        <f t="shared" si="44"/>
        <v>2000</v>
      </c>
      <c r="I711">
        <f t="shared" si="45"/>
        <v>3</v>
      </c>
      <c r="J711" t="str">
        <f t="shared" si="46"/>
        <v>Mar</v>
      </c>
      <c r="K711" t="str">
        <f t="shared" si="47"/>
        <v>Tue</v>
      </c>
    </row>
    <row r="712" spans="1:11" x14ac:dyDescent="0.35">
      <c r="A712" s="1">
        <v>36593</v>
      </c>
      <c r="B712">
        <v>3.1624999046325599</v>
      </c>
      <c r="C712">
        <v>3.2374999523162802</v>
      </c>
      <c r="D712">
        <v>3.02812504768371</v>
      </c>
      <c r="E712">
        <v>3.1812500953674299</v>
      </c>
      <c r="F712">
        <v>3.1812500953674299</v>
      </c>
      <c r="G712">
        <v>118814000</v>
      </c>
      <c r="H712">
        <f t="shared" si="44"/>
        <v>2000</v>
      </c>
      <c r="I712">
        <f t="shared" si="45"/>
        <v>3</v>
      </c>
      <c r="J712" t="str">
        <f t="shared" si="46"/>
        <v>Mar</v>
      </c>
      <c r="K712" t="str">
        <f t="shared" si="47"/>
        <v>Wed</v>
      </c>
    </row>
    <row r="713" spans="1:11" x14ac:dyDescent="0.35">
      <c r="A713" s="1">
        <v>36594</v>
      </c>
      <c r="B713">
        <v>3.1500000953674299</v>
      </c>
      <c r="C713">
        <v>3.45000004768371</v>
      </c>
      <c r="D713">
        <v>3.109375</v>
      </c>
      <c r="E713">
        <v>3.4406249523162802</v>
      </c>
      <c r="F713">
        <v>3.4406249523162802</v>
      </c>
      <c r="G713">
        <v>166250000</v>
      </c>
      <c r="H713">
        <f t="shared" si="44"/>
        <v>2000</v>
      </c>
      <c r="I713">
        <f t="shared" si="45"/>
        <v>3</v>
      </c>
      <c r="J713" t="str">
        <f t="shared" si="46"/>
        <v>Mar</v>
      </c>
      <c r="K713" t="str">
        <f t="shared" si="47"/>
        <v>Thu</v>
      </c>
    </row>
    <row r="714" spans="1:11" x14ac:dyDescent="0.35">
      <c r="A714" s="1">
        <v>36595</v>
      </c>
      <c r="B714">
        <v>3.3624999523162802</v>
      </c>
      <c r="C714">
        <v>3.42656302452087</v>
      </c>
      <c r="D714">
        <v>3.25</v>
      </c>
      <c r="E714">
        <v>3.34375</v>
      </c>
      <c r="F714">
        <v>3.34375</v>
      </c>
      <c r="G714">
        <v>74270000</v>
      </c>
      <c r="H714">
        <f t="shared" si="44"/>
        <v>2000</v>
      </c>
      <c r="I714">
        <f t="shared" si="45"/>
        <v>3</v>
      </c>
      <c r="J714" t="str">
        <f t="shared" si="46"/>
        <v>Mar</v>
      </c>
      <c r="K714" t="str">
        <f t="shared" si="47"/>
        <v>Fri</v>
      </c>
    </row>
    <row r="715" spans="1:11" x14ac:dyDescent="0.35">
      <c r="A715" s="1">
        <v>36598</v>
      </c>
      <c r="B715">
        <v>3.20000004768371</v>
      </c>
      <c r="C715">
        <v>3.3312499523162802</v>
      </c>
      <c r="D715">
        <v>3.1500000953674299</v>
      </c>
      <c r="E715">
        <v>3.265625</v>
      </c>
      <c r="F715">
        <v>3.265625</v>
      </c>
      <c r="G715">
        <v>112686000</v>
      </c>
      <c r="H715">
        <f t="shared" si="44"/>
        <v>2000</v>
      </c>
      <c r="I715">
        <f t="shared" si="45"/>
        <v>3</v>
      </c>
      <c r="J715" t="str">
        <f t="shared" si="46"/>
        <v>Mar</v>
      </c>
      <c r="K715" t="str">
        <f t="shared" si="47"/>
        <v>Mon</v>
      </c>
    </row>
    <row r="716" spans="1:11" x14ac:dyDescent="0.35">
      <c r="A716" s="1">
        <v>36599</v>
      </c>
      <c r="B716">
        <v>3.3031249046325599</v>
      </c>
      <c r="C716">
        <v>3.3468749523162802</v>
      </c>
      <c r="D716">
        <v>3.16875004768371</v>
      </c>
      <c r="E716">
        <v>3.28125</v>
      </c>
      <c r="F716">
        <v>3.28125</v>
      </c>
      <c r="G716">
        <v>96106000</v>
      </c>
      <c r="H716">
        <f t="shared" si="44"/>
        <v>2000</v>
      </c>
      <c r="I716">
        <f t="shared" si="45"/>
        <v>3</v>
      </c>
      <c r="J716" t="str">
        <f t="shared" si="46"/>
        <v>Mar</v>
      </c>
      <c r="K716" t="str">
        <f t="shared" si="47"/>
        <v>Tue</v>
      </c>
    </row>
    <row r="717" spans="1:11" x14ac:dyDescent="0.35">
      <c r="A717" s="1">
        <v>36600</v>
      </c>
      <c r="B717">
        <v>3.2374999523162802</v>
      </c>
      <c r="C717">
        <v>3.2562499046325599</v>
      </c>
      <c r="D717">
        <v>3.0999999046325599</v>
      </c>
      <c r="E717">
        <v>3.1875</v>
      </c>
      <c r="F717">
        <v>3.1875</v>
      </c>
      <c r="G717">
        <v>121654000</v>
      </c>
      <c r="H717">
        <f t="shared" si="44"/>
        <v>2000</v>
      </c>
      <c r="I717">
        <f t="shared" si="45"/>
        <v>3</v>
      </c>
      <c r="J717" t="str">
        <f t="shared" si="46"/>
        <v>Mar</v>
      </c>
      <c r="K717" t="str">
        <f t="shared" si="47"/>
        <v>Wed</v>
      </c>
    </row>
    <row r="718" spans="1:11" x14ac:dyDescent="0.35">
      <c r="A718" s="1">
        <v>36601</v>
      </c>
      <c r="B718">
        <v>3.1124999523162802</v>
      </c>
      <c r="C718">
        <v>3.3187499046325599</v>
      </c>
      <c r="D718">
        <v>3</v>
      </c>
      <c r="E718">
        <v>3.3125</v>
      </c>
      <c r="F718">
        <v>3.3125</v>
      </c>
      <c r="G718">
        <v>194062000</v>
      </c>
      <c r="H718">
        <f t="shared" si="44"/>
        <v>2000</v>
      </c>
      <c r="I718">
        <f t="shared" si="45"/>
        <v>3</v>
      </c>
      <c r="J718" t="str">
        <f t="shared" si="46"/>
        <v>Mar</v>
      </c>
      <c r="K718" t="str">
        <f t="shared" si="47"/>
        <v>Thu</v>
      </c>
    </row>
    <row r="719" spans="1:11" x14ac:dyDescent="0.35">
      <c r="A719" s="1">
        <v>36602</v>
      </c>
      <c r="B719">
        <v>3.3031249046325599</v>
      </c>
      <c r="C719">
        <v>3.3187499046325599</v>
      </c>
      <c r="D719">
        <v>3.2249999046325599</v>
      </c>
      <c r="E719">
        <v>3.2406249046325599</v>
      </c>
      <c r="F719">
        <v>3.2406249046325599</v>
      </c>
      <c r="G719">
        <v>105970000</v>
      </c>
      <c r="H719">
        <f t="shared" si="44"/>
        <v>2000</v>
      </c>
      <c r="I719">
        <f t="shared" si="45"/>
        <v>3</v>
      </c>
      <c r="J719" t="str">
        <f t="shared" si="46"/>
        <v>Mar</v>
      </c>
      <c r="K719" t="str">
        <f t="shared" si="47"/>
        <v>Fri</v>
      </c>
    </row>
    <row r="720" spans="1:11" x14ac:dyDescent="0.35">
      <c r="A720" s="1">
        <v>36605</v>
      </c>
      <c r="B720">
        <v>3.1749999523162802</v>
      </c>
      <c r="C720">
        <v>3.2249999046325599</v>
      </c>
      <c r="D720">
        <v>3.1187500953674299</v>
      </c>
      <c r="E720">
        <v>3.2093749046325599</v>
      </c>
      <c r="F720">
        <v>3.2093749046325599</v>
      </c>
      <c r="G720">
        <v>116270000</v>
      </c>
      <c r="H720">
        <f t="shared" si="44"/>
        <v>2000</v>
      </c>
      <c r="I720">
        <f t="shared" si="45"/>
        <v>3</v>
      </c>
      <c r="J720" t="str">
        <f t="shared" si="46"/>
        <v>Mar</v>
      </c>
      <c r="K720" t="str">
        <f t="shared" si="47"/>
        <v>Mon</v>
      </c>
    </row>
    <row r="721" spans="1:11" x14ac:dyDescent="0.35">
      <c r="A721" s="1">
        <v>36606</v>
      </c>
      <c r="B721">
        <v>3.2562499046325599</v>
      </c>
      <c r="C721">
        <v>3.6500000953674299</v>
      </c>
      <c r="D721">
        <v>3.1124999523162802</v>
      </c>
      <c r="E721">
        <v>3.6187500953674299</v>
      </c>
      <c r="F721">
        <v>3.6187500953674299</v>
      </c>
      <c r="G721">
        <v>341658000</v>
      </c>
      <c r="H721">
        <f t="shared" si="44"/>
        <v>2000</v>
      </c>
      <c r="I721">
        <f t="shared" si="45"/>
        <v>3</v>
      </c>
      <c r="J721" t="str">
        <f t="shared" si="46"/>
        <v>Mar</v>
      </c>
      <c r="K721" t="str">
        <f t="shared" si="47"/>
        <v>Tue</v>
      </c>
    </row>
    <row r="722" spans="1:11" x14ac:dyDescent="0.35">
      <c r="A722" s="1">
        <v>36607</v>
      </c>
      <c r="B722">
        <v>3.54375004768371</v>
      </c>
      <c r="C722">
        <v>3.70000004768371</v>
      </c>
      <c r="D722">
        <v>3.4625000953674299</v>
      </c>
      <c r="E722">
        <v>3.5343749523162802</v>
      </c>
      <c r="F722">
        <v>3.5343749523162802</v>
      </c>
      <c r="G722">
        <v>231328000</v>
      </c>
      <c r="H722">
        <f t="shared" si="44"/>
        <v>2000</v>
      </c>
      <c r="I722">
        <f t="shared" si="45"/>
        <v>3</v>
      </c>
      <c r="J722" t="str">
        <f t="shared" si="46"/>
        <v>Mar</v>
      </c>
      <c r="K722" t="str">
        <f t="shared" si="47"/>
        <v>Wed</v>
      </c>
    </row>
    <row r="723" spans="1:11" x14ac:dyDescent="0.35">
      <c r="A723" s="1">
        <v>36608</v>
      </c>
      <c r="B723">
        <v>3.4749999046325599</v>
      </c>
      <c r="C723">
        <v>3.546875</v>
      </c>
      <c r="D723">
        <v>3.375</v>
      </c>
      <c r="E723">
        <v>3.3843750953674299</v>
      </c>
      <c r="F723">
        <v>3.3843750953674299</v>
      </c>
      <c r="G723">
        <v>108842000</v>
      </c>
      <c r="H723">
        <f t="shared" si="44"/>
        <v>2000</v>
      </c>
      <c r="I723">
        <f t="shared" si="45"/>
        <v>3</v>
      </c>
      <c r="J723" t="str">
        <f t="shared" si="46"/>
        <v>Mar</v>
      </c>
      <c r="K723" t="str">
        <f t="shared" si="47"/>
        <v>Thu</v>
      </c>
    </row>
    <row r="724" spans="1:11" x14ac:dyDescent="0.35">
      <c r="A724" s="1">
        <v>36609</v>
      </c>
      <c r="B724">
        <v>3.73125004768371</v>
      </c>
      <c r="C724">
        <v>3.76250004768371</v>
      </c>
      <c r="D724">
        <v>3.5656249523162802</v>
      </c>
      <c r="E724">
        <v>3.6343750953674299</v>
      </c>
      <c r="F724">
        <v>3.6343750953674299</v>
      </c>
      <c r="G724">
        <v>194920000</v>
      </c>
      <c r="H724">
        <f t="shared" si="44"/>
        <v>2000</v>
      </c>
      <c r="I724">
        <f t="shared" si="45"/>
        <v>3</v>
      </c>
      <c r="J724" t="str">
        <f t="shared" si="46"/>
        <v>Mar</v>
      </c>
      <c r="K724" t="str">
        <f t="shared" si="47"/>
        <v>Fri</v>
      </c>
    </row>
    <row r="725" spans="1:11" x14ac:dyDescent="0.35">
      <c r="A725" s="1">
        <v>36612</v>
      </c>
      <c r="B725">
        <v>3.6124999523162802</v>
      </c>
      <c r="C725">
        <v>3.7562499046325599</v>
      </c>
      <c r="D725">
        <v>3.5875000953674299</v>
      </c>
      <c r="E725">
        <v>3.65625</v>
      </c>
      <c r="F725">
        <v>3.65625</v>
      </c>
      <c r="G725">
        <v>94972000</v>
      </c>
      <c r="H725">
        <f t="shared" si="44"/>
        <v>2000</v>
      </c>
      <c r="I725">
        <f t="shared" si="45"/>
        <v>3</v>
      </c>
      <c r="J725" t="str">
        <f t="shared" si="46"/>
        <v>Mar</v>
      </c>
      <c r="K725" t="str">
        <f t="shared" si="47"/>
        <v>Mon</v>
      </c>
    </row>
    <row r="726" spans="1:11" x14ac:dyDescent="0.35">
      <c r="A726" s="1">
        <v>36613</v>
      </c>
      <c r="B726">
        <v>3.6187500953674299</v>
      </c>
      <c r="C726">
        <v>3.63750004768371</v>
      </c>
      <c r="D726">
        <v>3.47343802452087</v>
      </c>
      <c r="E726">
        <v>3.5062499046325599</v>
      </c>
      <c r="F726">
        <v>3.5062499046325599</v>
      </c>
      <c r="G726">
        <v>103952000</v>
      </c>
      <c r="H726">
        <f t="shared" si="44"/>
        <v>2000</v>
      </c>
      <c r="I726">
        <f t="shared" si="45"/>
        <v>3</v>
      </c>
      <c r="J726" t="str">
        <f t="shared" si="46"/>
        <v>Mar</v>
      </c>
      <c r="K726" t="str">
        <f t="shared" si="47"/>
        <v>Tue</v>
      </c>
    </row>
    <row r="727" spans="1:11" x14ac:dyDescent="0.35">
      <c r="A727" s="1">
        <v>36614</v>
      </c>
      <c r="B727">
        <v>3.4749999046325599</v>
      </c>
      <c r="C727">
        <v>3.4937500953674299</v>
      </c>
      <c r="D727">
        <v>3.25</v>
      </c>
      <c r="E727">
        <v>3.3125</v>
      </c>
      <c r="F727">
        <v>3.3125</v>
      </c>
      <c r="G727">
        <v>117730000</v>
      </c>
      <c r="H727">
        <f t="shared" si="44"/>
        <v>2000</v>
      </c>
      <c r="I727">
        <f t="shared" si="45"/>
        <v>3</v>
      </c>
      <c r="J727" t="str">
        <f t="shared" si="46"/>
        <v>Mar</v>
      </c>
      <c r="K727" t="str">
        <f t="shared" si="47"/>
        <v>Wed</v>
      </c>
    </row>
    <row r="728" spans="1:11" x14ac:dyDescent="0.35">
      <c r="A728" s="1">
        <v>36615</v>
      </c>
      <c r="B728">
        <v>3.2249999046325599</v>
      </c>
      <c r="C728">
        <v>3.3687500953674299</v>
      </c>
      <c r="D728">
        <v>3.20000004768371</v>
      </c>
      <c r="E728">
        <v>3.32500004768371</v>
      </c>
      <c r="F728">
        <v>3.32500004768371</v>
      </c>
      <c r="G728">
        <v>100680000</v>
      </c>
      <c r="H728">
        <f t="shared" si="44"/>
        <v>2000</v>
      </c>
      <c r="I728">
        <f t="shared" si="45"/>
        <v>3</v>
      </c>
      <c r="J728" t="str">
        <f t="shared" si="46"/>
        <v>Mar</v>
      </c>
      <c r="K728" t="str">
        <f t="shared" si="47"/>
        <v>Thu</v>
      </c>
    </row>
    <row r="729" spans="1:11" x14ac:dyDescent="0.35">
      <c r="A729" s="1">
        <v>36616</v>
      </c>
      <c r="B729">
        <v>3.3375000953674299</v>
      </c>
      <c r="C729">
        <v>3.35625004768371</v>
      </c>
      <c r="D729">
        <v>3.1500000953674299</v>
      </c>
      <c r="E729">
        <v>3.3499999046325599</v>
      </c>
      <c r="F729">
        <v>3.3499999046325599</v>
      </c>
      <c r="G729">
        <v>102310000</v>
      </c>
      <c r="H729">
        <f t="shared" si="44"/>
        <v>2000</v>
      </c>
      <c r="I729">
        <f t="shared" si="45"/>
        <v>3</v>
      </c>
      <c r="J729" t="str">
        <f t="shared" si="46"/>
        <v>Mar</v>
      </c>
      <c r="K729" t="str">
        <f t="shared" si="47"/>
        <v>Fri</v>
      </c>
    </row>
    <row r="730" spans="1:11" x14ac:dyDescent="0.35">
      <c r="A730" s="1">
        <v>36619</v>
      </c>
      <c r="B730">
        <v>3.2718749046325599</v>
      </c>
      <c r="C730">
        <v>3.2843749523162802</v>
      </c>
      <c r="D730">
        <v>3.0999999046325599</v>
      </c>
      <c r="E730">
        <v>3.1781249046325599</v>
      </c>
      <c r="F730">
        <v>3.1781249046325599</v>
      </c>
      <c r="G730">
        <v>97308000</v>
      </c>
      <c r="H730">
        <f t="shared" si="44"/>
        <v>2000</v>
      </c>
      <c r="I730">
        <f t="shared" si="45"/>
        <v>4</v>
      </c>
      <c r="J730" t="str">
        <f t="shared" si="46"/>
        <v>Apr</v>
      </c>
      <c r="K730" t="str">
        <f t="shared" si="47"/>
        <v>Mon</v>
      </c>
    </row>
    <row r="731" spans="1:11" x14ac:dyDescent="0.35">
      <c r="A731" s="1">
        <v>36620</v>
      </c>
      <c r="B731">
        <v>3.1437499523162802</v>
      </c>
      <c r="C731">
        <v>3.2718749046325599</v>
      </c>
      <c r="D731">
        <v>2.7874999046325599</v>
      </c>
      <c r="E731">
        <v>3.1968750953674299</v>
      </c>
      <c r="F731">
        <v>3.1968750953674299</v>
      </c>
      <c r="G731">
        <v>286360000</v>
      </c>
      <c r="H731">
        <f t="shared" si="44"/>
        <v>2000</v>
      </c>
      <c r="I731">
        <f t="shared" si="45"/>
        <v>4</v>
      </c>
      <c r="J731" t="str">
        <f t="shared" si="46"/>
        <v>Apr</v>
      </c>
      <c r="K731" t="str">
        <f t="shared" si="47"/>
        <v>Tue</v>
      </c>
    </row>
    <row r="732" spans="1:11" x14ac:dyDescent="0.35">
      <c r="A732" s="1">
        <v>36621</v>
      </c>
      <c r="B732">
        <v>3.0875000953674299</v>
      </c>
      <c r="C732">
        <v>3.24687504768371</v>
      </c>
      <c r="D732">
        <v>3.0250000953674299</v>
      </c>
      <c r="E732">
        <v>3.109375</v>
      </c>
      <c r="F732">
        <v>3.109375</v>
      </c>
      <c r="G732">
        <v>98000000</v>
      </c>
      <c r="H732">
        <f t="shared" si="44"/>
        <v>2000</v>
      </c>
      <c r="I732">
        <f t="shared" si="45"/>
        <v>4</v>
      </c>
      <c r="J732" t="str">
        <f t="shared" si="46"/>
        <v>Apr</v>
      </c>
      <c r="K732" t="str">
        <f t="shared" si="47"/>
        <v>Wed</v>
      </c>
    </row>
    <row r="733" spans="1:11" x14ac:dyDescent="0.35">
      <c r="A733" s="1">
        <v>36622</v>
      </c>
      <c r="B733">
        <v>3.171875</v>
      </c>
      <c r="C733">
        <v>3.2750000953674299</v>
      </c>
      <c r="D733">
        <v>3.09375</v>
      </c>
      <c r="E733">
        <v>3.2125000953674299</v>
      </c>
      <c r="F733">
        <v>3.2125000953674299</v>
      </c>
      <c r="G733">
        <v>120654000</v>
      </c>
      <c r="H733">
        <f t="shared" si="44"/>
        <v>2000</v>
      </c>
      <c r="I733">
        <f t="shared" si="45"/>
        <v>4</v>
      </c>
      <c r="J733" t="str">
        <f t="shared" si="46"/>
        <v>Apr</v>
      </c>
      <c r="K733" t="str">
        <f t="shared" si="47"/>
        <v>Thu</v>
      </c>
    </row>
    <row r="734" spans="1:11" x14ac:dyDescent="0.35">
      <c r="A734" s="1">
        <v>36623</v>
      </c>
      <c r="B734">
        <v>3.2562499046325599</v>
      </c>
      <c r="C734">
        <v>3.4312500953674299</v>
      </c>
      <c r="D734">
        <v>3.2062499523162802</v>
      </c>
      <c r="E734">
        <v>3.3781249523162802</v>
      </c>
      <c r="F734">
        <v>3.3781249523162802</v>
      </c>
      <c r="G734">
        <v>121046000</v>
      </c>
      <c r="H734">
        <f t="shared" si="44"/>
        <v>2000</v>
      </c>
      <c r="I734">
        <f t="shared" si="45"/>
        <v>4</v>
      </c>
      <c r="J734" t="str">
        <f t="shared" si="46"/>
        <v>Apr</v>
      </c>
      <c r="K734" t="str">
        <f t="shared" si="47"/>
        <v>Fri</v>
      </c>
    </row>
    <row r="735" spans="1:11" x14ac:dyDescent="0.35">
      <c r="A735" s="1">
        <v>36626</v>
      </c>
      <c r="B735">
        <v>3.3624999523162802</v>
      </c>
      <c r="C735">
        <v>3.421875</v>
      </c>
      <c r="D735">
        <v>3.1624999046325599</v>
      </c>
      <c r="E735">
        <v>3.16875004768371</v>
      </c>
      <c r="F735">
        <v>3.16875004768371</v>
      </c>
      <c r="G735">
        <v>90472000</v>
      </c>
      <c r="H735">
        <f t="shared" si="44"/>
        <v>2000</v>
      </c>
      <c r="I735">
        <f t="shared" si="45"/>
        <v>4</v>
      </c>
      <c r="J735" t="str">
        <f t="shared" si="46"/>
        <v>Apr</v>
      </c>
      <c r="K735" t="str">
        <f t="shared" si="47"/>
        <v>Mon</v>
      </c>
    </row>
    <row r="736" spans="1:11" x14ac:dyDescent="0.35">
      <c r="A736" s="1">
        <v>36627</v>
      </c>
      <c r="B736">
        <v>3.125</v>
      </c>
      <c r="C736">
        <v>3.2999999523162802</v>
      </c>
      <c r="D736">
        <v>3.0625</v>
      </c>
      <c r="E736">
        <v>3.16875004768371</v>
      </c>
      <c r="F736">
        <v>3.16875004768371</v>
      </c>
      <c r="G736">
        <v>94132000</v>
      </c>
      <c r="H736">
        <f t="shared" si="44"/>
        <v>2000</v>
      </c>
      <c r="I736">
        <f t="shared" si="45"/>
        <v>4</v>
      </c>
      <c r="J736" t="str">
        <f t="shared" si="46"/>
        <v>Apr</v>
      </c>
      <c r="K736" t="str">
        <f t="shared" si="47"/>
        <v>Tue</v>
      </c>
    </row>
    <row r="737" spans="1:11" x14ac:dyDescent="0.35">
      <c r="A737" s="1">
        <v>36628</v>
      </c>
      <c r="B737">
        <v>3.20000004768371</v>
      </c>
      <c r="C737">
        <v>3.21875</v>
      </c>
      <c r="D737">
        <v>2.8125</v>
      </c>
      <c r="E737">
        <v>2.8187499046325599</v>
      </c>
      <c r="F737">
        <v>2.8187499046325599</v>
      </c>
      <c r="G737">
        <v>173910000</v>
      </c>
      <c r="H737">
        <f t="shared" si="44"/>
        <v>2000</v>
      </c>
      <c r="I737">
        <f t="shared" si="45"/>
        <v>4</v>
      </c>
      <c r="J737" t="str">
        <f t="shared" si="46"/>
        <v>Apr</v>
      </c>
      <c r="K737" t="str">
        <f t="shared" si="47"/>
        <v>Wed</v>
      </c>
    </row>
    <row r="738" spans="1:11" x14ac:dyDescent="0.35">
      <c r="A738" s="1">
        <v>36629</v>
      </c>
      <c r="B738">
        <v>2.8937499523162802</v>
      </c>
      <c r="C738">
        <v>2.9375</v>
      </c>
      <c r="D738">
        <v>2.3968749046325599</v>
      </c>
      <c r="E738">
        <v>2.4000000953674299</v>
      </c>
      <c r="F738">
        <v>2.4000000953674299</v>
      </c>
      <c r="G738">
        <v>213580000</v>
      </c>
      <c r="H738">
        <f t="shared" si="44"/>
        <v>2000</v>
      </c>
      <c r="I738">
        <f t="shared" si="45"/>
        <v>4</v>
      </c>
      <c r="J738" t="str">
        <f t="shared" si="46"/>
        <v>Apr</v>
      </c>
      <c r="K738" t="str">
        <f t="shared" si="47"/>
        <v>Thu</v>
      </c>
    </row>
    <row r="739" spans="1:11" x14ac:dyDescent="0.35">
      <c r="A739" s="1">
        <v>36630</v>
      </c>
      <c r="B739">
        <v>2.3937499523162802</v>
      </c>
      <c r="C739">
        <v>2.6187500953674299</v>
      </c>
      <c r="D739">
        <v>2.0406250953674299</v>
      </c>
      <c r="E739">
        <v>2.34375</v>
      </c>
      <c r="F739">
        <v>2.34375</v>
      </c>
      <c r="G739">
        <v>401490000</v>
      </c>
      <c r="H739">
        <f t="shared" si="44"/>
        <v>2000</v>
      </c>
      <c r="I739">
        <f t="shared" si="45"/>
        <v>4</v>
      </c>
      <c r="J739" t="str">
        <f t="shared" si="46"/>
        <v>Apr</v>
      </c>
      <c r="K739" t="str">
        <f t="shared" si="47"/>
        <v>Fri</v>
      </c>
    </row>
    <row r="740" spans="1:11" x14ac:dyDescent="0.35">
      <c r="A740" s="1">
        <v>36633</v>
      </c>
      <c r="B740">
        <v>2.26250004768371</v>
      </c>
      <c r="C740">
        <v>2.5999999046325599</v>
      </c>
      <c r="D740">
        <v>2.23125004768371</v>
      </c>
      <c r="E740">
        <v>2.3531250953674299</v>
      </c>
      <c r="F740">
        <v>2.3531250953674299</v>
      </c>
      <c r="G740">
        <v>243618000</v>
      </c>
      <c r="H740">
        <f t="shared" si="44"/>
        <v>2000</v>
      </c>
      <c r="I740">
        <f t="shared" si="45"/>
        <v>4</v>
      </c>
      <c r="J740" t="str">
        <f t="shared" si="46"/>
        <v>Apr</v>
      </c>
      <c r="K740" t="str">
        <f t="shared" si="47"/>
        <v>Mon</v>
      </c>
    </row>
    <row r="741" spans="1:11" x14ac:dyDescent="0.35">
      <c r="A741" s="1">
        <v>36634</v>
      </c>
      <c r="B741">
        <v>2.3812499046325599</v>
      </c>
      <c r="C741">
        <v>2.8125</v>
      </c>
      <c r="D741">
        <v>2.35625004768371</v>
      </c>
      <c r="E741">
        <v>2.74687504768371</v>
      </c>
      <c r="F741">
        <v>2.74687504768371</v>
      </c>
      <c r="G741">
        <v>214700000</v>
      </c>
      <c r="H741">
        <f t="shared" si="44"/>
        <v>2000</v>
      </c>
      <c r="I741">
        <f t="shared" si="45"/>
        <v>4</v>
      </c>
      <c r="J741" t="str">
        <f t="shared" si="46"/>
        <v>Apr</v>
      </c>
      <c r="K741" t="str">
        <f t="shared" si="47"/>
        <v>Tue</v>
      </c>
    </row>
    <row r="742" spans="1:11" x14ac:dyDescent="0.35">
      <c r="A742" s="1">
        <v>36635</v>
      </c>
      <c r="B742">
        <v>2.765625</v>
      </c>
      <c r="C742">
        <v>2.765625</v>
      </c>
      <c r="D742">
        <v>2.5843749046325599</v>
      </c>
      <c r="E742">
        <v>2.671875</v>
      </c>
      <c r="F742">
        <v>2.671875</v>
      </c>
      <c r="G742">
        <v>107476000</v>
      </c>
      <c r="H742">
        <f t="shared" si="44"/>
        <v>2000</v>
      </c>
      <c r="I742">
        <f t="shared" si="45"/>
        <v>4</v>
      </c>
      <c r="J742" t="str">
        <f t="shared" si="46"/>
        <v>Apr</v>
      </c>
      <c r="K742" t="str">
        <f t="shared" si="47"/>
        <v>Wed</v>
      </c>
    </row>
    <row r="743" spans="1:11" x14ac:dyDescent="0.35">
      <c r="A743" s="1">
        <v>36636</v>
      </c>
      <c r="B743">
        <v>2.66875004768371</v>
      </c>
      <c r="C743">
        <v>2.68437504768371</v>
      </c>
      <c r="D743">
        <v>2.4937500953674299</v>
      </c>
      <c r="E743">
        <v>2.6187500953674299</v>
      </c>
      <c r="F743">
        <v>2.6187500953674299</v>
      </c>
      <c r="G743">
        <v>98506000</v>
      </c>
      <c r="H743">
        <f t="shared" si="44"/>
        <v>2000</v>
      </c>
      <c r="I743">
        <f t="shared" si="45"/>
        <v>4</v>
      </c>
      <c r="J743" t="str">
        <f t="shared" si="46"/>
        <v>Apr</v>
      </c>
      <c r="K743" t="str">
        <f t="shared" si="47"/>
        <v>Thu</v>
      </c>
    </row>
    <row r="744" spans="1:11" x14ac:dyDescent="0.35">
      <c r="A744" s="1">
        <v>36640</v>
      </c>
      <c r="B744">
        <v>2.46875</v>
      </c>
      <c r="C744">
        <v>2.578125</v>
      </c>
      <c r="D744">
        <v>2.2437500953674299</v>
      </c>
      <c r="E744">
        <v>2.4906249046325599</v>
      </c>
      <c r="F744">
        <v>2.4906249046325599</v>
      </c>
      <c r="G744">
        <v>133866000</v>
      </c>
      <c r="H744">
        <f t="shared" si="44"/>
        <v>2000</v>
      </c>
      <c r="I744">
        <f t="shared" si="45"/>
        <v>4</v>
      </c>
      <c r="J744" t="str">
        <f t="shared" si="46"/>
        <v>Apr</v>
      </c>
      <c r="K744" t="str">
        <f t="shared" si="47"/>
        <v>Mon</v>
      </c>
    </row>
    <row r="745" spans="1:11" x14ac:dyDescent="0.35">
      <c r="A745" s="1">
        <v>36641</v>
      </c>
      <c r="B745">
        <v>2.59062504768371</v>
      </c>
      <c r="C745">
        <v>2.7062499523162802</v>
      </c>
      <c r="D745">
        <v>2.51250004768371</v>
      </c>
      <c r="E745">
        <v>2.62187504768371</v>
      </c>
      <c r="F745">
        <v>2.62187504768371</v>
      </c>
      <c r="G745">
        <v>143008000</v>
      </c>
      <c r="H745">
        <f t="shared" si="44"/>
        <v>2000</v>
      </c>
      <c r="I745">
        <f t="shared" si="45"/>
        <v>4</v>
      </c>
      <c r="J745" t="str">
        <f t="shared" si="46"/>
        <v>Apr</v>
      </c>
      <c r="K745" t="str">
        <f t="shared" si="47"/>
        <v>Tue</v>
      </c>
    </row>
    <row r="746" spans="1:11" x14ac:dyDescent="0.35">
      <c r="A746" s="1">
        <v>36642</v>
      </c>
      <c r="B746">
        <v>2.6656250953674299</v>
      </c>
      <c r="C746">
        <v>2.87187504768371</v>
      </c>
      <c r="D746">
        <v>2.6226561069488499</v>
      </c>
      <c r="E746">
        <v>2.6749999523162802</v>
      </c>
      <c r="F746">
        <v>2.6749999523162802</v>
      </c>
      <c r="G746">
        <v>240128000</v>
      </c>
      <c r="H746">
        <f t="shared" si="44"/>
        <v>2000</v>
      </c>
      <c r="I746">
        <f t="shared" si="45"/>
        <v>4</v>
      </c>
      <c r="J746" t="str">
        <f t="shared" si="46"/>
        <v>Apr</v>
      </c>
      <c r="K746" t="str">
        <f t="shared" si="47"/>
        <v>Wed</v>
      </c>
    </row>
    <row r="747" spans="1:11" x14ac:dyDescent="0.35">
      <c r="A747" s="1">
        <v>36643</v>
      </c>
      <c r="B747">
        <v>2.46562504768371</v>
      </c>
      <c r="C747">
        <v>2.76250004768371</v>
      </c>
      <c r="D747">
        <v>2.4249999523162802</v>
      </c>
      <c r="E747">
        <v>2.6437499523162802</v>
      </c>
      <c r="F747">
        <v>2.6437499523162802</v>
      </c>
      <c r="G747">
        <v>225320000</v>
      </c>
      <c r="H747">
        <f t="shared" si="44"/>
        <v>2000</v>
      </c>
      <c r="I747">
        <f t="shared" si="45"/>
        <v>4</v>
      </c>
      <c r="J747" t="str">
        <f t="shared" si="46"/>
        <v>Apr</v>
      </c>
      <c r="K747" t="str">
        <f t="shared" si="47"/>
        <v>Thu</v>
      </c>
    </row>
    <row r="748" spans="1:11" x14ac:dyDescent="0.35">
      <c r="A748" s="1">
        <v>36644</v>
      </c>
      <c r="B748">
        <v>2.70000004768371</v>
      </c>
      <c r="C748">
        <v>2.78125</v>
      </c>
      <c r="D748">
        <v>2.65625</v>
      </c>
      <c r="E748">
        <v>2.7593750953674299</v>
      </c>
      <c r="F748">
        <v>2.7593750953674299</v>
      </c>
      <c r="G748">
        <v>136676000</v>
      </c>
      <c r="H748">
        <f t="shared" si="44"/>
        <v>2000</v>
      </c>
      <c r="I748">
        <f t="shared" si="45"/>
        <v>4</v>
      </c>
      <c r="J748" t="str">
        <f t="shared" si="46"/>
        <v>Apr</v>
      </c>
      <c r="K748" t="str">
        <f t="shared" si="47"/>
        <v>Fri</v>
      </c>
    </row>
    <row r="749" spans="1:11" x14ac:dyDescent="0.35">
      <c r="A749" s="1">
        <v>36647</v>
      </c>
      <c r="B749">
        <v>2.7999999523162802</v>
      </c>
      <c r="C749">
        <v>3.015625</v>
      </c>
      <c r="D749">
        <v>2.76250004768371</v>
      </c>
      <c r="E749">
        <v>2.99687504768371</v>
      </c>
      <c r="F749">
        <v>2.99687504768371</v>
      </c>
      <c r="G749">
        <v>171570000</v>
      </c>
      <c r="H749">
        <f t="shared" si="44"/>
        <v>2000</v>
      </c>
      <c r="I749">
        <f t="shared" si="45"/>
        <v>5</v>
      </c>
      <c r="J749" t="str">
        <f t="shared" si="46"/>
        <v>May</v>
      </c>
      <c r="K749" t="str">
        <f t="shared" si="47"/>
        <v>Mon</v>
      </c>
    </row>
    <row r="750" spans="1:11" x14ac:dyDescent="0.35">
      <c r="A750" s="1">
        <v>36648</v>
      </c>
      <c r="B750">
        <v>2.9593749046325599</v>
      </c>
      <c r="C750">
        <v>3</v>
      </c>
      <c r="D750">
        <v>2.79375004768371</v>
      </c>
      <c r="E750">
        <v>2.8062500953674299</v>
      </c>
      <c r="F750">
        <v>2.8062500953674299</v>
      </c>
      <c r="G750">
        <v>148558000</v>
      </c>
      <c r="H750">
        <f t="shared" si="44"/>
        <v>2000</v>
      </c>
      <c r="I750">
        <f t="shared" si="45"/>
        <v>5</v>
      </c>
      <c r="J750" t="str">
        <f t="shared" si="46"/>
        <v>May</v>
      </c>
      <c r="K750" t="str">
        <f t="shared" si="47"/>
        <v>Tue</v>
      </c>
    </row>
    <row r="751" spans="1:11" x14ac:dyDescent="0.35">
      <c r="A751" s="1">
        <v>36649</v>
      </c>
      <c r="B751">
        <v>2.76250004768371</v>
      </c>
      <c r="C751">
        <v>2.828125</v>
      </c>
      <c r="D751">
        <v>2.6500000953674299</v>
      </c>
      <c r="E751">
        <v>2.7062499523162802</v>
      </c>
      <c r="F751">
        <v>2.7062499523162802</v>
      </c>
      <c r="G751">
        <v>108496000</v>
      </c>
      <c r="H751">
        <f t="shared" si="44"/>
        <v>2000</v>
      </c>
      <c r="I751">
        <f t="shared" si="45"/>
        <v>5</v>
      </c>
      <c r="J751" t="str">
        <f t="shared" si="46"/>
        <v>May</v>
      </c>
      <c r="K751" t="str">
        <f t="shared" si="47"/>
        <v>Wed</v>
      </c>
    </row>
    <row r="752" spans="1:11" x14ac:dyDescent="0.35">
      <c r="A752" s="1">
        <v>36650</v>
      </c>
      <c r="B752">
        <v>2.7125000953674299</v>
      </c>
      <c r="C752">
        <v>2.82500004768371</v>
      </c>
      <c r="D752">
        <v>2.65625</v>
      </c>
      <c r="E752">
        <v>2.7531249523162802</v>
      </c>
      <c r="F752">
        <v>2.7531249523162802</v>
      </c>
      <c r="G752">
        <v>94504000</v>
      </c>
      <c r="H752">
        <f t="shared" si="44"/>
        <v>2000</v>
      </c>
      <c r="I752">
        <f t="shared" si="45"/>
        <v>5</v>
      </c>
      <c r="J752" t="str">
        <f t="shared" si="46"/>
        <v>May</v>
      </c>
      <c r="K752" t="str">
        <f t="shared" si="47"/>
        <v>Thu</v>
      </c>
    </row>
    <row r="753" spans="1:11" x14ac:dyDescent="0.35">
      <c r="A753" s="1">
        <v>36651</v>
      </c>
      <c r="B753">
        <v>2.73125004768371</v>
      </c>
      <c r="C753">
        <v>2.9312500953674299</v>
      </c>
      <c r="D753">
        <v>2.7062499523162802</v>
      </c>
      <c r="E753">
        <v>2.9249999523162802</v>
      </c>
      <c r="F753">
        <v>2.9249999523162802</v>
      </c>
      <c r="G753">
        <v>81242000</v>
      </c>
      <c r="H753">
        <f t="shared" si="44"/>
        <v>2000</v>
      </c>
      <c r="I753">
        <f t="shared" si="45"/>
        <v>5</v>
      </c>
      <c r="J753" t="str">
        <f t="shared" si="46"/>
        <v>May</v>
      </c>
      <c r="K753" t="str">
        <f t="shared" si="47"/>
        <v>Fri</v>
      </c>
    </row>
    <row r="754" spans="1:11" x14ac:dyDescent="0.35">
      <c r="A754" s="1">
        <v>36654</v>
      </c>
      <c r="B754">
        <v>2.84062504768371</v>
      </c>
      <c r="C754">
        <v>2.9625000953674299</v>
      </c>
      <c r="D754">
        <v>2.7718749046325599</v>
      </c>
      <c r="E754">
        <v>2.80078101158142</v>
      </c>
      <c r="F754">
        <v>2.80078101158142</v>
      </c>
      <c r="G754">
        <v>79000000</v>
      </c>
      <c r="H754">
        <f t="shared" si="44"/>
        <v>2000</v>
      </c>
      <c r="I754">
        <f t="shared" si="45"/>
        <v>5</v>
      </c>
      <c r="J754" t="str">
        <f t="shared" si="46"/>
        <v>May</v>
      </c>
      <c r="K754" t="str">
        <f t="shared" si="47"/>
        <v>Mon</v>
      </c>
    </row>
    <row r="755" spans="1:11" x14ac:dyDescent="0.35">
      <c r="A755" s="1">
        <v>36655</v>
      </c>
      <c r="B755">
        <v>2.82500004768371</v>
      </c>
      <c r="C755">
        <v>2.88750004768371</v>
      </c>
      <c r="D755">
        <v>2.6500000953674299</v>
      </c>
      <c r="E755">
        <v>2.8125</v>
      </c>
      <c r="F755">
        <v>2.8125</v>
      </c>
      <c r="G755">
        <v>91036000</v>
      </c>
      <c r="H755">
        <f t="shared" si="44"/>
        <v>2000</v>
      </c>
      <c r="I755">
        <f t="shared" si="45"/>
        <v>5</v>
      </c>
      <c r="J755" t="str">
        <f t="shared" si="46"/>
        <v>May</v>
      </c>
      <c r="K755" t="str">
        <f t="shared" si="47"/>
        <v>Tue</v>
      </c>
    </row>
    <row r="756" spans="1:11" x14ac:dyDescent="0.35">
      <c r="A756" s="1">
        <v>36656</v>
      </c>
      <c r="B756">
        <v>2.7265629768371502</v>
      </c>
      <c r="C756">
        <v>2.7687499523162802</v>
      </c>
      <c r="D756">
        <v>2.45000004768371</v>
      </c>
      <c r="E756">
        <v>2.6656250953674299</v>
      </c>
      <c r="F756">
        <v>2.6656250953674299</v>
      </c>
      <c r="G756">
        <v>174230000</v>
      </c>
      <c r="H756">
        <f t="shared" si="44"/>
        <v>2000</v>
      </c>
      <c r="I756">
        <f t="shared" si="45"/>
        <v>5</v>
      </c>
      <c r="J756" t="str">
        <f t="shared" si="46"/>
        <v>May</v>
      </c>
      <c r="K756" t="str">
        <f t="shared" si="47"/>
        <v>Wed</v>
      </c>
    </row>
    <row r="757" spans="1:11" x14ac:dyDescent="0.35">
      <c r="A757" s="1">
        <v>36657</v>
      </c>
      <c r="B757">
        <v>2.6968750953674299</v>
      </c>
      <c r="C757">
        <v>2.7874999046325599</v>
      </c>
      <c r="D757">
        <v>2.546875</v>
      </c>
      <c r="E757">
        <v>2.7437500953674299</v>
      </c>
      <c r="F757">
        <v>2.7437500953674299</v>
      </c>
      <c r="G757">
        <v>111616000</v>
      </c>
      <c r="H757">
        <f t="shared" si="44"/>
        <v>2000</v>
      </c>
      <c r="I757">
        <f t="shared" si="45"/>
        <v>5</v>
      </c>
      <c r="J757" t="str">
        <f t="shared" si="46"/>
        <v>May</v>
      </c>
      <c r="K757" t="str">
        <f t="shared" si="47"/>
        <v>Thu</v>
      </c>
    </row>
    <row r="758" spans="1:11" x14ac:dyDescent="0.35">
      <c r="A758" s="1">
        <v>36658</v>
      </c>
      <c r="B758">
        <v>2.734375</v>
      </c>
      <c r="C758">
        <v>2.82500004768371</v>
      </c>
      <c r="D758">
        <v>2.65625</v>
      </c>
      <c r="E758">
        <v>2.6875</v>
      </c>
      <c r="F758">
        <v>2.6875</v>
      </c>
      <c r="G758">
        <v>79392000</v>
      </c>
      <c r="H758">
        <f t="shared" si="44"/>
        <v>2000</v>
      </c>
      <c r="I758">
        <f t="shared" si="45"/>
        <v>5</v>
      </c>
      <c r="J758" t="str">
        <f t="shared" si="46"/>
        <v>May</v>
      </c>
      <c r="K758" t="str">
        <f t="shared" si="47"/>
        <v>Fri</v>
      </c>
    </row>
    <row r="759" spans="1:11" x14ac:dyDescent="0.35">
      <c r="A759" s="1">
        <v>36661</v>
      </c>
      <c r="B759">
        <v>2.6812500953674299</v>
      </c>
      <c r="C759">
        <v>2.82500004768371</v>
      </c>
      <c r="D759">
        <v>2.54375004768371</v>
      </c>
      <c r="E759">
        <v>2.8031249046325599</v>
      </c>
      <c r="F759">
        <v>2.8031249046325599</v>
      </c>
      <c r="G759">
        <v>82508000</v>
      </c>
      <c r="H759">
        <f t="shared" si="44"/>
        <v>2000</v>
      </c>
      <c r="I759">
        <f t="shared" si="45"/>
        <v>5</v>
      </c>
      <c r="J759" t="str">
        <f t="shared" si="46"/>
        <v>May</v>
      </c>
      <c r="K759" t="str">
        <f t="shared" si="47"/>
        <v>Mon</v>
      </c>
    </row>
    <row r="760" spans="1:11" x14ac:dyDescent="0.35">
      <c r="A760" s="1">
        <v>36662</v>
      </c>
      <c r="B760">
        <v>2.85625004768371</v>
      </c>
      <c r="C760">
        <v>2.9937500953674299</v>
      </c>
      <c r="D760">
        <v>2.7999999523162802</v>
      </c>
      <c r="E760">
        <v>2.953125</v>
      </c>
      <c r="F760">
        <v>2.953125</v>
      </c>
      <c r="G760">
        <v>128644000</v>
      </c>
      <c r="H760">
        <f t="shared" si="44"/>
        <v>2000</v>
      </c>
      <c r="I760">
        <f t="shared" si="45"/>
        <v>5</v>
      </c>
      <c r="J760" t="str">
        <f t="shared" si="46"/>
        <v>May</v>
      </c>
      <c r="K760" t="str">
        <f t="shared" si="47"/>
        <v>Tue</v>
      </c>
    </row>
    <row r="761" spans="1:11" x14ac:dyDescent="0.35">
      <c r="A761" s="1">
        <v>36663</v>
      </c>
      <c r="B761">
        <v>2.859375</v>
      </c>
      <c r="C761">
        <v>3.1187500953674299</v>
      </c>
      <c r="D761">
        <v>2.8499999046325599</v>
      </c>
      <c r="E761">
        <v>3.0499999523162802</v>
      </c>
      <c r="F761">
        <v>3.0499999523162802</v>
      </c>
      <c r="G761">
        <v>139972000</v>
      </c>
      <c r="H761">
        <f t="shared" si="44"/>
        <v>2000</v>
      </c>
      <c r="I761">
        <f t="shared" si="45"/>
        <v>5</v>
      </c>
      <c r="J761" t="str">
        <f t="shared" si="46"/>
        <v>May</v>
      </c>
      <c r="K761" t="str">
        <f t="shared" si="47"/>
        <v>Wed</v>
      </c>
    </row>
    <row r="762" spans="1:11" x14ac:dyDescent="0.35">
      <c r="A762" s="1">
        <v>36664</v>
      </c>
      <c r="B762">
        <v>3.0187499523162802</v>
      </c>
      <c r="C762">
        <v>3.04375004768371</v>
      </c>
      <c r="D762">
        <v>2.7562499046325599</v>
      </c>
      <c r="E762">
        <v>2.7687499523162802</v>
      </c>
      <c r="F762">
        <v>2.7687499523162802</v>
      </c>
      <c r="G762">
        <v>94540000</v>
      </c>
      <c r="H762">
        <f t="shared" si="44"/>
        <v>2000</v>
      </c>
      <c r="I762">
        <f t="shared" si="45"/>
        <v>5</v>
      </c>
      <c r="J762" t="str">
        <f t="shared" si="46"/>
        <v>May</v>
      </c>
      <c r="K762" t="str">
        <f t="shared" si="47"/>
        <v>Thu</v>
      </c>
    </row>
    <row r="763" spans="1:11" x14ac:dyDescent="0.35">
      <c r="A763" s="1">
        <v>36665</v>
      </c>
      <c r="B763">
        <v>2.73125004768371</v>
      </c>
      <c r="C763">
        <v>2.7874999046325599</v>
      </c>
      <c r="D763">
        <v>2.6124999523162802</v>
      </c>
      <c r="E763">
        <v>2.6312499046325599</v>
      </c>
      <c r="F763">
        <v>2.6312499046325599</v>
      </c>
      <c r="G763">
        <v>92218000</v>
      </c>
      <c r="H763">
        <f t="shared" si="44"/>
        <v>2000</v>
      </c>
      <c r="I763">
        <f t="shared" si="45"/>
        <v>5</v>
      </c>
      <c r="J763" t="str">
        <f t="shared" si="46"/>
        <v>May</v>
      </c>
      <c r="K763" t="str">
        <f t="shared" si="47"/>
        <v>Fri</v>
      </c>
    </row>
    <row r="764" spans="1:11" x14ac:dyDescent="0.35">
      <c r="A764" s="1">
        <v>36668</v>
      </c>
      <c r="B764">
        <v>2.6500000953674299</v>
      </c>
      <c r="C764">
        <v>2.65625</v>
      </c>
      <c r="D764">
        <v>2.34375</v>
      </c>
      <c r="E764">
        <v>2.59375</v>
      </c>
      <c r="F764">
        <v>2.59375</v>
      </c>
      <c r="G764">
        <v>165456000</v>
      </c>
      <c r="H764">
        <f t="shared" si="44"/>
        <v>2000</v>
      </c>
      <c r="I764">
        <f t="shared" si="45"/>
        <v>5</v>
      </c>
      <c r="J764" t="str">
        <f t="shared" si="46"/>
        <v>May</v>
      </c>
      <c r="K764" t="str">
        <f t="shared" si="47"/>
        <v>Mon</v>
      </c>
    </row>
    <row r="765" spans="1:11" x14ac:dyDescent="0.35">
      <c r="A765" s="1">
        <v>36669</v>
      </c>
      <c r="B765">
        <v>2.5250000953674299</v>
      </c>
      <c r="C765">
        <v>2.59375</v>
      </c>
      <c r="D765">
        <v>2.32500004768371</v>
      </c>
      <c r="E765">
        <v>2.3343749046325599</v>
      </c>
      <c r="F765">
        <v>2.3343749046325599</v>
      </c>
      <c r="G765">
        <v>116744000</v>
      </c>
      <c r="H765">
        <f t="shared" si="44"/>
        <v>2000</v>
      </c>
      <c r="I765">
        <f t="shared" si="45"/>
        <v>5</v>
      </c>
      <c r="J765" t="str">
        <f t="shared" si="46"/>
        <v>May</v>
      </c>
      <c r="K765" t="str">
        <f t="shared" si="47"/>
        <v>Tue</v>
      </c>
    </row>
    <row r="766" spans="1:11" x14ac:dyDescent="0.35">
      <c r="A766" s="1">
        <v>36670</v>
      </c>
      <c r="B766">
        <v>2.3218750953674299</v>
      </c>
      <c r="C766">
        <v>2.4874999523162802</v>
      </c>
      <c r="D766">
        <v>2.0218749046325599</v>
      </c>
      <c r="E766">
        <v>2.4281249046325599</v>
      </c>
      <c r="F766">
        <v>2.4281249046325599</v>
      </c>
      <c r="G766">
        <v>233332000</v>
      </c>
      <c r="H766">
        <f t="shared" si="44"/>
        <v>2000</v>
      </c>
      <c r="I766">
        <f t="shared" si="45"/>
        <v>5</v>
      </c>
      <c r="J766" t="str">
        <f t="shared" si="46"/>
        <v>May</v>
      </c>
      <c r="K766" t="str">
        <f t="shared" si="47"/>
        <v>Wed</v>
      </c>
    </row>
    <row r="767" spans="1:11" x14ac:dyDescent="0.35">
      <c r="A767" s="1">
        <v>36671</v>
      </c>
      <c r="B767">
        <v>2.4749999046325599</v>
      </c>
      <c r="C767">
        <v>2.5</v>
      </c>
      <c r="D767">
        <v>2.2750000953674299</v>
      </c>
      <c r="E767">
        <v>2.2750000953674299</v>
      </c>
      <c r="F767">
        <v>2.2750000953674299</v>
      </c>
      <c r="G767">
        <v>98390000</v>
      </c>
      <c r="H767">
        <f t="shared" si="44"/>
        <v>2000</v>
      </c>
      <c r="I767">
        <f t="shared" si="45"/>
        <v>5</v>
      </c>
      <c r="J767" t="str">
        <f t="shared" si="46"/>
        <v>May</v>
      </c>
      <c r="K767" t="str">
        <f t="shared" si="47"/>
        <v>Thu</v>
      </c>
    </row>
    <row r="768" spans="1:11" x14ac:dyDescent="0.35">
      <c r="A768" s="1">
        <v>36672</v>
      </c>
      <c r="B768">
        <v>2.3125</v>
      </c>
      <c r="C768">
        <v>2.38750004768371</v>
      </c>
      <c r="D768">
        <v>2.20000004768371</v>
      </c>
      <c r="E768">
        <v>2.32500004768371</v>
      </c>
      <c r="F768">
        <v>2.32500004768371</v>
      </c>
      <c r="G768">
        <v>72420000</v>
      </c>
      <c r="H768">
        <f t="shared" si="44"/>
        <v>2000</v>
      </c>
      <c r="I768">
        <f t="shared" si="45"/>
        <v>5</v>
      </c>
      <c r="J768" t="str">
        <f t="shared" si="46"/>
        <v>May</v>
      </c>
      <c r="K768" t="str">
        <f t="shared" si="47"/>
        <v>Fri</v>
      </c>
    </row>
    <row r="769" spans="1:11" x14ac:dyDescent="0.35">
      <c r="A769" s="1">
        <v>36676</v>
      </c>
      <c r="B769">
        <v>2.3656249046325599</v>
      </c>
      <c r="C769">
        <v>2.59375</v>
      </c>
      <c r="D769">
        <v>2.3656249046325599</v>
      </c>
      <c r="E769">
        <v>2.5875000953674299</v>
      </c>
      <c r="F769">
        <v>2.5875000953674299</v>
      </c>
      <c r="G769">
        <v>112264000</v>
      </c>
      <c r="H769">
        <f t="shared" si="44"/>
        <v>2000</v>
      </c>
      <c r="I769">
        <f t="shared" si="45"/>
        <v>5</v>
      </c>
      <c r="J769" t="str">
        <f t="shared" si="46"/>
        <v>May</v>
      </c>
      <c r="K769" t="str">
        <f t="shared" si="47"/>
        <v>Tue</v>
      </c>
    </row>
    <row r="770" spans="1:11" x14ac:dyDescent="0.35">
      <c r="A770" s="1">
        <v>36677</v>
      </c>
      <c r="B770">
        <v>2.5374999046325599</v>
      </c>
      <c r="C770">
        <v>2.6124999523162802</v>
      </c>
      <c r="D770">
        <v>2.40625</v>
      </c>
      <c r="E770">
        <v>2.4156250953674299</v>
      </c>
      <c r="F770">
        <v>2.4156250953674299</v>
      </c>
      <c r="G770">
        <v>137640000</v>
      </c>
      <c r="H770">
        <f t="shared" si="44"/>
        <v>2000</v>
      </c>
      <c r="I770">
        <f t="shared" si="45"/>
        <v>5</v>
      </c>
      <c r="J770" t="str">
        <f t="shared" si="46"/>
        <v>May</v>
      </c>
      <c r="K770" t="str">
        <f t="shared" si="47"/>
        <v>Wed</v>
      </c>
    </row>
    <row r="771" spans="1:11" x14ac:dyDescent="0.35">
      <c r="A771" s="1">
        <v>36678</v>
      </c>
      <c r="B771">
        <v>2.4437499046325599</v>
      </c>
      <c r="C771">
        <v>2.5562500953674299</v>
      </c>
      <c r="D771">
        <v>2.3187499046325599</v>
      </c>
      <c r="E771">
        <v>2.5093750953674299</v>
      </c>
      <c r="F771">
        <v>2.5093750953674299</v>
      </c>
      <c r="G771">
        <v>152444000</v>
      </c>
      <c r="H771">
        <f t="shared" si="44"/>
        <v>2000</v>
      </c>
      <c r="I771">
        <f t="shared" si="45"/>
        <v>6</v>
      </c>
      <c r="J771" t="str">
        <f t="shared" si="46"/>
        <v>Jun</v>
      </c>
      <c r="K771" t="str">
        <f t="shared" si="47"/>
        <v>Thu</v>
      </c>
    </row>
    <row r="772" spans="1:11" x14ac:dyDescent="0.35">
      <c r="A772" s="1">
        <v>36679</v>
      </c>
      <c r="B772">
        <v>2.6187500953674299</v>
      </c>
      <c r="C772">
        <v>2.90625</v>
      </c>
      <c r="D772">
        <v>2.6124999523162802</v>
      </c>
      <c r="E772">
        <v>2.8937499523162802</v>
      </c>
      <c r="F772">
        <v>2.8937499523162802</v>
      </c>
      <c r="G772">
        <v>166450000</v>
      </c>
      <c r="H772">
        <f t="shared" ref="H772:H835" si="48">YEAR($A772)</f>
        <v>2000</v>
      </c>
      <c r="I772">
        <f t="shared" ref="I772:I835" si="49">MONTH($A772)</f>
        <v>6</v>
      </c>
      <c r="J772" t="str">
        <f t="shared" ref="J772:J835" si="50">TEXT($A772,"mmm")</f>
        <v>Jun</v>
      </c>
      <c r="K772" t="str">
        <f t="shared" ref="K772:K835" si="51">TEXT($A772,"ddd")</f>
        <v>Fri</v>
      </c>
    </row>
    <row r="773" spans="1:11" x14ac:dyDescent="0.35">
      <c r="A773" s="1">
        <v>36682</v>
      </c>
      <c r="B773">
        <v>2.7515630722045898</v>
      </c>
      <c r="C773">
        <v>2.8125</v>
      </c>
      <c r="D773">
        <v>2.625</v>
      </c>
      <c r="E773">
        <v>2.7249999046325599</v>
      </c>
      <c r="F773">
        <v>2.7249999046325599</v>
      </c>
      <c r="G773">
        <v>136264000</v>
      </c>
      <c r="H773">
        <f t="shared" si="48"/>
        <v>2000</v>
      </c>
      <c r="I773">
        <f t="shared" si="49"/>
        <v>6</v>
      </c>
      <c r="J773" t="str">
        <f t="shared" si="50"/>
        <v>Jun</v>
      </c>
      <c r="K773" t="str">
        <f t="shared" si="51"/>
        <v>Mon</v>
      </c>
    </row>
    <row r="774" spans="1:11" x14ac:dyDescent="0.35">
      <c r="A774" s="1">
        <v>36683</v>
      </c>
      <c r="B774">
        <v>2.70000004768371</v>
      </c>
      <c r="C774">
        <v>2.7281250953674299</v>
      </c>
      <c r="D774">
        <v>2.51250004768371</v>
      </c>
      <c r="E774">
        <v>2.52812504768371</v>
      </c>
      <c r="F774">
        <v>2.52812504768371</v>
      </c>
      <c r="G774">
        <v>97062000</v>
      </c>
      <c r="H774">
        <f t="shared" si="48"/>
        <v>2000</v>
      </c>
      <c r="I774">
        <f t="shared" si="49"/>
        <v>6</v>
      </c>
      <c r="J774" t="str">
        <f t="shared" si="50"/>
        <v>Jun</v>
      </c>
      <c r="K774" t="str">
        <f t="shared" si="51"/>
        <v>Tue</v>
      </c>
    </row>
    <row r="775" spans="1:11" x14ac:dyDescent="0.35">
      <c r="A775" s="1">
        <v>36684</v>
      </c>
      <c r="B775">
        <v>2.59375</v>
      </c>
      <c r="C775">
        <v>2.609375</v>
      </c>
      <c r="D775">
        <v>2.5062499046325599</v>
      </c>
      <c r="E775">
        <v>2.59062504768371</v>
      </c>
      <c r="F775">
        <v>2.59062504768371</v>
      </c>
      <c r="G775">
        <v>76824000</v>
      </c>
      <c r="H775">
        <f t="shared" si="48"/>
        <v>2000</v>
      </c>
      <c r="I775">
        <f t="shared" si="49"/>
        <v>6</v>
      </c>
      <c r="J775" t="str">
        <f t="shared" si="50"/>
        <v>Jun</v>
      </c>
      <c r="K775" t="str">
        <f t="shared" si="51"/>
        <v>Wed</v>
      </c>
    </row>
    <row r="776" spans="1:11" x14ac:dyDescent="0.35">
      <c r="A776" s="1">
        <v>36685</v>
      </c>
      <c r="B776">
        <v>2.6281249523162802</v>
      </c>
      <c r="C776">
        <v>2.671875</v>
      </c>
      <c r="D776">
        <v>2.5812499523162802</v>
      </c>
      <c r="E776">
        <v>2.59375</v>
      </c>
      <c r="F776">
        <v>2.59375</v>
      </c>
      <c r="G776">
        <v>60806000</v>
      </c>
      <c r="H776">
        <f t="shared" si="48"/>
        <v>2000</v>
      </c>
      <c r="I776">
        <f t="shared" si="49"/>
        <v>6</v>
      </c>
      <c r="J776" t="str">
        <f t="shared" si="50"/>
        <v>Jun</v>
      </c>
      <c r="K776" t="str">
        <f t="shared" si="51"/>
        <v>Thu</v>
      </c>
    </row>
    <row r="777" spans="1:11" x14ac:dyDescent="0.35">
      <c r="A777" s="1">
        <v>36686</v>
      </c>
      <c r="B777">
        <v>2.5968749523162802</v>
      </c>
      <c r="C777">
        <v>2.6624999046325599</v>
      </c>
      <c r="D777">
        <v>2.59375</v>
      </c>
      <c r="E777">
        <v>2.609375</v>
      </c>
      <c r="F777">
        <v>2.609375</v>
      </c>
      <c r="G777">
        <v>38446000</v>
      </c>
      <c r="H777">
        <f t="shared" si="48"/>
        <v>2000</v>
      </c>
      <c r="I777">
        <f t="shared" si="49"/>
        <v>6</v>
      </c>
      <c r="J777" t="str">
        <f t="shared" si="50"/>
        <v>Jun</v>
      </c>
      <c r="K777" t="str">
        <f t="shared" si="51"/>
        <v>Fri</v>
      </c>
    </row>
    <row r="778" spans="1:11" x14ac:dyDescent="0.35">
      <c r="A778" s="1">
        <v>36689</v>
      </c>
      <c r="B778">
        <v>2.609375</v>
      </c>
      <c r="C778">
        <v>2.609375</v>
      </c>
      <c r="D778">
        <v>2.3499999046325599</v>
      </c>
      <c r="E778">
        <v>2.421875</v>
      </c>
      <c r="F778">
        <v>2.421875</v>
      </c>
      <c r="G778">
        <v>79720000</v>
      </c>
      <c r="H778">
        <f t="shared" si="48"/>
        <v>2000</v>
      </c>
      <c r="I778">
        <f t="shared" si="49"/>
        <v>6</v>
      </c>
      <c r="J778" t="str">
        <f t="shared" si="50"/>
        <v>Jun</v>
      </c>
      <c r="K778" t="str">
        <f t="shared" si="51"/>
        <v>Mon</v>
      </c>
    </row>
    <row r="779" spans="1:11" x14ac:dyDescent="0.35">
      <c r="A779" s="1">
        <v>36690</v>
      </c>
      <c r="B779">
        <v>2.4093749523162802</v>
      </c>
      <c r="C779">
        <v>2.4749999046325599</v>
      </c>
      <c r="D779">
        <v>2.3125</v>
      </c>
      <c r="E779">
        <v>2.45000004768371</v>
      </c>
      <c r="F779">
        <v>2.45000004768371</v>
      </c>
      <c r="G779">
        <v>95770000</v>
      </c>
      <c r="H779">
        <f t="shared" si="48"/>
        <v>2000</v>
      </c>
      <c r="I779">
        <f t="shared" si="49"/>
        <v>6</v>
      </c>
      <c r="J779" t="str">
        <f t="shared" si="50"/>
        <v>Jun</v>
      </c>
      <c r="K779" t="str">
        <f t="shared" si="51"/>
        <v>Tue</v>
      </c>
    </row>
    <row r="780" spans="1:11" x14ac:dyDescent="0.35">
      <c r="A780" s="1">
        <v>36691</v>
      </c>
      <c r="B780">
        <v>2.46562504768371</v>
      </c>
      <c r="C780">
        <v>2.4937500953674299</v>
      </c>
      <c r="D780">
        <v>2.2999999523162802</v>
      </c>
      <c r="E780">
        <v>2.3218750953674299</v>
      </c>
      <c r="F780">
        <v>2.3218750953674299</v>
      </c>
      <c r="G780">
        <v>100410000</v>
      </c>
      <c r="H780">
        <f t="shared" si="48"/>
        <v>2000</v>
      </c>
      <c r="I780">
        <f t="shared" si="49"/>
        <v>6</v>
      </c>
      <c r="J780" t="str">
        <f t="shared" si="50"/>
        <v>Jun</v>
      </c>
      <c r="K780" t="str">
        <f t="shared" si="51"/>
        <v>Wed</v>
      </c>
    </row>
    <row r="781" spans="1:11" x14ac:dyDescent="0.35">
      <c r="A781" s="1">
        <v>36692</v>
      </c>
      <c r="B781">
        <v>2.3499999046325599</v>
      </c>
      <c r="C781">
        <v>2.3968749046325599</v>
      </c>
      <c r="D781">
        <v>2.265625</v>
      </c>
      <c r="E781">
        <v>2.3156249523162802</v>
      </c>
      <c r="F781">
        <v>2.3156249523162802</v>
      </c>
      <c r="G781">
        <v>71094000</v>
      </c>
      <c r="H781">
        <f t="shared" si="48"/>
        <v>2000</v>
      </c>
      <c r="I781">
        <f t="shared" si="49"/>
        <v>6</v>
      </c>
      <c r="J781" t="str">
        <f t="shared" si="50"/>
        <v>Jun</v>
      </c>
      <c r="K781" t="str">
        <f t="shared" si="51"/>
        <v>Thu</v>
      </c>
    </row>
    <row r="782" spans="1:11" x14ac:dyDescent="0.35">
      <c r="A782" s="1">
        <v>36693</v>
      </c>
      <c r="B782">
        <v>2.3624999523162802</v>
      </c>
      <c r="C782">
        <v>2.37187504768371</v>
      </c>
      <c r="D782">
        <v>2.2687499523162802</v>
      </c>
      <c r="E782">
        <v>2.2999999523162802</v>
      </c>
      <c r="F782">
        <v>2.2999999523162802</v>
      </c>
      <c r="G782">
        <v>61418000</v>
      </c>
      <c r="H782">
        <f t="shared" si="48"/>
        <v>2000</v>
      </c>
      <c r="I782">
        <f t="shared" si="49"/>
        <v>6</v>
      </c>
      <c r="J782" t="str">
        <f t="shared" si="50"/>
        <v>Jun</v>
      </c>
      <c r="K782" t="str">
        <f t="shared" si="51"/>
        <v>Fri</v>
      </c>
    </row>
    <row r="783" spans="1:11" x14ac:dyDescent="0.35">
      <c r="A783" s="1">
        <v>36696</v>
      </c>
      <c r="B783">
        <v>2.2750000953674299</v>
      </c>
      <c r="C783">
        <v>2.29375004768371</v>
      </c>
      <c r="D783">
        <v>2.1749999523162802</v>
      </c>
      <c r="E783">
        <v>2.265625</v>
      </c>
      <c r="F783">
        <v>2.265625</v>
      </c>
      <c r="G783">
        <v>103030000</v>
      </c>
      <c r="H783">
        <f t="shared" si="48"/>
        <v>2000</v>
      </c>
      <c r="I783">
        <f t="shared" si="49"/>
        <v>6</v>
      </c>
      <c r="J783" t="str">
        <f t="shared" si="50"/>
        <v>Jun</v>
      </c>
      <c r="K783" t="str">
        <f t="shared" si="51"/>
        <v>Mon</v>
      </c>
    </row>
    <row r="784" spans="1:11" x14ac:dyDescent="0.35">
      <c r="A784" s="1">
        <v>36697</v>
      </c>
      <c r="B784">
        <v>2.29375004768371</v>
      </c>
      <c r="C784">
        <v>2.4312500953674299</v>
      </c>
      <c r="D784">
        <v>2.2562499046325599</v>
      </c>
      <c r="E784">
        <v>2.3062500953674299</v>
      </c>
      <c r="F784">
        <v>2.3062500953674299</v>
      </c>
      <c r="G784">
        <v>123982000</v>
      </c>
      <c r="H784">
        <f t="shared" si="48"/>
        <v>2000</v>
      </c>
      <c r="I784">
        <f t="shared" si="49"/>
        <v>6</v>
      </c>
      <c r="J784" t="str">
        <f t="shared" si="50"/>
        <v>Jun</v>
      </c>
      <c r="K784" t="str">
        <f t="shared" si="51"/>
        <v>Tue</v>
      </c>
    </row>
    <row r="785" spans="1:11" x14ac:dyDescent="0.35">
      <c r="A785" s="1">
        <v>36698</v>
      </c>
      <c r="B785">
        <v>2.2718749046325599</v>
      </c>
      <c r="C785">
        <v>2.3468749523162802</v>
      </c>
      <c r="D785">
        <v>2.2531249523162802</v>
      </c>
      <c r="E785">
        <v>2.3031249046325599</v>
      </c>
      <c r="F785">
        <v>2.3031249046325599</v>
      </c>
      <c r="G785">
        <v>71466000</v>
      </c>
      <c r="H785">
        <f t="shared" si="48"/>
        <v>2000</v>
      </c>
      <c r="I785">
        <f t="shared" si="49"/>
        <v>6</v>
      </c>
      <c r="J785" t="str">
        <f t="shared" si="50"/>
        <v>Jun</v>
      </c>
      <c r="K785" t="str">
        <f t="shared" si="51"/>
        <v>Wed</v>
      </c>
    </row>
    <row r="786" spans="1:11" x14ac:dyDescent="0.35">
      <c r="A786" s="1">
        <v>36699</v>
      </c>
      <c r="B786">
        <v>2.30937504768371</v>
      </c>
      <c r="C786">
        <v>2.3218750953674299</v>
      </c>
      <c r="D786">
        <v>2.0812499523162802</v>
      </c>
      <c r="E786">
        <v>2.0999999046325599</v>
      </c>
      <c r="F786">
        <v>2.0999999046325599</v>
      </c>
      <c r="G786">
        <v>210322000</v>
      </c>
      <c r="H786">
        <f t="shared" si="48"/>
        <v>2000</v>
      </c>
      <c r="I786">
        <f t="shared" si="49"/>
        <v>6</v>
      </c>
      <c r="J786" t="str">
        <f t="shared" si="50"/>
        <v>Jun</v>
      </c>
      <c r="K786" t="str">
        <f t="shared" si="51"/>
        <v>Thu</v>
      </c>
    </row>
    <row r="787" spans="1:11" x14ac:dyDescent="0.35">
      <c r="A787" s="1">
        <v>36700</v>
      </c>
      <c r="B787">
        <v>1.83124995231628</v>
      </c>
      <c r="C787">
        <v>1.8500000238418499</v>
      </c>
      <c r="D787">
        <v>1.6234380006790099</v>
      </c>
      <c r="E787">
        <v>1.6937500238418499</v>
      </c>
      <c r="F787">
        <v>1.6937500238418499</v>
      </c>
      <c r="G787">
        <v>1036764000</v>
      </c>
      <c r="H787">
        <f t="shared" si="48"/>
        <v>2000</v>
      </c>
      <c r="I787">
        <f t="shared" si="49"/>
        <v>6</v>
      </c>
      <c r="J787" t="str">
        <f t="shared" si="50"/>
        <v>Jun</v>
      </c>
      <c r="K787" t="str">
        <f t="shared" si="51"/>
        <v>Fri</v>
      </c>
    </row>
    <row r="788" spans="1:11" x14ac:dyDescent="0.35">
      <c r="A788" s="1">
        <v>36703</v>
      </c>
      <c r="B788">
        <v>1.765625</v>
      </c>
      <c r="C788">
        <v>1.7664060592651301</v>
      </c>
      <c r="D788">
        <v>1.640625</v>
      </c>
      <c r="E788">
        <v>1.6968749761581401</v>
      </c>
      <c r="F788">
        <v>1.6968749761581401</v>
      </c>
      <c r="G788">
        <v>421528000</v>
      </c>
      <c r="H788">
        <f t="shared" si="48"/>
        <v>2000</v>
      </c>
      <c r="I788">
        <f t="shared" si="49"/>
        <v>6</v>
      </c>
      <c r="J788" t="str">
        <f t="shared" si="50"/>
        <v>Jun</v>
      </c>
      <c r="K788" t="str">
        <f t="shared" si="51"/>
        <v>Mon</v>
      </c>
    </row>
    <row r="789" spans="1:11" x14ac:dyDescent="0.35">
      <c r="A789" s="1">
        <v>36704</v>
      </c>
      <c r="B789">
        <v>1.6875</v>
      </c>
      <c r="C789">
        <v>1.92499995231628</v>
      </c>
      <c r="D789">
        <v>1.67499995231628</v>
      </c>
      <c r="E789">
        <v>1.82500004768371</v>
      </c>
      <c r="F789">
        <v>1.82500004768371</v>
      </c>
      <c r="G789">
        <v>352764000</v>
      </c>
      <c r="H789">
        <f t="shared" si="48"/>
        <v>2000</v>
      </c>
      <c r="I789">
        <f t="shared" si="49"/>
        <v>6</v>
      </c>
      <c r="J789" t="str">
        <f t="shared" si="50"/>
        <v>Jun</v>
      </c>
      <c r="K789" t="str">
        <f t="shared" si="51"/>
        <v>Tue</v>
      </c>
    </row>
    <row r="790" spans="1:11" x14ac:dyDescent="0.35">
      <c r="A790" s="1">
        <v>36705</v>
      </c>
      <c r="B790">
        <v>1.84375</v>
      </c>
      <c r="C790">
        <v>1.99687504768371</v>
      </c>
      <c r="D790">
        <v>1.8062499761581401</v>
      </c>
      <c r="E790">
        <v>1.89374995231628</v>
      </c>
      <c r="F790">
        <v>1.89374995231628</v>
      </c>
      <c r="G790">
        <v>297486000</v>
      </c>
      <c r="H790">
        <f t="shared" si="48"/>
        <v>2000</v>
      </c>
      <c r="I790">
        <f t="shared" si="49"/>
        <v>6</v>
      </c>
      <c r="J790" t="str">
        <f t="shared" si="50"/>
        <v>Jun</v>
      </c>
      <c r="K790" t="str">
        <f t="shared" si="51"/>
        <v>Wed</v>
      </c>
    </row>
    <row r="791" spans="1:11" x14ac:dyDescent="0.35">
      <c r="A791" s="1">
        <v>36706</v>
      </c>
      <c r="B791">
        <v>1.85625004768371</v>
      </c>
      <c r="C791">
        <v>1.92499995231628</v>
      </c>
      <c r="D791">
        <v>1.8062499761581401</v>
      </c>
      <c r="E791">
        <v>1.85625004768371</v>
      </c>
      <c r="F791">
        <v>1.85625004768371</v>
      </c>
      <c r="G791">
        <v>179730000</v>
      </c>
      <c r="H791">
        <f t="shared" si="48"/>
        <v>2000</v>
      </c>
      <c r="I791">
        <f t="shared" si="49"/>
        <v>6</v>
      </c>
      <c r="J791" t="str">
        <f t="shared" si="50"/>
        <v>Jun</v>
      </c>
      <c r="K791" t="str">
        <f t="shared" si="51"/>
        <v>Thu</v>
      </c>
    </row>
    <row r="792" spans="1:11" x14ac:dyDescent="0.35">
      <c r="A792" s="1">
        <v>36707</v>
      </c>
      <c r="B792">
        <v>1.8500000238418499</v>
      </c>
      <c r="C792">
        <v>1.86249995231628</v>
      </c>
      <c r="D792">
        <v>1.7749999761581401</v>
      </c>
      <c r="E792">
        <v>1.81562495231628</v>
      </c>
      <c r="F792">
        <v>1.81562495231628</v>
      </c>
      <c r="G792">
        <v>129038000</v>
      </c>
      <c r="H792">
        <f t="shared" si="48"/>
        <v>2000</v>
      </c>
      <c r="I792">
        <f t="shared" si="49"/>
        <v>6</v>
      </c>
      <c r="J792" t="str">
        <f t="shared" si="50"/>
        <v>Jun</v>
      </c>
      <c r="K792" t="str">
        <f t="shared" si="51"/>
        <v>Fri</v>
      </c>
    </row>
    <row r="793" spans="1:11" x14ac:dyDescent="0.35">
      <c r="A793" s="1">
        <v>36710</v>
      </c>
      <c r="B793">
        <v>1.8343750238418499</v>
      </c>
      <c r="C793">
        <v>1.875</v>
      </c>
      <c r="D793">
        <v>1.82500004768371</v>
      </c>
      <c r="E793">
        <v>1.8500000238418499</v>
      </c>
      <c r="F793">
        <v>1.8500000238418499</v>
      </c>
      <c r="G793">
        <v>35248000</v>
      </c>
      <c r="H793">
        <f t="shared" si="48"/>
        <v>2000</v>
      </c>
      <c r="I793">
        <f t="shared" si="49"/>
        <v>7</v>
      </c>
      <c r="J793" t="str">
        <f t="shared" si="50"/>
        <v>Jul</v>
      </c>
      <c r="K793" t="str">
        <f t="shared" si="51"/>
        <v>Mon</v>
      </c>
    </row>
    <row r="794" spans="1:11" x14ac:dyDescent="0.35">
      <c r="A794" s="1">
        <v>36712</v>
      </c>
      <c r="B794">
        <v>1.8500000238418499</v>
      </c>
      <c r="C794">
        <v>1.92499995231628</v>
      </c>
      <c r="D794">
        <v>1.8187500238418499</v>
      </c>
      <c r="E794">
        <v>1.82500004768371</v>
      </c>
      <c r="F794">
        <v>1.82500004768371</v>
      </c>
      <c r="G794">
        <v>84272000</v>
      </c>
      <c r="H794">
        <f t="shared" si="48"/>
        <v>2000</v>
      </c>
      <c r="I794">
        <f t="shared" si="49"/>
        <v>7</v>
      </c>
      <c r="J794" t="str">
        <f t="shared" si="50"/>
        <v>Jul</v>
      </c>
      <c r="K794" t="str">
        <f t="shared" si="51"/>
        <v>Wed</v>
      </c>
    </row>
    <row r="795" spans="1:11" x14ac:dyDescent="0.35">
      <c r="A795" s="1">
        <v>36713</v>
      </c>
      <c r="B795">
        <v>1.84375</v>
      </c>
      <c r="C795">
        <v>1.8687499761581401</v>
      </c>
      <c r="D795">
        <v>1.73749995231628</v>
      </c>
      <c r="E795">
        <v>1.8031250238418499</v>
      </c>
      <c r="F795">
        <v>1.8031250238418499</v>
      </c>
      <c r="G795">
        <v>135342000</v>
      </c>
      <c r="H795">
        <f t="shared" si="48"/>
        <v>2000</v>
      </c>
      <c r="I795">
        <f t="shared" si="49"/>
        <v>7</v>
      </c>
      <c r="J795" t="str">
        <f t="shared" si="50"/>
        <v>Jul</v>
      </c>
      <c r="K795" t="str">
        <f t="shared" si="51"/>
        <v>Thu</v>
      </c>
    </row>
    <row r="796" spans="1:11" x14ac:dyDescent="0.35">
      <c r="A796" s="1">
        <v>36714</v>
      </c>
      <c r="B796">
        <v>1.8062499761581401</v>
      </c>
      <c r="C796">
        <v>1.8500000238418499</v>
      </c>
      <c r="D796">
        <v>1.76250004768371</v>
      </c>
      <c r="E796">
        <v>1.8062499761581401</v>
      </c>
      <c r="F796">
        <v>1.8062499761581401</v>
      </c>
      <c r="G796">
        <v>77412000</v>
      </c>
      <c r="H796">
        <f t="shared" si="48"/>
        <v>2000</v>
      </c>
      <c r="I796">
        <f t="shared" si="49"/>
        <v>7</v>
      </c>
      <c r="J796" t="str">
        <f t="shared" si="50"/>
        <v>Jul</v>
      </c>
      <c r="K796" t="str">
        <f t="shared" si="51"/>
        <v>Fri</v>
      </c>
    </row>
    <row r="797" spans="1:11" x14ac:dyDescent="0.35">
      <c r="A797" s="1">
        <v>36717</v>
      </c>
      <c r="B797">
        <v>1.8187500238418499</v>
      </c>
      <c r="C797">
        <v>1.8187500238418499</v>
      </c>
      <c r="D797">
        <v>1.75</v>
      </c>
      <c r="E797">
        <v>1.75312495231628</v>
      </c>
      <c r="F797">
        <v>1.75312495231628</v>
      </c>
      <c r="G797">
        <v>84812000</v>
      </c>
      <c r="H797">
        <f t="shared" si="48"/>
        <v>2000</v>
      </c>
      <c r="I797">
        <f t="shared" si="49"/>
        <v>7</v>
      </c>
      <c r="J797" t="str">
        <f t="shared" si="50"/>
        <v>Jul</v>
      </c>
      <c r="K797" t="str">
        <f t="shared" si="51"/>
        <v>Mon</v>
      </c>
    </row>
    <row r="798" spans="1:11" x14ac:dyDescent="0.35">
      <c r="A798" s="1">
        <v>36718</v>
      </c>
      <c r="B798">
        <v>1.7593749761581401</v>
      </c>
      <c r="C798">
        <v>1.76250004768371</v>
      </c>
      <c r="D798">
        <v>1.6312500238418499</v>
      </c>
      <c r="E798">
        <v>1.65625</v>
      </c>
      <c r="F798">
        <v>1.65625</v>
      </c>
      <c r="G798">
        <v>197930000</v>
      </c>
      <c r="H798">
        <f t="shared" si="48"/>
        <v>2000</v>
      </c>
      <c r="I798">
        <f t="shared" si="49"/>
        <v>7</v>
      </c>
      <c r="J798" t="str">
        <f t="shared" si="50"/>
        <v>Jul</v>
      </c>
      <c r="K798" t="str">
        <f t="shared" si="51"/>
        <v>Tue</v>
      </c>
    </row>
    <row r="799" spans="1:11" x14ac:dyDescent="0.35">
      <c r="A799" s="1">
        <v>36719</v>
      </c>
      <c r="B799">
        <v>1.7718750238418499</v>
      </c>
      <c r="C799">
        <v>1.8062499761581401</v>
      </c>
      <c r="D799">
        <v>1.7124999761581401</v>
      </c>
      <c r="E799">
        <v>1.75312495231628</v>
      </c>
      <c r="F799">
        <v>1.75312495231628</v>
      </c>
      <c r="G799">
        <v>225318000</v>
      </c>
      <c r="H799">
        <f t="shared" si="48"/>
        <v>2000</v>
      </c>
      <c r="I799">
        <f t="shared" si="49"/>
        <v>7</v>
      </c>
      <c r="J799" t="str">
        <f t="shared" si="50"/>
        <v>Jul</v>
      </c>
      <c r="K799" t="str">
        <f t="shared" si="51"/>
        <v>Wed</v>
      </c>
    </row>
    <row r="800" spans="1:11" x14ac:dyDescent="0.35">
      <c r="A800" s="1">
        <v>36720</v>
      </c>
      <c r="B800">
        <v>1.78125</v>
      </c>
      <c r="C800">
        <v>1.79999995231628</v>
      </c>
      <c r="D800">
        <v>1.7437499761581401</v>
      </c>
      <c r="E800">
        <v>1.75</v>
      </c>
      <c r="F800">
        <v>1.75</v>
      </c>
      <c r="G800">
        <v>171950000</v>
      </c>
      <c r="H800">
        <f t="shared" si="48"/>
        <v>2000</v>
      </c>
      <c r="I800">
        <f t="shared" si="49"/>
        <v>7</v>
      </c>
      <c r="J800" t="str">
        <f t="shared" si="50"/>
        <v>Jul</v>
      </c>
      <c r="K800" t="str">
        <f t="shared" si="51"/>
        <v>Thu</v>
      </c>
    </row>
    <row r="801" spans="1:11" x14ac:dyDescent="0.35">
      <c r="A801" s="1">
        <v>36721</v>
      </c>
      <c r="B801">
        <v>1.8187500238418499</v>
      </c>
      <c r="C801">
        <v>2.16015601158142</v>
      </c>
      <c r="D801">
        <v>1.81562495231628</v>
      </c>
      <c r="E801">
        <v>2.1312499046325599</v>
      </c>
      <c r="F801">
        <v>2.1312499046325599</v>
      </c>
      <c r="G801">
        <v>448722000</v>
      </c>
      <c r="H801">
        <f t="shared" si="48"/>
        <v>2000</v>
      </c>
      <c r="I801">
        <f t="shared" si="49"/>
        <v>7</v>
      </c>
      <c r="J801" t="str">
        <f t="shared" si="50"/>
        <v>Jul</v>
      </c>
      <c r="K801" t="str">
        <f t="shared" si="51"/>
        <v>Fri</v>
      </c>
    </row>
    <row r="802" spans="1:11" x14ac:dyDescent="0.35">
      <c r="A802" s="1">
        <v>36724</v>
      </c>
      <c r="B802">
        <v>2.1437499523162802</v>
      </c>
      <c r="C802">
        <v>2.1968750953674299</v>
      </c>
      <c r="D802">
        <v>2.01250004768371</v>
      </c>
      <c r="E802">
        <v>2.0562500953674299</v>
      </c>
      <c r="F802">
        <v>2.0562500953674299</v>
      </c>
      <c r="G802">
        <v>130600000</v>
      </c>
      <c r="H802">
        <f t="shared" si="48"/>
        <v>2000</v>
      </c>
      <c r="I802">
        <f t="shared" si="49"/>
        <v>7</v>
      </c>
      <c r="J802" t="str">
        <f t="shared" si="50"/>
        <v>Jul</v>
      </c>
      <c r="K802" t="str">
        <f t="shared" si="51"/>
        <v>Mon</v>
      </c>
    </row>
    <row r="803" spans="1:11" x14ac:dyDescent="0.35">
      <c r="A803" s="1">
        <v>36725</v>
      </c>
      <c r="B803">
        <v>2.0062499046325599</v>
      </c>
      <c r="C803">
        <v>2.1812500953674299</v>
      </c>
      <c r="D803">
        <v>1.9750000238418499</v>
      </c>
      <c r="E803">
        <v>2.0875000953674299</v>
      </c>
      <c r="F803">
        <v>2.0875000953674299</v>
      </c>
      <c r="G803">
        <v>159168000</v>
      </c>
      <c r="H803">
        <f t="shared" si="48"/>
        <v>2000</v>
      </c>
      <c r="I803">
        <f t="shared" si="49"/>
        <v>7</v>
      </c>
      <c r="J803" t="str">
        <f t="shared" si="50"/>
        <v>Jul</v>
      </c>
      <c r="K803" t="str">
        <f t="shared" si="51"/>
        <v>Tue</v>
      </c>
    </row>
    <row r="804" spans="1:11" x14ac:dyDescent="0.35">
      <c r="A804" s="1">
        <v>36726</v>
      </c>
      <c r="B804">
        <v>2.07500004768371</v>
      </c>
      <c r="C804">
        <v>2.078125</v>
      </c>
      <c r="D804">
        <v>1.95000004768371</v>
      </c>
      <c r="E804">
        <v>2.04375004768371</v>
      </c>
      <c r="F804">
        <v>2.04375004768371</v>
      </c>
      <c r="G804">
        <v>94874000</v>
      </c>
      <c r="H804">
        <f t="shared" si="48"/>
        <v>2000</v>
      </c>
      <c r="I804">
        <f t="shared" si="49"/>
        <v>7</v>
      </c>
      <c r="J804" t="str">
        <f t="shared" si="50"/>
        <v>Jul</v>
      </c>
      <c r="K804" t="str">
        <f t="shared" si="51"/>
        <v>Wed</v>
      </c>
    </row>
    <row r="805" spans="1:11" x14ac:dyDescent="0.35">
      <c r="A805" s="1">
        <v>36727</v>
      </c>
      <c r="B805">
        <v>2.046875</v>
      </c>
      <c r="C805">
        <v>2.16875004768371</v>
      </c>
      <c r="D805">
        <v>1.9750000238418499</v>
      </c>
      <c r="E805">
        <v>2.015625</v>
      </c>
      <c r="F805">
        <v>2.015625</v>
      </c>
      <c r="G805">
        <v>138914000</v>
      </c>
      <c r="H805">
        <f t="shared" si="48"/>
        <v>2000</v>
      </c>
      <c r="I805">
        <f t="shared" si="49"/>
        <v>7</v>
      </c>
      <c r="J805" t="str">
        <f t="shared" si="50"/>
        <v>Jul</v>
      </c>
      <c r="K805" t="str">
        <f t="shared" si="51"/>
        <v>Thu</v>
      </c>
    </row>
    <row r="806" spans="1:11" x14ac:dyDescent="0.35">
      <c r="A806" s="1">
        <v>36728</v>
      </c>
      <c r="B806">
        <v>2.0218749046325599</v>
      </c>
      <c r="C806">
        <v>2.125</v>
      </c>
      <c r="D806">
        <v>2.0218749046325599</v>
      </c>
      <c r="E806">
        <v>2.0562500953674299</v>
      </c>
      <c r="F806">
        <v>2.0562500953674299</v>
      </c>
      <c r="G806">
        <v>94258000</v>
      </c>
      <c r="H806">
        <f t="shared" si="48"/>
        <v>2000</v>
      </c>
      <c r="I806">
        <f t="shared" si="49"/>
        <v>7</v>
      </c>
      <c r="J806" t="str">
        <f t="shared" si="50"/>
        <v>Jul</v>
      </c>
      <c r="K806" t="str">
        <f t="shared" si="51"/>
        <v>Fri</v>
      </c>
    </row>
    <row r="807" spans="1:11" x14ac:dyDescent="0.35">
      <c r="A807" s="1">
        <v>36731</v>
      </c>
      <c r="B807">
        <v>2.0531249046325599</v>
      </c>
      <c r="C807">
        <v>2.0687499046325599</v>
      </c>
      <c r="D807">
        <v>1.90312504768371</v>
      </c>
      <c r="E807">
        <v>1.9375</v>
      </c>
      <c r="F807">
        <v>1.9375</v>
      </c>
      <c r="G807">
        <v>115564000</v>
      </c>
      <c r="H807">
        <f t="shared" si="48"/>
        <v>2000</v>
      </c>
      <c r="I807">
        <f t="shared" si="49"/>
        <v>7</v>
      </c>
      <c r="J807" t="str">
        <f t="shared" si="50"/>
        <v>Jul</v>
      </c>
      <c r="K807" t="str">
        <f t="shared" si="51"/>
        <v>Mon</v>
      </c>
    </row>
    <row r="808" spans="1:11" x14ac:dyDescent="0.35">
      <c r="A808" s="1">
        <v>36732</v>
      </c>
      <c r="B808">
        <v>1.8374999761581401</v>
      </c>
      <c r="C808">
        <v>1.9375</v>
      </c>
      <c r="D808">
        <v>1.6625000238418499</v>
      </c>
      <c r="E808">
        <v>1.8812500238418499</v>
      </c>
      <c r="F808">
        <v>1.8812500238418499</v>
      </c>
      <c r="G808">
        <v>555050000</v>
      </c>
      <c r="H808">
        <f t="shared" si="48"/>
        <v>2000</v>
      </c>
      <c r="I808">
        <f t="shared" si="49"/>
        <v>7</v>
      </c>
      <c r="J808" t="str">
        <f t="shared" si="50"/>
        <v>Jul</v>
      </c>
      <c r="K808" t="str">
        <f t="shared" si="51"/>
        <v>Tue</v>
      </c>
    </row>
    <row r="809" spans="1:11" x14ac:dyDescent="0.35">
      <c r="A809" s="1">
        <v>36733</v>
      </c>
      <c r="B809">
        <v>1.75312495231628</v>
      </c>
      <c r="C809">
        <v>1.83593797683715</v>
      </c>
      <c r="D809">
        <v>1.703125</v>
      </c>
      <c r="E809">
        <v>1.8031250238418499</v>
      </c>
      <c r="F809">
        <v>1.8031250238418499</v>
      </c>
      <c r="G809">
        <v>310956000</v>
      </c>
      <c r="H809">
        <f t="shared" si="48"/>
        <v>2000</v>
      </c>
      <c r="I809">
        <f t="shared" si="49"/>
        <v>7</v>
      </c>
      <c r="J809" t="str">
        <f t="shared" si="50"/>
        <v>Jul</v>
      </c>
      <c r="K809" t="str">
        <f t="shared" si="51"/>
        <v>Wed</v>
      </c>
    </row>
    <row r="810" spans="1:11" x14ac:dyDescent="0.35">
      <c r="A810" s="1">
        <v>36734</v>
      </c>
      <c r="B810">
        <v>1.5718749761581401</v>
      </c>
      <c r="C810">
        <v>1.6000000238418499</v>
      </c>
      <c r="D810">
        <v>1.48749995231628</v>
      </c>
      <c r="E810">
        <v>1.5687500238418499</v>
      </c>
      <c r="F810">
        <v>1.5687500238418499</v>
      </c>
      <c r="G810">
        <v>471586000</v>
      </c>
      <c r="H810">
        <f t="shared" si="48"/>
        <v>2000</v>
      </c>
      <c r="I810">
        <f t="shared" si="49"/>
        <v>7</v>
      </c>
      <c r="J810" t="str">
        <f t="shared" si="50"/>
        <v>Jul</v>
      </c>
      <c r="K810" t="str">
        <f t="shared" si="51"/>
        <v>Thu</v>
      </c>
    </row>
    <row r="811" spans="1:11" x14ac:dyDescent="0.35">
      <c r="A811" s="1">
        <v>36735</v>
      </c>
      <c r="B811">
        <v>1.5718749761581401</v>
      </c>
      <c r="C811">
        <v>1.60625004768371</v>
      </c>
      <c r="D811">
        <v>1.45000004768371</v>
      </c>
      <c r="E811">
        <v>1.5</v>
      </c>
      <c r="F811">
        <v>1.5</v>
      </c>
      <c r="G811">
        <v>248940000</v>
      </c>
      <c r="H811">
        <f t="shared" si="48"/>
        <v>2000</v>
      </c>
      <c r="I811">
        <f t="shared" si="49"/>
        <v>7</v>
      </c>
      <c r="J811" t="str">
        <f t="shared" si="50"/>
        <v>Jul</v>
      </c>
      <c r="K811" t="str">
        <f t="shared" si="51"/>
        <v>Fri</v>
      </c>
    </row>
    <row r="812" spans="1:11" x14ac:dyDescent="0.35">
      <c r="A812" s="1">
        <v>36738</v>
      </c>
      <c r="B812">
        <v>1.50312495231628</v>
      </c>
      <c r="C812">
        <v>1.51250004768371</v>
      </c>
      <c r="D812">
        <v>1.39374995231628</v>
      </c>
      <c r="E812">
        <v>1.5062500238418499</v>
      </c>
      <c r="F812">
        <v>1.5062500238418499</v>
      </c>
      <c r="G812">
        <v>189576000</v>
      </c>
      <c r="H812">
        <f t="shared" si="48"/>
        <v>2000</v>
      </c>
      <c r="I812">
        <f t="shared" si="49"/>
        <v>7</v>
      </c>
      <c r="J812" t="str">
        <f t="shared" si="50"/>
        <v>Jul</v>
      </c>
      <c r="K812" t="str">
        <f t="shared" si="51"/>
        <v>Mon</v>
      </c>
    </row>
    <row r="813" spans="1:11" x14ac:dyDescent="0.35">
      <c r="A813" s="1">
        <v>36739</v>
      </c>
      <c r="B813">
        <v>1.53125</v>
      </c>
      <c r="C813">
        <v>1.61249995231628</v>
      </c>
      <c r="D813">
        <v>1.51250004768371</v>
      </c>
      <c r="E813">
        <v>1.51250004768371</v>
      </c>
      <c r="F813">
        <v>1.51250004768371</v>
      </c>
      <c r="G813">
        <v>163128000</v>
      </c>
      <c r="H813">
        <f t="shared" si="48"/>
        <v>2000</v>
      </c>
      <c r="I813">
        <f t="shared" si="49"/>
        <v>8</v>
      </c>
      <c r="J813" t="str">
        <f t="shared" si="50"/>
        <v>Aug</v>
      </c>
      <c r="K813" t="str">
        <f t="shared" si="51"/>
        <v>Tue</v>
      </c>
    </row>
    <row r="814" spans="1:11" x14ac:dyDescent="0.35">
      <c r="A814" s="1">
        <v>36740</v>
      </c>
      <c r="B814">
        <v>1.51250004768371</v>
      </c>
      <c r="C814">
        <v>1.6000000238418499</v>
      </c>
      <c r="D814">
        <v>1.5109380483627299</v>
      </c>
      <c r="E814">
        <v>1.5406249761581401</v>
      </c>
      <c r="F814">
        <v>1.5406249761581401</v>
      </c>
      <c r="G814">
        <v>99058000</v>
      </c>
      <c r="H814">
        <f t="shared" si="48"/>
        <v>2000</v>
      </c>
      <c r="I814">
        <f t="shared" si="49"/>
        <v>8</v>
      </c>
      <c r="J814" t="str">
        <f t="shared" si="50"/>
        <v>Aug</v>
      </c>
      <c r="K814" t="str">
        <f t="shared" si="51"/>
        <v>Wed</v>
      </c>
    </row>
    <row r="815" spans="1:11" x14ac:dyDescent="0.35">
      <c r="A815" s="1">
        <v>36741</v>
      </c>
      <c r="B815">
        <v>1.47187495231628</v>
      </c>
      <c r="C815">
        <v>1.5874999761581401</v>
      </c>
      <c r="D815">
        <v>1.46562504768371</v>
      </c>
      <c r="E815">
        <v>1.57500004768371</v>
      </c>
      <c r="F815">
        <v>1.57500004768371</v>
      </c>
      <c r="G815">
        <v>102882000</v>
      </c>
      <c r="H815">
        <f t="shared" si="48"/>
        <v>2000</v>
      </c>
      <c r="I815">
        <f t="shared" si="49"/>
        <v>8</v>
      </c>
      <c r="J815" t="str">
        <f t="shared" si="50"/>
        <v>Aug</v>
      </c>
      <c r="K815" t="str">
        <f t="shared" si="51"/>
        <v>Thu</v>
      </c>
    </row>
    <row r="816" spans="1:11" x14ac:dyDescent="0.35">
      <c r="A816" s="1">
        <v>36742</v>
      </c>
      <c r="B816">
        <v>1.59687495231628</v>
      </c>
      <c r="C816">
        <v>1.7093750238418499</v>
      </c>
      <c r="D816">
        <v>1.57500004768371</v>
      </c>
      <c r="E816">
        <v>1.625</v>
      </c>
      <c r="F816">
        <v>1.625</v>
      </c>
      <c r="G816">
        <v>97422000</v>
      </c>
      <c r="H816">
        <f t="shared" si="48"/>
        <v>2000</v>
      </c>
      <c r="I816">
        <f t="shared" si="49"/>
        <v>8</v>
      </c>
      <c r="J816" t="str">
        <f t="shared" si="50"/>
        <v>Aug</v>
      </c>
      <c r="K816" t="str">
        <f t="shared" si="51"/>
        <v>Fri</v>
      </c>
    </row>
    <row r="817" spans="1:11" x14ac:dyDescent="0.35">
      <c r="A817" s="1">
        <v>36745</v>
      </c>
      <c r="B817">
        <v>1.6000000238418499</v>
      </c>
      <c r="C817">
        <v>1.7124999761581401</v>
      </c>
      <c r="D817">
        <v>1.58124995231628</v>
      </c>
      <c r="E817">
        <v>1.69062495231628</v>
      </c>
      <c r="F817">
        <v>1.69062495231628</v>
      </c>
      <c r="G817">
        <v>88062000</v>
      </c>
      <c r="H817">
        <f t="shared" si="48"/>
        <v>2000</v>
      </c>
      <c r="I817">
        <f t="shared" si="49"/>
        <v>8</v>
      </c>
      <c r="J817" t="str">
        <f t="shared" si="50"/>
        <v>Aug</v>
      </c>
      <c r="K817" t="str">
        <f t="shared" si="51"/>
        <v>Mon</v>
      </c>
    </row>
    <row r="818" spans="1:11" x14ac:dyDescent="0.35">
      <c r="A818" s="1">
        <v>36746</v>
      </c>
      <c r="B818">
        <v>1.6625000238418499</v>
      </c>
      <c r="C818">
        <v>1.66875004768371</v>
      </c>
      <c r="D818">
        <v>1.62187504768371</v>
      </c>
      <c r="E818">
        <v>1.6468750238418499</v>
      </c>
      <c r="F818">
        <v>1.6468750238418499</v>
      </c>
      <c r="G818">
        <v>101012000</v>
      </c>
      <c r="H818">
        <f t="shared" si="48"/>
        <v>2000</v>
      </c>
      <c r="I818">
        <f t="shared" si="49"/>
        <v>8</v>
      </c>
      <c r="J818" t="str">
        <f t="shared" si="50"/>
        <v>Aug</v>
      </c>
      <c r="K818" t="str">
        <f t="shared" si="51"/>
        <v>Tue</v>
      </c>
    </row>
    <row r="819" spans="1:11" x14ac:dyDescent="0.35">
      <c r="A819" s="1">
        <v>36747</v>
      </c>
      <c r="B819">
        <v>1.6187499761581401</v>
      </c>
      <c r="C819">
        <v>1.6187499761581401</v>
      </c>
      <c r="D819">
        <v>1.51874995231628</v>
      </c>
      <c r="E819">
        <v>1.54375004768371</v>
      </c>
      <c r="F819">
        <v>1.54375004768371</v>
      </c>
      <c r="G819">
        <v>177488000</v>
      </c>
      <c r="H819">
        <f t="shared" si="48"/>
        <v>2000</v>
      </c>
      <c r="I819">
        <f t="shared" si="49"/>
        <v>8</v>
      </c>
      <c r="J819" t="str">
        <f t="shared" si="50"/>
        <v>Aug</v>
      </c>
      <c r="K819" t="str">
        <f t="shared" si="51"/>
        <v>Wed</v>
      </c>
    </row>
    <row r="820" spans="1:11" x14ac:dyDescent="0.35">
      <c r="A820" s="1">
        <v>36748</v>
      </c>
      <c r="B820">
        <v>1.57500004768371</v>
      </c>
      <c r="C820">
        <v>1.5874999761581401</v>
      </c>
      <c r="D820">
        <v>1.48749995231628</v>
      </c>
      <c r="E820">
        <v>1.5218750238418499</v>
      </c>
      <c r="F820">
        <v>1.5218750238418499</v>
      </c>
      <c r="G820">
        <v>121460000</v>
      </c>
      <c r="H820">
        <f t="shared" si="48"/>
        <v>2000</v>
      </c>
      <c r="I820">
        <f t="shared" si="49"/>
        <v>8</v>
      </c>
      <c r="J820" t="str">
        <f t="shared" si="50"/>
        <v>Aug</v>
      </c>
      <c r="K820" t="str">
        <f t="shared" si="51"/>
        <v>Thu</v>
      </c>
    </row>
    <row r="821" spans="1:11" x14ac:dyDescent="0.35">
      <c r="A821" s="1">
        <v>36749</v>
      </c>
      <c r="B821">
        <v>1.5249999761581401</v>
      </c>
      <c r="C821">
        <v>1.70000004768371</v>
      </c>
      <c r="D821">
        <v>1.515625</v>
      </c>
      <c r="E821">
        <v>1.68437504768371</v>
      </c>
      <c r="F821">
        <v>1.68437504768371</v>
      </c>
      <c r="G821">
        <v>182324000</v>
      </c>
      <c r="H821">
        <f t="shared" si="48"/>
        <v>2000</v>
      </c>
      <c r="I821">
        <f t="shared" si="49"/>
        <v>8</v>
      </c>
      <c r="J821" t="str">
        <f t="shared" si="50"/>
        <v>Aug</v>
      </c>
      <c r="K821" t="str">
        <f t="shared" si="51"/>
        <v>Fri</v>
      </c>
    </row>
    <row r="822" spans="1:11" x14ac:dyDescent="0.35">
      <c r="A822" s="1">
        <v>36752</v>
      </c>
      <c r="B822">
        <v>1.67499995231628</v>
      </c>
      <c r="C822">
        <v>1.7593749761581401</v>
      </c>
      <c r="D822">
        <v>1.6343749761581401</v>
      </c>
      <c r="E822">
        <v>1.7437499761581401</v>
      </c>
      <c r="F822">
        <v>1.7437499761581401</v>
      </c>
      <c r="G822">
        <v>124344000</v>
      </c>
      <c r="H822">
        <f t="shared" si="48"/>
        <v>2000</v>
      </c>
      <c r="I822">
        <f t="shared" si="49"/>
        <v>8</v>
      </c>
      <c r="J822" t="str">
        <f t="shared" si="50"/>
        <v>Aug</v>
      </c>
      <c r="K822" t="str">
        <f t="shared" si="51"/>
        <v>Mon</v>
      </c>
    </row>
    <row r="823" spans="1:11" x14ac:dyDescent="0.35">
      <c r="A823" s="1">
        <v>36753</v>
      </c>
      <c r="B823">
        <v>1.73125004768371</v>
      </c>
      <c r="C823">
        <v>1.9156249761581401</v>
      </c>
      <c r="D823">
        <v>1.71875</v>
      </c>
      <c r="E823">
        <v>1.87812495231628</v>
      </c>
      <c r="F823">
        <v>1.87812495231628</v>
      </c>
      <c r="G823">
        <v>169944000</v>
      </c>
      <c r="H823">
        <f t="shared" si="48"/>
        <v>2000</v>
      </c>
      <c r="I823">
        <f t="shared" si="49"/>
        <v>8</v>
      </c>
      <c r="J823" t="str">
        <f t="shared" si="50"/>
        <v>Aug</v>
      </c>
      <c r="K823" t="str">
        <f t="shared" si="51"/>
        <v>Tue</v>
      </c>
    </row>
    <row r="824" spans="1:11" x14ac:dyDescent="0.35">
      <c r="A824" s="1">
        <v>36754</v>
      </c>
      <c r="B824">
        <v>1.87812495231628</v>
      </c>
      <c r="C824">
        <v>1.9937499761581401</v>
      </c>
      <c r="D824">
        <v>1.8765629529953001</v>
      </c>
      <c r="E824">
        <v>1.9312499761581401</v>
      </c>
      <c r="F824">
        <v>1.9312499761581401</v>
      </c>
      <c r="G824">
        <v>196664000</v>
      </c>
      <c r="H824">
        <f t="shared" si="48"/>
        <v>2000</v>
      </c>
      <c r="I824">
        <f t="shared" si="49"/>
        <v>8</v>
      </c>
      <c r="J824" t="str">
        <f t="shared" si="50"/>
        <v>Aug</v>
      </c>
      <c r="K824" t="str">
        <f t="shared" si="51"/>
        <v>Wed</v>
      </c>
    </row>
    <row r="825" spans="1:11" x14ac:dyDescent="0.35">
      <c r="A825" s="1">
        <v>36755</v>
      </c>
      <c r="B825">
        <v>1.8999999761581401</v>
      </c>
      <c r="C825">
        <v>1.953125</v>
      </c>
      <c r="D825">
        <v>1.84375</v>
      </c>
      <c r="E825">
        <v>1.9125000238418499</v>
      </c>
      <c r="F825">
        <v>1.9125000238418499</v>
      </c>
      <c r="G825">
        <v>99482000</v>
      </c>
      <c r="H825">
        <f t="shared" si="48"/>
        <v>2000</v>
      </c>
      <c r="I825">
        <f t="shared" si="49"/>
        <v>8</v>
      </c>
      <c r="J825" t="str">
        <f t="shared" si="50"/>
        <v>Aug</v>
      </c>
      <c r="K825" t="str">
        <f t="shared" si="51"/>
        <v>Thu</v>
      </c>
    </row>
    <row r="826" spans="1:11" x14ac:dyDescent="0.35">
      <c r="A826" s="1">
        <v>36756</v>
      </c>
      <c r="B826">
        <v>1.9624999761581401</v>
      </c>
      <c r="C826">
        <v>2.0062499046325599</v>
      </c>
      <c r="D826">
        <v>1.9468749761581401</v>
      </c>
      <c r="E826">
        <v>1.95000004768371</v>
      </c>
      <c r="F826">
        <v>1.95000004768371</v>
      </c>
      <c r="G826">
        <v>147422000</v>
      </c>
      <c r="H826">
        <f t="shared" si="48"/>
        <v>2000</v>
      </c>
      <c r="I826">
        <f t="shared" si="49"/>
        <v>8</v>
      </c>
      <c r="J826" t="str">
        <f t="shared" si="50"/>
        <v>Aug</v>
      </c>
      <c r="K826" t="str">
        <f t="shared" si="51"/>
        <v>Fri</v>
      </c>
    </row>
    <row r="827" spans="1:11" x14ac:dyDescent="0.35">
      <c r="A827" s="1">
        <v>36759</v>
      </c>
      <c r="B827">
        <v>1.9546879529953001</v>
      </c>
      <c r="C827">
        <v>1.9937499761581401</v>
      </c>
      <c r="D827">
        <v>1.82500004768371</v>
      </c>
      <c r="E827">
        <v>1.875</v>
      </c>
      <c r="F827">
        <v>1.875</v>
      </c>
      <c r="G827">
        <v>80750000</v>
      </c>
      <c r="H827">
        <f t="shared" si="48"/>
        <v>2000</v>
      </c>
      <c r="I827">
        <f t="shared" si="49"/>
        <v>8</v>
      </c>
      <c r="J827" t="str">
        <f t="shared" si="50"/>
        <v>Aug</v>
      </c>
      <c r="K827" t="str">
        <f t="shared" si="51"/>
        <v>Mon</v>
      </c>
    </row>
    <row r="828" spans="1:11" x14ac:dyDescent="0.35">
      <c r="A828" s="1">
        <v>36760</v>
      </c>
      <c r="B828">
        <v>1.90625</v>
      </c>
      <c r="C828">
        <v>1.90937495231628</v>
      </c>
      <c r="D828">
        <v>1.8031250238418499</v>
      </c>
      <c r="E828">
        <v>1.82500004768371</v>
      </c>
      <c r="F828">
        <v>1.82500004768371</v>
      </c>
      <c r="G828">
        <v>70164000</v>
      </c>
      <c r="H828">
        <f t="shared" si="48"/>
        <v>2000</v>
      </c>
      <c r="I828">
        <f t="shared" si="49"/>
        <v>8</v>
      </c>
      <c r="J828" t="str">
        <f t="shared" si="50"/>
        <v>Aug</v>
      </c>
      <c r="K828" t="str">
        <f t="shared" si="51"/>
        <v>Tue</v>
      </c>
    </row>
    <row r="829" spans="1:11" x14ac:dyDescent="0.35">
      <c r="A829" s="1">
        <v>36761</v>
      </c>
      <c r="B829">
        <v>1.8187500238418499</v>
      </c>
      <c r="C829">
        <v>1.9750000238418499</v>
      </c>
      <c r="D829">
        <v>1.75</v>
      </c>
      <c r="E829">
        <v>1.94062495231628</v>
      </c>
      <c r="F829">
        <v>1.94062495231628</v>
      </c>
      <c r="G829">
        <v>94426000</v>
      </c>
      <c r="H829">
        <f t="shared" si="48"/>
        <v>2000</v>
      </c>
      <c r="I829">
        <f t="shared" si="49"/>
        <v>8</v>
      </c>
      <c r="J829" t="str">
        <f t="shared" si="50"/>
        <v>Aug</v>
      </c>
      <c r="K829" t="str">
        <f t="shared" si="51"/>
        <v>Wed</v>
      </c>
    </row>
    <row r="830" spans="1:11" x14ac:dyDescent="0.35">
      <c r="A830" s="1">
        <v>36762</v>
      </c>
      <c r="B830">
        <v>1.9781249761581401</v>
      </c>
      <c r="C830">
        <v>2.0250000953674299</v>
      </c>
      <c r="D830">
        <v>1.94062495231628</v>
      </c>
      <c r="E830">
        <v>1.96875</v>
      </c>
      <c r="F830">
        <v>1.96875</v>
      </c>
      <c r="G830">
        <v>94380000</v>
      </c>
      <c r="H830">
        <f t="shared" si="48"/>
        <v>2000</v>
      </c>
      <c r="I830">
        <f t="shared" si="49"/>
        <v>8</v>
      </c>
      <c r="J830" t="str">
        <f t="shared" si="50"/>
        <v>Aug</v>
      </c>
      <c r="K830" t="str">
        <f t="shared" si="51"/>
        <v>Thu</v>
      </c>
    </row>
    <row r="831" spans="1:11" x14ac:dyDescent="0.35">
      <c r="A831" s="1">
        <v>36763</v>
      </c>
      <c r="B831">
        <v>1.95624995231628</v>
      </c>
      <c r="C831">
        <v>2.0031249523162802</v>
      </c>
      <c r="D831">
        <v>1.9281250238418499</v>
      </c>
      <c r="E831">
        <v>1.99687504768371</v>
      </c>
      <c r="F831">
        <v>1.99687504768371</v>
      </c>
      <c r="G831">
        <v>54172000</v>
      </c>
      <c r="H831">
        <f t="shared" si="48"/>
        <v>2000</v>
      </c>
      <c r="I831">
        <f t="shared" si="49"/>
        <v>8</v>
      </c>
      <c r="J831" t="str">
        <f t="shared" si="50"/>
        <v>Aug</v>
      </c>
      <c r="K831" t="str">
        <f t="shared" si="51"/>
        <v>Fri</v>
      </c>
    </row>
    <row r="832" spans="1:11" x14ac:dyDescent="0.35">
      <c r="A832" s="1">
        <v>36766</v>
      </c>
      <c r="B832">
        <v>1.94062495231628</v>
      </c>
      <c r="C832">
        <v>2.125</v>
      </c>
      <c r="D832">
        <v>1.9281250238418499</v>
      </c>
      <c r="E832">
        <v>1.95624995231628</v>
      </c>
      <c r="F832">
        <v>1.95624995231628</v>
      </c>
      <c r="G832">
        <v>183570000</v>
      </c>
      <c r="H832">
        <f t="shared" si="48"/>
        <v>2000</v>
      </c>
      <c r="I832">
        <f t="shared" si="49"/>
        <v>8</v>
      </c>
      <c r="J832" t="str">
        <f t="shared" si="50"/>
        <v>Aug</v>
      </c>
      <c r="K832" t="str">
        <f t="shared" si="51"/>
        <v>Mon</v>
      </c>
    </row>
    <row r="833" spans="1:11" x14ac:dyDescent="0.35">
      <c r="A833" s="1">
        <v>36767</v>
      </c>
      <c r="B833">
        <v>1.9750000238418499</v>
      </c>
      <c r="C833">
        <v>2.04375004768371</v>
      </c>
      <c r="D833">
        <v>1.9437500238418499</v>
      </c>
      <c r="E833">
        <v>1.98125004768371</v>
      </c>
      <c r="F833">
        <v>1.98125004768371</v>
      </c>
      <c r="G833">
        <v>90422000</v>
      </c>
      <c r="H833">
        <f t="shared" si="48"/>
        <v>2000</v>
      </c>
      <c r="I833">
        <f t="shared" si="49"/>
        <v>8</v>
      </c>
      <c r="J833" t="str">
        <f t="shared" si="50"/>
        <v>Aug</v>
      </c>
      <c r="K833" t="str">
        <f t="shared" si="51"/>
        <v>Tue</v>
      </c>
    </row>
    <row r="834" spans="1:11" x14ac:dyDescent="0.35">
      <c r="A834" s="1">
        <v>36768</v>
      </c>
      <c r="B834">
        <v>2.1187500953674299</v>
      </c>
      <c r="C834">
        <v>2.1984379291534402</v>
      </c>
      <c r="D834">
        <v>2.0999999046325599</v>
      </c>
      <c r="E834">
        <v>2.1468749046325599</v>
      </c>
      <c r="F834">
        <v>2.1468749046325599</v>
      </c>
      <c r="G834">
        <v>258392000</v>
      </c>
      <c r="H834">
        <f t="shared" si="48"/>
        <v>2000</v>
      </c>
      <c r="I834">
        <f t="shared" si="49"/>
        <v>8</v>
      </c>
      <c r="J834" t="str">
        <f t="shared" si="50"/>
        <v>Aug</v>
      </c>
      <c r="K834" t="str">
        <f t="shared" si="51"/>
        <v>Wed</v>
      </c>
    </row>
    <row r="835" spans="1:11" x14ac:dyDescent="0.35">
      <c r="A835" s="1">
        <v>36769</v>
      </c>
      <c r="B835">
        <v>2.15625</v>
      </c>
      <c r="C835">
        <v>2.1593749523162802</v>
      </c>
      <c r="D835">
        <v>2.0718750953674299</v>
      </c>
      <c r="E835">
        <v>2.07500004768371</v>
      </c>
      <c r="F835">
        <v>2.07500004768371</v>
      </c>
      <c r="G835">
        <v>92326000</v>
      </c>
      <c r="H835">
        <f t="shared" si="48"/>
        <v>2000</v>
      </c>
      <c r="I835">
        <f t="shared" si="49"/>
        <v>8</v>
      </c>
      <c r="J835" t="str">
        <f t="shared" si="50"/>
        <v>Aug</v>
      </c>
      <c r="K835" t="str">
        <f t="shared" si="51"/>
        <v>Thu</v>
      </c>
    </row>
    <row r="836" spans="1:11" x14ac:dyDescent="0.35">
      <c r="A836" s="1">
        <v>36770</v>
      </c>
      <c r="B836">
        <v>2.10625004768371</v>
      </c>
      <c r="C836">
        <v>2.125</v>
      </c>
      <c r="D836">
        <v>2.0499999523162802</v>
      </c>
      <c r="E836">
        <v>2.07500004768371</v>
      </c>
      <c r="F836">
        <v>2.07500004768371</v>
      </c>
      <c r="G836">
        <v>66942000</v>
      </c>
      <c r="H836">
        <f t="shared" ref="H836:H899" si="52">YEAR($A836)</f>
        <v>2000</v>
      </c>
      <c r="I836">
        <f t="shared" ref="I836:I899" si="53">MONTH($A836)</f>
        <v>9</v>
      </c>
      <c r="J836" t="str">
        <f t="shared" ref="J836:J899" si="54">TEXT($A836,"mmm")</f>
        <v>Sep</v>
      </c>
      <c r="K836" t="str">
        <f t="shared" ref="K836:K899" si="55">TEXT($A836,"ddd")</f>
        <v>Fri</v>
      </c>
    </row>
    <row r="837" spans="1:11" x14ac:dyDescent="0.35">
      <c r="A837" s="1">
        <v>36774</v>
      </c>
      <c r="B837">
        <v>2.046875</v>
      </c>
      <c r="C837">
        <v>2.3156249523162802</v>
      </c>
      <c r="D837">
        <v>2.01250004768371</v>
      </c>
      <c r="E837">
        <v>2.2843749523162802</v>
      </c>
      <c r="F837">
        <v>2.2843749523162802</v>
      </c>
      <c r="G837">
        <v>203364000</v>
      </c>
      <c r="H837">
        <f t="shared" si="52"/>
        <v>2000</v>
      </c>
      <c r="I837">
        <f t="shared" si="53"/>
        <v>9</v>
      </c>
      <c r="J837" t="str">
        <f t="shared" si="54"/>
        <v>Sep</v>
      </c>
      <c r="K837" t="str">
        <f t="shared" si="55"/>
        <v>Tue</v>
      </c>
    </row>
    <row r="838" spans="1:11" x14ac:dyDescent="0.35">
      <c r="A838" s="1">
        <v>36775</v>
      </c>
      <c r="B838">
        <v>2.3624999523162802</v>
      </c>
      <c r="C838">
        <v>2.48125004768371</v>
      </c>
      <c r="D838">
        <v>2.2843749523162802</v>
      </c>
      <c r="E838">
        <v>2.29375004768371</v>
      </c>
      <c r="F838">
        <v>2.29375004768371</v>
      </c>
      <c r="G838">
        <v>285264000</v>
      </c>
      <c r="H838">
        <f t="shared" si="52"/>
        <v>2000</v>
      </c>
      <c r="I838">
        <f t="shared" si="53"/>
        <v>9</v>
      </c>
      <c r="J838" t="str">
        <f t="shared" si="54"/>
        <v>Sep</v>
      </c>
      <c r="K838" t="str">
        <f t="shared" si="55"/>
        <v>Wed</v>
      </c>
    </row>
    <row r="839" spans="1:11" x14ac:dyDescent="0.35">
      <c r="A839" s="1">
        <v>36776</v>
      </c>
      <c r="B839">
        <v>2.34062504768371</v>
      </c>
      <c r="C839">
        <v>2.3499999046325599</v>
      </c>
      <c r="D839">
        <v>2.1500000953674299</v>
      </c>
      <c r="E839">
        <v>2.1749999523162802</v>
      </c>
      <c r="F839">
        <v>2.1749999523162802</v>
      </c>
      <c r="G839">
        <v>148124000</v>
      </c>
      <c r="H839">
        <f t="shared" si="52"/>
        <v>2000</v>
      </c>
      <c r="I839">
        <f t="shared" si="53"/>
        <v>9</v>
      </c>
      <c r="J839" t="str">
        <f t="shared" si="54"/>
        <v>Sep</v>
      </c>
      <c r="K839" t="str">
        <f t="shared" si="55"/>
        <v>Thu</v>
      </c>
    </row>
    <row r="840" spans="1:11" x14ac:dyDescent="0.35">
      <c r="A840" s="1">
        <v>36777</v>
      </c>
      <c r="B840">
        <v>2.203125</v>
      </c>
      <c r="C840">
        <v>2.25</v>
      </c>
      <c r="D840">
        <v>2.125</v>
      </c>
      <c r="E840">
        <v>2.1468749046325599</v>
      </c>
      <c r="F840">
        <v>2.1468749046325599</v>
      </c>
      <c r="G840">
        <v>101778000</v>
      </c>
      <c r="H840">
        <f t="shared" si="52"/>
        <v>2000</v>
      </c>
      <c r="I840">
        <f t="shared" si="53"/>
        <v>9</v>
      </c>
      <c r="J840" t="str">
        <f t="shared" si="54"/>
        <v>Sep</v>
      </c>
      <c r="K840" t="str">
        <f t="shared" si="55"/>
        <v>Fri</v>
      </c>
    </row>
    <row r="841" spans="1:11" x14ac:dyDescent="0.35">
      <c r="A841" s="1">
        <v>36780</v>
      </c>
      <c r="B841">
        <v>2.1312499046325599</v>
      </c>
      <c r="C841">
        <v>2.2609379291534402</v>
      </c>
      <c r="D841">
        <v>2.109375</v>
      </c>
      <c r="E841">
        <v>2.1187500953674299</v>
      </c>
      <c r="F841">
        <v>2.1187500953674299</v>
      </c>
      <c r="G841">
        <v>108942000</v>
      </c>
      <c r="H841">
        <f t="shared" si="52"/>
        <v>2000</v>
      </c>
      <c r="I841">
        <f t="shared" si="53"/>
        <v>9</v>
      </c>
      <c r="J841" t="str">
        <f t="shared" si="54"/>
        <v>Sep</v>
      </c>
      <c r="K841" t="str">
        <f t="shared" si="55"/>
        <v>Mon</v>
      </c>
    </row>
    <row r="842" spans="1:11" x14ac:dyDescent="0.35">
      <c r="A842" s="1">
        <v>36781</v>
      </c>
      <c r="B842">
        <v>2.16875004768371</v>
      </c>
      <c r="C842">
        <v>2.2093749046325599</v>
      </c>
      <c r="D842">
        <v>2.1124999523162802</v>
      </c>
      <c r="E842">
        <v>2.1343750953674299</v>
      </c>
      <c r="F842">
        <v>2.1343750953674299</v>
      </c>
      <c r="G842">
        <v>76430000</v>
      </c>
      <c r="H842">
        <f t="shared" si="52"/>
        <v>2000</v>
      </c>
      <c r="I842">
        <f t="shared" si="53"/>
        <v>9</v>
      </c>
      <c r="J842" t="str">
        <f t="shared" si="54"/>
        <v>Sep</v>
      </c>
      <c r="K842" t="str">
        <f t="shared" si="55"/>
        <v>Tue</v>
      </c>
    </row>
    <row r="843" spans="1:11" x14ac:dyDescent="0.35">
      <c r="A843" s="1">
        <v>36782</v>
      </c>
      <c r="B843">
        <v>2.0656249523162802</v>
      </c>
      <c r="C843">
        <v>2.15625</v>
      </c>
      <c r="D843">
        <v>2.0499999523162802</v>
      </c>
      <c r="E843">
        <v>2.12187504768371</v>
      </c>
      <c r="F843">
        <v>2.12187504768371</v>
      </c>
      <c r="G843">
        <v>81700000</v>
      </c>
      <c r="H843">
        <f t="shared" si="52"/>
        <v>2000</v>
      </c>
      <c r="I843">
        <f t="shared" si="53"/>
        <v>9</v>
      </c>
      <c r="J843" t="str">
        <f t="shared" si="54"/>
        <v>Sep</v>
      </c>
      <c r="K843" t="str">
        <f t="shared" si="55"/>
        <v>Wed</v>
      </c>
    </row>
    <row r="844" spans="1:11" x14ac:dyDescent="0.35">
      <c r="A844" s="1">
        <v>36783</v>
      </c>
      <c r="B844">
        <v>2.2093749046325599</v>
      </c>
      <c r="C844">
        <v>2.2999999523162802</v>
      </c>
      <c r="D844">
        <v>2.1875</v>
      </c>
      <c r="E844">
        <v>2.2437500953674299</v>
      </c>
      <c r="F844">
        <v>2.2437500953674299</v>
      </c>
      <c r="G844">
        <v>139270000</v>
      </c>
      <c r="H844">
        <f t="shared" si="52"/>
        <v>2000</v>
      </c>
      <c r="I844">
        <f t="shared" si="53"/>
        <v>9</v>
      </c>
      <c r="J844" t="str">
        <f t="shared" si="54"/>
        <v>Sep</v>
      </c>
      <c r="K844" t="str">
        <f t="shared" si="55"/>
        <v>Thu</v>
      </c>
    </row>
    <row r="845" spans="1:11" x14ac:dyDescent="0.35">
      <c r="A845" s="1">
        <v>36784</v>
      </c>
      <c r="B845">
        <v>2.2687499523162802</v>
      </c>
      <c r="C845">
        <v>2.2718749046325599</v>
      </c>
      <c r="D845">
        <v>2.1437499523162802</v>
      </c>
      <c r="E845">
        <v>2.1812500953674299</v>
      </c>
      <c r="F845">
        <v>2.1812500953674299</v>
      </c>
      <c r="G845">
        <v>123604000</v>
      </c>
      <c r="H845">
        <f t="shared" si="52"/>
        <v>2000</v>
      </c>
      <c r="I845">
        <f t="shared" si="53"/>
        <v>9</v>
      </c>
      <c r="J845" t="str">
        <f t="shared" si="54"/>
        <v>Sep</v>
      </c>
      <c r="K845" t="str">
        <f t="shared" si="55"/>
        <v>Fri</v>
      </c>
    </row>
    <row r="846" spans="1:11" x14ac:dyDescent="0.35">
      <c r="A846" s="1">
        <v>36787</v>
      </c>
      <c r="B846">
        <v>2.1749999523162802</v>
      </c>
      <c r="C846">
        <v>2.23125004768371</v>
      </c>
      <c r="D846">
        <v>2.09375</v>
      </c>
      <c r="E846">
        <v>2.140625</v>
      </c>
      <c r="F846">
        <v>2.140625</v>
      </c>
      <c r="G846">
        <v>88904000</v>
      </c>
      <c r="H846">
        <f t="shared" si="52"/>
        <v>2000</v>
      </c>
      <c r="I846">
        <f t="shared" si="53"/>
        <v>9</v>
      </c>
      <c r="J846" t="str">
        <f t="shared" si="54"/>
        <v>Sep</v>
      </c>
      <c r="K846" t="str">
        <f t="shared" si="55"/>
        <v>Mon</v>
      </c>
    </row>
    <row r="847" spans="1:11" x14ac:dyDescent="0.35">
      <c r="A847" s="1">
        <v>36788</v>
      </c>
      <c r="B847">
        <v>2.1031250953674299</v>
      </c>
      <c r="C847">
        <v>2.13750004768371</v>
      </c>
      <c r="D847">
        <v>1.95624995231628</v>
      </c>
      <c r="E847">
        <v>2.0374999046325599</v>
      </c>
      <c r="F847">
        <v>2.0374999046325599</v>
      </c>
      <c r="G847">
        <v>144616000</v>
      </c>
      <c r="H847">
        <f t="shared" si="52"/>
        <v>2000</v>
      </c>
      <c r="I847">
        <f t="shared" si="53"/>
        <v>9</v>
      </c>
      <c r="J847" t="str">
        <f t="shared" si="54"/>
        <v>Sep</v>
      </c>
      <c r="K847" t="str">
        <f t="shared" si="55"/>
        <v>Tue</v>
      </c>
    </row>
    <row r="848" spans="1:11" x14ac:dyDescent="0.35">
      <c r="A848" s="1">
        <v>36789</v>
      </c>
      <c r="B848">
        <v>2.0218749046325599</v>
      </c>
      <c r="C848">
        <v>2.0250000953674299</v>
      </c>
      <c r="D848">
        <v>1.8687499761581401</v>
      </c>
      <c r="E848">
        <v>1.875</v>
      </c>
      <c r="F848">
        <v>1.875</v>
      </c>
      <c r="G848">
        <v>194896000</v>
      </c>
      <c r="H848">
        <f t="shared" si="52"/>
        <v>2000</v>
      </c>
      <c r="I848">
        <f t="shared" si="53"/>
        <v>9</v>
      </c>
      <c r="J848" t="str">
        <f t="shared" si="54"/>
        <v>Sep</v>
      </c>
      <c r="K848" t="str">
        <f t="shared" si="55"/>
        <v>Wed</v>
      </c>
    </row>
    <row r="849" spans="1:11" x14ac:dyDescent="0.35">
      <c r="A849" s="1">
        <v>36790</v>
      </c>
      <c r="B849">
        <v>1.87187504768371</v>
      </c>
      <c r="C849">
        <v>2.0250000953674299</v>
      </c>
      <c r="D849">
        <v>1.86249995231628</v>
      </c>
      <c r="E849">
        <v>2.0031249523162802</v>
      </c>
      <c r="F849">
        <v>2.0031249523162802</v>
      </c>
      <c r="G849">
        <v>148512000</v>
      </c>
      <c r="H849">
        <f t="shared" si="52"/>
        <v>2000</v>
      </c>
      <c r="I849">
        <f t="shared" si="53"/>
        <v>9</v>
      </c>
      <c r="J849" t="str">
        <f t="shared" si="54"/>
        <v>Sep</v>
      </c>
      <c r="K849" t="str">
        <f t="shared" si="55"/>
        <v>Thu</v>
      </c>
    </row>
    <row r="850" spans="1:11" x14ac:dyDescent="0.35">
      <c r="A850" s="1">
        <v>36791</v>
      </c>
      <c r="B850">
        <v>1.91875004768371</v>
      </c>
      <c r="C850">
        <v>2.10625004768371</v>
      </c>
      <c r="D850">
        <v>1.9156249761581401</v>
      </c>
      <c r="E850">
        <v>2.0718750953674299</v>
      </c>
      <c r="F850">
        <v>2.0718750953674299</v>
      </c>
      <c r="G850">
        <v>119924000</v>
      </c>
      <c r="H850">
        <f t="shared" si="52"/>
        <v>2000</v>
      </c>
      <c r="I850">
        <f t="shared" si="53"/>
        <v>9</v>
      </c>
      <c r="J850" t="str">
        <f t="shared" si="54"/>
        <v>Sep</v>
      </c>
      <c r="K850" t="str">
        <f t="shared" si="55"/>
        <v>Fri</v>
      </c>
    </row>
    <row r="851" spans="1:11" x14ac:dyDescent="0.35">
      <c r="A851" s="1">
        <v>36794</v>
      </c>
      <c r="B851">
        <v>2.0609378814697199</v>
      </c>
      <c r="C851">
        <v>2.1281249523162802</v>
      </c>
      <c r="D851">
        <v>2</v>
      </c>
      <c r="E851">
        <v>2.0187499523162802</v>
      </c>
      <c r="F851">
        <v>2.0187499523162802</v>
      </c>
      <c r="G851">
        <v>109198000</v>
      </c>
      <c r="H851">
        <f t="shared" si="52"/>
        <v>2000</v>
      </c>
      <c r="I851">
        <f t="shared" si="53"/>
        <v>9</v>
      </c>
      <c r="J851" t="str">
        <f t="shared" si="54"/>
        <v>Sep</v>
      </c>
      <c r="K851" t="str">
        <f t="shared" si="55"/>
        <v>Mon</v>
      </c>
    </row>
    <row r="852" spans="1:11" x14ac:dyDescent="0.35">
      <c r="A852" s="1">
        <v>36795</v>
      </c>
      <c r="B852">
        <v>2.03125</v>
      </c>
      <c r="C852">
        <v>2.0562500953674299</v>
      </c>
      <c r="D852">
        <v>1.9781249761581401</v>
      </c>
      <c r="E852">
        <v>1.98749995231628</v>
      </c>
      <c r="F852">
        <v>1.98749995231628</v>
      </c>
      <c r="G852">
        <v>85208000</v>
      </c>
      <c r="H852">
        <f t="shared" si="52"/>
        <v>2000</v>
      </c>
      <c r="I852">
        <f t="shared" si="53"/>
        <v>9</v>
      </c>
      <c r="J852" t="str">
        <f t="shared" si="54"/>
        <v>Sep</v>
      </c>
      <c r="K852" t="str">
        <f t="shared" si="55"/>
        <v>Tue</v>
      </c>
    </row>
    <row r="853" spans="1:11" x14ac:dyDescent="0.35">
      <c r="A853" s="1">
        <v>36796</v>
      </c>
      <c r="B853">
        <v>1.93437504768371</v>
      </c>
      <c r="C853">
        <v>1.98125004768371</v>
      </c>
      <c r="D853">
        <v>1.7749999761581401</v>
      </c>
      <c r="E853">
        <v>1.89374995231628</v>
      </c>
      <c r="F853">
        <v>1.89374995231628</v>
      </c>
      <c r="G853">
        <v>200618000</v>
      </c>
      <c r="H853">
        <f t="shared" si="52"/>
        <v>2000</v>
      </c>
      <c r="I853">
        <f t="shared" si="53"/>
        <v>9</v>
      </c>
      <c r="J853" t="str">
        <f t="shared" si="54"/>
        <v>Sep</v>
      </c>
      <c r="K853" t="str">
        <f t="shared" si="55"/>
        <v>Wed</v>
      </c>
    </row>
    <row r="854" spans="1:11" x14ac:dyDescent="0.35">
      <c r="A854" s="1">
        <v>36797</v>
      </c>
      <c r="B854">
        <v>1.8656250238418499</v>
      </c>
      <c r="C854">
        <v>2.01250004768371</v>
      </c>
      <c r="D854">
        <v>1.85625004768371</v>
      </c>
      <c r="E854">
        <v>2</v>
      </c>
      <c r="F854">
        <v>2</v>
      </c>
      <c r="G854">
        <v>117158000</v>
      </c>
      <c r="H854">
        <f t="shared" si="52"/>
        <v>2000</v>
      </c>
      <c r="I854">
        <f t="shared" si="53"/>
        <v>9</v>
      </c>
      <c r="J854" t="str">
        <f t="shared" si="54"/>
        <v>Sep</v>
      </c>
      <c r="K854" t="str">
        <f t="shared" si="55"/>
        <v>Thu</v>
      </c>
    </row>
    <row r="855" spans="1:11" x14ac:dyDescent="0.35">
      <c r="A855" s="1">
        <v>36798</v>
      </c>
      <c r="B855">
        <v>1.95000004768371</v>
      </c>
      <c r="C855">
        <v>2.0625</v>
      </c>
      <c r="D855">
        <v>1.8812500238418499</v>
      </c>
      <c r="E855">
        <v>1.921875</v>
      </c>
      <c r="F855">
        <v>1.921875</v>
      </c>
      <c r="G855">
        <v>130342000</v>
      </c>
      <c r="H855">
        <f t="shared" si="52"/>
        <v>2000</v>
      </c>
      <c r="I855">
        <f t="shared" si="53"/>
        <v>9</v>
      </c>
      <c r="J855" t="str">
        <f t="shared" si="54"/>
        <v>Sep</v>
      </c>
      <c r="K855" t="str">
        <f t="shared" si="55"/>
        <v>Fri</v>
      </c>
    </row>
    <row r="856" spans="1:11" x14ac:dyDescent="0.35">
      <c r="A856" s="1">
        <v>36801</v>
      </c>
      <c r="B856">
        <v>1.90937495231628</v>
      </c>
      <c r="C856">
        <v>1.921875</v>
      </c>
      <c r="D856">
        <v>1.76250004768371</v>
      </c>
      <c r="E856">
        <v>1.79375004768371</v>
      </c>
      <c r="F856">
        <v>1.79375004768371</v>
      </c>
      <c r="G856">
        <v>109554000</v>
      </c>
      <c r="H856">
        <f t="shared" si="52"/>
        <v>2000</v>
      </c>
      <c r="I856">
        <f t="shared" si="53"/>
        <v>10</v>
      </c>
      <c r="J856" t="str">
        <f t="shared" si="54"/>
        <v>Oct</v>
      </c>
      <c r="K856" t="str">
        <f t="shared" si="55"/>
        <v>Mon</v>
      </c>
    </row>
    <row r="857" spans="1:11" x14ac:dyDescent="0.35">
      <c r="A857" s="1">
        <v>36802</v>
      </c>
      <c r="B857">
        <v>1.8374999761581401</v>
      </c>
      <c r="C857">
        <v>1.86249995231628</v>
      </c>
      <c r="D857">
        <v>1.75</v>
      </c>
      <c r="E857">
        <v>1.75312495231628</v>
      </c>
      <c r="F857">
        <v>1.75312495231628</v>
      </c>
      <c r="G857">
        <v>107598000</v>
      </c>
      <c r="H857">
        <f t="shared" si="52"/>
        <v>2000</v>
      </c>
      <c r="I857">
        <f t="shared" si="53"/>
        <v>10</v>
      </c>
      <c r="J857" t="str">
        <f t="shared" si="54"/>
        <v>Oct</v>
      </c>
      <c r="K857" t="str">
        <f t="shared" si="55"/>
        <v>Tue</v>
      </c>
    </row>
    <row r="858" spans="1:11" x14ac:dyDescent="0.35">
      <c r="A858" s="1">
        <v>36803</v>
      </c>
      <c r="B858">
        <v>1.671875</v>
      </c>
      <c r="C858">
        <v>1.8531249761581401</v>
      </c>
      <c r="D858">
        <v>1.625</v>
      </c>
      <c r="E858">
        <v>1.79999995231628</v>
      </c>
      <c r="F858">
        <v>1.79999995231628</v>
      </c>
      <c r="G858">
        <v>156822000</v>
      </c>
      <c r="H858">
        <f t="shared" si="52"/>
        <v>2000</v>
      </c>
      <c r="I858">
        <f t="shared" si="53"/>
        <v>10</v>
      </c>
      <c r="J858" t="str">
        <f t="shared" si="54"/>
        <v>Oct</v>
      </c>
      <c r="K858" t="str">
        <f t="shared" si="55"/>
        <v>Wed</v>
      </c>
    </row>
    <row r="859" spans="1:11" x14ac:dyDescent="0.35">
      <c r="A859" s="1">
        <v>36804</v>
      </c>
      <c r="B859">
        <v>1.7593749761581401</v>
      </c>
      <c r="C859">
        <v>1.83124995231628</v>
      </c>
      <c r="D859">
        <v>1.6000000238418499</v>
      </c>
      <c r="E859">
        <v>1.6781250238418499</v>
      </c>
      <c r="F859">
        <v>1.6781250238418499</v>
      </c>
      <c r="G859">
        <v>139326000</v>
      </c>
      <c r="H859">
        <f t="shared" si="52"/>
        <v>2000</v>
      </c>
      <c r="I859">
        <f t="shared" si="53"/>
        <v>10</v>
      </c>
      <c r="J859" t="str">
        <f t="shared" si="54"/>
        <v>Oct</v>
      </c>
      <c r="K859" t="str">
        <f t="shared" si="55"/>
        <v>Thu</v>
      </c>
    </row>
    <row r="860" spans="1:11" x14ac:dyDescent="0.35">
      <c r="A860" s="1">
        <v>36805</v>
      </c>
      <c r="B860">
        <v>1.625</v>
      </c>
      <c r="C860">
        <v>1.6625000238418499</v>
      </c>
      <c r="D860">
        <v>1.5093749761581401</v>
      </c>
      <c r="E860">
        <v>1.578125</v>
      </c>
      <c r="F860">
        <v>1.578125</v>
      </c>
      <c r="G860">
        <v>177422000</v>
      </c>
      <c r="H860">
        <f t="shared" si="52"/>
        <v>2000</v>
      </c>
      <c r="I860">
        <f t="shared" si="53"/>
        <v>10</v>
      </c>
      <c r="J860" t="str">
        <f t="shared" si="54"/>
        <v>Oct</v>
      </c>
      <c r="K860" t="str">
        <f t="shared" si="55"/>
        <v>Fri</v>
      </c>
    </row>
    <row r="861" spans="1:11" x14ac:dyDescent="0.35">
      <c r="A861" s="1">
        <v>36808</v>
      </c>
      <c r="B861">
        <v>1.51250004768371</v>
      </c>
      <c r="C861">
        <v>1.52812504768371</v>
      </c>
      <c r="D861">
        <v>1.3687499761581401</v>
      </c>
      <c r="E861">
        <v>1.50312495231628</v>
      </c>
      <c r="F861">
        <v>1.50312495231628</v>
      </c>
      <c r="G861">
        <v>254550000</v>
      </c>
      <c r="H861">
        <f t="shared" si="52"/>
        <v>2000</v>
      </c>
      <c r="I861">
        <f t="shared" si="53"/>
        <v>10</v>
      </c>
      <c r="J861" t="str">
        <f t="shared" si="54"/>
        <v>Oct</v>
      </c>
      <c r="K861" t="str">
        <f t="shared" si="55"/>
        <v>Mon</v>
      </c>
    </row>
    <row r="862" spans="1:11" x14ac:dyDescent="0.35">
      <c r="A862" s="1">
        <v>36809</v>
      </c>
      <c r="B862">
        <v>1.48749995231628</v>
      </c>
      <c r="C862">
        <v>1.6359380483627299</v>
      </c>
      <c r="D862">
        <v>1.4437500238418499</v>
      </c>
      <c r="E862">
        <v>1.5218750238418499</v>
      </c>
      <c r="F862">
        <v>1.5218750238418499</v>
      </c>
      <c r="G862">
        <v>145310000</v>
      </c>
      <c r="H862">
        <f t="shared" si="52"/>
        <v>2000</v>
      </c>
      <c r="I862">
        <f t="shared" si="53"/>
        <v>10</v>
      </c>
      <c r="J862" t="str">
        <f t="shared" si="54"/>
        <v>Oct</v>
      </c>
      <c r="K862" t="str">
        <f t="shared" si="55"/>
        <v>Tue</v>
      </c>
    </row>
    <row r="863" spans="1:11" x14ac:dyDescent="0.35">
      <c r="A863" s="1">
        <v>36810</v>
      </c>
      <c r="B863">
        <v>1.3968750238418499</v>
      </c>
      <c r="C863">
        <v>1.51250004768371</v>
      </c>
      <c r="D863">
        <v>1.3812500238418499</v>
      </c>
      <c r="E863">
        <v>1.390625</v>
      </c>
      <c r="F863">
        <v>1.390625</v>
      </c>
      <c r="G863">
        <v>157794000</v>
      </c>
      <c r="H863">
        <f t="shared" si="52"/>
        <v>2000</v>
      </c>
      <c r="I863">
        <f t="shared" si="53"/>
        <v>10</v>
      </c>
      <c r="J863" t="str">
        <f t="shared" si="54"/>
        <v>Oct</v>
      </c>
      <c r="K863" t="str">
        <f t="shared" si="55"/>
        <v>Wed</v>
      </c>
    </row>
    <row r="864" spans="1:11" x14ac:dyDescent="0.35">
      <c r="A864" s="1">
        <v>36811</v>
      </c>
      <c r="B864">
        <v>1.41875004768371</v>
      </c>
      <c r="C864">
        <v>1.44062495231628</v>
      </c>
      <c r="D864">
        <v>1.23125004768371</v>
      </c>
      <c r="E864">
        <v>1.2562500238418499</v>
      </c>
      <c r="F864">
        <v>1.2562500238418499</v>
      </c>
      <c r="G864">
        <v>160652000</v>
      </c>
      <c r="H864">
        <f t="shared" si="52"/>
        <v>2000</v>
      </c>
      <c r="I864">
        <f t="shared" si="53"/>
        <v>10</v>
      </c>
      <c r="J864" t="str">
        <f t="shared" si="54"/>
        <v>Oct</v>
      </c>
      <c r="K864" t="str">
        <f t="shared" si="55"/>
        <v>Thu</v>
      </c>
    </row>
    <row r="865" spans="1:11" x14ac:dyDescent="0.35">
      <c r="A865" s="1">
        <v>36812</v>
      </c>
      <c r="B865">
        <v>1.2124999761581401</v>
      </c>
      <c r="C865">
        <v>1.4437500238418499</v>
      </c>
      <c r="D865">
        <v>1.17499995231628</v>
      </c>
      <c r="E865">
        <v>1.421875</v>
      </c>
      <c r="F865">
        <v>1.421875</v>
      </c>
      <c r="G865">
        <v>152668000</v>
      </c>
      <c r="H865">
        <f t="shared" si="52"/>
        <v>2000</v>
      </c>
      <c r="I865">
        <f t="shared" si="53"/>
        <v>10</v>
      </c>
      <c r="J865" t="str">
        <f t="shared" si="54"/>
        <v>Oct</v>
      </c>
      <c r="K865" t="str">
        <f t="shared" si="55"/>
        <v>Fri</v>
      </c>
    </row>
    <row r="866" spans="1:11" x14ac:dyDescent="0.35">
      <c r="A866" s="1">
        <v>36815</v>
      </c>
      <c r="B866">
        <v>1.40625</v>
      </c>
      <c r="C866">
        <v>1.4156249761581401</v>
      </c>
      <c r="D866">
        <v>1.20624995231628</v>
      </c>
      <c r="E866">
        <v>1.21562504768371</v>
      </c>
      <c r="F866">
        <v>1.21562504768371</v>
      </c>
      <c r="G866">
        <v>142954000</v>
      </c>
      <c r="H866">
        <f t="shared" si="52"/>
        <v>2000</v>
      </c>
      <c r="I866">
        <f t="shared" si="53"/>
        <v>10</v>
      </c>
      <c r="J866" t="str">
        <f t="shared" si="54"/>
        <v>Oct</v>
      </c>
      <c r="K866" t="str">
        <f t="shared" si="55"/>
        <v>Mon</v>
      </c>
    </row>
    <row r="867" spans="1:11" x14ac:dyDescent="0.35">
      <c r="A867" s="1">
        <v>36816</v>
      </c>
      <c r="B867">
        <v>1.2437499761581401</v>
      </c>
      <c r="C867">
        <v>1.2593749761581401</v>
      </c>
      <c r="D867">
        <v>1.04375004768371</v>
      </c>
      <c r="E867">
        <v>1.09687495231628</v>
      </c>
      <c r="F867">
        <v>1.09687495231628</v>
      </c>
      <c r="G867">
        <v>302810000</v>
      </c>
      <c r="H867">
        <f t="shared" si="52"/>
        <v>2000</v>
      </c>
      <c r="I867">
        <f t="shared" si="53"/>
        <v>10</v>
      </c>
      <c r="J867" t="str">
        <f t="shared" si="54"/>
        <v>Oct</v>
      </c>
      <c r="K867" t="str">
        <f t="shared" si="55"/>
        <v>Tue</v>
      </c>
    </row>
    <row r="868" spans="1:11" x14ac:dyDescent="0.35">
      <c r="A868" s="1">
        <v>36817</v>
      </c>
      <c r="B868">
        <v>0.99374997615814198</v>
      </c>
      <c r="C868">
        <v>1.26874995231628</v>
      </c>
      <c r="D868">
        <v>0.96875</v>
      </c>
      <c r="E868">
        <v>1.2562500238418499</v>
      </c>
      <c r="F868">
        <v>1.2562500238418499</v>
      </c>
      <c r="G868">
        <v>375774000</v>
      </c>
      <c r="H868">
        <f t="shared" si="52"/>
        <v>2000</v>
      </c>
      <c r="I868">
        <f t="shared" si="53"/>
        <v>10</v>
      </c>
      <c r="J868" t="str">
        <f t="shared" si="54"/>
        <v>Oct</v>
      </c>
      <c r="K868" t="str">
        <f t="shared" si="55"/>
        <v>Wed</v>
      </c>
    </row>
    <row r="869" spans="1:11" x14ac:dyDescent="0.35">
      <c r="A869" s="1">
        <v>36818</v>
      </c>
      <c r="B869">
        <v>1.328125</v>
      </c>
      <c r="C869">
        <v>1.40625</v>
      </c>
      <c r="D869">
        <v>1.2093750238418499</v>
      </c>
      <c r="E869">
        <v>1.38750004768371</v>
      </c>
      <c r="F869">
        <v>1.38750004768371</v>
      </c>
      <c r="G869">
        <v>217498000</v>
      </c>
      <c r="H869">
        <f t="shared" si="52"/>
        <v>2000</v>
      </c>
      <c r="I869">
        <f t="shared" si="53"/>
        <v>10</v>
      </c>
      <c r="J869" t="str">
        <f t="shared" si="54"/>
        <v>Oct</v>
      </c>
      <c r="K869" t="str">
        <f t="shared" si="55"/>
        <v>Thu</v>
      </c>
    </row>
    <row r="870" spans="1:11" x14ac:dyDescent="0.35">
      <c r="A870" s="1">
        <v>36819</v>
      </c>
      <c r="B870">
        <v>1.3843749761581401</v>
      </c>
      <c r="C870">
        <v>1.5625</v>
      </c>
      <c r="D870">
        <v>1.35625004768371</v>
      </c>
      <c r="E870">
        <v>1.5406249761581401</v>
      </c>
      <c r="F870">
        <v>1.5406249761581401</v>
      </c>
      <c r="G870">
        <v>232438000</v>
      </c>
      <c r="H870">
        <f t="shared" si="52"/>
        <v>2000</v>
      </c>
      <c r="I870">
        <f t="shared" si="53"/>
        <v>10</v>
      </c>
      <c r="J870" t="str">
        <f t="shared" si="54"/>
        <v>Oct</v>
      </c>
      <c r="K870" t="str">
        <f t="shared" si="55"/>
        <v>Fri</v>
      </c>
    </row>
    <row r="871" spans="1:11" x14ac:dyDescent="0.35">
      <c r="A871" s="1">
        <v>36822</v>
      </c>
      <c r="B871">
        <v>1.484375</v>
      </c>
      <c r="C871">
        <v>1.51874995231628</v>
      </c>
      <c r="D871">
        <v>1.3812500238418499</v>
      </c>
      <c r="E871">
        <v>1.5</v>
      </c>
      <c r="F871">
        <v>1.5</v>
      </c>
      <c r="G871">
        <v>203992000</v>
      </c>
      <c r="H871">
        <f t="shared" si="52"/>
        <v>2000</v>
      </c>
      <c r="I871">
        <f t="shared" si="53"/>
        <v>10</v>
      </c>
      <c r="J871" t="str">
        <f t="shared" si="54"/>
        <v>Oct</v>
      </c>
      <c r="K871" t="str">
        <f t="shared" si="55"/>
        <v>Mon</v>
      </c>
    </row>
    <row r="872" spans="1:11" x14ac:dyDescent="0.35">
      <c r="A872" s="1">
        <v>36823</v>
      </c>
      <c r="B872">
        <v>1.4937499761581401</v>
      </c>
      <c r="C872">
        <v>1.6937500238418499</v>
      </c>
      <c r="D872">
        <v>1.44062495231628</v>
      </c>
      <c r="E872">
        <v>1.4781249761581401</v>
      </c>
      <c r="F872">
        <v>1.4781249761581401</v>
      </c>
      <c r="G872">
        <v>273532000</v>
      </c>
      <c r="H872">
        <f t="shared" si="52"/>
        <v>2000</v>
      </c>
      <c r="I872">
        <f t="shared" si="53"/>
        <v>10</v>
      </c>
      <c r="J872" t="str">
        <f t="shared" si="54"/>
        <v>Oct</v>
      </c>
      <c r="K872" t="str">
        <f t="shared" si="55"/>
        <v>Tue</v>
      </c>
    </row>
    <row r="873" spans="1:11" x14ac:dyDescent="0.35">
      <c r="A873" s="1">
        <v>36824</v>
      </c>
      <c r="B873">
        <v>1.70000004768371</v>
      </c>
      <c r="C873">
        <v>1.82500004768371</v>
      </c>
      <c r="D873">
        <v>1.5874999761581401</v>
      </c>
      <c r="E873">
        <v>1.59375</v>
      </c>
      <c r="F873">
        <v>1.59375</v>
      </c>
      <c r="G873">
        <v>571458000</v>
      </c>
      <c r="H873">
        <f t="shared" si="52"/>
        <v>2000</v>
      </c>
      <c r="I873">
        <f t="shared" si="53"/>
        <v>10</v>
      </c>
      <c r="J873" t="str">
        <f t="shared" si="54"/>
        <v>Oct</v>
      </c>
      <c r="K873" t="str">
        <f t="shared" si="55"/>
        <v>Wed</v>
      </c>
    </row>
    <row r="874" spans="1:11" x14ac:dyDescent="0.35">
      <c r="A874" s="1">
        <v>36825</v>
      </c>
      <c r="B874">
        <v>1.609375</v>
      </c>
      <c r="C874">
        <v>1.875</v>
      </c>
      <c r="D874">
        <v>1.54999995231628</v>
      </c>
      <c r="E874">
        <v>1.84375</v>
      </c>
      <c r="F874">
        <v>1.84375</v>
      </c>
      <c r="G874">
        <v>356510000</v>
      </c>
      <c r="H874">
        <f t="shared" si="52"/>
        <v>2000</v>
      </c>
      <c r="I874">
        <f t="shared" si="53"/>
        <v>10</v>
      </c>
      <c r="J874" t="str">
        <f t="shared" si="54"/>
        <v>Oct</v>
      </c>
      <c r="K874" t="str">
        <f t="shared" si="55"/>
        <v>Thu</v>
      </c>
    </row>
    <row r="875" spans="1:11" x14ac:dyDescent="0.35">
      <c r="A875" s="1">
        <v>36826</v>
      </c>
      <c r="B875">
        <v>1.6968749761581401</v>
      </c>
      <c r="C875">
        <v>1.875</v>
      </c>
      <c r="D875">
        <v>1.6937500238418499</v>
      </c>
      <c r="E875">
        <v>1.78125</v>
      </c>
      <c r="F875">
        <v>1.78125</v>
      </c>
      <c r="G875">
        <v>247414000</v>
      </c>
      <c r="H875">
        <f t="shared" si="52"/>
        <v>2000</v>
      </c>
      <c r="I875">
        <f t="shared" si="53"/>
        <v>10</v>
      </c>
      <c r="J875" t="str">
        <f t="shared" si="54"/>
        <v>Oct</v>
      </c>
      <c r="K875" t="str">
        <f t="shared" si="55"/>
        <v>Fri</v>
      </c>
    </row>
    <row r="876" spans="1:11" x14ac:dyDescent="0.35">
      <c r="A876" s="1">
        <v>36829</v>
      </c>
      <c r="B876">
        <v>1.65312504768371</v>
      </c>
      <c r="C876">
        <v>1.71875</v>
      </c>
      <c r="D876">
        <v>1.5132809877395601</v>
      </c>
      <c r="E876">
        <v>1.64374995231628</v>
      </c>
      <c r="F876">
        <v>1.64374995231628</v>
      </c>
      <c r="G876">
        <v>250204000</v>
      </c>
      <c r="H876">
        <f t="shared" si="52"/>
        <v>2000</v>
      </c>
      <c r="I876">
        <f t="shared" si="53"/>
        <v>10</v>
      </c>
      <c r="J876" t="str">
        <f t="shared" si="54"/>
        <v>Oct</v>
      </c>
      <c r="K876" t="str">
        <f t="shared" si="55"/>
        <v>Mon</v>
      </c>
    </row>
    <row r="877" spans="1:11" x14ac:dyDescent="0.35">
      <c r="A877" s="1">
        <v>36830</v>
      </c>
      <c r="B877">
        <v>1.6343749761581401</v>
      </c>
      <c r="C877">
        <v>1.84375</v>
      </c>
      <c r="D877">
        <v>1.6031249761581401</v>
      </c>
      <c r="E877">
        <v>1.83124995231628</v>
      </c>
      <c r="F877">
        <v>1.83124995231628</v>
      </c>
      <c r="G877">
        <v>198390000</v>
      </c>
      <c r="H877">
        <f t="shared" si="52"/>
        <v>2000</v>
      </c>
      <c r="I877">
        <f t="shared" si="53"/>
        <v>10</v>
      </c>
      <c r="J877" t="str">
        <f t="shared" si="54"/>
        <v>Oct</v>
      </c>
      <c r="K877" t="str">
        <f t="shared" si="55"/>
        <v>Tue</v>
      </c>
    </row>
    <row r="878" spans="1:11" x14ac:dyDescent="0.35">
      <c r="A878" s="1">
        <v>36831</v>
      </c>
      <c r="B878">
        <v>1.7906249761581401</v>
      </c>
      <c r="C878">
        <v>2</v>
      </c>
      <c r="D878">
        <v>1.78437495231628</v>
      </c>
      <c r="E878">
        <v>1.8687499761581401</v>
      </c>
      <c r="F878">
        <v>1.8687499761581401</v>
      </c>
      <c r="G878">
        <v>221984000</v>
      </c>
      <c r="H878">
        <f t="shared" si="52"/>
        <v>2000</v>
      </c>
      <c r="I878">
        <f t="shared" si="53"/>
        <v>11</v>
      </c>
      <c r="J878" t="str">
        <f t="shared" si="54"/>
        <v>Nov</v>
      </c>
      <c r="K878" t="str">
        <f t="shared" si="55"/>
        <v>Wed</v>
      </c>
    </row>
    <row r="879" spans="1:11" x14ac:dyDescent="0.35">
      <c r="A879" s="1">
        <v>36832</v>
      </c>
      <c r="B879">
        <v>1.90312504768371</v>
      </c>
      <c r="C879">
        <v>1.9937499761581401</v>
      </c>
      <c r="D879">
        <v>1.875</v>
      </c>
      <c r="E879">
        <v>1.98749995231628</v>
      </c>
      <c r="F879">
        <v>1.98749995231628</v>
      </c>
      <c r="G879">
        <v>139794000</v>
      </c>
      <c r="H879">
        <f t="shared" si="52"/>
        <v>2000</v>
      </c>
      <c r="I879">
        <f t="shared" si="53"/>
        <v>11</v>
      </c>
      <c r="J879" t="str">
        <f t="shared" si="54"/>
        <v>Nov</v>
      </c>
      <c r="K879" t="str">
        <f t="shared" si="55"/>
        <v>Thu</v>
      </c>
    </row>
    <row r="880" spans="1:11" x14ac:dyDescent="0.35">
      <c r="A880" s="1">
        <v>36833</v>
      </c>
      <c r="B880">
        <v>1.95000004768371</v>
      </c>
      <c r="C880">
        <v>2.04375004768371</v>
      </c>
      <c r="D880">
        <v>1.84375</v>
      </c>
      <c r="E880">
        <v>1.87812495231628</v>
      </c>
      <c r="F880">
        <v>1.87812495231628</v>
      </c>
      <c r="G880">
        <v>119248000</v>
      </c>
      <c r="H880">
        <f t="shared" si="52"/>
        <v>2000</v>
      </c>
      <c r="I880">
        <f t="shared" si="53"/>
        <v>11</v>
      </c>
      <c r="J880" t="str">
        <f t="shared" si="54"/>
        <v>Nov</v>
      </c>
      <c r="K880" t="str">
        <f t="shared" si="55"/>
        <v>Fri</v>
      </c>
    </row>
    <row r="881" spans="1:11" x14ac:dyDescent="0.35">
      <c r="A881" s="1">
        <v>36836</v>
      </c>
      <c r="B881">
        <v>1.9281250238418499</v>
      </c>
      <c r="C881">
        <v>1.9312499761581401</v>
      </c>
      <c r="D881">
        <v>1.73749995231628</v>
      </c>
      <c r="E881">
        <v>1.828125</v>
      </c>
      <c r="F881">
        <v>1.828125</v>
      </c>
      <c r="G881">
        <v>128892000</v>
      </c>
      <c r="H881">
        <f t="shared" si="52"/>
        <v>2000</v>
      </c>
      <c r="I881">
        <f t="shared" si="53"/>
        <v>11</v>
      </c>
      <c r="J881" t="str">
        <f t="shared" si="54"/>
        <v>Nov</v>
      </c>
      <c r="K881" t="str">
        <f t="shared" si="55"/>
        <v>Mon</v>
      </c>
    </row>
    <row r="882" spans="1:11" x14ac:dyDescent="0.35">
      <c r="A882" s="1">
        <v>36837</v>
      </c>
      <c r="B882">
        <v>1.82500004768371</v>
      </c>
      <c r="C882">
        <v>1.97187495231628</v>
      </c>
      <c r="D882">
        <v>1.77812504768371</v>
      </c>
      <c r="E882">
        <v>1.84687495231628</v>
      </c>
      <c r="F882">
        <v>1.84687495231628</v>
      </c>
      <c r="G882">
        <v>109906000</v>
      </c>
      <c r="H882">
        <f t="shared" si="52"/>
        <v>2000</v>
      </c>
      <c r="I882">
        <f t="shared" si="53"/>
        <v>11</v>
      </c>
      <c r="J882" t="str">
        <f t="shared" si="54"/>
        <v>Nov</v>
      </c>
      <c r="K882" t="str">
        <f t="shared" si="55"/>
        <v>Tue</v>
      </c>
    </row>
    <row r="883" spans="1:11" x14ac:dyDescent="0.35">
      <c r="A883" s="1">
        <v>36838</v>
      </c>
      <c r="B883">
        <v>1.79999995231628</v>
      </c>
      <c r="C883">
        <v>1.8500000238418499</v>
      </c>
      <c r="D883">
        <v>1.6625000238418499</v>
      </c>
      <c r="E883">
        <v>1.6937500238418499</v>
      </c>
      <c r="F883">
        <v>1.6937500238418499</v>
      </c>
      <c r="G883">
        <v>116706000</v>
      </c>
      <c r="H883">
        <f t="shared" si="52"/>
        <v>2000</v>
      </c>
      <c r="I883">
        <f t="shared" si="53"/>
        <v>11</v>
      </c>
      <c r="J883" t="str">
        <f t="shared" si="54"/>
        <v>Nov</v>
      </c>
      <c r="K883" t="str">
        <f t="shared" si="55"/>
        <v>Wed</v>
      </c>
    </row>
    <row r="884" spans="1:11" x14ac:dyDescent="0.35">
      <c r="A884" s="1">
        <v>36839</v>
      </c>
      <c r="B884">
        <v>1.6343749761581401</v>
      </c>
      <c r="C884">
        <v>1.6499999761581401</v>
      </c>
      <c r="D884">
        <v>1.4937499761581401</v>
      </c>
      <c r="E884">
        <v>1.5625</v>
      </c>
      <c r="F884">
        <v>1.5625</v>
      </c>
      <c r="G884">
        <v>143392000</v>
      </c>
      <c r="H884">
        <f t="shared" si="52"/>
        <v>2000</v>
      </c>
      <c r="I884">
        <f t="shared" si="53"/>
        <v>11</v>
      </c>
      <c r="J884" t="str">
        <f t="shared" si="54"/>
        <v>Nov</v>
      </c>
      <c r="K884" t="str">
        <f t="shared" si="55"/>
        <v>Thu</v>
      </c>
    </row>
    <row r="885" spans="1:11" x14ac:dyDescent="0.35">
      <c r="A885" s="1">
        <v>36840</v>
      </c>
      <c r="B885">
        <v>1.5375000238418499</v>
      </c>
      <c r="C885">
        <v>1.59375</v>
      </c>
      <c r="D885">
        <v>1.5</v>
      </c>
      <c r="E885">
        <v>1.50312495231628</v>
      </c>
      <c r="F885">
        <v>1.50312495231628</v>
      </c>
      <c r="G885">
        <v>105112000</v>
      </c>
      <c r="H885">
        <f t="shared" si="52"/>
        <v>2000</v>
      </c>
      <c r="I885">
        <f t="shared" si="53"/>
        <v>11</v>
      </c>
      <c r="J885" t="str">
        <f t="shared" si="54"/>
        <v>Nov</v>
      </c>
      <c r="K885" t="str">
        <f t="shared" si="55"/>
        <v>Fri</v>
      </c>
    </row>
    <row r="886" spans="1:11" x14ac:dyDescent="0.35">
      <c r="A886" s="1">
        <v>36843</v>
      </c>
      <c r="B886">
        <v>1.44062495231628</v>
      </c>
      <c r="C886">
        <v>1.5054689645767201</v>
      </c>
      <c r="D886">
        <v>1.37187504768371</v>
      </c>
      <c r="E886">
        <v>1.390625</v>
      </c>
      <c r="F886">
        <v>1.390625</v>
      </c>
      <c r="G886">
        <v>167550000</v>
      </c>
      <c r="H886">
        <f t="shared" si="52"/>
        <v>2000</v>
      </c>
      <c r="I886">
        <f t="shared" si="53"/>
        <v>11</v>
      </c>
      <c r="J886" t="str">
        <f t="shared" si="54"/>
        <v>Nov</v>
      </c>
      <c r="K886" t="str">
        <f t="shared" si="55"/>
        <v>Mon</v>
      </c>
    </row>
    <row r="887" spans="1:11" x14ac:dyDescent="0.35">
      <c r="A887" s="1">
        <v>36844</v>
      </c>
      <c r="B887">
        <v>1.4375</v>
      </c>
      <c r="C887">
        <v>1.4937499761581401</v>
      </c>
      <c r="D887">
        <v>1.2875000238418499</v>
      </c>
      <c r="E887">
        <v>1.4468749761581401</v>
      </c>
      <c r="F887">
        <v>1.4468749761581401</v>
      </c>
      <c r="G887">
        <v>156758000</v>
      </c>
      <c r="H887">
        <f t="shared" si="52"/>
        <v>2000</v>
      </c>
      <c r="I887">
        <f t="shared" si="53"/>
        <v>11</v>
      </c>
      <c r="J887" t="str">
        <f t="shared" si="54"/>
        <v>Nov</v>
      </c>
      <c r="K887" t="str">
        <f t="shared" si="55"/>
        <v>Tue</v>
      </c>
    </row>
    <row r="888" spans="1:11" x14ac:dyDescent="0.35">
      <c r="A888" s="1">
        <v>36845</v>
      </c>
      <c r="B888">
        <v>1.4312499761581401</v>
      </c>
      <c r="C888">
        <v>1.5406249761581401</v>
      </c>
      <c r="D888">
        <v>1.421875</v>
      </c>
      <c r="E888">
        <v>1.4750000238418499</v>
      </c>
      <c r="F888">
        <v>1.4750000238418499</v>
      </c>
      <c r="G888">
        <v>105264000</v>
      </c>
      <c r="H888">
        <f t="shared" si="52"/>
        <v>2000</v>
      </c>
      <c r="I888">
        <f t="shared" si="53"/>
        <v>11</v>
      </c>
      <c r="J888" t="str">
        <f t="shared" si="54"/>
        <v>Nov</v>
      </c>
      <c r="K888" t="str">
        <f t="shared" si="55"/>
        <v>Wed</v>
      </c>
    </row>
    <row r="889" spans="1:11" x14ac:dyDescent="0.35">
      <c r="A889" s="1">
        <v>36846</v>
      </c>
      <c r="B889">
        <v>1.43437504768371</v>
      </c>
      <c r="C889">
        <v>1.5249999761581401</v>
      </c>
      <c r="D889">
        <v>1.38750004768371</v>
      </c>
      <c r="E889">
        <v>1.390625</v>
      </c>
      <c r="F889">
        <v>1.390625</v>
      </c>
      <c r="G889">
        <v>82696000</v>
      </c>
      <c r="H889">
        <f t="shared" si="52"/>
        <v>2000</v>
      </c>
      <c r="I889">
        <f t="shared" si="53"/>
        <v>11</v>
      </c>
      <c r="J889" t="str">
        <f t="shared" si="54"/>
        <v>Nov</v>
      </c>
      <c r="K889" t="str">
        <f t="shared" si="55"/>
        <v>Thu</v>
      </c>
    </row>
    <row r="890" spans="1:11" x14ac:dyDescent="0.35">
      <c r="A890" s="1">
        <v>36847</v>
      </c>
      <c r="B890">
        <v>1.3999999761581401</v>
      </c>
      <c r="C890">
        <v>1.48125004768371</v>
      </c>
      <c r="D890">
        <v>1.34375</v>
      </c>
      <c r="E890">
        <v>1.37187504768371</v>
      </c>
      <c r="F890">
        <v>1.37187504768371</v>
      </c>
      <c r="G890">
        <v>99920000</v>
      </c>
      <c r="H890">
        <f t="shared" si="52"/>
        <v>2000</v>
      </c>
      <c r="I890">
        <f t="shared" si="53"/>
        <v>11</v>
      </c>
      <c r="J890" t="str">
        <f t="shared" si="54"/>
        <v>Nov</v>
      </c>
      <c r="K890" t="str">
        <f t="shared" si="55"/>
        <v>Fri</v>
      </c>
    </row>
    <row r="891" spans="1:11" x14ac:dyDescent="0.35">
      <c r="A891" s="1">
        <v>36850</v>
      </c>
      <c r="B891">
        <v>1.29999995231628</v>
      </c>
      <c r="C891">
        <v>1.3968750238418499</v>
      </c>
      <c r="D891">
        <v>1.25</v>
      </c>
      <c r="E891">
        <v>1.2906249761581401</v>
      </c>
      <c r="F891">
        <v>1.2906249761581401</v>
      </c>
      <c r="G891">
        <v>128766000</v>
      </c>
      <c r="H891">
        <f t="shared" si="52"/>
        <v>2000</v>
      </c>
      <c r="I891">
        <f t="shared" si="53"/>
        <v>11</v>
      </c>
      <c r="J891" t="str">
        <f t="shared" si="54"/>
        <v>Nov</v>
      </c>
      <c r="K891" t="str">
        <f t="shared" si="55"/>
        <v>Mon</v>
      </c>
    </row>
    <row r="892" spans="1:11" x14ac:dyDescent="0.35">
      <c r="A892" s="1">
        <v>36851</v>
      </c>
      <c r="B892">
        <v>1.33124995231628</v>
      </c>
      <c r="C892">
        <v>1.34375</v>
      </c>
      <c r="D892">
        <v>1.1812499761581401</v>
      </c>
      <c r="E892">
        <v>1.2124999761581401</v>
      </c>
      <c r="F892">
        <v>1.2124999761581401</v>
      </c>
      <c r="G892">
        <v>123950000</v>
      </c>
      <c r="H892">
        <f t="shared" si="52"/>
        <v>2000</v>
      </c>
      <c r="I892">
        <f t="shared" si="53"/>
        <v>11</v>
      </c>
      <c r="J892" t="str">
        <f t="shared" si="54"/>
        <v>Nov</v>
      </c>
      <c r="K892" t="str">
        <f t="shared" si="55"/>
        <v>Tue</v>
      </c>
    </row>
    <row r="893" spans="1:11" x14ac:dyDescent="0.35">
      <c r="A893" s="1">
        <v>36852</v>
      </c>
      <c r="B893">
        <v>1.1937500238418499</v>
      </c>
      <c r="C893">
        <v>1.375</v>
      </c>
      <c r="D893">
        <v>1.10625004768371</v>
      </c>
      <c r="E893">
        <v>1.2593749761581401</v>
      </c>
      <c r="F893">
        <v>1.2593749761581401</v>
      </c>
      <c r="G893">
        <v>237542000</v>
      </c>
      <c r="H893">
        <f t="shared" si="52"/>
        <v>2000</v>
      </c>
      <c r="I893">
        <f t="shared" si="53"/>
        <v>11</v>
      </c>
      <c r="J893" t="str">
        <f t="shared" si="54"/>
        <v>Nov</v>
      </c>
      <c r="K893" t="str">
        <f t="shared" si="55"/>
        <v>Wed</v>
      </c>
    </row>
    <row r="894" spans="1:11" x14ac:dyDescent="0.35">
      <c r="A894" s="1">
        <v>36854</v>
      </c>
      <c r="B894">
        <v>1.32109403610229</v>
      </c>
      <c r="C894">
        <v>1.45624995231628</v>
      </c>
      <c r="D894">
        <v>1.3031250238418499</v>
      </c>
      <c r="E894">
        <v>1.4468749761581401</v>
      </c>
      <c r="F894">
        <v>1.4468749761581401</v>
      </c>
      <c r="G894">
        <v>152786000</v>
      </c>
      <c r="H894">
        <f t="shared" si="52"/>
        <v>2000</v>
      </c>
      <c r="I894">
        <f t="shared" si="53"/>
        <v>11</v>
      </c>
      <c r="J894" t="str">
        <f t="shared" si="54"/>
        <v>Nov</v>
      </c>
      <c r="K894" t="str">
        <f t="shared" si="55"/>
        <v>Fri</v>
      </c>
    </row>
    <row r="895" spans="1:11" x14ac:dyDescent="0.35">
      <c r="A895" s="1">
        <v>36857</v>
      </c>
      <c r="B895">
        <v>1.48749995231628</v>
      </c>
      <c r="C895">
        <v>1.5375000238418499</v>
      </c>
      <c r="D895">
        <v>1.3500000238418499</v>
      </c>
      <c r="E895">
        <v>1.3999999761581401</v>
      </c>
      <c r="F895">
        <v>1.3999999761581401</v>
      </c>
      <c r="G895">
        <v>128228000</v>
      </c>
      <c r="H895">
        <f t="shared" si="52"/>
        <v>2000</v>
      </c>
      <c r="I895">
        <f t="shared" si="53"/>
        <v>11</v>
      </c>
      <c r="J895" t="str">
        <f t="shared" si="54"/>
        <v>Nov</v>
      </c>
      <c r="K895" t="str">
        <f t="shared" si="55"/>
        <v>Mon</v>
      </c>
    </row>
    <row r="896" spans="1:11" x14ac:dyDescent="0.35">
      <c r="A896" s="1">
        <v>36858</v>
      </c>
      <c r="B896">
        <v>1.29999995231628</v>
      </c>
      <c r="C896">
        <v>1.30937504768371</v>
      </c>
      <c r="D896">
        <v>1.23125004768371</v>
      </c>
      <c r="E896">
        <v>1.2515629529953001</v>
      </c>
      <c r="F896">
        <v>1.2515629529953001</v>
      </c>
      <c r="G896">
        <v>226550000</v>
      </c>
      <c r="H896">
        <f t="shared" si="52"/>
        <v>2000</v>
      </c>
      <c r="I896">
        <f t="shared" si="53"/>
        <v>11</v>
      </c>
      <c r="J896" t="str">
        <f t="shared" si="54"/>
        <v>Nov</v>
      </c>
      <c r="K896" t="str">
        <f t="shared" si="55"/>
        <v>Tue</v>
      </c>
    </row>
    <row r="897" spans="1:11" x14ac:dyDescent="0.35">
      <c r="A897" s="1">
        <v>36859</v>
      </c>
      <c r="B897">
        <v>1.2562500238418499</v>
      </c>
      <c r="C897">
        <v>1.375</v>
      </c>
      <c r="D897">
        <v>1.2124999761581401</v>
      </c>
      <c r="E897">
        <v>1.34687495231628</v>
      </c>
      <c r="F897">
        <v>1.34687495231628</v>
      </c>
      <c r="G897">
        <v>229264000</v>
      </c>
      <c r="H897">
        <f t="shared" si="52"/>
        <v>2000</v>
      </c>
      <c r="I897">
        <f t="shared" si="53"/>
        <v>11</v>
      </c>
      <c r="J897" t="str">
        <f t="shared" si="54"/>
        <v>Nov</v>
      </c>
      <c r="K897" t="str">
        <f t="shared" si="55"/>
        <v>Wed</v>
      </c>
    </row>
    <row r="898" spans="1:11" x14ac:dyDescent="0.35">
      <c r="A898" s="1">
        <v>36860</v>
      </c>
      <c r="B898">
        <v>1.23749995231628</v>
      </c>
      <c r="C898">
        <v>1.30937504768371</v>
      </c>
      <c r="D898">
        <v>1.14374995231628</v>
      </c>
      <c r="E898">
        <v>1.234375</v>
      </c>
      <c r="F898">
        <v>1.234375</v>
      </c>
      <c r="G898">
        <v>262470000</v>
      </c>
      <c r="H898">
        <f t="shared" si="52"/>
        <v>2000</v>
      </c>
      <c r="I898">
        <f t="shared" si="53"/>
        <v>11</v>
      </c>
      <c r="J898" t="str">
        <f t="shared" si="54"/>
        <v>Nov</v>
      </c>
      <c r="K898" t="str">
        <f t="shared" si="55"/>
        <v>Thu</v>
      </c>
    </row>
    <row r="899" spans="1:11" x14ac:dyDescent="0.35">
      <c r="A899" s="1">
        <v>36861</v>
      </c>
      <c r="B899">
        <v>1.24687504768371</v>
      </c>
      <c r="C899">
        <v>1.3374999761581401</v>
      </c>
      <c r="D899">
        <v>1.1499999761581401</v>
      </c>
      <c r="E899">
        <v>1.23125004768371</v>
      </c>
      <c r="F899">
        <v>1.23125004768371</v>
      </c>
      <c r="G899">
        <v>155148000</v>
      </c>
      <c r="H899">
        <f t="shared" si="52"/>
        <v>2000</v>
      </c>
      <c r="I899">
        <f t="shared" si="53"/>
        <v>12</v>
      </c>
      <c r="J899" t="str">
        <f t="shared" si="54"/>
        <v>Dec</v>
      </c>
      <c r="K899" t="str">
        <f t="shared" si="55"/>
        <v>Fri</v>
      </c>
    </row>
    <row r="900" spans="1:11" x14ac:dyDescent="0.35">
      <c r="A900" s="1">
        <v>36864</v>
      </c>
      <c r="B900">
        <v>1.2593749761581401</v>
      </c>
      <c r="C900">
        <v>1.359375</v>
      </c>
      <c r="D900">
        <v>1.1625000238418499</v>
      </c>
      <c r="E900">
        <v>1.328125</v>
      </c>
      <c r="F900">
        <v>1.328125</v>
      </c>
      <c r="G900">
        <v>165110000</v>
      </c>
      <c r="H900">
        <f t="shared" ref="H900:H963" si="56">YEAR($A900)</f>
        <v>2000</v>
      </c>
      <c r="I900">
        <f t="shared" ref="I900:I963" si="57">MONTH($A900)</f>
        <v>12</v>
      </c>
      <c r="J900" t="str">
        <f t="shared" ref="J900:J963" si="58">TEXT($A900,"mmm")</f>
        <v>Dec</v>
      </c>
      <c r="K900" t="str">
        <f t="shared" ref="K900:K963" si="59">TEXT($A900,"ddd")</f>
        <v>Mon</v>
      </c>
    </row>
    <row r="901" spans="1:11" x14ac:dyDescent="0.35">
      <c r="A901" s="1">
        <v>36865</v>
      </c>
      <c r="B901">
        <v>1.35625004768371</v>
      </c>
      <c r="C901">
        <v>1.3812500238418499</v>
      </c>
      <c r="D901">
        <v>1.23749995231628</v>
      </c>
      <c r="E901">
        <v>1.26874995231628</v>
      </c>
      <c r="F901">
        <v>1.26874995231628</v>
      </c>
      <c r="G901">
        <v>199398000</v>
      </c>
      <c r="H901">
        <f t="shared" si="56"/>
        <v>2000</v>
      </c>
      <c r="I901">
        <f t="shared" si="57"/>
        <v>12</v>
      </c>
      <c r="J901" t="str">
        <f t="shared" si="58"/>
        <v>Dec</v>
      </c>
      <c r="K901" t="str">
        <f t="shared" si="59"/>
        <v>Tue</v>
      </c>
    </row>
    <row r="902" spans="1:11" x14ac:dyDescent="0.35">
      <c r="A902" s="1">
        <v>36866</v>
      </c>
      <c r="B902">
        <v>1.234375</v>
      </c>
      <c r="C902">
        <v>1.29999995231628</v>
      </c>
      <c r="D902">
        <v>1.1812499761581401</v>
      </c>
      <c r="E902">
        <v>1.1812499761581401</v>
      </c>
      <c r="F902">
        <v>1.1812499761581401</v>
      </c>
      <c r="G902">
        <v>176516000</v>
      </c>
      <c r="H902">
        <f t="shared" si="56"/>
        <v>2000</v>
      </c>
      <c r="I902">
        <f t="shared" si="57"/>
        <v>12</v>
      </c>
      <c r="J902" t="str">
        <f t="shared" si="58"/>
        <v>Dec</v>
      </c>
      <c r="K902" t="str">
        <f t="shared" si="59"/>
        <v>Wed</v>
      </c>
    </row>
    <row r="903" spans="1:11" x14ac:dyDescent="0.35">
      <c r="A903" s="1">
        <v>36867</v>
      </c>
      <c r="B903">
        <v>1.15312504768371</v>
      </c>
      <c r="C903">
        <v>1.171875</v>
      </c>
      <c r="D903">
        <v>1.0062500238418499</v>
      </c>
      <c r="E903">
        <v>1.0687500238418499</v>
      </c>
      <c r="F903">
        <v>1.0687500238418499</v>
      </c>
      <c r="G903">
        <v>212950000</v>
      </c>
      <c r="H903">
        <f t="shared" si="56"/>
        <v>2000</v>
      </c>
      <c r="I903">
        <f t="shared" si="57"/>
        <v>12</v>
      </c>
      <c r="J903" t="str">
        <f t="shared" si="58"/>
        <v>Dec</v>
      </c>
      <c r="K903" t="str">
        <f t="shared" si="59"/>
        <v>Thu</v>
      </c>
    </row>
    <row r="904" spans="1:11" x14ac:dyDescent="0.35">
      <c r="A904" s="1">
        <v>36868</v>
      </c>
      <c r="B904">
        <v>1.1656249761581401</v>
      </c>
      <c r="C904">
        <v>1.234375</v>
      </c>
      <c r="D904">
        <v>1.0625</v>
      </c>
      <c r="E904">
        <v>1.171875</v>
      </c>
      <c r="F904">
        <v>1.171875</v>
      </c>
      <c r="G904">
        <v>259396000</v>
      </c>
      <c r="H904">
        <f t="shared" si="56"/>
        <v>2000</v>
      </c>
      <c r="I904">
        <f t="shared" si="57"/>
        <v>12</v>
      </c>
      <c r="J904" t="str">
        <f t="shared" si="58"/>
        <v>Dec</v>
      </c>
      <c r="K904" t="str">
        <f t="shared" si="59"/>
        <v>Fri</v>
      </c>
    </row>
    <row r="905" spans="1:11" x14ac:dyDescent="0.35">
      <c r="A905" s="1">
        <v>36871</v>
      </c>
      <c r="B905">
        <v>1.14374995231628</v>
      </c>
      <c r="C905">
        <v>1.3062499761581401</v>
      </c>
      <c r="D905">
        <v>1.0874999761581401</v>
      </c>
      <c r="E905">
        <v>1.265625</v>
      </c>
      <c r="F905">
        <v>1.265625</v>
      </c>
      <c r="G905">
        <v>218084000</v>
      </c>
      <c r="H905">
        <f t="shared" si="56"/>
        <v>2000</v>
      </c>
      <c r="I905">
        <f t="shared" si="57"/>
        <v>12</v>
      </c>
      <c r="J905" t="str">
        <f t="shared" si="58"/>
        <v>Dec</v>
      </c>
      <c r="K905" t="str">
        <f t="shared" si="59"/>
        <v>Mon</v>
      </c>
    </row>
    <row r="906" spans="1:11" x14ac:dyDescent="0.35">
      <c r="A906" s="1">
        <v>36872</v>
      </c>
      <c r="B906">
        <v>1.2250000238418499</v>
      </c>
      <c r="C906">
        <v>1.375</v>
      </c>
      <c r="D906">
        <v>1.21562504768371</v>
      </c>
      <c r="E906">
        <v>1.29375004768371</v>
      </c>
      <c r="F906">
        <v>1.29375004768371</v>
      </c>
      <c r="G906">
        <v>146136000</v>
      </c>
      <c r="H906">
        <f t="shared" si="56"/>
        <v>2000</v>
      </c>
      <c r="I906">
        <f t="shared" si="57"/>
        <v>12</v>
      </c>
      <c r="J906" t="str">
        <f t="shared" si="58"/>
        <v>Dec</v>
      </c>
      <c r="K906" t="str">
        <f t="shared" si="59"/>
        <v>Tue</v>
      </c>
    </row>
    <row r="907" spans="1:11" x14ac:dyDescent="0.35">
      <c r="A907" s="1">
        <v>36873</v>
      </c>
      <c r="B907">
        <v>1.328125</v>
      </c>
      <c r="C907">
        <v>1.33124995231628</v>
      </c>
      <c r="D907">
        <v>1.17499995231628</v>
      </c>
      <c r="E907">
        <v>1.1875</v>
      </c>
      <c r="F907">
        <v>1.1875</v>
      </c>
      <c r="G907">
        <v>125636000</v>
      </c>
      <c r="H907">
        <f t="shared" si="56"/>
        <v>2000</v>
      </c>
      <c r="I907">
        <f t="shared" si="57"/>
        <v>12</v>
      </c>
      <c r="J907" t="str">
        <f t="shared" si="58"/>
        <v>Dec</v>
      </c>
      <c r="K907" t="str">
        <f t="shared" si="59"/>
        <v>Wed</v>
      </c>
    </row>
    <row r="908" spans="1:11" x14ac:dyDescent="0.35">
      <c r="A908" s="1">
        <v>36874</v>
      </c>
      <c r="B908">
        <v>1.203125</v>
      </c>
      <c r="C908">
        <v>1.234375</v>
      </c>
      <c r="D908">
        <v>1.12968802452087</v>
      </c>
      <c r="E908">
        <v>1.1343749761581401</v>
      </c>
      <c r="F908">
        <v>1.1343749761581401</v>
      </c>
      <c r="G908">
        <v>140416000</v>
      </c>
      <c r="H908">
        <f t="shared" si="56"/>
        <v>2000</v>
      </c>
      <c r="I908">
        <f t="shared" si="57"/>
        <v>12</v>
      </c>
      <c r="J908" t="str">
        <f t="shared" si="58"/>
        <v>Dec</v>
      </c>
      <c r="K908" t="str">
        <f t="shared" si="59"/>
        <v>Thu</v>
      </c>
    </row>
    <row r="909" spans="1:11" x14ac:dyDescent="0.35">
      <c r="A909" s="1">
        <v>36875</v>
      </c>
      <c r="B909">
        <v>1.11249995231628</v>
      </c>
      <c r="C909">
        <v>1.2124999761581401</v>
      </c>
      <c r="D909">
        <v>1.1000000238418499</v>
      </c>
      <c r="E909">
        <v>1.14374995231628</v>
      </c>
      <c r="F909">
        <v>1.14374995231628</v>
      </c>
      <c r="G909">
        <v>174274000</v>
      </c>
      <c r="H909">
        <f t="shared" si="56"/>
        <v>2000</v>
      </c>
      <c r="I909">
        <f t="shared" si="57"/>
        <v>12</v>
      </c>
      <c r="J909" t="str">
        <f t="shared" si="58"/>
        <v>Dec</v>
      </c>
      <c r="K909" t="str">
        <f t="shared" si="59"/>
        <v>Fri</v>
      </c>
    </row>
    <row r="910" spans="1:11" x14ac:dyDescent="0.35">
      <c r="A910" s="1">
        <v>36878</v>
      </c>
      <c r="B910">
        <v>1.0375000238418499</v>
      </c>
      <c r="C910">
        <v>1.05937504768371</v>
      </c>
      <c r="D910">
        <v>0.94687497615814198</v>
      </c>
      <c r="E910">
        <v>0.99374997615814198</v>
      </c>
      <c r="F910">
        <v>0.99374997615814198</v>
      </c>
      <c r="G910">
        <v>320704000</v>
      </c>
      <c r="H910">
        <f t="shared" si="56"/>
        <v>2000</v>
      </c>
      <c r="I910">
        <f t="shared" si="57"/>
        <v>12</v>
      </c>
      <c r="J910" t="str">
        <f t="shared" si="58"/>
        <v>Dec</v>
      </c>
      <c r="K910" t="str">
        <f t="shared" si="59"/>
        <v>Mon</v>
      </c>
    </row>
    <row r="911" spans="1:11" x14ac:dyDescent="0.35">
      <c r="A911" s="1">
        <v>36879</v>
      </c>
      <c r="B911">
        <v>1.015625</v>
      </c>
      <c r="C911">
        <v>1.04375004768371</v>
      </c>
      <c r="D911">
        <v>0.86874997615814198</v>
      </c>
      <c r="E911">
        <v>0.91250002384185702</v>
      </c>
      <c r="F911">
        <v>0.91250002384185702</v>
      </c>
      <c r="G911">
        <v>264370000</v>
      </c>
      <c r="H911">
        <f t="shared" si="56"/>
        <v>2000</v>
      </c>
      <c r="I911">
        <f t="shared" si="57"/>
        <v>12</v>
      </c>
      <c r="J911" t="str">
        <f t="shared" si="58"/>
        <v>Dec</v>
      </c>
      <c r="K911" t="str">
        <f t="shared" si="59"/>
        <v>Tue</v>
      </c>
    </row>
    <row r="912" spans="1:11" x14ac:dyDescent="0.35">
      <c r="A912" s="1">
        <v>36880</v>
      </c>
      <c r="B912">
        <v>0.80937498807907104</v>
      </c>
      <c r="C912">
        <v>0.89375001192092896</v>
      </c>
      <c r="D912">
        <v>0.78125</v>
      </c>
      <c r="E912">
        <v>0.83437502384185702</v>
      </c>
      <c r="F912">
        <v>0.83437502384185702</v>
      </c>
      <c r="G912">
        <v>441014000</v>
      </c>
      <c r="H912">
        <f t="shared" si="56"/>
        <v>2000</v>
      </c>
      <c r="I912">
        <f t="shared" si="57"/>
        <v>12</v>
      </c>
      <c r="J912" t="str">
        <f t="shared" si="58"/>
        <v>Dec</v>
      </c>
      <c r="K912" t="str">
        <f t="shared" si="59"/>
        <v>Wed</v>
      </c>
    </row>
    <row r="913" spans="1:11" x14ac:dyDescent="0.35">
      <c r="A913" s="1">
        <v>36881</v>
      </c>
      <c r="B913">
        <v>0.81875002384185702</v>
      </c>
      <c r="C913">
        <v>0.88749998807907104</v>
      </c>
      <c r="D913">
        <v>0.74374997615814198</v>
      </c>
      <c r="E913">
        <v>0.75937497615814198</v>
      </c>
      <c r="F913">
        <v>0.75937497615814198</v>
      </c>
      <c r="G913">
        <v>177028000</v>
      </c>
      <c r="H913">
        <f t="shared" si="56"/>
        <v>2000</v>
      </c>
      <c r="I913">
        <f t="shared" si="57"/>
        <v>12</v>
      </c>
      <c r="J913" t="str">
        <f t="shared" si="58"/>
        <v>Dec</v>
      </c>
      <c r="K913" t="str">
        <f t="shared" si="59"/>
        <v>Thu</v>
      </c>
    </row>
    <row r="914" spans="1:11" x14ac:dyDescent="0.35">
      <c r="A914" s="1">
        <v>36882</v>
      </c>
      <c r="B914">
        <v>0.765625</v>
      </c>
      <c r="C914">
        <v>0.82734400033950795</v>
      </c>
      <c r="D914">
        <v>0.76249998807907104</v>
      </c>
      <c r="E914">
        <v>0.77812498807907104</v>
      </c>
      <c r="F914">
        <v>0.77812498807907104</v>
      </c>
      <c r="G914">
        <v>187740000</v>
      </c>
      <c r="H914">
        <f t="shared" si="56"/>
        <v>2000</v>
      </c>
      <c r="I914">
        <f t="shared" si="57"/>
        <v>12</v>
      </c>
      <c r="J914" t="str">
        <f t="shared" si="58"/>
        <v>Dec</v>
      </c>
      <c r="K914" t="str">
        <f t="shared" si="59"/>
        <v>Fri</v>
      </c>
    </row>
    <row r="915" spans="1:11" x14ac:dyDescent="0.35">
      <c r="A915" s="1">
        <v>36886</v>
      </c>
      <c r="B915">
        <v>0.81562501192092896</v>
      </c>
      <c r="C915">
        <v>0.92500001192092896</v>
      </c>
      <c r="D915">
        <v>0.8125</v>
      </c>
      <c r="E915">
        <v>0.84687501192092896</v>
      </c>
      <c r="F915">
        <v>0.84687501192092896</v>
      </c>
      <c r="G915">
        <v>180256000</v>
      </c>
      <c r="H915">
        <f t="shared" si="56"/>
        <v>2000</v>
      </c>
      <c r="I915">
        <f t="shared" si="57"/>
        <v>12</v>
      </c>
      <c r="J915" t="str">
        <f t="shared" si="58"/>
        <v>Dec</v>
      </c>
      <c r="K915" t="str">
        <f t="shared" si="59"/>
        <v>Tue</v>
      </c>
    </row>
    <row r="916" spans="1:11" x14ac:dyDescent="0.35">
      <c r="A916" s="1">
        <v>36887</v>
      </c>
      <c r="B916">
        <v>0.80000001192092896</v>
      </c>
      <c r="C916">
        <v>0.87187498807907104</v>
      </c>
      <c r="D916">
        <v>0.77812498807907104</v>
      </c>
      <c r="E916">
        <v>0.84375</v>
      </c>
      <c r="F916">
        <v>0.84375</v>
      </c>
      <c r="G916">
        <v>131976000</v>
      </c>
      <c r="H916">
        <f t="shared" si="56"/>
        <v>2000</v>
      </c>
      <c r="I916">
        <f t="shared" si="57"/>
        <v>12</v>
      </c>
      <c r="J916" t="str">
        <f t="shared" si="58"/>
        <v>Dec</v>
      </c>
      <c r="K916" t="str">
        <f t="shared" si="59"/>
        <v>Wed</v>
      </c>
    </row>
    <row r="917" spans="1:11" x14ac:dyDescent="0.35">
      <c r="A917" s="1">
        <v>36888</v>
      </c>
      <c r="B917">
        <v>0.83125001192092896</v>
      </c>
      <c r="C917">
        <v>0.91250002384185702</v>
      </c>
      <c r="D917">
        <v>0.83125001192092896</v>
      </c>
      <c r="E917">
        <v>0.86874997615814198</v>
      </c>
      <c r="F917">
        <v>0.86874997615814198</v>
      </c>
      <c r="G917">
        <v>169112000</v>
      </c>
      <c r="H917">
        <f t="shared" si="56"/>
        <v>2000</v>
      </c>
      <c r="I917">
        <f t="shared" si="57"/>
        <v>12</v>
      </c>
      <c r="J917" t="str">
        <f t="shared" si="58"/>
        <v>Dec</v>
      </c>
      <c r="K917" t="str">
        <f t="shared" si="59"/>
        <v>Thu</v>
      </c>
    </row>
    <row r="918" spans="1:11" x14ac:dyDescent="0.35">
      <c r="A918" s="1">
        <v>36889</v>
      </c>
      <c r="B918">
        <v>0.83749997615814198</v>
      </c>
      <c r="C918">
        <v>0.85624998807907104</v>
      </c>
      <c r="D918">
        <v>0.75</v>
      </c>
      <c r="E918">
        <v>0.77812498807907104</v>
      </c>
      <c r="F918">
        <v>0.77812498807907104</v>
      </c>
      <c r="G918">
        <v>196994000</v>
      </c>
      <c r="H918">
        <f t="shared" si="56"/>
        <v>2000</v>
      </c>
      <c r="I918">
        <f t="shared" si="57"/>
        <v>12</v>
      </c>
      <c r="J918" t="str">
        <f t="shared" si="58"/>
        <v>Dec</v>
      </c>
      <c r="K918" t="str">
        <f t="shared" si="59"/>
        <v>Fri</v>
      </c>
    </row>
    <row r="919" spans="1:11" x14ac:dyDescent="0.35">
      <c r="A919" s="1">
        <v>36893</v>
      </c>
      <c r="B919">
        <v>0.79062497615814198</v>
      </c>
      <c r="C919">
        <v>0.80000001192092896</v>
      </c>
      <c r="D919">
        <v>0.68124997615814198</v>
      </c>
      <c r="E919">
        <v>0.69375002384185702</v>
      </c>
      <c r="F919">
        <v>0.69375002384185702</v>
      </c>
      <c r="G919">
        <v>184070000</v>
      </c>
      <c r="H919">
        <f t="shared" si="56"/>
        <v>2001</v>
      </c>
      <c r="I919">
        <f t="shared" si="57"/>
        <v>1</v>
      </c>
      <c r="J919" t="str">
        <f t="shared" si="58"/>
        <v>Jan</v>
      </c>
      <c r="K919" t="str">
        <f t="shared" si="59"/>
        <v>Tue</v>
      </c>
    </row>
    <row r="920" spans="1:11" x14ac:dyDescent="0.35">
      <c r="A920" s="1">
        <v>36894</v>
      </c>
      <c r="B920">
        <v>0.68124997615814198</v>
      </c>
      <c r="C920">
        <v>0.89375001192092896</v>
      </c>
      <c r="D920">
        <v>0.67812502384185702</v>
      </c>
      <c r="E920">
        <v>0.87812501192092896</v>
      </c>
      <c r="F920">
        <v>0.87812501192092896</v>
      </c>
      <c r="G920">
        <v>293608000</v>
      </c>
      <c r="H920">
        <f t="shared" si="56"/>
        <v>2001</v>
      </c>
      <c r="I920">
        <f t="shared" si="57"/>
        <v>1</v>
      </c>
      <c r="J920" t="str">
        <f t="shared" si="58"/>
        <v>Jan</v>
      </c>
      <c r="K920" t="str">
        <f t="shared" si="59"/>
        <v>Wed</v>
      </c>
    </row>
    <row r="921" spans="1:11" x14ac:dyDescent="0.35">
      <c r="A921" s="1">
        <v>36895</v>
      </c>
      <c r="B921">
        <v>0.85000002384185702</v>
      </c>
      <c r="C921">
        <v>0.87812501192092896</v>
      </c>
      <c r="D921">
        <v>0.77187502384185702</v>
      </c>
      <c r="E921">
        <v>0.77499997615814198</v>
      </c>
      <c r="F921">
        <v>0.77499997615814198</v>
      </c>
      <c r="G921">
        <v>212410000</v>
      </c>
      <c r="H921">
        <f t="shared" si="56"/>
        <v>2001</v>
      </c>
      <c r="I921">
        <f t="shared" si="57"/>
        <v>1</v>
      </c>
      <c r="J921" t="str">
        <f t="shared" si="58"/>
        <v>Jan</v>
      </c>
      <c r="K921" t="str">
        <f t="shared" si="59"/>
        <v>Thu</v>
      </c>
    </row>
    <row r="922" spans="1:11" x14ac:dyDescent="0.35">
      <c r="A922" s="1">
        <v>36896</v>
      </c>
      <c r="B922">
        <v>0.77499997615814198</v>
      </c>
      <c r="C922">
        <v>0.79374998807907104</v>
      </c>
      <c r="D922">
        <v>0.67812502384185702</v>
      </c>
      <c r="E922">
        <v>0.72812497615814198</v>
      </c>
      <c r="F922">
        <v>0.72812497615814198</v>
      </c>
      <c r="G922">
        <v>175976000</v>
      </c>
      <c r="H922">
        <f t="shared" si="56"/>
        <v>2001</v>
      </c>
      <c r="I922">
        <f t="shared" si="57"/>
        <v>1</v>
      </c>
      <c r="J922" t="str">
        <f t="shared" si="58"/>
        <v>Jan</v>
      </c>
      <c r="K922" t="str">
        <f t="shared" si="59"/>
        <v>Fri</v>
      </c>
    </row>
    <row r="923" spans="1:11" x14ac:dyDescent="0.35">
      <c r="A923" s="1">
        <v>36899</v>
      </c>
      <c r="B923">
        <v>0.72187501192092896</v>
      </c>
      <c r="C923">
        <v>0.77812498807907104</v>
      </c>
      <c r="D923">
        <v>0.6875</v>
      </c>
      <c r="E923">
        <v>0.74687498807907104</v>
      </c>
      <c r="F923">
        <v>0.74687498807907104</v>
      </c>
      <c r="G923">
        <v>208894000</v>
      </c>
      <c r="H923">
        <f t="shared" si="56"/>
        <v>2001</v>
      </c>
      <c r="I923">
        <f t="shared" si="57"/>
        <v>1</v>
      </c>
      <c r="J923" t="str">
        <f t="shared" si="58"/>
        <v>Jan</v>
      </c>
      <c r="K923" t="str">
        <f t="shared" si="59"/>
        <v>Mon</v>
      </c>
    </row>
    <row r="924" spans="1:11" x14ac:dyDescent="0.35">
      <c r="A924" s="1">
        <v>36900</v>
      </c>
      <c r="B924">
        <v>0.72812497615814198</v>
      </c>
      <c r="C924">
        <v>0.83125001192092896</v>
      </c>
      <c r="D924">
        <v>0.72812497615814198</v>
      </c>
      <c r="E924">
        <v>0.81875002384185702</v>
      </c>
      <c r="F924">
        <v>0.81875002384185702</v>
      </c>
      <c r="G924">
        <v>469104000</v>
      </c>
      <c r="H924">
        <f t="shared" si="56"/>
        <v>2001</v>
      </c>
      <c r="I924">
        <f t="shared" si="57"/>
        <v>1</v>
      </c>
      <c r="J924" t="str">
        <f t="shared" si="58"/>
        <v>Jan</v>
      </c>
      <c r="K924" t="str">
        <f t="shared" si="59"/>
        <v>Tue</v>
      </c>
    </row>
    <row r="925" spans="1:11" x14ac:dyDescent="0.35">
      <c r="A925" s="1">
        <v>36901</v>
      </c>
      <c r="B925">
        <v>0.79218798875808705</v>
      </c>
      <c r="C925">
        <v>0.85000002384185702</v>
      </c>
      <c r="D925">
        <v>0.77812498807907104</v>
      </c>
      <c r="E925">
        <v>0.82499998807907104</v>
      </c>
      <c r="F925">
        <v>0.82499998807907104</v>
      </c>
      <c r="G925">
        <v>220050000</v>
      </c>
      <c r="H925">
        <f t="shared" si="56"/>
        <v>2001</v>
      </c>
      <c r="I925">
        <f t="shared" si="57"/>
        <v>1</v>
      </c>
      <c r="J925" t="str">
        <f t="shared" si="58"/>
        <v>Jan</v>
      </c>
      <c r="K925" t="str">
        <f t="shared" si="59"/>
        <v>Wed</v>
      </c>
    </row>
    <row r="926" spans="1:11" x14ac:dyDescent="0.35">
      <c r="A926" s="1">
        <v>36902</v>
      </c>
      <c r="B926">
        <v>0.78750002384185702</v>
      </c>
      <c r="C926">
        <v>0.86562502384185702</v>
      </c>
      <c r="D926">
        <v>0.78125</v>
      </c>
      <c r="E926">
        <v>0.85000002384185702</v>
      </c>
      <c r="F926">
        <v>0.85000002384185702</v>
      </c>
      <c r="G926">
        <v>255132000</v>
      </c>
      <c r="H926">
        <f t="shared" si="56"/>
        <v>2001</v>
      </c>
      <c r="I926">
        <f t="shared" si="57"/>
        <v>1</v>
      </c>
      <c r="J926" t="str">
        <f t="shared" si="58"/>
        <v>Jan</v>
      </c>
      <c r="K926" t="str">
        <f t="shared" si="59"/>
        <v>Thu</v>
      </c>
    </row>
    <row r="927" spans="1:11" x14ac:dyDescent="0.35">
      <c r="A927" s="1">
        <v>36903</v>
      </c>
      <c r="B927">
        <v>0.86718797683715798</v>
      </c>
      <c r="C927">
        <v>0.92500001192092896</v>
      </c>
      <c r="D927">
        <v>0.85624998807907104</v>
      </c>
      <c r="E927">
        <v>0.88437497615814198</v>
      </c>
      <c r="F927">
        <v>0.88437497615814198</v>
      </c>
      <c r="G927">
        <v>168684000</v>
      </c>
      <c r="H927">
        <f t="shared" si="56"/>
        <v>2001</v>
      </c>
      <c r="I927">
        <f t="shared" si="57"/>
        <v>1</v>
      </c>
      <c r="J927" t="str">
        <f t="shared" si="58"/>
        <v>Jan</v>
      </c>
      <c r="K927" t="str">
        <f t="shared" si="59"/>
        <v>Fri</v>
      </c>
    </row>
    <row r="928" spans="1:11" x14ac:dyDescent="0.35">
      <c r="A928" s="1">
        <v>36907</v>
      </c>
      <c r="B928">
        <v>0.91562497615814198</v>
      </c>
      <c r="C928">
        <v>0.91874998807907104</v>
      </c>
      <c r="D928">
        <v>0.86250001192092896</v>
      </c>
      <c r="E928">
        <v>0.90312498807907104</v>
      </c>
      <c r="F928">
        <v>0.90312498807907104</v>
      </c>
      <c r="G928">
        <v>120340000</v>
      </c>
      <c r="H928">
        <f t="shared" si="56"/>
        <v>2001</v>
      </c>
      <c r="I928">
        <f t="shared" si="57"/>
        <v>1</v>
      </c>
      <c r="J928" t="str">
        <f t="shared" si="58"/>
        <v>Jan</v>
      </c>
      <c r="K928" t="str">
        <f t="shared" si="59"/>
        <v>Tue</v>
      </c>
    </row>
    <row r="929" spans="1:11" x14ac:dyDescent="0.35">
      <c r="A929" s="1">
        <v>36908</v>
      </c>
      <c r="B929">
        <v>0.94375002384185702</v>
      </c>
      <c r="C929">
        <v>0.97812497615814198</v>
      </c>
      <c r="D929">
        <v>0.88749998807907104</v>
      </c>
      <c r="E929">
        <v>0.91874998807907104</v>
      </c>
      <c r="F929">
        <v>0.91874998807907104</v>
      </c>
      <c r="G929">
        <v>183320000</v>
      </c>
      <c r="H929">
        <f t="shared" si="56"/>
        <v>2001</v>
      </c>
      <c r="I929">
        <f t="shared" si="57"/>
        <v>1</v>
      </c>
      <c r="J929" t="str">
        <f t="shared" si="58"/>
        <v>Jan</v>
      </c>
      <c r="K929" t="str">
        <f t="shared" si="59"/>
        <v>Wed</v>
      </c>
    </row>
    <row r="930" spans="1:11" x14ac:dyDescent="0.35">
      <c r="A930" s="1">
        <v>36909</v>
      </c>
      <c r="B930">
        <v>0.91874998807907104</v>
      </c>
      <c r="C930">
        <v>0.97500002384185702</v>
      </c>
      <c r="D930">
        <v>0.89687502384185702</v>
      </c>
      <c r="E930">
        <v>0.97500002384185702</v>
      </c>
      <c r="F930">
        <v>0.97500002384185702</v>
      </c>
      <c r="G930">
        <v>82316000</v>
      </c>
      <c r="H930">
        <f t="shared" si="56"/>
        <v>2001</v>
      </c>
      <c r="I930">
        <f t="shared" si="57"/>
        <v>1</v>
      </c>
      <c r="J930" t="str">
        <f t="shared" si="58"/>
        <v>Jan</v>
      </c>
      <c r="K930" t="str">
        <f t="shared" si="59"/>
        <v>Thu</v>
      </c>
    </row>
    <row r="931" spans="1:11" x14ac:dyDescent="0.35">
      <c r="A931" s="1">
        <v>36910</v>
      </c>
      <c r="B931">
        <v>1.01874995231628</v>
      </c>
      <c r="C931">
        <v>1.01874995231628</v>
      </c>
      <c r="D931">
        <v>0.93437498807907104</v>
      </c>
      <c r="E931">
        <v>0.99687498807907104</v>
      </c>
      <c r="F931">
        <v>0.99687498807907104</v>
      </c>
      <c r="G931">
        <v>123550000</v>
      </c>
      <c r="H931">
        <f t="shared" si="56"/>
        <v>2001</v>
      </c>
      <c r="I931">
        <f t="shared" si="57"/>
        <v>1</v>
      </c>
      <c r="J931" t="str">
        <f t="shared" si="58"/>
        <v>Jan</v>
      </c>
      <c r="K931" t="str">
        <f t="shared" si="59"/>
        <v>Fri</v>
      </c>
    </row>
    <row r="932" spans="1:11" x14ac:dyDescent="0.35">
      <c r="A932" s="1">
        <v>36913</v>
      </c>
      <c r="B932">
        <v>0.97500002384185702</v>
      </c>
      <c r="C932">
        <v>0.99687498807907104</v>
      </c>
      <c r="D932">
        <v>0.92500001192092896</v>
      </c>
      <c r="E932">
        <v>0.92500001192092896</v>
      </c>
      <c r="F932">
        <v>0.92500001192092896</v>
      </c>
      <c r="G932">
        <v>87972000</v>
      </c>
      <c r="H932">
        <f t="shared" si="56"/>
        <v>2001</v>
      </c>
      <c r="I932">
        <f t="shared" si="57"/>
        <v>1</v>
      </c>
      <c r="J932" t="str">
        <f t="shared" si="58"/>
        <v>Jan</v>
      </c>
      <c r="K932" t="str">
        <f t="shared" si="59"/>
        <v>Mon</v>
      </c>
    </row>
    <row r="933" spans="1:11" x14ac:dyDescent="0.35">
      <c r="A933" s="1">
        <v>36914</v>
      </c>
      <c r="B933">
        <v>0.91874998807907104</v>
      </c>
      <c r="C933">
        <v>0.96562498807907104</v>
      </c>
      <c r="D933">
        <v>0.91250002384185702</v>
      </c>
      <c r="E933">
        <v>0.94765597581863403</v>
      </c>
      <c r="F933">
        <v>0.94765597581863403</v>
      </c>
      <c r="G933">
        <v>94886000</v>
      </c>
      <c r="H933">
        <f t="shared" si="56"/>
        <v>2001</v>
      </c>
      <c r="I933">
        <f t="shared" si="57"/>
        <v>1</v>
      </c>
      <c r="J933" t="str">
        <f t="shared" si="58"/>
        <v>Jan</v>
      </c>
      <c r="K933" t="str">
        <f t="shared" si="59"/>
        <v>Tue</v>
      </c>
    </row>
    <row r="934" spans="1:11" x14ac:dyDescent="0.35">
      <c r="A934" s="1">
        <v>36915</v>
      </c>
      <c r="B934">
        <v>0.95937502384185702</v>
      </c>
      <c r="C934">
        <v>1.1187499761581401</v>
      </c>
      <c r="D934">
        <v>0.94999998807907104</v>
      </c>
      <c r="E934">
        <v>1.09375</v>
      </c>
      <c r="F934">
        <v>1.09375</v>
      </c>
      <c r="G934">
        <v>276962000</v>
      </c>
      <c r="H934">
        <f t="shared" si="56"/>
        <v>2001</v>
      </c>
      <c r="I934">
        <f t="shared" si="57"/>
        <v>1</v>
      </c>
      <c r="J934" t="str">
        <f t="shared" si="58"/>
        <v>Jan</v>
      </c>
      <c r="K934" t="str">
        <f t="shared" si="59"/>
        <v>Wed</v>
      </c>
    </row>
    <row r="935" spans="1:11" x14ac:dyDescent="0.35">
      <c r="A935" s="1">
        <v>36916</v>
      </c>
      <c r="B935">
        <v>1.0843750238418499</v>
      </c>
      <c r="C935">
        <v>1.0874999761581401</v>
      </c>
      <c r="D935">
        <v>0.94999998807907104</v>
      </c>
      <c r="E935">
        <v>0.94999998807907104</v>
      </c>
      <c r="F935">
        <v>0.94999998807907104</v>
      </c>
      <c r="G935">
        <v>141328000</v>
      </c>
      <c r="H935">
        <f t="shared" si="56"/>
        <v>2001</v>
      </c>
      <c r="I935">
        <f t="shared" si="57"/>
        <v>1</v>
      </c>
      <c r="J935" t="str">
        <f t="shared" si="58"/>
        <v>Jan</v>
      </c>
      <c r="K935" t="str">
        <f t="shared" si="59"/>
        <v>Thu</v>
      </c>
    </row>
    <row r="936" spans="1:11" x14ac:dyDescent="0.35">
      <c r="A936" s="1">
        <v>36917</v>
      </c>
      <c r="B936">
        <v>0.94687497615814198</v>
      </c>
      <c r="C936">
        <v>1.0249999761581401</v>
      </c>
      <c r="D936">
        <v>0.94375002384185702</v>
      </c>
      <c r="E936">
        <v>0.97500002384185702</v>
      </c>
      <c r="F936">
        <v>0.97500002384185702</v>
      </c>
      <c r="G936">
        <v>101892000</v>
      </c>
      <c r="H936">
        <f t="shared" si="56"/>
        <v>2001</v>
      </c>
      <c r="I936">
        <f t="shared" si="57"/>
        <v>1</v>
      </c>
      <c r="J936" t="str">
        <f t="shared" si="58"/>
        <v>Jan</v>
      </c>
      <c r="K936" t="str">
        <f t="shared" si="59"/>
        <v>Fri</v>
      </c>
    </row>
    <row r="937" spans="1:11" x14ac:dyDescent="0.35">
      <c r="A937" s="1">
        <v>36920</v>
      </c>
      <c r="B937">
        <v>0.95625001192092896</v>
      </c>
      <c r="C937">
        <v>1.0375000238418499</v>
      </c>
      <c r="D937">
        <v>0.94062501192092896</v>
      </c>
      <c r="E937">
        <v>1.0062500238418499</v>
      </c>
      <c r="F937">
        <v>1.0062500238418499</v>
      </c>
      <c r="G937">
        <v>154260000</v>
      </c>
      <c r="H937">
        <f t="shared" si="56"/>
        <v>2001</v>
      </c>
      <c r="I937">
        <f t="shared" si="57"/>
        <v>1</v>
      </c>
      <c r="J937" t="str">
        <f t="shared" si="58"/>
        <v>Jan</v>
      </c>
      <c r="K937" t="str">
        <f t="shared" si="59"/>
        <v>Mon</v>
      </c>
    </row>
    <row r="938" spans="1:11" x14ac:dyDescent="0.35">
      <c r="A938" s="1">
        <v>36921</v>
      </c>
      <c r="B938">
        <v>1.02812504768371</v>
      </c>
      <c r="C938">
        <v>1.03437495231628</v>
      </c>
      <c r="D938">
        <v>0.93359398841857899</v>
      </c>
      <c r="E938">
        <v>0.94687497615814198</v>
      </c>
      <c r="F938">
        <v>0.94687497615814198</v>
      </c>
      <c r="G938">
        <v>245466000</v>
      </c>
      <c r="H938">
        <f t="shared" si="56"/>
        <v>2001</v>
      </c>
      <c r="I938">
        <f t="shared" si="57"/>
        <v>1</v>
      </c>
      <c r="J938" t="str">
        <f t="shared" si="58"/>
        <v>Jan</v>
      </c>
      <c r="K938" t="str">
        <f t="shared" si="59"/>
        <v>Tue</v>
      </c>
    </row>
    <row r="939" spans="1:11" x14ac:dyDescent="0.35">
      <c r="A939" s="1">
        <v>36922</v>
      </c>
      <c r="B939">
        <v>0.94687497615814198</v>
      </c>
      <c r="C939">
        <v>0.97812497615814198</v>
      </c>
      <c r="D939">
        <v>0.85312497615814198</v>
      </c>
      <c r="E939">
        <v>0.86562502384185702</v>
      </c>
      <c r="F939">
        <v>0.86562502384185702</v>
      </c>
      <c r="G939">
        <v>409516000</v>
      </c>
      <c r="H939">
        <f t="shared" si="56"/>
        <v>2001</v>
      </c>
      <c r="I939">
        <f t="shared" si="57"/>
        <v>1</v>
      </c>
      <c r="J939" t="str">
        <f t="shared" si="58"/>
        <v>Jan</v>
      </c>
      <c r="K939" t="str">
        <f t="shared" si="59"/>
        <v>Wed</v>
      </c>
    </row>
    <row r="940" spans="1:11" x14ac:dyDescent="0.35">
      <c r="A940" s="1">
        <v>36923</v>
      </c>
      <c r="B940">
        <v>0.859375</v>
      </c>
      <c r="C940">
        <v>0.859375</v>
      </c>
      <c r="D940">
        <v>0.78750002384185702</v>
      </c>
      <c r="E940">
        <v>0.8125</v>
      </c>
      <c r="F940">
        <v>0.8125</v>
      </c>
      <c r="G940">
        <v>189374000</v>
      </c>
      <c r="H940">
        <f t="shared" si="56"/>
        <v>2001</v>
      </c>
      <c r="I940">
        <f t="shared" si="57"/>
        <v>2</v>
      </c>
      <c r="J940" t="str">
        <f t="shared" si="58"/>
        <v>Feb</v>
      </c>
      <c r="K940" t="str">
        <f t="shared" si="59"/>
        <v>Thu</v>
      </c>
    </row>
    <row r="941" spans="1:11" x14ac:dyDescent="0.35">
      <c r="A941" s="1">
        <v>36924</v>
      </c>
      <c r="B941">
        <v>0.80624997615814198</v>
      </c>
      <c r="C941">
        <v>0.80937498807907104</v>
      </c>
      <c r="D941">
        <v>0.71249997615814198</v>
      </c>
      <c r="E941">
        <v>0.71875</v>
      </c>
      <c r="F941">
        <v>0.71875</v>
      </c>
      <c r="G941">
        <v>242022000</v>
      </c>
      <c r="H941">
        <f t="shared" si="56"/>
        <v>2001</v>
      </c>
      <c r="I941">
        <f t="shared" si="57"/>
        <v>2</v>
      </c>
      <c r="J941" t="str">
        <f t="shared" si="58"/>
        <v>Feb</v>
      </c>
      <c r="K941" t="str">
        <f t="shared" si="59"/>
        <v>Fri</v>
      </c>
    </row>
    <row r="942" spans="1:11" x14ac:dyDescent="0.35">
      <c r="A942" s="1">
        <v>36927</v>
      </c>
      <c r="B942">
        <v>0.73124998807907104</v>
      </c>
      <c r="C942">
        <v>0.74687498807907104</v>
      </c>
      <c r="D942">
        <v>0.71562498807907104</v>
      </c>
      <c r="E942">
        <v>0.72187501192092896</v>
      </c>
      <c r="F942">
        <v>0.72187501192092896</v>
      </c>
      <c r="G942">
        <v>183796000</v>
      </c>
      <c r="H942">
        <f t="shared" si="56"/>
        <v>2001</v>
      </c>
      <c r="I942">
        <f t="shared" si="57"/>
        <v>2</v>
      </c>
      <c r="J942" t="str">
        <f t="shared" si="58"/>
        <v>Feb</v>
      </c>
      <c r="K942" t="str">
        <f t="shared" si="59"/>
        <v>Mon</v>
      </c>
    </row>
    <row r="943" spans="1:11" x14ac:dyDescent="0.35">
      <c r="A943" s="1">
        <v>36928</v>
      </c>
      <c r="B943">
        <v>0.69062501192092896</v>
      </c>
      <c r="C943">
        <v>0.79374998807907104</v>
      </c>
      <c r="D943">
        <v>0.67812502384185702</v>
      </c>
      <c r="E943">
        <v>0.79062497615814198</v>
      </c>
      <c r="F943">
        <v>0.79062497615814198</v>
      </c>
      <c r="G943">
        <v>381518000</v>
      </c>
      <c r="H943">
        <f t="shared" si="56"/>
        <v>2001</v>
      </c>
      <c r="I943">
        <f t="shared" si="57"/>
        <v>2</v>
      </c>
      <c r="J943" t="str">
        <f t="shared" si="58"/>
        <v>Feb</v>
      </c>
      <c r="K943" t="str">
        <f t="shared" si="59"/>
        <v>Tue</v>
      </c>
    </row>
    <row r="944" spans="1:11" x14ac:dyDescent="0.35">
      <c r="A944" s="1">
        <v>36929</v>
      </c>
      <c r="B944">
        <v>0.75937497615814198</v>
      </c>
      <c r="C944">
        <v>0.79062497615814198</v>
      </c>
      <c r="D944">
        <v>0.72812497615814198</v>
      </c>
      <c r="E944">
        <v>0.75</v>
      </c>
      <c r="F944">
        <v>0.75</v>
      </c>
      <c r="G944">
        <v>151358000</v>
      </c>
      <c r="H944">
        <f t="shared" si="56"/>
        <v>2001</v>
      </c>
      <c r="I944">
        <f t="shared" si="57"/>
        <v>2</v>
      </c>
      <c r="J944" t="str">
        <f t="shared" si="58"/>
        <v>Feb</v>
      </c>
      <c r="K944" t="str">
        <f t="shared" si="59"/>
        <v>Wed</v>
      </c>
    </row>
    <row r="945" spans="1:11" x14ac:dyDescent="0.35">
      <c r="A945" s="1">
        <v>36930</v>
      </c>
      <c r="B945">
        <v>0.765625</v>
      </c>
      <c r="C945">
        <v>0.79374998807907104</v>
      </c>
      <c r="D945">
        <v>0.71875</v>
      </c>
      <c r="E945">
        <v>0.71875</v>
      </c>
      <c r="F945">
        <v>0.71875</v>
      </c>
      <c r="G945">
        <v>105904000</v>
      </c>
      <c r="H945">
        <f t="shared" si="56"/>
        <v>2001</v>
      </c>
      <c r="I945">
        <f t="shared" si="57"/>
        <v>2</v>
      </c>
      <c r="J945" t="str">
        <f t="shared" si="58"/>
        <v>Feb</v>
      </c>
      <c r="K945" t="str">
        <f t="shared" si="59"/>
        <v>Thu</v>
      </c>
    </row>
    <row r="946" spans="1:11" x14ac:dyDescent="0.35">
      <c r="A946" s="1">
        <v>36931</v>
      </c>
      <c r="B946">
        <v>0.71562498807907104</v>
      </c>
      <c r="C946">
        <v>0.73750001192092896</v>
      </c>
      <c r="D946">
        <v>0.66874998807907104</v>
      </c>
      <c r="E946">
        <v>0.66874998807907104</v>
      </c>
      <c r="F946">
        <v>0.66874998807907104</v>
      </c>
      <c r="G946">
        <v>149080000</v>
      </c>
      <c r="H946">
        <f t="shared" si="56"/>
        <v>2001</v>
      </c>
      <c r="I946">
        <f t="shared" si="57"/>
        <v>2</v>
      </c>
      <c r="J946" t="str">
        <f t="shared" si="58"/>
        <v>Feb</v>
      </c>
      <c r="K946" t="str">
        <f t="shared" si="59"/>
        <v>Fri</v>
      </c>
    </row>
    <row r="947" spans="1:11" x14ac:dyDescent="0.35">
      <c r="A947" s="1">
        <v>36934</v>
      </c>
      <c r="B947">
        <v>0.70625001192092896</v>
      </c>
      <c r="C947">
        <v>0.75</v>
      </c>
      <c r="D947">
        <v>0.68515598773956299</v>
      </c>
      <c r="E947">
        <v>0.72500002384185702</v>
      </c>
      <c r="F947">
        <v>0.72500002384185702</v>
      </c>
      <c r="G947">
        <v>105906000</v>
      </c>
      <c r="H947">
        <f t="shared" si="56"/>
        <v>2001</v>
      </c>
      <c r="I947">
        <f t="shared" si="57"/>
        <v>2</v>
      </c>
      <c r="J947" t="str">
        <f t="shared" si="58"/>
        <v>Feb</v>
      </c>
      <c r="K947" t="str">
        <f t="shared" si="59"/>
        <v>Mon</v>
      </c>
    </row>
    <row r="948" spans="1:11" x14ac:dyDescent="0.35">
      <c r="A948" s="1">
        <v>36935</v>
      </c>
      <c r="B948">
        <v>0.75</v>
      </c>
      <c r="C948">
        <v>0.75312501192092896</v>
      </c>
      <c r="D948">
        <v>0.6875</v>
      </c>
      <c r="E948">
        <v>0.6875</v>
      </c>
      <c r="F948">
        <v>0.6875</v>
      </c>
      <c r="G948">
        <v>95908000</v>
      </c>
      <c r="H948">
        <f t="shared" si="56"/>
        <v>2001</v>
      </c>
      <c r="I948">
        <f t="shared" si="57"/>
        <v>2</v>
      </c>
      <c r="J948" t="str">
        <f t="shared" si="58"/>
        <v>Feb</v>
      </c>
      <c r="K948" t="str">
        <f t="shared" si="59"/>
        <v>Tue</v>
      </c>
    </row>
    <row r="949" spans="1:11" x14ac:dyDescent="0.35">
      <c r="A949" s="1">
        <v>36936</v>
      </c>
      <c r="B949">
        <v>0.70625001192092896</v>
      </c>
      <c r="C949">
        <v>0.73750001192092896</v>
      </c>
      <c r="D949">
        <v>0.67500001192092896</v>
      </c>
      <c r="E949">
        <v>0.72187501192092896</v>
      </c>
      <c r="F949">
        <v>0.72187501192092896</v>
      </c>
      <c r="G949">
        <v>162468000</v>
      </c>
      <c r="H949">
        <f t="shared" si="56"/>
        <v>2001</v>
      </c>
      <c r="I949">
        <f t="shared" si="57"/>
        <v>2</v>
      </c>
      <c r="J949" t="str">
        <f t="shared" si="58"/>
        <v>Feb</v>
      </c>
      <c r="K949" t="str">
        <f t="shared" si="59"/>
        <v>Wed</v>
      </c>
    </row>
    <row r="950" spans="1:11" x14ac:dyDescent="0.35">
      <c r="A950" s="1">
        <v>36937</v>
      </c>
      <c r="B950">
        <v>0.67500001192092896</v>
      </c>
      <c r="C950">
        <v>0.73124998807907104</v>
      </c>
      <c r="D950">
        <v>0.67500001192092896</v>
      </c>
      <c r="E950">
        <v>0.72500002384185702</v>
      </c>
      <c r="F950">
        <v>0.72500002384185702</v>
      </c>
      <c r="G950">
        <v>327690000</v>
      </c>
      <c r="H950">
        <f t="shared" si="56"/>
        <v>2001</v>
      </c>
      <c r="I950">
        <f t="shared" si="57"/>
        <v>2</v>
      </c>
      <c r="J950" t="str">
        <f t="shared" si="58"/>
        <v>Feb</v>
      </c>
      <c r="K950" t="str">
        <f t="shared" si="59"/>
        <v>Thu</v>
      </c>
    </row>
    <row r="951" spans="1:11" x14ac:dyDescent="0.35">
      <c r="A951" s="1">
        <v>36938</v>
      </c>
      <c r="B951">
        <v>0.68124997615814198</v>
      </c>
      <c r="C951">
        <v>0.70625001192092896</v>
      </c>
      <c r="D951">
        <v>0.66562497615814198</v>
      </c>
      <c r="E951">
        <v>0.68437498807907104</v>
      </c>
      <c r="F951">
        <v>0.68437498807907104</v>
      </c>
      <c r="G951">
        <v>129812000</v>
      </c>
      <c r="H951">
        <f t="shared" si="56"/>
        <v>2001</v>
      </c>
      <c r="I951">
        <f t="shared" si="57"/>
        <v>2</v>
      </c>
      <c r="J951" t="str">
        <f t="shared" si="58"/>
        <v>Feb</v>
      </c>
      <c r="K951" t="str">
        <f t="shared" si="59"/>
        <v>Fri</v>
      </c>
    </row>
    <row r="952" spans="1:11" x14ac:dyDescent="0.35">
      <c r="A952" s="1">
        <v>36942</v>
      </c>
      <c r="B952">
        <v>0.68124997615814198</v>
      </c>
      <c r="C952">
        <v>0.68437498807907104</v>
      </c>
      <c r="D952">
        <v>0.62187498807907104</v>
      </c>
      <c r="E952">
        <v>0.625</v>
      </c>
      <c r="F952">
        <v>0.625</v>
      </c>
      <c r="G952">
        <v>131782000</v>
      </c>
      <c r="H952">
        <f t="shared" si="56"/>
        <v>2001</v>
      </c>
      <c r="I952">
        <f t="shared" si="57"/>
        <v>2</v>
      </c>
      <c r="J952" t="str">
        <f t="shared" si="58"/>
        <v>Feb</v>
      </c>
      <c r="K952" t="str">
        <f t="shared" si="59"/>
        <v>Tue</v>
      </c>
    </row>
    <row r="953" spans="1:11" x14ac:dyDescent="0.35">
      <c r="A953" s="1">
        <v>36943</v>
      </c>
      <c r="B953">
        <v>0.61250001192092896</v>
      </c>
      <c r="C953">
        <v>0.625</v>
      </c>
      <c r="D953">
        <v>0.56562501192092896</v>
      </c>
      <c r="E953">
        <v>0.59687501192092896</v>
      </c>
      <c r="F953">
        <v>0.59687501192092896</v>
      </c>
      <c r="G953">
        <v>151052000</v>
      </c>
      <c r="H953">
        <f t="shared" si="56"/>
        <v>2001</v>
      </c>
      <c r="I953">
        <f t="shared" si="57"/>
        <v>2</v>
      </c>
      <c r="J953" t="str">
        <f t="shared" si="58"/>
        <v>Feb</v>
      </c>
      <c r="K953" t="str">
        <f t="shared" si="59"/>
        <v>Wed</v>
      </c>
    </row>
    <row r="954" spans="1:11" x14ac:dyDescent="0.35">
      <c r="A954" s="1">
        <v>36944</v>
      </c>
      <c r="B954">
        <v>0.60000002384185702</v>
      </c>
      <c r="C954">
        <v>0.60624998807907104</v>
      </c>
      <c r="D954">
        <v>0.56875002384185702</v>
      </c>
      <c r="E954">
        <v>0.59687501192092896</v>
      </c>
      <c r="F954">
        <v>0.59687501192092896</v>
      </c>
      <c r="G954">
        <v>164984000</v>
      </c>
      <c r="H954">
        <f t="shared" si="56"/>
        <v>2001</v>
      </c>
      <c r="I954">
        <f t="shared" si="57"/>
        <v>2</v>
      </c>
      <c r="J954" t="str">
        <f t="shared" si="58"/>
        <v>Feb</v>
      </c>
      <c r="K954" t="str">
        <f t="shared" si="59"/>
        <v>Thu</v>
      </c>
    </row>
    <row r="955" spans="1:11" x14ac:dyDescent="0.35">
      <c r="A955" s="1">
        <v>36945</v>
      </c>
      <c r="B955">
        <v>0.59375</v>
      </c>
      <c r="C955">
        <v>0.60312497615814198</v>
      </c>
      <c r="D955">
        <v>0.55312502384185702</v>
      </c>
      <c r="E955">
        <v>0.59062498807907104</v>
      </c>
      <c r="F955">
        <v>0.59062498807907104</v>
      </c>
      <c r="G955">
        <v>102998000</v>
      </c>
      <c r="H955">
        <f t="shared" si="56"/>
        <v>2001</v>
      </c>
      <c r="I955">
        <f t="shared" si="57"/>
        <v>2</v>
      </c>
      <c r="J955" t="str">
        <f t="shared" si="58"/>
        <v>Feb</v>
      </c>
      <c r="K955" t="str">
        <f t="shared" si="59"/>
        <v>Fri</v>
      </c>
    </row>
    <row r="956" spans="1:11" x14ac:dyDescent="0.35">
      <c r="A956" s="1">
        <v>36948</v>
      </c>
      <c r="B956">
        <v>0.60312497615814198</v>
      </c>
      <c r="C956">
        <v>0.61250001192092896</v>
      </c>
      <c r="D956">
        <v>0.57499998807907104</v>
      </c>
      <c r="E956">
        <v>0.59687501192092896</v>
      </c>
      <c r="F956">
        <v>0.59687501192092896</v>
      </c>
      <c r="G956">
        <v>124582000</v>
      </c>
      <c r="H956">
        <f t="shared" si="56"/>
        <v>2001</v>
      </c>
      <c r="I956">
        <f t="shared" si="57"/>
        <v>2</v>
      </c>
      <c r="J956" t="str">
        <f t="shared" si="58"/>
        <v>Feb</v>
      </c>
      <c r="K956" t="str">
        <f t="shared" si="59"/>
        <v>Mon</v>
      </c>
    </row>
    <row r="957" spans="1:11" x14ac:dyDescent="0.35">
      <c r="A957" s="1">
        <v>36949</v>
      </c>
      <c r="B957">
        <v>0.59062498807907104</v>
      </c>
      <c r="C957">
        <v>0.60624998807907104</v>
      </c>
      <c r="D957">
        <v>0.58125001192092896</v>
      </c>
      <c r="E957">
        <v>0.58749997615814198</v>
      </c>
      <c r="F957">
        <v>0.58749997615814198</v>
      </c>
      <c r="G957">
        <v>154652000</v>
      </c>
      <c r="H957">
        <f t="shared" si="56"/>
        <v>2001</v>
      </c>
      <c r="I957">
        <f t="shared" si="57"/>
        <v>2</v>
      </c>
      <c r="J957" t="str">
        <f t="shared" si="58"/>
        <v>Feb</v>
      </c>
      <c r="K957" t="str">
        <f t="shared" si="59"/>
        <v>Tue</v>
      </c>
    </row>
    <row r="958" spans="1:11" x14ac:dyDescent="0.35">
      <c r="A958" s="1">
        <v>36950</v>
      </c>
      <c r="B958">
        <v>0.5625</v>
      </c>
      <c r="C958">
        <v>0.58749997615814198</v>
      </c>
      <c r="D958">
        <v>0.49687498807907099</v>
      </c>
      <c r="E958">
        <v>0.50937497615814198</v>
      </c>
      <c r="F958">
        <v>0.50937497615814198</v>
      </c>
      <c r="G958">
        <v>292596000</v>
      </c>
      <c r="H958">
        <f t="shared" si="56"/>
        <v>2001</v>
      </c>
      <c r="I958">
        <f t="shared" si="57"/>
        <v>2</v>
      </c>
      <c r="J958" t="str">
        <f t="shared" si="58"/>
        <v>Feb</v>
      </c>
      <c r="K958" t="str">
        <f t="shared" si="59"/>
        <v>Wed</v>
      </c>
    </row>
    <row r="959" spans="1:11" x14ac:dyDescent="0.35">
      <c r="A959" s="1">
        <v>36951</v>
      </c>
      <c r="B959">
        <v>0.49375000596046398</v>
      </c>
      <c r="C959">
        <v>0.53437501192092896</v>
      </c>
      <c r="D959">
        <v>0.47968798875808699</v>
      </c>
      <c r="E959">
        <v>0.52187502384185702</v>
      </c>
      <c r="F959">
        <v>0.52187502384185702</v>
      </c>
      <c r="G959">
        <v>219934000</v>
      </c>
      <c r="H959">
        <f t="shared" si="56"/>
        <v>2001</v>
      </c>
      <c r="I959">
        <f t="shared" si="57"/>
        <v>3</v>
      </c>
      <c r="J959" t="str">
        <f t="shared" si="58"/>
        <v>Mar</v>
      </c>
      <c r="K959" t="str">
        <f t="shared" si="59"/>
        <v>Thu</v>
      </c>
    </row>
    <row r="960" spans="1:11" x14ac:dyDescent="0.35">
      <c r="A960" s="1">
        <v>36952</v>
      </c>
      <c r="B960">
        <v>0.50156301259994496</v>
      </c>
      <c r="C960">
        <v>0.53125</v>
      </c>
      <c r="D960">
        <v>0.5</v>
      </c>
      <c r="E960">
        <v>0.5</v>
      </c>
      <c r="F960">
        <v>0.5</v>
      </c>
      <c r="G960">
        <v>150912000</v>
      </c>
      <c r="H960">
        <f t="shared" si="56"/>
        <v>2001</v>
      </c>
      <c r="I960">
        <f t="shared" si="57"/>
        <v>3</v>
      </c>
      <c r="J960" t="str">
        <f t="shared" si="58"/>
        <v>Mar</v>
      </c>
      <c r="K960" t="str">
        <f t="shared" si="59"/>
        <v>Fri</v>
      </c>
    </row>
    <row r="961" spans="1:11" x14ac:dyDescent="0.35">
      <c r="A961" s="1">
        <v>36955</v>
      </c>
      <c r="B961">
        <v>0.61874997615814198</v>
      </c>
      <c r="C961">
        <v>0.65312498807907104</v>
      </c>
      <c r="D961">
        <v>0.57499998807907104</v>
      </c>
      <c r="E961">
        <v>0.63125002384185702</v>
      </c>
      <c r="F961">
        <v>0.63125002384185702</v>
      </c>
      <c r="G961">
        <v>470014000</v>
      </c>
      <c r="H961">
        <f t="shared" si="56"/>
        <v>2001</v>
      </c>
      <c r="I961">
        <f t="shared" si="57"/>
        <v>3</v>
      </c>
      <c r="J961" t="str">
        <f t="shared" si="58"/>
        <v>Mar</v>
      </c>
      <c r="K961" t="str">
        <f t="shared" si="59"/>
        <v>Mon</v>
      </c>
    </row>
    <row r="962" spans="1:11" x14ac:dyDescent="0.35">
      <c r="A962" s="1">
        <v>36956</v>
      </c>
      <c r="B962">
        <v>0.65390598773956299</v>
      </c>
      <c r="C962">
        <v>0.69999998807907104</v>
      </c>
      <c r="D962">
        <v>0.5625</v>
      </c>
      <c r="E962">
        <v>0.59375</v>
      </c>
      <c r="F962">
        <v>0.59375</v>
      </c>
      <c r="G962">
        <v>463830000</v>
      </c>
      <c r="H962">
        <f t="shared" si="56"/>
        <v>2001</v>
      </c>
      <c r="I962">
        <f t="shared" si="57"/>
        <v>3</v>
      </c>
      <c r="J962" t="str">
        <f t="shared" si="58"/>
        <v>Mar</v>
      </c>
      <c r="K962" t="str">
        <f t="shared" si="59"/>
        <v>Tue</v>
      </c>
    </row>
    <row r="963" spans="1:11" x14ac:dyDescent="0.35">
      <c r="A963" s="1">
        <v>36957</v>
      </c>
      <c r="B963">
        <v>0.59687501192092896</v>
      </c>
      <c r="C963">
        <v>0.62812501192092896</v>
      </c>
      <c r="D963">
        <v>0.57187497615814198</v>
      </c>
      <c r="E963">
        <v>0.61250001192092896</v>
      </c>
      <c r="F963">
        <v>0.61250001192092896</v>
      </c>
      <c r="G963">
        <v>212882000</v>
      </c>
      <c r="H963">
        <f t="shared" si="56"/>
        <v>2001</v>
      </c>
      <c r="I963">
        <f t="shared" si="57"/>
        <v>3</v>
      </c>
      <c r="J963" t="str">
        <f t="shared" si="58"/>
        <v>Mar</v>
      </c>
      <c r="K963" t="str">
        <f t="shared" si="59"/>
        <v>Wed</v>
      </c>
    </row>
    <row r="964" spans="1:11" x14ac:dyDescent="0.35">
      <c r="A964" s="1">
        <v>36958</v>
      </c>
      <c r="B964">
        <v>0.59687501192092896</v>
      </c>
      <c r="C964">
        <v>0.60000002384185702</v>
      </c>
      <c r="D964">
        <v>0.58125001192092896</v>
      </c>
      <c r="E964">
        <v>0.58437502384185702</v>
      </c>
      <c r="F964">
        <v>0.58437502384185702</v>
      </c>
      <c r="G964">
        <v>99152000</v>
      </c>
      <c r="H964">
        <f t="shared" ref="H964:H1027" si="60">YEAR($A964)</f>
        <v>2001</v>
      </c>
      <c r="I964">
        <f t="shared" ref="I964:I1027" si="61">MONTH($A964)</f>
        <v>3</v>
      </c>
      <c r="J964" t="str">
        <f t="shared" ref="J964:J1027" si="62">TEXT($A964,"mmm")</f>
        <v>Mar</v>
      </c>
      <c r="K964" t="str">
        <f t="shared" ref="K964:K1027" si="63">TEXT($A964,"ddd")</f>
        <v>Thu</v>
      </c>
    </row>
    <row r="965" spans="1:11" x14ac:dyDescent="0.35">
      <c r="A965" s="1">
        <v>36959</v>
      </c>
      <c r="B965">
        <v>0.57187497615814198</v>
      </c>
      <c r="C965">
        <v>0.625</v>
      </c>
      <c r="D965">
        <v>0.56875002384185702</v>
      </c>
      <c r="E965">
        <v>0.61250001192092896</v>
      </c>
      <c r="F965">
        <v>0.61250001192092896</v>
      </c>
      <c r="G965">
        <v>177134000</v>
      </c>
      <c r="H965">
        <f t="shared" si="60"/>
        <v>2001</v>
      </c>
      <c r="I965">
        <f t="shared" si="61"/>
        <v>3</v>
      </c>
      <c r="J965" t="str">
        <f t="shared" si="62"/>
        <v>Mar</v>
      </c>
      <c r="K965" t="str">
        <f t="shared" si="63"/>
        <v>Fri</v>
      </c>
    </row>
    <row r="966" spans="1:11" x14ac:dyDescent="0.35">
      <c r="A966" s="1">
        <v>36962</v>
      </c>
      <c r="B966">
        <v>0.56875002384185702</v>
      </c>
      <c r="C966">
        <v>0.58437502384185702</v>
      </c>
      <c r="D966">
        <v>0.52499997615814198</v>
      </c>
      <c r="E966">
        <v>0.53125</v>
      </c>
      <c r="F966">
        <v>0.53125</v>
      </c>
      <c r="G966">
        <v>114330000</v>
      </c>
      <c r="H966">
        <f t="shared" si="60"/>
        <v>2001</v>
      </c>
      <c r="I966">
        <f t="shared" si="61"/>
        <v>3</v>
      </c>
      <c r="J966" t="str">
        <f t="shared" si="62"/>
        <v>Mar</v>
      </c>
      <c r="K966" t="str">
        <f t="shared" si="63"/>
        <v>Mon</v>
      </c>
    </row>
    <row r="967" spans="1:11" x14ac:dyDescent="0.35">
      <c r="A967" s="1">
        <v>36963</v>
      </c>
      <c r="B967">
        <v>0.54062497615814198</v>
      </c>
      <c r="C967">
        <v>0.55312502384185702</v>
      </c>
      <c r="D967">
        <v>0.52499997615814198</v>
      </c>
      <c r="E967">
        <v>0.55000001192092896</v>
      </c>
      <c r="F967">
        <v>0.55000001192092896</v>
      </c>
      <c r="G967">
        <v>66614000</v>
      </c>
      <c r="H967">
        <f t="shared" si="60"/>
        <v>2001</v>
      </c>
      <c r="I967">
        <f t="shared" si="61"/>
        <v>3</v>
      </c>
      <c r="J967" t="str">
        <f t="shared" si="62"/>
        <v>Mar</v>
      </c>
      <c r="K967" t="str">
        <f t="shared" si="63"/>
        <v>Tue</v>
      </c>
    </row>
    <row r="968" spans="1:11" x14ac:dyDescent="0.35">
      <c r="A968" s="1">
        <v>36964</v>
      </c>
      <c r="B968">
        <v>0.51249998807907104</v>
      </c>
      <c r="C968">
        <v>0.546875</v>
      </c>
      <c r="D968">
        <v>0.50625002384185702</v>
      </c>
      <c r="E968">
        <v>0.53125</v>
      </c>
      <c r="F968">
        <v>0.53125</v>
      </c>
      <c r="G968">
        <v>62488000</v>
      </c>
      <c r="H968">
        <f t="shared" si="60"/>
        <v>2001</v>
      </c>
      <c r="I968">
        <f t="shared" si="61"/>
        <v>3</v>
      </c>
      <c r="J968" t="str">
        <f t="shared" si="62"/>
        <v>Mar</v>
      </c>
      <c r="K968" t="str">
        <f t="shared" si="63"/>
        <v>Wed</v>
      </c>
    </row>
    <row r="969" spans="1:11" x14ac:dyDescent="0.35">
      <c r="A969" s="1">
        <v>36965</v>
      </c>
      <c r="B969">
        <v>0.56875002384185702</v>
      </c>
      <c r="C969">
        <v>0.57187497615814198</v>
      </c>
      <c r="D969">
        <v>0.54062497615814198</v>
      </c>
      <c r="E969">
        <v>0.54374998807907104</v>
      </c>
      <c r="F969">
        <v>0.54374998807907104</v>
      </c>
      <c r="G969">
        <v>116498000</v>
      </c>
      <c r="H969">
        <f t="shared" si="60"/>
        <v>2001</v>
      </c>
      <c r="I969">
        <f t="shared" si="61"/>
        <v>3</v>
      </c>
      <c r="J969" t="str">
        <f t="shared" si="62"/>
        <v>Mar</v>
      </c>
      <c r="K969" t="str">
        <f t="shared" si="63"/>
        <v>Thu</v>
      </c>
    </row>
    <row r="970" spans="1:11" x14ac:dyDescent="0.35">
      <c r="A970" s="1">
        <v>36966</v>
      </c>
      <c r="B970">
        <v>0.53125</v>
      </c>
      <c r="C970">
        <v>0.55312502384185702</v>
      </c>
      <c r="D970">
        <v>0.51249998807907104</v>
      </c>
      <c r="E970">
        <v>0.55000001192092896</v>
      </c>
      <c r="F970">
        <v>0.55000001192092896</v>
      </c>
      <c r="G970">
        <v>139684000</v>
      </c>
      <c r="H970">
        <f t="shared" si="60"/>
        <v>2001</v>
      </c>
      <c r="I970">
        <f t="shared" si="61"/>
        <v>3</v>
      </c>
      <c r="J970" t="str">
        <f t="shared" si="62"/>
        <v>Mar</v>
      </c>
      <c r="K970" t="str">
        <f t="shared" si="63"/>
        <v>Fri</v>
      </c>
    </row>
    <row r="971" spans="1:11" x14ac:dyDescent="0.35">
      <c r="A971" s="1">
        <v>36969</v>
      </c>
      <c r="B971">
        <v>0.55937498807907104</v>
      </c>
      <c r="C971">
        <v>0.56562501192092896</v>
      </c>
      <c r="D971">
        <v>0.50625002384185702</v>
      </c>
      <c r="E971">
        <v>0.52499997615814198</v>
      </c>
      <c r="F971">
        <v>0.52499997615814198</v>
      </c>
      <c r="G971">
        <v>135490000</v>
      </c>
      <c r="H971">
        <f t="shared" si="60"/>
        <v>2001</v>
      </c>
      <c r="I971">
        <f t="shared" si="61"/>
        <v>3</v>
      </c>
      <c r="J971" t="str">
        <f t="shared" si="62"/>
        <v>Mar</v>
      </c>
      <c r="K971" t="str">
        <f t="shared" si="63"/>
        <v>Mon</v>
      </c>
    </row>
    <row r="972" spans="1:11" x14ac:dyDescent="0.35">
      <c r="A972" s="1">
        <v>36970</v>
      </c>
      <c r="B972">
        <v>0.52812498807907104</v>
      </c>
      <c r="C972">
        <v>0.57499998807907104</v>
      </c>
      <c r="D972">
        <v>0.50625002384185702</v>
      </c>
      <c r="E972">
        <v>0.51249998807907104</v>
      </c>
      <c r="F972">
        <v>0.51249998807907104</v>
      </c>
      <c r="G972">
        <v>125894000</v>
      </c>
      <c r="H972">
        <f t="shared" si="60"/>
        <v>2001</v>
      </c>
      <c r="I972">
        <f t="shared" si="61"/>
        <v>3</v>
      </c>
      <c r="J972" t="str">
        <f t="shared" si="62"/>
        <v>Mar</v>
      </c>
      <c r="K972" t="str">
        <f t="shared" si="63"/>
        <v>Tue</v>
      </c>
    </row>
    <row r="973" spans="1:11" x14ac:dyDescent="0.35">
      <c r="A973" s="1">
        <v>36971</v>
      </c>
      <c r="B973">
        <v>0.51875001192092896</v>
      </c>
      <c r="C973">
        <v>0.52187502384185702</v>
      </c>
      <c r="D973">
        <v>0.5</v>
      </c>
      <c r="E973">
        <v>0.5</v>
      </c>
      <c r="F973">
        <v>0.5</v>
      </c>
      <c r="G973">
        <v>110132000</v>
      </c>
      <c r="H973">
        <f t="shared" si="60"/>
        <v>2001</v>
      </c>
      <c r="I973">
        <f t="shared" si="61"/>
        <v>3</v>
      </c>
      <c r="J973" t="str">
        <f t="shared" si="62"/>
        <v>Mar</v>
      </c>
      <c r="K973" t="str">
        <f t="shared" si="63"/>
        <v>Wed</v>
      </c>
    </row>
    <row r="974" spans="1:11" x14ac:dyDescent="0.35">
      <c r="A974" s="1">
        <v>36972</v>
      </c>
      <c r="B974">
        <v>0.50312501192092896</v>
      </c>
      <c r="C974">
        <v>0.51249998807907104</v>
      </c>
      <c r="D974">
        <v>0.47812500596046398</v>
      </c>
      <c r="E974">
        <v>0.50937497615814198</v>
      </c>
      <c r="F974">
        <v>0.50937497615814198</v>
      </c>
      <c r="G974">
        <v>131892000</v>
      </c>
      <c r="H974">
        <f t="shared" si="60"/>
        <v>2001</v>
      </c>
      <c r="I974">
        <f t="shared" si="61"/>
        <v>3</v>
      </c>
      <c r="J974" t="str">
        <f t="shared" si="62"/>
        <v>Mar</v>
      </c>
      <c r="K974" t="str">
        <f t="shared" si="63"/>
        <v>Thu</v>
      </c>
    </row>
    <row r="975" spans="1:11" x14ac:dyDescent="0.35">
      <c r="A975" s="1">
        <v>36973</v>
      </c>
      <c r="B975">
        <v>0.52812498807907104</v>
      </c>
      <c r="C975">
        <v>0.54062497615814198</v>
      </c>
      <c r="D975">
        <v>0.49687498807907099</v>
      </c>
      <c r="E975">
        <v>0.50937497615814198</v>
      </c>
      <c r="F975">
        <v>0.50937497615814198</v>
      </c>
      <c r="G975">
        <v>75088000</v>
      </c>
      <c r="H975">
        <f t="shared" si="60"/>
        <v>2001</v>
      </c>
      <c r="I975">
        <f t="shared" si="61"/>
        <v>3</v>
      </c>
      <c r="J975" t="str">
        <f t="shared" si="62"/>
        <v>Mar</v>
      </c>
      <c r="K975" t="str">
        <f t="shared" si="63"/>
        <v>Fri</v>
      </c>
    </row>
    <row r="976" spans="1:11" x14ac:dyDescent="0.35">
      <c r="A976" s="1">
        <v>36976</v>
      </c>
      <c r="B976">
        <v>0.53500002622604304</v>
      </c>
      <c r="C976">
        <v>0.56449997425079301</v>
      </c>
      <c r="D976">
        <v>0.53100001811981201</v>
      </c>
      <c r="E976">
        <v>0.54699999094009399</v>
      </c>
      <c r="F976">
        <v>0.54699999094009399</v>
      </c>
      <c r="G976">
        <v>137012000</v>
      </c>
      <c r="H976">
        <f t="shared" si="60"/>
        <v>2001</v>
      </c>
      <c r="I976">
        <f t="shared" si="61"/>
        <v>3</v>
      </c>
      <c r="J976" t="str">
        <f t="shared" si="62"/>
        <v>Mar</v>
      </c>
      <c r="K976" t="str">
        <f t="shared" si="63"/>
        <v>Mon</v>
      </c>
    </row>
    <row r="977" spans="1:11" x14ac:dyDescent="0.35">
      <c r="A977" s="1">
        <v>36977</v>
      </c>
      <c r="B977">
        <v>0.54600000381469704</v>
      </c>
      <c r="C977">
        <v>0.58999997377395597</v>
      </c>
      <c r="D977">
        <v>0.52549999952316195</v>
      </c>
      <c r="E977">
        <v>0.58200001716613703</v>
      </c>
      <c r="F977">
        <v>0.58200001716613703</v>
      </c>
      <c r="G977">
        <v>112064000</v>
      </c>
      <c r="H977">
        <f t="shared" si="60"/>
        <v>2001</v>
      </c>
      <c r="I977">
        <f t="shared" si="61"/>
        <v>3</v>
      </c>
      <c r="J977" t="str">
        <f t="shared" si="62"/>
        <v>Mar</v>
      </c>
      <c r="K977" t="str">
        <f t="shared" si="63"/>
        <v>Tue</v>
      </c>
    </row>
    <row r="978" spans="1:11" x14ac:dyDescent="0.35">
      <c r="A978" s="1">
        <v>36978</v>
      </c>
      <c r="B978">
        <v>0.55500000715255704</v>
      </c>
      <c r="C978">
        <v>0.558000028133392</v>
      </c>
      <c r="D978">
        <v>0.53750002384185702</v>
      </c>
      <c r="E978">
        <v>0.54000002145767201</v>
      </c>
      <c r="F978">
        <v>0.54000002145767201</v>
      </c>
      <c r="G978">
        <v>67738000</v>
      </c>
      <c r="H978">
        <f t="shared" si="60"/>
        <v>2001</v>
      </c>
      <c r="I978">
        <f t="shared" si="61"/>
        <v>3</v>
      </c>
      <c r="J978" t="str">
        <f t="shared" si="62"/>
        <v>Mar</v>
      </c>
      <c r="K978" t="str">
        <f t="shared" si="63"/>
        <v>Wed</v>
      </c>
    </row>
    <row r="979" spans="1:11" x14ac:dyDescent="0.35">
      <c r="A979" s="1">
        <v>36979</v>
      </c>
      <c r="B979">
        <v>0.52850002050399703</v>
      </c>
      <c r="C979">
        <v>0.55150002241134599</v>
      </c>
      <c r="D979">
        <v>0.5</v>
      </c>
      <c r="E979">
        <v>0.5</v>
      </c>
      <c r="F979">
        <v>0.5</v>
      </c>
      <c r="G979">
        <v>92768000</v>
      </c>
      <c r="H979">
        <f t="shared" si="60"/>
        <v>2001</v>
      </c>
      <c r="I979">
        <f t="shared" si="61"/>
        <v>3</v>
      </c>
      <c r="J979" t="str">
        <f t="shared" si="62"/>
        <v>Mar</v>
      </c>
      <c r="K979" t="str">
        <f t="shared" si="63"/>
        <v>Thu</v>
      </c>
    </row>
    <row r="980" spans="1:11" x14ac:dyDescent="0.35">
      <c r="A980" s="1">
        <v>36980</v>
      </c>
      <c r="B980">
        <v>0.50599998235702504</v>
      </c>
      <c r="C980">
        <v>0.54199999570846502</v>
      </c>
      <c r="D980">
        <v>0.495499998331069</v>
      </c>
      <c r="E980">
        <v>0.51150000095367398</v>
      </c>
      <c r="F980">
        <v>0.51150000095367398</v>
      </c>
      <c r="G980">
        <v>71168000</v>
      </c>
      <c r="H980">
        <f t="shared" si="60"/>
        <v>2001</v>
      </c>
      <c r="I980">
        <f t="shared" si="61"/>
        <v>3</v>
      </c>
      <c r="J980" t="str">
        <f t="shared" si="62"/>
        <v>Mar</v>
      </c>
      <c r="K980" t="str">
        <f t="shared" si="63"/>
        <v>Fri</v>
      </c>
    </row>
    <row r="981" spans="1:11" x14ac:dyDescent="0.35">
      <c r="A981" s="1">
        <v>36983</v>
      </c>
      <c r="B981">
        <v>0.51649999618530196</v>
      </c>
      <c r="C981">
        <v>0.52649998664855902</v>
      </c>
      <c r="D981">
        <v>0.42500001192092801</v>
      </c>
      <c r="E981">
        <v>0.45500001311302102</v>
      </c>
      <c r="F981">
        <v>0.45500001311302102</v>
      </c>
      <c r="G981">
        <v>176078000</v>
      </c>
      <c r="H981">
        <f t="shared" si="60"/>
        <v>2001</v>
      </c>
      <c r="I981">
        <f t="shared" si="61"/>
        <v>4</v>
      </c>
      <c r="J981" t="str">
        <f t="shared" si="62"/>
        <v>Apr</v>
      </c>
      <c r="K981" t="str">
        <f t="shared" si="63"/>
        <v>Mon</v>
      </c>
    </row>
    <row r="982" spans="1:11" x14ac:dyDescent="0.35">
      <c r="A982" s="1">
        <v>36984</v>
      </c>
      <c r="B982">
        <v>0.43549999594688399</v>
      </c>
      <c r="C982">
        <v>0.457500010728836</v>
      </c>
      <c r="D982">
        <v>0.42500001192092801</v>
      </c>
      <c r="E982">
        <v>0.43149998784065202</v>
      </c>
      <c r="F982">
        <v>0.43149998784065202</v>
      </c>
      <c r="G982">
        <v>97314000</v>
      </c>
      <c r="H982">
        <f t="shared" si="60"/>
        <v>2001</v>
      </c>
      <c r="I982">
        <f t="shared" si="61"/>
        <v>4</v>
      </c>
      <c r="J982" t="str">
        <f t="shared" si="62"/>
        <v>Apr</v>
      </c>
      <c r="K982" t="str">
        <f t="shared" si="63"/>
        <v>Tue</v>
      </c>
    </row>
    <row r="983" spans="1:11" x14ac:dyDescent="0.35">
      <c r="A983" s="1">
        <v>36985</v>
      </c>
      <c r="B983">
        <v>0.428499996662139</v>
      </c>
      <c r="C983">
        <v>0.44999998807907099</v>
      </c>
      <c r="D983">
        <v>0.40500000119209201</v>
      </c>
      <c r="E983">
        <v>0.41999998688697798</v>
      </c>
      <c r="F983">
        <v>0.41999998688697798</v>
      </c>
      <c r="G983">
        <v>114162000</v>
      </c>
      <c r="H983">
        <f t="shared" si="60"/>
        <v>2001</v>
      </c>
      <c r="I983">
        <f t="shared" si="61"/>
        <v>4</v>
      </c>
      <c r="J983" t="str">
        <f t="shared" si="62"/>
        <v>Apr</v>
      </c>
      <c r="K983" t="str">
        <f t="shared" si="63"/>
        <v>Wed</v>
      </c>
    </row>
    <row r="984" spans="1:11" x14ac:dyDescent="0.35">
      <c r="A984" s="1">
        <v>36986</v>
      </c>
      <c r="B984">
        <v>0.45100000500678999</v>
      </c>
      <c r="C984">
        <v>0.46500000357627802</v>
      </c>
      <c r="D984">
        <v>0.43599998950958202</v>
      </c>
      <c r="E984">
        <v>0.45600000023841802</v>
      </c>
      <c r="F984">
        <v>0.45600000023841802</v>
      </c>
      <c r="G984">
        <v>108484000</v>
      </c>
      <c r="H984">
        <f t="shared" si="60"/>
        <v>2001</v>
      </c>
      <c r="I984">
        <f t="shared" si="61"/>
        <v>4</v>
      </c>
      <c r="J984" t="str">
        <f t="shared" si="62"/>
        <v>Apr</v>
      </c>
      <c r="K984" t="str">
        <f t="shared" si="63"/>
        <v>Thu</v>
      </c>
    </row>
    <row r="985" spans="1:11" x14ac:dyDescent="0.35">
      <c r="A985" s="1">
        <v>36987</v>
      </c>
      <c r="B985">
        <v>0.44499999284744202</v>
      </c>
      <c r="C985">
        <v>0.44499999284744202</v>
      </c>
      <c r="D985">
        <v>0.40999999642372098</v>
      </c>
      <c r="E985">
        <v>0.418500006198883</v>
      </c>
      <c r="F985">
        <v>0.418500006198883</v>
      </c>
      <c r="G985">
        <v>105622000</v>
      </c>
      <c r="H985">
        <f t="shared" si="60"/>
        <v>2001</v>
      </c>
      <c r="I985">
        <f t="shared" si="61"/>
        <v>4</v>
      </c>
      <c r="J985" t="str">
        <f t="shared" si="62"/>
        <v>Apr</v>
      </c>
      <c r="K985" t="str">
        <f t="shared" si="63"/>
        <v>Fri</v>
      </c>
    </row>
    <row r="986" spans="1:11" x14ac:dyDescent="0.35">
      <c r="A986" s="1">
        <v>36990</v>
      </c>
      <c r="B986">
        <v>0.59200000762939398</v>
      </c>
      <c r="C986">
        <v>0.59500002861022905</v>
      </c>
      <c r="D986">
        <v>0.53500002622604304</v>
      </c>
      <c r="E986">
        <v>0.55900001525878895</v>
      </c>
      <c r="F986">
        <v>0.55900001525878895</v>
      </c>
      <c r="G986">
        <v>468114000</v>
      </c>
      <c r="H986">
        <f t="shared" si="60"/>
        <v>2001</v>
      </c>
      <c r="I986">
        <f t="shared" si="61"/>
        <v>4</v>
      </c>
      <c r="J986" t="str">
        <f t="shared" si="62"/>
        <v>Apr</v>
      </c>
      <c r="K986" t="str">
        <f t="shared" si="63"/>
        <v>Mon</v>
      </c>
    </row>
    <row r="987" spans="1:11" x14ac:dyDescent="0.35">
      <c r="A987" s="1">
        <v>36991</v>
      </c>
      <c r="B987">
        <v>0.56199997663497903</v>
      </c>
      <c r="C987">
        <v>0.67500001192092896</v>
      </c>
      <c r="D987">
        <v>0.56000000238418501</v>
      </c>
      <c r="E987">
        <v>0.600499987602233</v>
      </c>
      <c r="F987">
        <v>0.600499987602233</v>
      </c>
      <c r="G987">
        <v>377208000</v>
      </c>
      <c r="H987">
        <f t="shared" si="60"/>
        <v>2001</v>
      </c>
      <c r="I987">
        <f t="shared" si="61"/>
        <v>4</v>
      </c>
      <c r="J987" t="str">
        <f t="shared" si="62"/>
        <v>Apr</v>
      </c>
      <c r="K987" t="str">
        <f t="shared" si="63"/>
        <v>Tue</v>
      </c>
    </row>
    <row r="988" spans="1:11" x14ac:dyDescent="0.35">
      <c r="A988" s="1">
        <v>36992</v>
      </c>
      <c r="B988">
        <v>0.65499997138976995</v>
      </c>
      <c r="C988">
        <v>0.68250000476837103</v>
      </c>
      <c r="D988">
        <v>0.60900002717971802</v>
      </c>
      <c r="E988">
        <v>0.66600000858306796</v>
      </c>
      <c r="F988">
        <v>0.66600000858306796</v>
      </c>
      <c r="G988">
        <v>268436000</v>
      </c>
      <c r="H988">
        <f t="shared" si="60"/>
        <v>2001</v>
      </c>
      <c r="I988">
        <f t="shared" si="61"/>
        <v>4</v>
      </c>
      <c r="J988" t="str">
        <f t="shared" si="62"/>
        <v>Apr</v>
      </c>
      <c r="K988" t="str">
        <f t="shared" si="63"/>
        <v>Wed</v>
      </c>
    </row>
    <row r="989" spans="1:11" x14ac:dyDescent="0.35">
      <c r="A989" s="1">
        <v>36993</v>
      </c>
      <c r="B989">
        <v>0.65249997377395597</v>
      </c>
      <c r="C989">
        <v>0.75050002336501997</v>
      </c>
      <c r="D989">
        <v>0.64999997615814198</v>
      </c>
      <c r="E989">
        <v>0.73350000381469704</v>
      </c>
      <c r="F989">
        <v>0.73350000381469704</v>
      </c>
      <c r="G989">
        <v>230600000</v>
      </c>
      <c r="H989">
        <f t="shared" si="60"/>
        <v>2001</v>
      </c>
      <c r="I989">
        <f t="shared" si="61"/>
        <v>4</v>
      </c>
      <c r="J989" t="str">
        <f t="shared" si="62"/>
        <v>Apr</v>
      </c>
      <c r="K989" t="str">
        <f t="shared" si="63"/>
        <v>Thu</v>
      </c>
    </row>
    <row r="990" spans="1:11" x14ac:dyDescent="0.35">
      <c r="A990" s="1">
        <v>36997</v>
      </c>
      <c r="B990">
        <v>0.72500002384185702</v>
      </c>
      <c r="C990">
        <v>0.72699999809265103</v>
      </c>
      <c r="D990">
        <v>0.68250000476837103</v>
      </c>
      <c r="E990">
        <v>0.70149999856948797</v>
      </c>
      <c r="F990">
        <v>0.70149999856948797</v>
      </c>
      <c r="G990">
        <v>126202000</v>
      </c>
      <c r="H990">
        <f t="shared" si="60"/>
        <v>2001</v>
      </c>
      <c r="I990">
        <f t="shared" si="61"/>
        <v>4</v>
      </c>
      <c r="J990" t="str">
        <f t="shared" si="62"/>
        <v>Apr</v>
      </c>
      <c r="K990" t="str">
        <f t="shared" si="63"/>
        <v>Mon</v>
      </c>
    </row>
    <row r="991" spans="1:11" x14ac:dyDescent="0.35">
      <c r="A991" s="1">
        <v>36998</v>
      </c>
      <c r="B991">
        <v>0.69050002098083496</v>
      </c>
      <c r="C991">
        <v>0.74349999427795399</v>
      </c>
      <c r="D991">
        <v>0.6875</v>
      </c>
      <c r="E991">
        <v>0.73699998855590798</v>
      </c>
      <c r="F991">
        <v>0.73699998855590798</v>
      </c>
      <c r="G991">
        <v>101470000</v>
      </c>
      <c r="H991">
        <f t="shared" si="60"/>
        <v>2001</v>
      </c>
      <c r="I991">
        <f t="shared" si="61"/>
        <v>4</v>
      </c>
      <c r="J991" t="str">
        <f t="shared" si="62"/>
        <v>Apr</v>
      </c>
      <c r="K991" t="str">
        <f t="shared" si="63"/>
        <v>Tue</v>
      </c>
    </row>
    <row r="992" spans="1:11" x14ac:dyDescent="0.35">
      <c r="A992" s="1">
        <v>36999</v>
      </c>
      <c r="B992">
        <v>0.78299999237060502</v>
      </c>
      <c r="C992">
        <v>0.90799999237060502</v>
      </c>
      <c r="D992">
        <v>0.77749997377395597</v>
      </c>
      <c r="E992">
        <v>0.82700002193450906</v>
      </c>
      <c r="F992">
        <v>0.82700002193450906</v>
      </c>
      <c r="G992">
        <v>391100000</v>
      </c>
      <c r="H992">
        <f t="shared" si="60"/>
        <v>2001</v>
      </c>
      <c r="I992">
        <f t="shared" si="61"/>
        <v>4</v>
      </c>
      <c r="J992" t="str">
        <f t="shared" si="62"/>
        <v>Apr</v>
      </c>
      <c r="K992" t="str">
        <f t="shared" si="63"/>
        <v>Wed</v>
      </c>
    </row>
    <row r="993" spans="1:11" x14ac:dyDescent="0.35">
      <c r="A993" s="1">
        <v>37000</v>
      </c>
      <c r="B993">
        <v>0.84500002861022905</v>
      </c>
      <c r="C993">
        <v>0.84500002861022905</v>
      </c>
      <c r="D993">
        <v>0.78450000286102295</v>
      </c>
      <c r="E993">
        <v>0.79949998855590798</v>
      </c>
      <c r="F993">
        <v>0.79949998855590798</v>
      </c>
      <c r="G993">
        <v>174852000</v>
      </c>
      <c r="H993">
        <f t="shared" si="60"/>
        <v>2001</v>
      </c>
      <c r="I993">
        <f t="shared" si="61"/>
        <v>4</v>
      </c>
      <c r="J993" t="str">
        <f t="shared" si="62"/>
        <v>Apr</v>
      </c>
      <c r="K993" t="str">
        <f t="shared" si="63"/>
        <v>Thu</v>
      </c>
    </row>
    <row r="994" spans="1:11" x14ac:dyDescent="0.35">
      <c r="A994" s="1">
        <v>37001</v>
      </c>
      <c r="B994">
        <v>0.78100001811981201</v>
      </c>
      <c r="C994">
        <v>0.81000000238418501</v>
      </c>
      <c r="D994">
        <v>0.74849998950958196</v>
      </c>
      <c r="E994">
        <v>0.78899997472762995</v>
      </c>
      <c r="F994">
        <v>0.78899997472762995</v>
      </c>
      <c r="G994">
        <v>170442000</v>
      </c>
      <c r="H994">
        <f t="shared" si="60"/>
        <v>2001</v>
      </c>
      <c r="I994">
        <f t="shared" si="61"/>
        <v>4</v>
      </c>
      <c r="J994" t="str">
        <f t="shared" si="62"/>
        <v>Apr</v>
      </c>
      <c r="K994" t="str">
        <f t="shared" si="63"/>
        <v>Fri</v>
      </c>
    </row>
    <row r="995" spans="1:11" x14ac:dyDescent="0.35">
      <c r="A995" s="1">
        <v>37004</v>
      </c>
      <c r="B995">
        <v>0.81950002908706598</v>
      </c>
      <c r="C995">
        <v>0.87300002574920599</v>
      </c>
      <c r="D995">
        <v>0.80099999904632502</v>
      </c>
      <c r="E995">
        <v>0.81000000238418501</v>
      </c>
      <c r="F995">
        <v>0.81000000238418501</v>
      </c>
      <c r="G995">
        <v>233792000</v>
      </c>
      <c r="H995">
        <f t="shared" si="60"/>
        <v>2001</v>
      </c>
      <c r="I995">
        <f t="shared" si="61"/>
        <v>4</v>
      </c>
      <c r="J995" t="str">
        <f t="shared" si="62"/>
        <v>Apr</v>
      </c>
      <c r="K995" t="str">
        <f t="shared" si="63"/>
        <v>Mon</v>
      </c>
    </row>
    <row r="996" spans="1:11" x14ac:dyDescent="0.35">
      <c r="A996" s="1">
        <v>37005</v>
      </c>
      <c r="B996">
        <v>0.82200002670287997</v>
      </c>
      <c r="C996">
        <v>0.83999997377395597</v>
      </c>
      <c r="D996">
        <v>0.77399998903274503</v>
      </c>
      <c r="E996">
        <v>0.78399997949600198</v>
      </c>
      <c r="F996">
        <v>0.78399997949600198</v>
      </c>
      <c r="G996">
        <v>141652000</v>
      </c>
      <c r="H996">
        <f t="shared" si="60"/>
        <v>2001</v>
      </c>
      <c r="I996">
        <f t="shared" si="61"/>
        <v>4</v>
      </c>
      <c r="J996" t="str">
        <f t="shared" si="62"/>
        <v>Apr</v>
      </c>
      <c r="K996" t="str">
        <f t="shared" si="63"/>
        <v>Tue</v>
      </c>
    </row>
    <row r="997" spans="1:11" x14ac:dyDescent="0.35">
      <c r="A997" s="1">
        <v>37006</v>
      </c>
      <c r="B997">
        <v>0.78450000286102295</v>
      </c>
      <c r="C997">
        <v>0.80500000715255704</v>
      </c>
      <c r="D997">
        <v>0.730000019073486</v>
      </c>
      <c r="E997">
        <v>0.80449998378753595</v>
      </c>
      <c r="F997">
        <v>0.80449998378753595</v>
      </c>
      <c r="G997">
        <v>186342000</v>
      </c>
      <c r="H997">
        <f t="shared" si="60"/>
        <v>2001</v>
      </c>
      <c r="I997">
        <f t="shared" si="61"/>
        <v>4</v>
      </c>
      <c r="J997" t="str">
        <f t="shared" si="62"/>
        <v>Apr</v>
      </c>
      <c r="K997" t="str">
        <f t="shared" si="63"/>
        <v>Wed</v>
      </c>
    </row>
    <row r="998" spans="1:11" x14ac:dyDescent="0.35">
      <c r="A998" s="1">
        <v>37007</v>
      </c>
      <c r="B998">
        <v>0.8125</v>
      </c>
      <c r="C998">
        <v>0.82499998807907104</v>
      </c>
      <c r="D998">
        <v>0.75</v>
      </c>
      <c r="E998">
        <v>0.77149999141693104</v>
      </c>
      <c r="F998">
        <v>0.77149999141693104</v>
      </c>
      <c r="G998">
        <v>119212000</v>
      </c>
      <c r="H998">
        <f t="shared" si="60"/>
        <v>2001</v>
      </c>
      <c r="I998">
        <f t="shared" si="61"/>
        <v>4</v>
      </c>
      <c r="J998" t="str">
        <f t="shared" si="62"/>
        <v>Apr</v>
      </c>
      <c r="K998" t="str">
        <f t="shared" si="63"/>
        <v>Thu</v>
      </c>
    </row>
    <row r="999" spans="1:11" x14ac:dyDescent="0.35">
      <c r="A999" s="1">
        <v>37008</v>
      </c>
      <c r="B999">
        <v>0.78600001335143999</v>
      </c>
      <c r="C999">
        <v>0.78649997711181596</v>
      </c>
      <c r="D999">
        <v>0.75099998712539595</v>
      </c>
      <c r="E999">
        <v>0.763499975204467</v>
      </c>
      <c r="F999">
        <v>0.763499975204467</v>
      </c>
      <c r="G999">
        <v>88920000</v>
      </c>
      <c r="H999">
        <f t="shared" si="60"/>
        <v>2001</v>
      </c>
      <c r="I999">
        <f t="shared" si="61"/>
        <v>4</v>
      </c>
      <c r="J999" t="str">
        <f t="shared" si="62"/>
        <v>Apr</v>
      </c>
      <c r="K999" t="str">
        <f t="shared" si="63"/>
        <v>Fri</v>
      </c>
    </row>
    <row r="1000" spans="1:11" x14ac:dyDescent="0.35">
      <c r="A1000" s="1">
        <v>37011</v>
      </c>
      <c r="B1000">
        <v>0.78149998188018799</v>
      </c>
      <c r="C1000">
        <v>0.84500002861022905</v>
      </c>
      <c r="D1000">
        <v>0.77950000762939398</v>
      </c>
      <c r="E1000">
        <v>0.78899997472762995</v>
      </c>
      <c r="F1000">
        <v>0.78899997472762995</v>
      </c>
      <c r="G1000">
        <v>115606000</v>
      </c>
      <c r="H1000">
        <f t="shared" si="60"/>
        <v>2001</v>
      </c>
      <c r="I1000">
        <f t="shared" si="61"/>
        <v>4</v>
      </c>
      <c r="J1000" t="str">
        <f t="shared" si="62"/>
        <v>Apr</v>
      </c>
      <c r="K1000" t="str">
        <f t="shared" si="63"/>
        <v>Mon</v>
      </c>
    </row>
    <row r="1001" spans="1:11" x14ac:dyDescent="0.35">
      <c r="A1001" s="1">
        <v>37012</v>
      </c>
      <c r="B1001">
        <v>0.79500001668929998</v>
      </c>
      <c r="C1001">
        <v>0.85000002384185702</v>
      </c>
      <c r="D1001">
        <v>0.79000002145767201</v>
      </c>
      <c r="E1001">
        <v>0.84450000524520796</v>
      </c>
      <c r="F1001">
        <v>0.84450000524520796</v>
      </c>
      <c r="G1001">
        <v>102158000</v>
      </c>
      <c r="H1001">
        <f t="shared" si="60"/>
        <v>2001</v>
      </c>
      <c r="I1001">
        <f t="shared" si="61"/>
        <v>5</v>
      </c>
      <c r="J1001" t="str">
        <f t="shared" si="62"/>
        <v>May</v>
      </c>
      <c r="K1001" t="str">
        <f t="shared" si="63"/>
        <v>Tue</v>
      </c>
    </row>
    <row r="1002" spans="1:11" x14ac:dyDescent="0.35">
      <c r="A1002" s="1">
        <v>37013</v>
      </c>
      <c r="B1002">
        <v>0.85699999332427901</v>
      </c>
      <c r="C1002">
        <v>0.87150001525878895</v>
      </c>
      <c r="D1002">
        <v>0.84200000762939398</v>
      </c>
      <c r="E1002">
        <v>0.85549998283386197</v>
      </c>
      <c r="F1002">
        <v>0.85549998283386197</v>
      </c>
      <c r="G1002">
        <v>149944000</v>
      </c>
      <c r="H1002">
        <f t="shared" si="60"/>
        <v>2001</v>
      </c>
      <c r="I1002">
        <f t="shared" si="61"/>
        <v>5</v>
      </c>
      <c r="J1002" t="str">
        <f t="shared" si="62"/>
        <v>May</v>
      </c>
      <c r="K1002" t="str">
        <f t="shared" si="63"/>
        <v>Wed</v>
      </c>
    </row>
    <row r="1003" spans="1:11" x14ac:dyDescent="0.35">
      <c r="A1003" s="1">
        <v>37014</v>
      </c>
      <c r="B1003">
        <v>0.841499984264373</v>
      </c>
      <c r="C1003">
        <v>0.85000002384185702</v>
      </c>
      <c r="D1003">
        <v>0.8125</v>
      </c>
      <c r="E1003">
        <v>0.83749997615814198</v>
      </c>
      <c r="F1003">
        <v>0.83749997615814198</v>
      </c>
      <c r="G1003">
        <v>100200000</v>
      </c>
      <c r="H1003">
        <f t="shared" si="60"/>
        <v>2001</v>
      </c>
      <c r="I1003">
        <f t="shared" si="61"/>
        <v>5</v>
      </c>
      <c r="J1003" t="str">
        <f t="shared" si="62"/>
        <v>May</v>
      </c>
      <c r="K1003" t="str">
        <f t="shared" si="63"/>
        <v>Thu</v>
      </c>
    </row>
    <row r="1004" spans="1:11" x14ac:dyDescent="0.35">
      <c r="A1004" s="1">
        <v>37015</v>
      </c>
      <c r="B1004">
        <v>0.81749999523162797</v>
      </c>
      <c r="C1004">
        <v>0.87999999523162797</v>
      </c>
      <c r="D1004">
        <v>0.79650002717971802</v>
      </c>
      <c r="E1004">
        <v>0.87800002098083496</v>
      </c>
      <c r="F1004">
        <v>0.87800002098083496</v>
      </c>
      <c r="G1004">
        <v>131690000</v>
      </c>
      <c r="H1004">
        <f t="shared" si="60"/>
        <v>2001</v>
      </c>
      <c r="I1004">
        <f t="shared" si="61"/>
        <v>5</v>
      </c>
      <c r="J1004" t="str">
        <f t="shared" si="62"/>
        <v>May</v>
      </c>
      <c r="K1004" t="str">
        <f t="shared" si="63"/>
        <v>Fri</v>
      </c>
    </row>
    <row r="1005" spans="1:11" x14ac:dyDescent="0.35">
      <c r="A1005" s="1">
        <v>37018</v>
      </c>
      <c r="B1005">
        <v>0.86799997091293302</v>
      </c>
      <c r="C1005">
        <v>0.87650001049041704</v>
      </c>
      <c r="D1005">
        <v>0.82550001144409102</v>
      </c>
      <c r="E1005">
        <v>0.846000015735626</v>
      </c>
      <c r="F1005">
        <v>0.846000015735626</v>
      </c>
      <c r="G1005">
        <v>101674000</v>
      </c>
      <c r="H1005">
        <f t="shared" si="60"/>
        <v>2001</v>
      </c>
      <c r="I1005">
        <f t="shared" si="61"/>
        <v>5</v>
      </c>
      <c r="J1005" t="str">
        <f t="shared" si="62"/>
        <v>May</v>
      </c>
      <c r="K1005" t="str">
        <f t="shared" si="63"/>
        <v>Mon</v>
      </c>
    </row>
    <row r="1006" spans="1:11" x14ac:dyDescent="0.35">
      <c r="A1006" s="1">
        <v>37019</v>
      </c>
      <c r="B1006">
        <v>0.81400001049041704</v>
      </c>
      <c r="C1006">
        <v>0.82450002431869496</v>
      </c>
      <c r="D1006">
        <v>0.77999997138976995</v>
      </c>
      <c r="E1006">
        <v>0.80900001525878895</v>
      </c>
      <c r="F1006">
        <v>0.80900001525878895</v>
      </c>
      <c r="G1006">
        <v>143830000</v>
      </c>
      <c r="H1006">
        <f t="shared" si="60"/>
        <v>2001</v>
      </c>
      <c r="I1006">
        <f t="shared" si="61"/>
        <v>5</v>
      </c>
      <c r="J1006" t="str">
        <f t="shared" si="62"/>
        <v>May</v>
      </c>
      <c r="K1006" t="str">
        <f t="shared" si="63"/>
        <v>Tue</v>
      </c>
    </row>
    <row r="1007" spans="1:11" x14ac:dyDescent="0.35">
      <c r="A1007" s="1">
        <v>37020</v>
      </c>
      <c r="B1007">
        <v>0.77749997377395597</v>
      </c>
      <c r="C1007">
        <v>0.78299999237060502</v>
      </c>
      <c r="D1007">
        <v>0.75</v>
      </c>
      <c r="E1007">
        <v>0.75050002336501997</v>
      </c>
      <c r="F1007">
        <v>0.75050002336501997</v>
      </c>
      <c r="G1007">
        <v>93420000</v>
      </c>
      <c r="H1007">
        <f t="shared" si="60"/>
        <v>2001</v>
      </c>
      <c r="I1007">
        <f t="shared" si="61"/>
        <v>5</v>
      </c>
      <c r="J1007" t="str">
        <f t="shared" si="62"/>
        <v>May</v>
      </c>
      <c r="K1007" t="str">
        <f t="shared" si="63"/>
        <v>Wed</v>
      </c>
    </row>
    <row r="1008" spans="1:11" x14ac:dyDescent="0.35">
      <c r="A1008" s="1">
        <v>37021</v>
      </c>
      <c r="B1008">
        <v>0.76999998092651301</v>
      </c>
      <c r="C1008">
        <v>0.78200000524520796</v>
      </c>
      <c r="D1008">
        <v>0.730000019073486</v>
      </c>
      <c r="E1008">
        <v>0.73100000619888295</v>
      </c>
      <c r="F1008">
        <v>0.73100000619888295</v>
      </c>
      <c r="G1008">
        <v>100252000</v>
      </c>
      <c r="H1008">
        <f t="shared" si="60"/>
        <v>2001</v>
      </c>
      <c r="I1008">
        <f t="shared" si="61"/>
        <v>5</v>
      </c>
      <c r="J1008" t="str">
        <f t="shared" si="62"/>
        <v>May</v>
      </c>
      <c r="K1008" t="str">
        <f t="shared" si="63"/>
        <v>Thu</v>
      </c>
    </row>
    <row r="1009" spans="1:11" x14ac:dyDescent="0.35">
      <c r="A1009" s="1">
        <v>37022</v>
      </c>
      <c r="B1009">
        <v>0.72750002145767201</v>
      </c>
      <c r="C1009">
        <v>0.74000000953674305</v>
      </c>
      <c r="D1009">
        <v>0.69999998807907104</v>
      </c>
      <c r="E1009">
        <v>0.73400002717971802</v>
      </c>
      <c r="F1009">
        <v>0.73400002717971802</v>
      </c>
      <c r="G1009">
        <v>69738000</v>
      </c>
      <c r="H1009">
        <f t="shared" si="60"/>
        <v>2001</v>
      </c>
      <c r="I1009">
        <f t="shared" si="61"/>
        <v>5</v>
      </c>
      <c r="J1009" t="str">
        <f t="shared" si="62"/>
        <v>May</v>
      </c>
      <c r="K1009" t="str">
        <f t="shared" si="63"/>
        <v>Fri</v>
      </c>
    </row>
    <row r="1010" spans="1:11" x14ac:dyDescent="0.35">
      <c r="A1010" s="1">
        <v>37025</v>
      </c>
      <c r="B1010">
        <v>0.72649997472762995</v>
      </c>
      <c r="C1010">
        <v>0.72649997472762995</v>
      </c>
      <c r="D1010">
        <v>0.65799999237060502</v>
      </c>
      <c r="E1010">
        <v>0.66649997234344405</v>
      </c>
      <c r="F1010">
        <v>0.66649997234344405</v>
      </c>
      <c r="G1010">
        <v>123884000</v>
      </c>
      <c r="H1010">
        <f t="shared" si="60"/>
        <v>2001</v>
      </c>
      <c r="I1010">
        <f t="shared" si="61"/>
        <v>5</v>
      </c>
      <c r="J1010" t="str">
        <f t="shared" si="62"/>
        <v>May</v>
      </c>
      <c r="K1010" t="str">
        <f t="shared" si="63"/>
        <v>Mon</v>
      </c>
    </row>
    <row r="1011" spans="1:11" x14ac:dyDescent="0.35">
      <c r="A1011" s="1">
        <v>37026</v>
      </c>
      <c r="B1011">
        <v>0.667500019073486</v>
      </c>
      <c r="C1011">
        <v>0.71499997377395597</v>
      </c>
      <c r="D1011">
        <v>0.65700000524520796</v>
      </c>
      <c r="E1011">
        <v>0.67699998617172197</v>
      </c>
      <c r="F1011">
        <v>0.67699998617172197</v>
      </c>
      <c r="G1011">
        <v>122624000</v>
      </c>
      <c r="H1011">
        <f t="shared" si="60"/>
        <v>2001</v>
      </c>
      <c r="I1011">
        <f t="shared" si="61"/>
        <v>5</v>
      </c>
      <c r="J1011" t="str">
        <f t="shared" si="62"/>
        <v>May</v>
      </c>
      <c r="K1011" t="str">
        <f t="shared" si="63"/>
        <v>Tue</v>
      </c>
    </row>
    <row r="1012" spans="1:11" x14ac:dyDescent="0.35">
      <c r="A1012" s="1">
        <v>37027</v>
      </c>
      <c r="B1012">
        <v>0.67250001430511397</v>
      </c>
      <c r="C1012">
        <v>0.71899998188018799</v>
      </c>
      <c r="D1012">
        <v>0.65499997138976995</v>
      </c>
      <c r="E1012">
        <v>0.70649999380111606</v>
      </c>
      <c r="F1012">
        <v>0.70649999380111606</v>
      </c>
      <c r="G1012">
        <v>145580000</v>
      </c>
      <c r="H1012">
        <f t="shared" si="60"/>
        <v>2001</v>
      </c>
      <c r="I1012">
        <f t="shared" si="61"/>
        <v>5</v>
      </c>
      <c r="J1012" t="str">
        <f t="shared" si="62"/>
        <v>May</v>
      </c>
      <c r="K1012" t="str">
        <f t="shared" si="63"/>
        <v>Wed</v>
      </c>
    </row>
    <row r="1013" spans="1:11" x14ac:dyDescent="0.35">
      <c r="A1013" s="1">
        <v>37028</v>
      </c>
      <c r="B1013">
        <v>0.70450001955032304</v>
      </c>
      <c r="C1013">
        <v>0.75</v>
      </c>
      <c r="D1013">
        <v>0.70149999856948797</v>
      </c>
      <c r="E1013">
        <v>0.73900002241134599</v>
      </c>
      <c r="F1013">
        <v>0.73900002241134599</v>
      </c>
      <c r="G1013">
        <v>135108000</v>
      </c>
      <c r="H1013">
        <f t="shared" si="60"/>
        <v>2001</v>
      </c>
      <c r="I1013">
        <f t="shared" si="61"/>
        <v>5</v>
      </c>
      <c r="J1013" t="str">
        <f t="shared" si="62"/>
        <v>May</v>
      </c>
      <c r="K1013" t="str">
        <f t="shared" si="63"/>
        <v>Thu</v>
      </c>
    </row>
    <row r="1014" spans="1:11" x14ac:dyDescent="0.35">
      <c r="A1014" s="1">
        <v>37029</v>
      </c>
      <c r="B1014">
        <v>0.74150002002715998</v>
      </c>
      <c r="C1014">
        <v>0.75</v>
      </c>
      <c r="D1014">
        <v>0.72500002384185702</v>
      </c>
      <c r="E1014">
        <v>0.73600000143051103</v>
      </c>
      <c r="F1014">
        <v>0.73600000143051103</v>
      </c>
      <c r="G1014">
        <v>101436000</v>
      </c>
      <c r="H1014">
        <f t="shared" si="60"/>
        <v>2001</v>
      </c>
      <c r="I1014">
        <f t="shared" si="61"/>
        <v>5</v>
      </c>
      <c r="J1014" t="str">
        <f t="shared" si="62"/>
        <v>May</v>
      </c>
      <c r="K1014" t="str">
        <f t="shared" si="63"/>
        <v>Fri</v>
      </c>
    </row>
    <row r="1015" spans="1:11" x14ac:dyDescent="0.35">
      <c r="A1015" s="1">
        <v>37032</v>
      </c>
      <c r="B1015">
        <v>0.74750000238418501</v>
      </c>
      <c r="C1015">
        <v>0.82099997997283902</v>
      </c>
      <c r="D1015">
        <v>0.73750001192092896</v>
      </c>
      <c r="E1015">
        <v>0.81900000572204501</v>
      </c>
      <c r="F1015">
        <v>0.81900000572204501</v>
      </c>
      <c r="G1015">
        <v>144648000</v>
      </c>
      <c r="H1015">
        <f t="shared" si="60"/>
        <v>2001</v>
      </c>
      <c r="I1015">
        <f t="shared" si="61"/>
        <v>5</v>
      </c>
      <c r="J1015" t="str">
        <f t="shared" si="62"/>
        <v>May</v>
      </c>
      <c r="K1015" t="str">
        <f t="shared" si="63"/>
        <v>Mon</v>
      </c>
    </row>
    <row r="1016" spans="1:11" x14ac:dyDescent="0.35">
      <c r="A1016" s="1">
        <v>37033</v>
      </c>
      <c r="B1016">
        <v>0.83950001001357999</v>
      </c>
      <c r="C1016">
        <v>0.85000002384185702</v>
      </c>
      <c r="D1016">
        <v>0.79500001668929998</v>
      </c>
      <c r="E1016">
        <v>0.8125</v>
      </c>
      <c r="F1016">
        <v>0.8125</v>
      </c>
      <c r="G1016">
        <v>146180000</v>
      </c>
      <c r="H1016">
        <f t="shared" si="60"/>
        <v>2001</v>
      </c>
      <c r="I1016">
        <f t="shared" si="61"/>
        <v>5</v>
      </c>
      <c r="J1016" t="str">
        <f t="shared" si="62"/>
        <v>May</v>
      </c>
      <c r="K1016" t="str">
        <f t="shared" si="63"/>
        <v>Tue</v>
      </c>
    </row>
    <row r="1017" spans="1:11" x14ac:dyDescent="0.35">
      <c r="A1017" s="1">
        <v>37034</v>
      </c>
      <c r="B1017">
        <v>0.81000000238418501</v>
      </c>
      <c r="C1017">
        <v>0.83999997377395597</v>
      </c>
      <c r="D1017">
        <v>0.75599998235702504</v>
      </c>
      <c r="E1017">
        <v>0.77999997138976995</v>
      </c>
      <c r="F1017">
        <v>0.77999997138976995</v>
      </c>
      <c r="G1017">
        <v>178530000</v>
      </c>
      <c r="H1017">
        <f t="shared" si="60"/>
        <v>2001</v>
      </c>
      <c r="I1017">
        <f t="shared" si="61"/>
        <v>5</v>
      </c>
      <c r="J1017" t="str">
        <f t="shared" si="62"/>
        <v>May</v>
      </c>
      <c r="K1017" t="str">
        <f t="shared" si="63"/>
        <v>Wed</v>
      </c>
    </row>
    <row r="1018" spans="1:11" x14ac:dyDescent="0.35">
      <c r="A1018" s="1">
        <v>37035</v>
      </c>
      <c r="B1018">
        <v>0.78549998998641901</v>
      </c>
      <c r="C1018">
        <v>0.83749997615814198</v>
      </c>
      <c r="D1018">
        <v>0.76249998807907104</v>
      </c>
      <c r="E1018">
        <v>0.83749997615814198</v>
      </c>
      <c r="F1018">
        <v>0.83749997615814198</v>
      </c>
      <c r="G1018">
        <v>106698000</v>
      </c>
      <c r="H1018">
        <f t="shared" si="60"/>
        <v>2001</v>
      </c>
      <c r="I1018">
        <f t="shared" si="61"/>
        <v>5</v>
      </c>
      <c r="J1018" t="str">
        <f t="shared" si="62"/>
        <v>May</v>
      </c>
      <c r="K1018" t="str">
        <f t="shared" si="63"/>
        <v>Thu</v>
      </c>
    </row>
    <row r="1019" spans="1:11" x14ac:dyDescent="0.35">
      <c r="A1019" s="1">
        <v>37036</v>
      </c>
      <c r="B1019">
        <v>0.83249998092651301</v>
      </c>
      <c r="C1019">
        <v>0.87650001049041704</v>
      </c>
      <c r="D1019">
        <v>0.81849998235702504</v>
      </c>
      <c r="E1019">
        <v>0.85449999570846502</v>
      </c>
      <c r="F1019">
        <v>0.85449999570846502</v>
      </c>
      <c r="G1019">
        <v>138574000</v>
      </c>
      <c r="H1019">
        <f t="shared" si="60"/>
        <v>2001</v>
      </c>
      <c r="I1019">
        <f t="shared" si="61"/>
        <v>5</v>
      </c>
      <c r="J1019" t="str">
        <f t="shared" si="62"/>
        <v>May</v>
      </c>
      <c r="K1019" t="str">
        <f t="shared" si="63"/>
        <v>Fri</v>
      </c>
    </row>
    <row r="1020" spans="1:11" x14ac:dyDescent="0.35">
      <c r="A1020" s="1">
        <v>37040</v>
      </c>
      <c r="B1020">
        <v>0.86049997806548995</v>
      </c>
      <c r="C1020">
        <v>0.87699997425079301</v>
      </c>
      <c r="D1020">
        <v>0.83499997854232699</v>
      </c>
      <c r="E1020">
        <v>0.86100000143051103</v>
      </c>
      <c r="F1020">
        <v>0.86100000143051103</v>
      </c>
      <c r="G1020">
        <v>187898000</v>
      </c>
      <c r="H1020">
        <f t="shared" si="60"/>
        <v>2001</v>
      </c>
      <c r="I1020">
        <f t="shared" si="61"/>
        <v>5</v>
      </c>
      <c r="J1020" t="str">
        <f t="shared" si="62"/>
        <v>May</v>
      </c>
      <c r="K1020" t="str">
        <f t="shared" si="63"/>
        <v>Tue</v>
      </c>
    </row>
    <row r="1021" spans="1:11" x14ac:dyDescent="0.35">
      <c r="A1021" s="1">
        <v>37041</v>
      </c>
      <c r="B1021">
        <v>0.82700002193450906</v>
      </c>
      <c r="C1021">
        <v>0.85000002384185702</v>
      </c>
      <c r="D1021">
        <v>0.78100001811981201</v>
      </c>
      <c r="E1021">
        <v>0.78299999237060502</v>
      </c>
      <c r="F1021">
        <v>0.78299999237060502</v>
      </c>
      <c r="G1021">
        <v>177028000</v>
      </c>
      <c r="H1021">
        <f t="shared" si="60"/>
        <v>2001</v>
      </c>
      <c r="I1021">
        <f t="shared" si="61"/>
        <v>5</v>
      </c>
      <c r="J1021" t="str">
        <f t="shared" si="62"/>
        <v>May</v>
      </c>
      <c r="K1021" t="str">
        <f t="shared" si="63"/>
        <v>Wed</v>
      </c>
    </row>
    <row r="1022" spans="1:11" x14ac:dyDescent="0.35">
      <c r="A1022" s="1">
        <v>37042</v>
      </c>
      <c r="B1022">
        <v>0.79199999570846502</v>
      </c>
      <c r="C1022">
        <v>0.86000001430511397</v>
      </c>
      <c r="D1022">
        <v>0.78750002384185702</v>
      </c>
      <c r="E1022">
        <v>0.83450001478195102</v>
      </c>
      <c r="F1022">
        <v>0.83450001478195102</v>
      </c>
      <c r="G1022">
        <v>192640000</v>
      </c>
      <c r="H1022">
        <f t="shared" si="60"/>
        <v>2001</v>
      </c>
      <c r="I1022">
        <f t="shared" si="61"/>
        <v>5</v>
      </c>
      <c r="J1022" t="str">
        <f t="shared" si="62"/>
        <v>May</v>
      </c>
      <c r="K1022" t="str">
        <f t="shared" si="63"/>
        <v>Thu</v>
      </c>
    </row>
    <row r="1023" spans="1:11" x14ac:dyDescent="0.35">
      <c r="A1023" s="1">
        <v>37043</v>
      </c>
      <c r="B1023">
        <v>0.86100000143051103</v>
      </c>
      <c r="C1023">
        <v>0.86549997329711903</v>
      </c>
      <c r="D1023">
        <v>0.81950002908706598</v>
      </c>
      <c r="E1023">
        <v>0.84750002622604304</v>
      </c>
      <c r="F1023">
        <v>0.84750002622604304</v>
      </c>
      <c r="G1023">
        <v>129372000</v>
      </c>
      <c r="H1023">
        <f t="shared" si="60"/>
        <v>2001</v>
      </c>
      <c r="I1023">
        <f t="shared" si="61"/>
        <v>6</v>
      </c>
      <c r="J1023" t="str">
        <f t="shared" si="62"/>
        <v>Jun</v>
      </c>
      <c r="K1023" t="str">
        <f t="shared" si="63"/>
        <v>Fri</v>
      </c>
    </row>
    <row r="1024" spans="1:11" x14ac:dyDescent="0.35">
      <c r="A1024" s="1">
        <v>37046</v>
      </c>
      <c r="B1024">
        <v>0.865999996662139</v>
      </c>
      <c r="C1024">
        <v>0.87000000476837103</v>
      </c>
      <c r="D1024">
        <v>0.80750000476837103</v>
      </c>
      <c r="E1024">
        <v>0.84549999237060502</v>
      </c>
      <c r="F1024">
        <v>0.84549999237060502</v>
      </c>
      <c r="G1024">
        <v>122820000</v>
      </c>
      <c r="H1024">
        <f t="shared" si="60"/>
        <v>2001</v>
      </c>
      <c r="I1024">
        <f t="shared" si="61"/>
        <v>6</v>
      </c>
      <c r="J1024" t="str">
        <f t="shared" si="62"/>
        <v>Jun</v>
      </c>
      <c r="K1024" t="str">
        <f t="shared" si="63"/>
        <v>Mon</v>
      </c>
    </row>
    <row r="1025" spans="1:11" x14ac:dyDescent="0.35">
      <c r="A1025" s="1">
        <v>37047</v>
      </c>
      <c r="B1025">
        <v>0.85299998521804798</v>
      </c>
      <c r="C1025">
        <v>0.89600002765655495</v>
      </c>
      <c r="D1025">
        <v>0.80000001192092896</v>
      </c>
      <c r="E1025">
        <v>0.82200002670287997</v>
      </c>
      <c r="F1025">
        <v>0.82200002670287997</v>
      </c>
      <c r="G1025">
        <v>255162000</v>
      </c>
      <c r="H1025">
        <f t="shared" si="60"/>
        <v>2001</v>
      </c>
      <c r="I1025">
        <f t="shared" si="61"/>
        <v>6</v>
      </c>
      <c r="J1025" t="str">
        <f t="shared" si="62"/>
        <v>Jun</v>
      </c>
      <c r="K1025" t="str">
        <f t="shared" si="63"/>
        <v>Tue</v>
      </c>
    </row>
    <row r="1026" spans="1:11" x14ac:dyDescent="0.35">
      <c r="A1026" s="1">
        <v>37048</v>
      </c>
      <c r="B1026">
        <v>0.83350002765655495</v>
      </c>
      <c r="C1026">
        <v>0.83600002527236905</v>
      </c>
      <c r="D1026">
        <v>0.77399998903274503</v>
      </c>
      <c r="E1026">
        <v>0.79949998855590798</v>
      </c>
      <c r="F1026">
        <v>0.79949998855590798</v>
      </c>
      <c r="G1026">
        <v>194722000</v>
      </c>
      <c r="H1026">
        <f t="shared" si="60"/>
        <v>2001</v>
      </c>
      <c r="I1026">
        <f t="shared" si="61"/>
        <v>6</v>
      </c>
      <c r="J1026" t="str">
        <f t="shared" si="62"/>
        <v>Jun</v>
      </c>
      <c r="K1026" t="str">
        <f t="shared" si="63"/>
        <v>Wed</v>
      </c>
    </row>
    <row r="1027" spans="1:11" x14ac:dyDescent="0.35">
      <c r="A1027" s="1">
        <v>37049</v>
      </c>
      <c r="B1027">
        <v>0.79100000858306796</v>
      </c>
      <c r="C1027">
        <v>0.81150001287460305</v>
      </c>
      <c r="D1027">
        <v>0.78450000286102295</v>
      </c>
      <c r="E1027">
        <v>0.80650001764297397</v>
      </c>
      <c r="F1027">
        <v>0.80650001764297397</v>
      </c>
      <c r="G1027">
        <v>68904000</v>
      </c>
      <c r="H1027">
        <f t="shared" si="60"/>
        <v>2001</v>
      </c>
      <c r="I1027">
        <f t="shared" si="61"/>
        <v>6</v>
      </c>
      <c r="J1027" t="str">
        <f t="shared" si="62"/>
        <v>Jun</v>
      </c>
      <c r="K1027" t="str">
        <f t="shared" si="63"/>
        <v>Thu</v>
      </c>
    </row>
    <row r="1028" spans="1:11" x14ac:dyDescent="0.35">
      <c r="A1028" s="1">
        <v>37050</v>
      </c>
      <c r="B1028">
        <v>0.8125</v>
      </c>
      <c r="C1028">
        <v>0.81650000810623102</v>
      </c>
      <c r="D1028">
        <v>0.78250002861022905</v>
      </c>
      <c r="E1028">
        <v>0.78500002622604304</v>
      </c>
      <c r="F1028">
        <v>0.78500002622604304</v>
      </c>
      <c r="G1028">
        <v>50166000</v>
      </c>
      <c r="H1028">
        <f t="shared" ref="H1028:H1091" si="64">YEAR($A1028)</f>
        <v>2001</v>
      </c>
      <c r="I1028">
        <f t="shared" ref="I1028:I1091" si="65">MONTH($A1028)</f>
        <v>6</v>
      </c>
      <c r="J1028" t="str">
        <f t="shared" ref="J1028:J1091" si="66">TEXT($A1028,"mmm")</f>
        <v>Jun</v>
      </c>
      <c r="K1028" t="str">
        <f t="shared" ref="K1028:K1091" si="67">TEXT($A1028,"ddd")</f>
        <v>Fri</v>
      </c>
    </row>
    <row r="1029" spans="1:11" x14ac:dyDescent="0.35">
      <c r="A1029" s="1">
        <v>37053</v>
      </c>
      <c r="B1029">
        <v>0.77499997615814198</v>
      </c>
      <c r="C1029">
        <v>0.77749997377395597</v>
      </c>
      <c r="D1029">
        <v>0.72250002622604304</v>
      </c>
      <c r="E1029">
        <v>0.74299997091293302</v>
      </c>
      <c r="F1029">
        <v>0.74299997091293302</v>
      </c>
      <c r="G1029">
        <v>99420000</v>
      </c>
      <c r="H1029">
        <f t="shared" si="64"/>
        <v>2001</v>
      </c>
      <c r="I1029">
        <f t="shared" si="65"/>
        <v>6</v>
      </c>
      <c r="J1029" t="str">
        <f t="shared" si="66"/>
        <v>Jun</v>
      </c>
      <c r="K1029" t="str">
        <f t="shared" si="67"/>
        <v>Mon</v>
      </c>
    </row>
    <row r="1030" spans="1:11" x14ac:dyDescent="0.35">
      <c r="A1030" s="1">
        <v>37054</v>
      </c>
      <c r="B1030">
        <v>0.730000019073486</v>
      </c>
      <c r="C1030">
        <v>0.73949998617172197</v>
      </c>
      <c r="D1030">
        <v>0.71600002050399703</v>
      </c>
      <c r="E1030">
        <v>0.73199999332427901</v>
      </c>
      <c r="F1030">
        <v>0.73199999332427901</v>
      </c>
      <c r="G1030">
        <v>86674000</v>
      </c>
      <c r="H1030">
        <f t="shared" si="64"/>
        <v>2001</v>
      </c>
      <c r="I1030">
        <f t="shared" si="65"/>
        <v>6</v>
      </c>
      <c r="J1030" t="str">
        <f t="shared" si="66"/>
        <v>Jun</v>
      </c>
      <c r="K1030" t="str">
        <f t="shared" si="67"/>
        <v>Tue</v>
      </c>
    </row>
    <row r="1031" spans="1:11" x14ac:dyDescent="0.35">
      <c r="A1031" s="1">
        <v>37055</v>
      </c>
      <c r="B1031">
        <v>0.74800002574920599</v>
      </c>
      <c r="C1031">
        <v>0.75749999284744196</v>
      </c>
      <c r="D1031">
        <v>0.70550000667571999</v>
      </c>
      <c r="E1031">
        <v>0.70599997043609597</v>
      </c>
      <c r="F1031">
        <v>0.70599997043609597</v>
      </c>
      <c r="G1031">
        <v>75688000</v>
      </c>
      <c r="H1031">
        <f t="shared" si="64"/>
        <v>2001</v>
      </c>
      <c r="I1031">
        <f t="shared" si="65"/>
        <v>6</v>
      </c>
      <c r="J1031" t="str">
        <f t="shared" si="66"/>
        <v>Jun</v>
      </c>
      <c r="K1031" t="str">
        <f t="shared" si="67"/>
        <v>Wed</v>
      </c>
    </row>
    <row r="1032" spans="1:11" x14ac:dyDescent="0.35">
      <c r="A1032" s="1">
        <v>37056</v>
      </c>
      <c r="B1032">
        <v>0.70599997043609597</v>
      </c>
      <c r="C1032">
        <v>0.70599997043609597</v>
      </c>
      <c r="D1032">
        <v>0.65799999237060502</v>
      </c>
      <c r="E1032">
        <v>0.66449999809265103</v>
      </c>
      <c r="F1032">
        <v>0.66449999809265103</v>
      </c>
      <c r="G1032">
        <v>101766000</v>
      </c>
      <c r="H1032">
        <f t="shared" si="64"/>
        <v>2001</v>
      </c>
      <c r="I1032">
        <f t="shared" si="65"/>
        <v>6</v>
      </c>
      <c r="J1032" t="str">
        <f t="shared" si="66"/>
        <v>Jun</v>
      </c>
      <c r="K1032" t="str">
        <f t="shared" si="67"/>
        <v>Thu</v>
      </c>
    </row>
    <row r="1033" spans="1:11" x14ac:dyDescent="0.35">
      <c r="A1033" s="1">
        <v>37057</v>
      </c>
      <c r="B1033">
        <v>0.65049999952316195</v>
      </c>
      <c r="C1033">
        <v>0.67299997806548995</v>
      </c>
      <c r="D1033">
        <v>0.61500000953674305</v>
      </c>
      <c r="E1033">
        <v>0.62449997663497903</v>
      </c>
      <c r="F1033">
        <v>0.62449997663497903</v>
      </c>
      <c r="G1033">
        <v>153432000</v>
      </c>
      <c r="H1033">
        <f t="shared" si="64"/>
        <v>2001</v>
      </c>
      <c r="I1033">
        <f t="shared" si="65"/>
        <v>6</v>
      </c>
      <c r="J1033" t="str">
        <f t="shared" si="66"/>
        <v>Jun</v>
      </c>
      <c r="K1033" t="str">
        <f t="shared" si="67"/>
        <v>Fri</v>
      </c>
    </row>
    <row r="1034" spans="1:11" x14ac:dyDescent="0.35">
      <c r="A1034" s="1">
        <v>37060</v>
      </c>
      <c r="B1034">
        <v>0.62250000238418501</v>
      </c>
      <c r="C1034">
        <v>0.63499999046325595</v>
      </c>
      <c r="D1034">
        <v>0.58350002765655495</v>
      </c>
      <c r="E1034">
        <v>0.591499984264373</v>
      </c>
      <c r="F1034">
        <v>0.591499984264373</v>
      </c>
      <c r="G1034">
        <v>114342000</v>
      </c>
      <c r="H1034">
        <f t="shared" si="64"/>
        <v>2001</v>
      </c>
      <c r="I1034">
        <f t="shared" si="65"/>
        <v>6</v>
      </c>
      <c r="J1034" t="str">
        <f t="shared" si="66"/>
        <v>Jun</v>
      </c>
      <c r="K1034" t="str">
        <f t="shared" si="67"/>
        <v>Mon</v>
      </c>
    </row>
    <row r="1035" spans="1:11" x14ac:dyDescent="0.35">
      <c r="A1035" s="1">
        <v>37061</v>
      </c>
      <c r="B1035">
        <v>0.62250000238418501</v>
      </c>
      <c r="C1035">
        <v>0.63249999284744196</v>
      </c>
      <c r="D1035">
        <v>0.56000000238418501</v>
      </c>
      <c r="E1035">
        <v>0.56800001859664895</v>
      </c>
      <c r="F1035">
        <v>0.56800001859664895</v>
      </c>
      <c r="G1035">
        <v>122190000</v>
      </c>
      <c r="H1035">
        <f t="shared" si="64"/>
        <v>2001</v>
      </c>
      <c r="I1035">
        <f t="shared" si="65"/>
        <v>6</v>
      </c>
      <c r="J1035" t="str">
        <f t="shared" si="66"/>
        <v>Jun</v>
      </c>
      <c r="K1035" t="str">
        <f t="shared" si="67"/>
        <v>Tue</v>
      </c>
    </row>
    <row r="1036" spans="1:11" x14ac:dyDescent="0.35">
      <c r="A1036" s="1">
        <v>37062</v>
      </c>
      <c r="B1036">
        <v>0.56349998712539595</v>
      </c>
      <c r="C1036">
        <v>0.63499999046325595</v>
      </c>
      <c r="D1036">
        <v>0.56000000238418501</v>
      </c>
      <c r="E1036">
        <v>0.62650001049041704</v>
      </c>
      <c r="F1036">
        <v>0.62650001049041704</v>
      </c>
      <c r="G1036">
        <v>213046000</v>
      </c>
      <c r="H1036">
        <f t="shared" si="64"/>
        <v>2001</v>
      </c>
      <c r="I1036">
        <f t="shared" si="65"/>
        <v>6</v>
      </c>
      <c r="J1036" t="str">
        <f t="shared" si="66"/>
        <v>Jun</v>
      </c>
      <c r="K1036" t="str">
        <f t="shared" si="67"/>
        <v>Wed</v>
      </c>
    </row>
    <row r="1037" spans="1:11" x14ac:dyDescent="0.35">
      <c r="A1037" s="1">
        <v>37063</v>
      </c>
      <c r="B1037">
        <v>0.63400000333786</v>
      </c>
      <c r="C1037">
        <v>0.66000002622604304</v>
      </c>
      <c r="D1037">
        <v>0.629499971866607</v>
      </c>
      <c r="E1037">
        <v>0.653999984264373</v>
      </c>
      <c r="F1037">
        <v>0.653999984264373</v>
      </c>
      <c r="G1037">
        <v>195548000</v>
      </c>
      <c r="H1037">
        <f t="shared" si="64"/>
        <v>2001</v>
      </c>
      <c r="I1037">
        <f t="shared" si="65"/>
        <v>6</v>
      </c>
      <c r="J1037" t="str">
        <f t="shared" si="66"/>
        <v>Jun</v>
      </c>
      <c r="K1037" t="str">
        <f t="shared" si="67"/>
        <v>Thu</v>
      </c>
    </row>
    <row r="1038" spans="1:11" x14ac:dyDescent="0.35">
      <c r="A1038" s="1">
        <v>37064</v>
      </c>
      <c r="B1038">
        <v>0.65649998188018799</v>
      </c>
      <c r="C1038">
        <v>0.66350001096725397</v>
      </c>
      <c r="D1038">
        <v>0.61900001764297397</v>
      </c>
      <c r="E1038">
        <v>0.62000000476837103</v>
      </c>
      <c r="F1038">
        <v>0.62000000476837103</v>
      </c>
      <c r="G1038">
        <v>126334000</v>
      </c>
      <c r="H1038">
        <f t="shared" si="64"/>
        <v>2001</v>
      </c>
      <c r="I1038">
        <f t="shared" si="65"/>
        <v>6</v>
      </c>
      <c r="J1038" t="str">
        <f t="shared" si="66"/>
        <v>Jun</v>
      </c>
      <c r="K1038" t="str">
        <f t="shared" si="67"/>
        <v>Fri</v>
      </c>
    </row>
    <row r="1039" spans="1:11" x14ac:dyDescent="0.35">
      <c r="A1039" s="1">
        <v>37067</v>
      </c>
      <c r="B1039">
        <v>0.63550001382827703</v>
      </c>
      <c r="C1039">
        <v>0.65700000524520796</v>
      </c>
      <c r="D1039">
        <v>0.62849998474121005</v>
      </c>
      <c r="E1039">
        <v>0.64050000905990601</v>
      </c>
      <c r="F1039">
        <v>0.64050000905990601</v>
      </c>
      <c r="G1039">
        <v>138940000</v>
      </c>
      <c r="H1039">
        <f t="shared" si="64"/>
        <v>2001</v>
      </c>
      <c r="I1039">
        <f t="shared" si="65"/>
        <v>6</v>
      </c>
      <c r="J1039" t="str">
        <f t="shared" si="66"/>
        <v>Jun</v>
      </c>
      <c r="K1039" t="str">
        <f t="shared" si="67"/>
        <v>Mon</v>
      </c>
    </row>
    <row r="1040" spans="1:11" x14ac:dyDescent="0.35">
      <c r="A1040" s="1">
        <v>37068</v>
      </c>
      <c r="B1040">
        <v>0.62699997425079301</v>
      </c>
      <c r="C1040">
        <v>0.68699997663497903</v>
      </c>
      <c r="D1040">
        <v>0.60199999809265103</v>
      </c>
      <c r="E1040">
        <v>0.66250002384185702</v>
      </c>
      <c r="F1040">
        <v>0.66250002384185702</v>
      </c>
      <c r="G1040">
        <v>132790000</v>
      </c>
      <c r="H1040">
        <f t="shared" si="64"/>
        <v>2001</v>
      </c>
      <c r="I1040">
        <f t="shared" si="65"/>
        <v>6</v>
      </c>
      <c r="J1040" t="str">
        <f t="shared" si="66"/>
        <v>Jun</v>
      </c>
      <c r="K1040" t="str">
        <f t="shared" si="67"/>
        <v>Tue</v>
      </c>
    </row>
    <row r="1041" spans="1:11" x14ac:dyDescent="0.35">
      <c r="A1041" s="1">
        <v>37069</v>
      </c>
      <c r="B1041">
        <v>0.69050002098083496</v>
      </c>
      <c r="C1041">
        <v>0.71249997615814198</v>
      </c>
      <c r="D1041">
        <v>0.68250000476837103</v>
      </c>
      <c r="E1041">
        <v>0.70200002193450906</v>
      </c>
      <c r="F1041">
        <v>0.70200002193450906</v>
      </c>
      <c r="G1041">
        <v>152488000</v>
      </c>
      <c r="H1041">
        <f t="shared" si="64"/>
        <v>2001</v>
      </c>
      <c r="I1041">
        <f t="shared" si="65"/>
        <v>6</v>
      </c>
      <c r="J1041" t="str">
        <f t="shared" si="66"/>
        <v>Jun</v>
      </c>
      <c r="K1041" t="str">
        <f t="shared" si="67"/>
        <v>Wed</v>
      </c>
    </row>
    <row r="1042" spans="1:11" x14ac:dyDescent="0.35">
      <c r="A1042" s="1">
        <v>37070</v>
      </c>
      <c r="B1042">
        <v>0.71149998903274503</v>
      </c>
      <c r="C1042">
        <v>0.72949999570846502</v>
      </c>
      <c r="D1042">
        <v>0.68849998712539595</v>
      </c>
      <c r="E1042">
        <v>0.71799999475479104</v>
      </c>
      <c r="F1042">
        <v>0.71799999475479104</v>
      </c>
      <c r="G1042">
        <v>110334000</v>
      </c>
      <c r="H1042">
        <f t="shared" si="64"/>
        <v>2001</v>
      </c>
      <c r="I1042">
        <f t="shared" si="65"/>
        <v>6</v>
      </c>
      <c r="J1042" t="str">
        <f t="shared" si="66"/>
        <v>Jun</v>
      </c>
      <c r="K1042" t="str">
        <f t="shared" si="67"/>
        <v>Thu</v>
      </c>
    </row>
    <row r="1043" spans="1:11" x14ac:dyDescent="0.35">
      <c r="A1043" s="1">
        <v>37071</v>
      </c>
      <c r="B1043">
        <v>0.71549999713897705</v>
      </c>
      <c r="C1043">
        <v>0.73250001668929998</v>
      </c>
      <c r="D1043">
        <v>0.68599998950958196</v>
      </c>
      <c r="E1043">
        <v>0.70749998092651301</v>
      </c>
      <c r="F1043">
        <v>0.70749998092651301</v>
      </c>
      <c r="G1043">
        <v>89780000</v>
      </c>
      <c r="H1043">
        <f t="shared" si="64"/>
        <v>2001</v>
      </c>
      <c r="I1043">
        <f t="shared" si="65"/>
        <v>6</v>
      </c>
      <c r="J1043" t="str">
        <f t="shared" si="66"/>
        <v>Jun</v>
      </c>
      <c r="K1043" t="str">
        <f t="shared" si="67"/>
        <v>Fri</v>
      </c>
    </row>
    <row r="1044" spans="1:11" x14ac:dyDescent="0.35">
      <c r="A1044" s="1">
        <v>37074</v>
      </c>
      <c r="B1044">
        <v>0.70499998331069902</v>
      </c>
      <c r="C1044">
        <v>0.73549997806548995</v>
      </c>
      <c r="D1044">
        <v>0.69249999523162797</v>
      </c>
      <c r="E1044">
        <v>0.72649997472762995</v>
      </c>
      <c r="F1044">
        <v>0.72649997472762995</v>
      </c>
      <c r="G1044">
        <v>126690000</v>
      </c>
      <c r="H1044">
        <f t="shared" si="64"/>
        <v>2001</v>
      </c>
      <c r="I1044">
        <f t="shared" si="65"/>
        <v>7</v>
      </c>
      <c r="J1044" t="str">
        <f t="shared" si="66"/>
        <v>Jul</v>
      </c>
      <c r="K1044" t="str">
        <f t="shared" si="67"/>
        <v>Mon</v>
      </c>
    </row>
    <row r="1045" spans="1:11" x14ac:dyDescent="0.35">
      <c r="A1045" s="1">
        <v>37075</v>
      </c>
      <c r="B1045">
        <v>0.72450000047683705</v>
      </c>
      <c r="C1045">
        <v>0.72500002384185702</v>
      </c>
      <c r="D1045">
        <v>0.69999998807907104</v>
      </c>
      <c r="E1045">
        <v>0.70649999380111606</v>
      </c>
      <c r="F1045">
        <v>0.70649999380111606</v>
      </c>
      <c r="G1045">
        <v>54022000</v>
      </c>
      <c r="H1045">
        <f t="shared" si="64"/>
        <v>2001</v>
      </c>
      <c r="I1045">
        <f t="shared" si="65"/>
        <v>7</v>
      </c>
      <c r="J1045" t="str">
        <f t="shared" si="66"/>
        <v>Jul</v>
      </c>
      <c r="K1045" t="str">
        <f t="shared" si="67"/>
        <v>Tue</v>
      </c>
    </row>
    <row r="1046" spans="1:11" x14ac:dyDescent="0.35">
      <c r="A1046" s="1">
        <v>37077</v>
      </c>
      <c r="B1046">
        <v>0.71399998664855902</v>
      </c>
      <c r="C1046">
        <v>0.77249997854232699</v>
      </c>
      <c r="D1046">
        <v>0.70999997854232699</v>
      </c>
      <c r="E1046">
        <v>0.763499975204467</v>
      </c>
      <c r="F1046">
        <v>0.763499975204467</v>
      </c>
      <c r="G1046">
        <v>241664000</v>
      </c>
      <c r="H1046">
        <f t="shared" si="64"/>
        <v>2001</v>
      </c>
      <c r="I1046">
        <f t="shared" si="65"/>
        <v>7</v>
      </c>
      <c r="J1046" t="str">
        <f t="shared" si="66"/>
        <v>Jul</v>
      </c>
      <c r="K1046" t="str">
        <f t="shared" si="67"/>
        <v>Thu</v>
      </c>
    </row>
    <row r="1047" spans="1:11" x14ac:dyDescent="0.35">
      <c r="A1047" s="1">
        <v>37078</v>
      </c>
      <c r="B1047">
        <v>0.74500000476837103</v>
      </c>
      <c r="C1047">
        <v>0.78600001335143999</v>
      </c>
      <c r="D1047">
        <v>0.74000000953674305</v>
      </c>
      <c r="E1047">
        <v>0.763499975204467</v>
      </c>
      <c r="F1047">
        <v>0.763499975204467</v>
      </c>
      <c r="G1047">
        <v>181824000</v>
      </c>
      <c r="H1047">
        <f t="shared" si="64"/>
        <v>2001</v>
      </c>
      <c r="I1047">
        <f t="shared" si="65"/>
        <v>7</v>
      </c>
      <c r="J1047" t="str">
        <f t="shared" si="66"/>
        <v>Jul</v>
      </c>
      <c r="K1047" t="str">
        <f t="shared" si="67"/>
        <v>Fri</v>
      </c>
    </row>
    <row r="1048" spans="1:11" x14ac:dyDescent="0.35">
      <c r="A1048" s="1">
        <v>37081</v>
      </c>
      <c r="B1048">
        <v>0.76749998331069902</v>
      </c>
      <c r="C1048">
        <v>0.79500001668929998</v>
      </c>
      <c r="D1048">
        <v>0.75550001859664895</v>
      </c>
      <c r="E1048">
        <v>0.79049998521804798</v>
      </c>
      <c r="F1048">
        <v>0.79049998521804798</v>
      </c>
      <c r="G1048">
        <v>160020000</v>
      </c>
      <c r="H1048">
        <f t="shared" si="64"/>
        <v>2001</v>
      </c>
      <c r="I1048">
        <f t="shared" si="65"/>
        <v>7</v>
      </c>
      <c r="J1048" t="str">
        <f t="shared" si="66"/>
        <v>Jul</v>
      </c>
      <c r="K1048" t="str">
        <f t="shared" si="67"/>
        <v>Mon</v>
      </c>
    </row>
    <row r="1049" spans="1:11" x14ac:dyDescent="0.35">
      <c r="A1049" s="1">
        <v>37082</v>
      </c>
      <c r="B1049">
        <v>0.80400002002715998</v>
      </c>
      <c r="C1049">
        <v>0.80599999427795399</v>
      </c>
      <c r="D1049">
        <v>0.77999997138976995</v>
      </c>
      <c r="E1049">
        <v>0.78049999475479104</v>
      </c>
      <c r="F1049">
        <v>0.78049999475479104</v>
      </c>
      <c r="G1049">
        <v>172854000</v>
      </c>
      <c r="H1049">
        <f t="shared" si="64"/>
        <v>2001</v>
      </c>
      <c r="I1049">
        <f t="shared" si="65"/>
        <v>7</v>
      </c>
      <c r="J1049" t="str">
        <f t="shared" si="66"/>
        <v>Jul</v>
      </c>
      <c r="K1049" t="str">
        <f t="shared" si="67"/>
        <v>Tue</v>
      </c>
    </row>
    <row r="1050" spans="1:11" x14ac:dyDescent="0.35">
      <c r="A1050" s="1">
        <v>37083</v>
      </c>
      <c r="B1050">
        <v>0.77149999141693104</v>
      </c>
      <c r="C1050">
        <v>0.79000002145767201</v>
      </c>
      <c r="D1050">
        <v>0.74750000238418501</v>
      </c>
      <c r="E1050">
        <v>0.76700001955032304</v>
      </c>
      <c r="F1050">
        <v>0.76700001955032304</v>
      </c>
      <c r="G1050">
        <v>116436000</v>
      </c>
      <c r="H1050">
        <f t="shared" si="64"/>
        <v>2001</v>
      </c>
      <c r="I1050">
        <f t="shared" si="65"/>
        <v>7</v>
      </c>
      <c r="J1050" t="str">
        <f t="shared" si="66"/>
        <v>Jul</v>
      </c>
      <c r="K1050" t="str">
        <f t="shared" si="67"/>
        <v>Wed</v>
      </c>
    </row>
    <row r="1051" spans="1:11" x14ac:dyDescent="0.35">
      <c r="A1051" s="1">
        <v>37084</v>
      </c>
      <c r="B1051">
        <v>0.78500002622604304</v>
      </c>
      <c r="C1051">
        <v>0.82700002193450906</v>
      </c>
      <c r="D1051">
        <v>0.78500002622604304</v>
      </c>
      <c r="E1051">
        <v>0.82450002431869496</v>
      </c>
      <c r="F1051">
        <v>0.82450002431869496</v>
      </c>
      <c r="G1051">
        <v>119530000</v>
      </c>
      <c r="H1051">
        <f t="shared" si="64"/>
        <v>2001</v>
      </c>
      <c r="I1051">
        <f t="shared" si="65"/>
        <v>7</v>
      </c>
      <c r="J1051" t="str">
        <f t="shared" si="66"/>
        <v>Jul</v>
      </c>
      <c r="K1051" t="str">
        <f t="shared" si="67"/>
        <v>Thu</v>
      </c>
    </row>
    <row r="1052" spans="1:11" x14ac:dyDescent="0.35">
      <c r="A1052" s="1">
        <v>37085</v>
      </c>
      <c r="B1052">
        <v>0.81300002336501997</v>
      </c>
      <c r="C1052">
        <v>0.85000002384185702</v>
      </c>
      <c r="D1052">
        <v>0.80500000715255704</v>
      </c>
      <c r="E1052">
        <v>0.84899997711181596</v>
      </c>
      <c r="F1052">
        <v>0.84899997711181596</v>
      </c>
      <c r="G1052">
        <v>136966000</v>
      </c>
      <c r="H1052">
        <f t="shared" si="64"/>
        <v>2001</v>
      </c>
      <c r="I1052">
        <f t="shared" si="65"/>
        <v>7</v>
      </c>
      <c r="J1052" t="str">
        <f t="shared" si="66"/>
        <v>Jul</v>
      </c>
      <c r="K1052" t="str">
        <f t="shared" si="67"/>
        <v>Fri</v>
      </c>
    </row>
    <row r="1053" spans="1:11" x14ac:dyDescent="0.35">
      <c r="A1053" s="1">
        <v>37088</v>
      </c>
      <c r="B1053">
        <v>0.84700000286102295</v>
      </c>
      <c r="C1053">
        <v>0.87099999189376798</v>
      </c>
      <c r="D1053">
        <v>0.80049997568130404</v>
      </c>
      <c r="E1053">
        <v>0.80049997568130404</v>
      </c>
      <c r="F1053">
        <v>0.80049997568130404</v>
      </c>
      <c r="G1053">
        <v>146316000</v>
      </c>
      <c r="H1053">
        <f t="shared" si="64"/>
        <v>2001</v>
      </c>
      <c r="I1053">
        <f t="shared" si="65"/>
        <v>7</v>
      </c>
      <c r="J1053" t="str">
        <f t="shared" si="66"/>
        <v>Jul</v>
      </c>
      <c r="K1053" t="str">
        <f t="shared" si="67"/>
        <v>Mon</v>
      </c>
    </row>
    <row r="1054" spans="1:11" x14ac:dyDescent="0.35">
      <c r="A1054" s="1">
        <v>37089</v>
      </c>
      <c r="B1054">
        <v>0.79199999570846502</v>
      </c>
      <c r="C1054">
        <v>0.82450002431869496</v>
      </c>
      <c r="D1054">
        <v>0.79149997234344405</v>
      </c>
      <c r="E1054">
        <v>0.81749999523162797</v>
      </c>
      <c r="F1054">
        <v>0.81749999523162797</v>
      </c>
      <c r="G1054">
        <v>74124000</v>
      </c>
      <c r="H1054">
        <f t="shared" si="64"/>
        <v>2001</v>
      </c>
      <c r="I1054">
        <f t="shared" si="65"/>
        <v>7</v>
      </c>
      <c r="J1054" t="str">
        <f t="shared" si="66"/>
        <v>Jul</v>
      </c>
      <c r="K1054" t="str">
        <f t="shared" si="67"/>
        <v>Tue</v>
      </c>
    </row>
    <row r="1055" spans="1:11" x14ac:dyDescent="0.35">
      <c r="A1055" s="1">
        <v>37090</v>
      </c>
      <c r="B1055">
        <v>0.803499996662139</v>
      </c>
      <c r="C1055">
        <v>0.83249998092651301</v>
      </c>
      <c r="D1055">
        <v>0.79400002956390303</v>
      </c>
      <c r="E1055">
        <v>0.79799997806548995</v>
      </c>
      <c r="F1055">
        <v>0.79799997806548995</v>
      </c>
      <c r="G1055">
        <v>73462000</v>
      </c>
      <c r="H1055">
        <f t="shared" si="64"/>
        <v>2001</v>
      </c>
      <c r="I1055">
        <f t="shared" si="65"/>
        <v>7</v>
      </c>
      <c r="J1055" t="str">
        <f t="shared" si="66"/>
        <v>Jul</v>
      </c>
      <c r="K1055" t="str">
        <f t="shared" si="67"/>
        <v>Wed</v>
      </c>
    </row>
    <row r="1056" spans="1:11" x14ac:dyDescent="0.35">
      <c r="A1056" s="1">
        <v>37091</v>
      </c>
      <c r="B1056">
        <v>0.80750000476837103</v>
      </c>
      <c r="C1056">
        <v>0.83999997377395597</v>
      </c>
      <c r="D1056">
        <v>0.80699998140335005</v>
      </c>
      <c r="E1056">
        <v>0.82450002431869496</v>
      </c>
      <c r="F1056">
        <v>0.82450002431869496</v>
      </c>
      <c r="G1056">
        <v>104256000</v>
      </c>
      <c r="H1056">
        <f t="shared" si="64"/>
        <v>2001</v>
      </c>
      <c r="I1056">
        <f t="shared" si="65"/>
        <v>7</v>
      </c>
      <c r="J1056" t="str">
        <f t="shared" si="66"/>
        <v>Jul</v>
      </c>
      <c r="K1056" t="str">
        <f t="shared" si="67"/>
        <v>Thu</v>
      </c>
    </row>
    <row r="1057" spans="1:11" x14ac:dyDescent="0.35">
      <c r="A1057" s="1">
        <v>37092</v>
      </c>
      <c r="B1057">
        <v>0.82649999856948797</v>
      </c>
      <c r="C1057">
        <v>0.86250001192092896</v>
      </c>
      <c r="D1057">
        <v>0.82249999046325595</v>
      </c>
      <c r="E1057">
        <v>0.84899997711181596</v>
      </c>
      <c r="F1057">
        <v>0.84899997711181596</v>
      </c>
      <c r="G1057">
        <v>74714000</v>
      </c>
      <c r="H1057">
        <f t="shared" si="64"/>
        <v>2001</v>
      </c>
      <c r="I1057">
        <f t="shared" si="65"/>
        <v>7</v>
      </c>
      <c r="J1057" t="str">
        <f t="shared" si="66"/>
        <v>Jul</v>
      </c>
      <c r="K1057" t="str">
        <f t="shared" si="67"/>
        <v>Fri</v>
      </c>
    </row>
    <row r="1058" spans="1:11" x14ac:dyDescent="0.35">
      <c r="A1058" s="1">
        <v>37095</v>
      </c>
      <c r="B1058">
        <v>0.85100001096725397</v>
      </c>
      <c r="C1058">
        <v>0.85650002956390303</v>
      </c>
      <c r="D1058">
        <v>0.79799997806548995</v>
      </c>
      <c r="E1058">
        <v>0.80150002241134599</v>
      </c>
      <c r="F1058">
        <v>0.80150002241134599</v>
      </c>
      <c r="G1058">
        <v>173278000</v>
      </c>
      <c r="H1058">
        <f t="shared" si="64"/>
        <v>2001</v>
      </c>
      <c r="I1058">
        <f t="shared" si="65"/>
        <v>7</v>
      </c>
      <c r="J1058" t="str">
        <f t="shared" si="66"/>
        <v>Jul</v>
      </c>
      <c r="K1058" t="str">
        <f t="shared" si="67"/>
        <v>Mon</v>
      </c>
    </row>
    <row r="1059" spans="1:11" x14ac:dyDescent="0.35">
      <c r="A1059" s="1">
        <v>37096</v>
      </c>
      <c r="B1059">
        <v>0.68099999427795399</v>
      </c>
      <c r="C1059">
        <v>0.69999998807907104</v>
      </c>
      <c r="D1059">
        <v>0.59500002861022905</v>
      </c>
      <c r="E1059">
        <v>0.60299998521804798</v>
      </c>
      <c r="F1059">
        <v>0.60299998521804798</v>
      </c>
      <c r="G1059">
        <v>651458000</v>
      </c>
      <c r="H1059">
        <f t="shared" si="64"/>
        <v>2001</v>
      </c>
      <c r="I1059">
        <f t="shared" si="65"/>
        <v>7</v>
      </c>
      <c r="J1059" t="str">
        <f t="shared" si="66"/>
        <v>Jul</v>
      </c>
      <c r="K1059" t="str">
        <f t="shared" si="67"/>
        <v>Tue</v>
      </c>
    </row>
    <row r="1060" spans="1:11" x14ac:dyDescent="0.35">
      <c r="A1060" s="1">
        <v>37097</v>
      </c>
      <c r="B1060">
        <v>0.61449998617172197</v>
      </c>
      <c r="C1060">
        <v>0.61549997329711903</v>
      </c>
      <c r="D1060">
        <v>0.553499996662139</v>
      </c>
      <c r="E1060">
        <v>0.57550001144409102</v>
      </c>
      <c r="F1060">
        <v>0.57550001144409102</v>
      </c>
      <c r="G1060">
        <v>251194000</v>
      </c>
      <c r="H1060">
        <f t="shared" si="64"/>
        <v>2001</v>
      </c>
      <c r="I1060">
        <f t="shared" si="65"/>
        <v>7</v>
      </c>
      <c r="J1060" t="str">
        <f t="shared" si="66"/>
        <v>Jul</v>
      </c>
      <c r="K1060" t="str">
        <f t="shared" si="67"/>
        <v>Wed</v>
      </c>
    </row>
    <row r="1061" spans="1:11" x14ac:dyDescent="0.35">
      <c r="A1061" s="1">
        <v>37098</v>
      </c>
      <c r="B1061">
        <v>0.58350002765655495</v>
      </c>
      <c r="C1061">
        <v>0.63749998807907104</v>
      </c>
      <c r="D1061">
        <v>0.56150001287460305</v>
      </c>
      <c r="E1061">
        <v>0.61650002002715998</v>
      </c>
      <c r="F1061">
        <v>0.61650002002715998</v>
      </c>
      <c r="G1061">
        <v>210050000</v>
      </c>
      <c r="H1061">
        <f t="shared" si="64"/>
        <v>2001</v>
      </c>
      <c r="I1061">
        <f t="shared" si="65"/>
        <v>7</v>
      </c>
      <c r="J1061" t="str">
        <f t="shared" si="66"/>
        <v>Jul</v>
      </c>
      <c r="K1061" t="str">
        <f t="shared" si="67"/>
        <v>Thu</v>
      </c>
    </row>
    <row r="1062" spans="1:11" x14ac:dyDescent="0.35">
      <c r="A1062" s="1">
        <v>37099</v>
      </c>
      <c r="B1062">
        <v>0.61650002002715998</v>
      </c>
      <c r="C1062">
        <v>0.62150001525878895</v>
      </c>
      <c r="D1062">
        <v>0.58499997854232699</v>
      </c>
      <c r="E1062">
        <v>0.61250001192092896</v>
      </c>
      <c r="F1062">
        <v>0.61250001192092896</v>
      </c>
      <c r="G1062">
        <v>181518000</v>
      </c>
      <c r="H1062">
        <f t="shared" si="64"/>
        <v>2001</v>
      </c>
      <c r="I1062">
        <f t="shared" si="65"/>
        <v>7</v>
      </c>
      <c r="J1062" t="str">
        <f t="shared" si="66"/>
        <v>Jul</v>
      </c>
      <c r="K1062" t="str">
        <f t="shared" si="67"/>
        <v>Fri</v>
      </c>
    </row>
    <row r="1063" spans="1:11" x14ac:dyDescent="0.35">
      <c r="A1063" s="1">
        <v>37102</v>
      </c>
      <c r="B1063">
        <v>0.61049997806548995</v>
      </c>
      <c r="C1063">
        <v>0.63749998807907104</v>
      </c>
      <c r="D1063">
        <v>0.59899997711181596</v>
      </c>
      <c r="E1063">
        <v>0.62749999761581399</v>
      </c>
      <c r="F1063">
        <v>0.62749999761581399</v>
      </c>
      <c r="G1063">
        <v>103620000</v>
      </c>
      <c r="H1063">
        <f t="shared" si="64"/>
        <v>2001</v>
      </c>
      <c r="I1063">
        <f t="shared" si="65"/>
        <v>7</v>
      </c>
      <c r="J1063" t="str">
        <f t="shared" si="66"/>
        <v>Jul</v>
      </c>
      <c r="K1063" t="str">
        <f t="shared" si="67"/>
        <v>Mon</v>
      </c>
    </row>
    <row r="1064" spans="1:11" x14ac:dyDescent="0.35">
      <c r="A1064" s="1">
        <v>37103</v>
      </c>
      <c r="B1064">
        <v>0.63200002908706598</v>
      </c>
      <c r="C1064">
        <v>0.64300000667571999</v>
      </c>
      <c r="D1064">
        <v>0.611500024795532</v>
      </c>
      <c r="E1064">
        <v>0.62449997663497903</v>
      </c>
      <c r="F1064">
        <v>0.62449997663497903</v>
      </c>
      <c r="G1064">
        <v>87578000</v>
      </c>
      <c r="H1064">
        <f t="shared" si="64"/>
        <v>2001</v>
      </c>
      <c r="I1064">
        <f t="shared" si="65"/>
        <v>7</v>
      </c>
      <c r="J1064" t="str">
        <f t="shared" si="66"/>
        <v>Jul</v>
      </c>
      <c r="K1064" t="str">
        <f t="shared" si="67"/>
        <v>Tue</v>
      </c>
    </row>
    <row r="1065" spans="1:11" x14ac:dyDescent="0.35">
      <c r="A1065" s="1">
        <v>37104</v>
      </c>
      <c r="B1065">
        <v>0.63650000095367398</v>
      </c>
      <c r="C1065">
        <v>0.64300000667571999</v>
      </c>
      <c r="D1065">
        <v>0.60850000381469704</v>
      </c>
      <c r="E1065">
        <v>0.625</v>
      </c>
      <c r="F1065">
        <v>0.625</v>
      </c>
      <c r="G1065">
        <v>110212000</v>
      </c>
      <c r="H1065">
        <f t="shared" si="64"/>
        <v>2001</v>
      </c>
      <c r="I1065">
        <f t="shared" si="65"/>
        <v>8</v>
      </c>
      <c r="J1065" t="str">
        <f t="shared" si="66"/>
        <v>Aug</v>
      </c>
      <c r="K1065" t="str">
        <f t="shared" si="67"/>
        <v>Wed</v>
      </c>
    </row>
    <row r="1066" spans="1:11" x14ac:dyDescent="0.35">
      <c r="A1066" s="1">
        <v>37105</v>
      </c>
      <c r="B1066">
        <v>0.629499971866607</v>
      </c>
      <c r="C1066">
        <v>0.62999999523162797</v>
      </c>
      <c r="D1066">
        <v>0.605000019073486</v>
      </c>
      <c r="E1066">
        <v>0.60949999094009399</v>
      </c>
      <c r="F1066">
        <v>0.60949999094009399</v>
      </c>
      <c r="G1066">
        <v>77450000</v>
      </c>
      <c r="H1066">
        <f t="shared" si="64"/>
        <v>2001</v>
      </c>
      <c r="I1066">
        <f t="shared" si="65"/>
        <v>8</v>
      </c>
      <c r="J1066" t="str">
        <f t="shared" si="66"/>
        <v>Aug</v>
      </c>
      <c r="K1066" t="str">
        <f t="shared" si="67"/>
        <v>Thu</v>
      </c>
    </row>
    <row r="1067" spans="1:11" x14ac:dyDescent="0.35">
      <c r="A1067" s="1">
        <v>37106</v>
      </c>
      <c r="B1067">
        <v>0.61199998855590798</v>
      </c>
      <c r="C1067">
        <v>0.61949998140335005</v>
      </c>
      <c r="D1067">
        <v>0.60549998283386197</v>
      </c>
      <c r="E1067">
        <v>0.60750001668929998</v>
      </c>
      <c r="F1067">
        <v>0.60750001668929998</v>
      </c>
      <c r="G1067">
        <v>61698000</v>
      </c>
      <c r="H1067">
        <f t="shared" si="64"/>
        <v>2001</v>
      </c>
      <c r="I1067">
        <f t="shared" si="65"/>
        <v>8</v>
      </c>
      <c r="J1067" t="str">
        <f t="shared" si="66"/>
        <v>Aug</v>
      </c>
      <c r="K1067" t="str">
        <f t="shared" si="67"/>
        <v>Fri</v>
      </c>
    </row>
    <row r="1068" spans="1:11" x14ac:dyDescent="0.35">
      <c r="A1068" s="1">
        <v>37109</v>
      </c>
      <c r="B1068">
        <v>0.60900002717971802</v>
      </c>
      <c r="C1068">
        <v>0.61000001430511397</v>
      </c>
      <c r="D1068">
        <v>0.59249997138976995</v>
      </c>
      <c r="E1068">
        <v>0.59500002861022905</v>
      </c>
      <c r="F1068">
        <v>0.59500002861022905</v>
      </c>
      <c r="G1068">
        <v>53236000</v>
      </c>
      <c r="H1068">
        <f t="shared" si="64"/>
        <v>2001</v>
      </c>
      <c r="I1068">
        <f t="shared" si="65"/>
        <v>8</v>
      </c>
      <c r="J1068" t="str">
        <f t="shared" si="66"/>
        <v>Aug</v>
      </c>
      <c r="K1068" t="str">
        <f t="shared" si="67"/>
        <v>Mon</v>
      </c>
    </row>
    <row r="1069" spans="1:11" x14ac:dyDescent="0.35">
      <c r="A1069" s="1">
        <v>37110</v>
      </c>
      <c r="B1069">
        <v>0.59450000524520796</v>
      </c>
      <c r="C1069">
        <v>0.59500002861022905</v>
      </c>
      <c r="D1069">
        <v>0.575999975204467</v>
      </c>
      <c r="E1069">
        <v>0.57999998331069902</v>
      </c>
      <c r="F1069">
        <v>0.57999998331069902</v>
      </c>
      <c r="G1069">
        <v>51204000</v>
      </c>
      <c r="H1069">
        <f t="shared" si="64"/>
        <v>2001</v>
      </c>
      <c r="I1069">
        <f t="shared" si="65"/>
        <v>8</v>
      </c>
      <c r="J1069" t="str">
        <f t="shared" si="66"/>
        <v>Aug</v>
      </c>
      <c r="K1069" t="str">
        <f t="shared" si="67"/>
        <v>Tue</v>
      </c>
    </row>
    <row r="1070" spans="1:11" x14ac:dyDescent="0.35">
      <c r="A1070" s="1">
        <v>37111</v>
      </c>
      <c r="B1070">
        <v>0.57550001144409102</v>
      </c>
      <c r="C1070">
        <v>0.57749998569488503</v>
      </c>
      <c r="D1070">
        <v>0.55150002241134599</v>
      </c>
      <c r="E1070">
        <v>0.55549997091293302</v>
      </c>
      <c r="F1070">
        <v>0.55549997091293302</v>
      </c>
      <c r="G1070">
        <v>67468000</v>
      </c>
      <c r="H1070">
        <f t="shared" si="64"/>
        <v>2001</v>
      </c>
      <c r="I1070">
        <f t="shared" si="65"/>
        <v>8</v>
      </c>
      <c r="J1070" t="str">
        <f t="shared" si="66"/>
        <v>Aug</v>
      </c>
      <c r="K1070" t="str">
        <f t="shared" si="67"/>
        <v>Wed</v>
      </c>
    </row>
    <row r="1071" spans="1:11" x14ac:dyDescent="0.35">
      <c r="A1071" s="1">
        <v>37112</v>
      </c>
      <c r="B1071">
        <v>0.55699998140335005</v>
      </c>
      <c r="C1071">
        <v>0.55849999189376798</v>
      </c>
      <c r="D1071">
        <v>0.51249998807907104</v>
      </c>
      <c r="E1071">
        <v>0.52300000190734797</v>
      </c>
      <c r="F1071">
        <v>0.52300000190734797</v>
      </c>
      <c r="G1071">
        <v>120980000</v>
      </c>
      <c r="H1071">
        <f t="shared" si="64"/>
        <v>2001</v>
      </c>
      <c r="I1071">
        <f t="shared" si="65"/>
        <v>8</v>
      </c>
      <c r="J1071" t="str">
        <f t="shared" si="66"/>
        <v>Aug</v>
      </c>
      <c r="K1071" t="str">
        <f t="shared" si="67"/>
        <v>Thu</v>
      </c>
    </row>
    <row r="1072" spans="1:11" x14ac:dyDescent="0.35">
      <c r="A1072" s="1">
        <v>37113</v>
      </c>
      <c r="B1072">
        <v>0.528999984264373</v>
      </c>
      <c r="C1072">
        <v>0.53250002861022905</v>
      </c>
      <c r="D1072">
        <v>0.49700000882148698</v>
      </c>
      <c r="E1072">
        <v>0.49750000238418501</v>
      </c>
      <c r="F1072">
        <v>0.49750000238418501</v>
      </c>
      <c r="G1072">
        <v>183746000</v>
      </c>
      <c r="H1072">
        <f t="shared" si="64"/>
        <v>2001</v>
      </c>
      <c r="I1072">
        <f t="shared" si="65"/>
        <v>8</v>
      </c>
      <c r="J1072" t="str">
        <f t="shared" si="66"/>
        <v>Aug</v>
      </c>
      <c r="K1072" t="str">
        <f t="shared" si="67"/>
        <v>Fri</v>
      </c>
    </row>
    <row r="1073" spans="1:11" x14ac:dyDescent="0.35">
      <c r="A1073" s="1">
        <v>37116</v>
      </c>
      <c r="B1073">
        <v>0.50499999523162797</v>
      </c>
      <c r="C1073">
        <v>0.51499998569488503</v>
      </c>
      <c r="D1073">
        <v>0.48849999904632502</v>
      </c>
      <c r="E1073">
        <v>0.50599998235702504</v>
      </c>
      <c r="F1073">
        <v>0.50599998235702504</v>
      </c>
      <c r="G1073">
        <v>96630000</v>
      </c>
      <c r="H1073">
        <f t="shared" si="64"/>
        <v>2001</v>
      </c>
      <c r="I1073">
        <f t="shared" si="65"/>
        <v>8</v>
      </c>
      <c r="J1073" t="str">
        <f t="shared" si="66"/>
        <v>Aug</v>
      </c>
      <c r="K1073" t="str">
        <f t="shared" si="67"/>
        <v>Mon</v>
      </c>
    </row>
    <row r="1074" spans="1:11" x14ac:dyDescent="0.35">
      <c r="A1074" s="1">
        <v>37117</v>
      </c>
      <c r="B1074">
        <v>0.51599997282028198</v>
      </c>
      <c r="C1074">
        <v>0.55199998617172197</v>
      </c>
      <c r="D1074">
        <v>0.513499975204467</v>
      </c>
      <c r="E1074">
        <v>0.52649998664855902</v>
      </c>
      <c r="F1074">
        <v>0.52649998664855902</v>
      </c>
      <c r="G1074">
        <v>96142000</v>
      </c>
      <c r="H1074">
        <f t="shared" si="64"/>
        <v>2001</v>
      </c>
      <c r="I1074">
        <f t="shared" si="65"/>
        <v>8</v>
      </c>
      <c r="J1074" t="str">
        <f t="shared" si="66"/>
        <v>Aug</v>
      </c>
      <c r="K1074" t="str">
        <f t="shared" si="67"/>
        <v>Tue</v>
      </c>
    </row>
    <row r="1075" spans="1:11" x14ac:dyDescent="0.35">
      <c r="A1075" s="1">
        <v>37118</v>
      </c>
      <c r="B1075">
        <v>0.52700001001357999</v>
      </c>
      <c r="C1075">
        <v>0.54149997234344405</v>
      </c>
      <c r="D1075">
        <v>0.5</v>
      </c>
      <c r="E1075">
        <v>0.50400000810623102</v>
      </c>
      <c r="F1075">
        <v>0.50400000810623102</v>
      </c>
      <c r="G1075">
        <v>67170000</v>
      </c>
      <c r="H1075">
        <f t="shared" si="64"/>
        <v>2001</v>
      </c>
      <c r="I1075">
        <f t="shared" si="65"/>
        <v>8</v>
      </c>
      <c r="J1075" t="str">
        <f t="shared" si="66"/>
        <v>Aug</v>
      </c>
      <c r="K1075" t="str">
        <f t="shared" si="67"/>
        <v>Wed</v>
      </c>
    </row>
    <row r="1076" spans="1:11" x14ac:dyDescent="0.35">
      <c r="A1076" s="1">
        <v>37119</v>
      </c>
      <c r="B1076">
        <v>0.50400000810623102</v>
      </c>
      <c r="C1076">
        <v>0.50749999284744196</v>
      </c>
      <c r="D1076">
        <v>0.46999999880790699</v>
      </c>
      <c r="E1076">
        <v>0.49050000309944097</v>
      </c>
      <c r="F1076">
        <v>0.49050000309944097</v>
      </c>
      <c r="G1076">
        <v>124542000</v>
      </c>
      <c r="H1076">
        <f t="shared" si="64"/>
        <v>2001</v>
      </c>
      <c r="I1076">
        <f t="shared" si="65"/>
        <v>8</v>
      </c>
      <c r="J1076" t="str">
        <f t="shared" si="66"/>
        <v>Aug</v>
      </c>
      <c r="K1076" t="str">
        <f t="shared" si="67"/>
        <v>Thu</v>
      </c>
    </row>
    <row r="1077" spans="1:11" x14ac:dyDescent="0.35">
      <c r="A1077" s="1">
        <v>37120</v>
      </c>
      <c r="B1077">
        <v>0.475499987602233</v>
      </c>
      <c r="C1077">
        <v>0.504499971866607</v>
      </c>
      <c r="D1077">
        <v>0.47249999642372098</v>
      </c>
      <c r="E1077">
        <v>0.49950000643730103</v>
      </c>
      <c r="F1077">
        <v>0.49950000643730103</v>
      </c>
      <c r="G1077">
        <v>107212000</v>
      </c>
      <c r="H1077">
        <f t="shared" si="64"/>
        <v>2001</v>
      </c>
      <c r="I1077">
        <f t="shared" si="65"/>
        <v>8</v>
      </c>
      <c r="J1077" t="str">
        <f t="shared" si="66"/>
        <v>Aug</v>
      </c>
      <c r="K1077" t="str">
        <f t="shared" si="67"/>
        <v>Fri</v>
      </c>
    </row>
    <row r="1078" spans="1:11" x14ac:dyDescent="0.35">
      <c r="A1078" s="1">
        <v>37123</v>
      </c>
      <c r="B1078">
        <v>0.50950002670287997</v>
      </c>
      <c r="C1078">
        <v>0.52050000429153398</v>
      </c>
      <c r="D1078">
        <v>0.49750000238418501</v>
      </c>
      <c r="E1078">
        <v>0.51999998092651301</v>
      </c>
      <c r="F1078">
        <v>0.51999998092651301</v>
      </c>
      <c r="G1078">
        <v>72280000</v>
      </c>
      <c r="H1078">
        <f t="shared" si="64"/>
        <v>2001</v>
      </c>
      <c r="I1078">
        <f t="shared" si="65"/>
        <v>8</v>
      </c>
      <c r="J1078" t="str">
        <f t="shared" si="66"/>
        <v>Aug</v>
      </c>
      <c r="K1078" t="str">
        <f t="shared" si="67"/>
        <v>Mon</v>
      </c>
    </row>
    <row r="1079" spans="1:11" x14ac:dyDescent="0.35">
      <c r="A1079" s="1">
        <v>37124</v>
      </c>
      <c r="B1079">
        <v>0.53500002622604304</v>
      </c>
      <c r="C1079">
        <v>0.53949999809265103</v>
      </c>
      <c r="D1079">
        <v>0.49399998784065202</v>
      </c>
      <c r="E1079">
        <v>0.494500011205673</v>
      </c>
      <c r="F1079">
        <v>0.494500011205673</v>
      </c>
      <c r="G1079">
        <v>102766000</v>
      </c>
      <c r="H1079">
        <f t="shared" si="64"/>
        <v>2001</v>
      </c>
      <c r="I1079">
        <f t="shared" si="65"/>
        <v>8</v>
      </c>
      <c r="J1079" t="str">
        <f t="shared" si="66"/>
        <v>Aug</v>
      </c>
      <c r="K1079" t="str">
        <f t="shared" si="67"/>
        <v>Tue</v>
      </c>
    </row>
    <row r="1080" spans="1:11" x14ac:dyDescent="0.35">
      <c r="A1080" s="1">
        <v>37125</v>
      </c>
      <c r="B1080">
        <v>0.50800001621246305</v>
      </c>
      <c r="C1080">
        <v>0.51150000095367398</v>
      </c>
      <c r="D1080">
        <v>0.47949999570846502</v>
      </c>
      <c r="E1080">
        <v>0.50999999046325595</v>
      </c>
      <c r="F1080">
        <v>0.50999999046325595</v>
      </c>
      <c r="G1080">
        <v>82524000</v>
      </c>
      <c r="H1080">
        <f t="shared" si="64"/>
        <v>2001</v>
      </c>
      <c r="I1080">
        <f t="shared" si="65"/>
        <v>8</v>
      </c>
      <c r="J1080" t="str">
        <f t="shared" si="66"/>
        <v>Aug</v>
      </c>
      <c r="K1080" t="str">
        <f t="shared" si="67"/>
        <v>Wed</v>
      </c>
    </row>
    <row r="1081" spans="1:11" x14ac:dyDescent="0.35">
      <c r="A1081" s="1">
        <v>37126</v>
      </c>
      <c r="B1081">
        <v>0.50650000572204501</v>
      </c>
      <c r="C1081">
        <v>0.50800001621246305</v>
      </c>
      <c r="D1081">
        <v>0.47850000858306801</v>
      </c>
      <c r="E1081">
        <v>0.48149999976158098</v>
      </c>
      <c r="F1081">
        <v>0.48149999976158098</v>
      </c>
      <c r="G1081">
        <v>80014000</v>
      </c>
      <c r="H1081">
        <f t="shared" si="64"/>
        <v>2001</v>
      </c>
      <c r="I1081">
        <f t="shared" si="65"/>
        <v>8</v>
      </c>
      <c r="J1081" t="str">
        <f t="shared" si="66"/>
        <v>Aug</v>
      </c>
      <c r="K1081" t="str">
        <f t="shared" si="67"/>
        <v>Thu</v>
      </c>
    </row>
    <row r="1082" spans="1:11" x14ac:dyDescent="0.35">
      <c r="A1082" s="1">
        <v>37127</v>
      </c>
      <c r="B1082">
        <v>0.49200001358985901</v>
      </c>
      <c r="C1082">
        <v>0.51499998569488503</v>
      </c>
      <c r="D1082">
        <v>0.48600000143051098</v>
      </c>
      <c r="E1082">
        <v>0.51150000095367398</v>
      </c>
      <c r="F1082">
        <v>0.51150000095367398</v>
      </c>
      <c r="G1082">
        <v>75598000</v>
      </c>
      <c r="H1082">
        <f t="shared" si="64"/>
        <v>2001</v>
      </c>
      <c r="I1082">
        <f t="shared" si="65"/>
        <v>8</v>
      </c>
      <c r="J1082" t="str">
        <f t="shared" si="66"/>
        <v>Aug</v>
      </c>
      <c r="K1082" t="str">
        <f t="shared" si="67"/>
        <v>Fri</v>
      </c>
    </row>
    <row r="1083" spans="1:11" x14ac:dyDescent="0.35">
      <c r="A1083" s="1">
        <v>37130</v>
      </c>
      <c r="B1083">
        <v>0.504499971866607</v>
      </c>
      <c r="C1083">
        <v>0.513499975204467</v>
      </c>
      <c r="D1083">
        <v>0.495499998331069</v>
      </c>
      <c r="E1083">
        <v>0.50650000572204501</v>
      </c>
      <c r="F1083">
        <v>0.50650000572204501</v>
      </c>
      <c r="G1083">
        <v>52360000</v>
      </c>
      <c r="H1083">
        <f t="shared" si="64"/>
        <v>2001</v>
      </c>
      <c r="I1083">
        <f t="shared" si="65"/>
        <v>8</v>
      </c>
      <c r="J1083" t="str">
        <f t="shared" si="66"/>
        <v>Aug</v>
      </c>
      <c r="K1083" t="str">
        <f t="shared" si="67"/>
        <v>Mon</v>
      </c>
    </row>
    <row r="1084" spans="1:11" x14ac:dyDescent="0.35">
      <c r="A1084" s="1">
        <v>37131</v>
      </c>
      <c r="B1084">
        <v>0.50599998235702504</v>
      </c>
      <c r="C1084">
        <v>0.50749999284744196</v>
      </c>
      <c r="D1084">
        <v>0.47799998521804798</v>
      </c>
      <c r="E1084">
        <v>0.49849998950958202</v>
      </c>
      <c r="F1084">
        <v>0.49849998950958202</v>
      </c>
      <c r="G1084">
        <v>64582000</v>
      </c>
      <c r="H1084">
        <f t="shared" si="64"/>
        <v>2001</v>
      </c>
      <c r="I1084">
        <f t="shared" si="65"/>
        <v>8</v>
      </c>
      <c r="J1084" t="str">
        <f t="shared" si="66"/>
        <v>Aug</v>
      </c>
      <c r="K1084" t="str">
        <f t="shared" si="67"/>
        <v>Tue</v>
      </c>
    </row>
    <row r="1085" spans="1:11" x14ac:dyDescent="0.35">
      <c r="A1085" s="1">
        <v>37132</v>
      </c>
      <c r="B1085">
        <v>0.50199997425079301</v>
      </c>
      <c r="C1085">
        <v>0.50249999761581399</v>
      </c>
      <c r="D1085">
        <v>0.45050001144409102</v>
      </c>
      <c r="E1085">
        <v>0.45950001478195102</v>
      </c>
      <c r="F1085">
        <v>0.45950001478195102</v>
      </c>
      <c r="G1085">
        <v>76072000</v>
      </c>
      <c r="H1085">
        <f t="shared" si="64"/>
        <v>2001</v>
      </c>
      <c r="I1085">
        <f t="shared" si="65"/>
        <v>8</v>
      </c>
      <c r="J1085" t="str">
        <f t="shared" si="66"/>
        <v>Aug</v>
      </c>
      <c r="K1085" t="str">
        <f t="shared" si="67"/>
        <v>Wed</v>
      </c>
    </row>
    <row r="1086" spans="1:11" x14ac:dyDescent="0.35">
      <c r="A1086" s="1">
        <v>37133</v>
      </c>
      <c r="B1086">
        <v>0.45300000905990601</v>
      </c>
      <c r="C1086">
        <v>0.47450000047683699</v>
      </c>
      <c r="D1086">
        <v>0.427500009536743</v>
      </c>
      <c r="E1086">
        <v>0.43450000882148698</v>
      </c>
      <c r="F1086">
        <v>0.43450000882148698</v>
      </c>
      <c r="G1086">
        <v>117028000</v>
      </c>
      <c r="H1086">
        <f t="shared" si="64"/>
        <v>2001</v>
      </c>
      <c r="I1086">
        <f t="shared" si="65"/>
        <v>8</v>
      </c>
      <c r="J1086" t="str">
        <f t="shared" si="66"/>
        <v>Aug</v>
      </c>
      <c r="K1086" t="str">
        <f t="shared" si="67"/>
        <v>Thu</v>
      </c>
    </row>
    <row r="1087" spans="1:11" x14ac:dyDescent="0.35">
      <c r="A1087" s="1">
        <v>37134</v>
      </c>
      <c r="B1087">
        <v>0.43500000238418501</v>
      </c>
      <c r="C1087">
        <v>0.46500000357627802</v>
      </c>
      <c r="D1087">
        <v>0.43450000882148698</v>
      </c>
      <c r="E1087">
        <v>0.44699999690055803</v>
      </c>
      <c r="F1087">
        <v>0.44699999690055803</v>
      </c>
      <c r="G1087">
        <v>72832000</v>
      </c>
      <c r="H1087">
        <f t="shared" si="64"/>
        <v>2001</v>
      </c>
      <c r="I1087">
        <f t="shared" si="65"/>
        <v>8</v>
      </c>
      <c r="J1087" t="str">
        <f t="shared" si="66"/>
        <v>Aug</v>
      </c>
      <c r="K1087" t="str">
        <f t="shared" si="67"/>
        <v>Fri</v>
      </c>
    </row>
    <row r="1088" spans="1:11" x14ac:dyDescent="0.35">
      <c r="A1088" s="1">
        <v>37138</v>
      </c>
      <c r="B1088">
        <v>0.447499990463256</v>
      </c>
      <c r="C1088">
        <v>0.45950001478195102</v>
      </c>
      <c r="D1088">
        <v>0.42599999904632502</v>
      </c>
      <c r="E1088">
        <v>0.42950001358985901</v>
      </c>
      <c r="F1088">
        <v>0.42950001358985901</v>
      </c>
      <c r="G1088">
        <v>97154000</v>
      </c>
      <c r="H1088">
        <f t="shared" si="64"/>
        <v>2001</v>
      </c>
      <c r="I1088">
        <f t="shared" si="65"/>
        <v>9</v>
      </c>
      <c r="J1088" t="str">
        <f t="shared" si="66"/>
        <v>Sep</v>
      </c>
      <c r="K1088" t="str">
        <f t="shared" si="67"/>
        <v>Tue</v>
      </c>
    </row>
    <row r="1089" spans="1:11" x14ac:dyDescent="0.35">
      <c r="A1089" s="1">
        <v>37139</v>
      </c>
      <c r="B1089">
        <v>0.432999998331069</v>
      </c>
      <c r="C1089">
        <v>0.43399998545646601</v>
      </c>
      <c r="D1089">
        <v>0.34250000119209201</v>
      </c>
      <c r="E1089">
        <v>0.38249999284744202</v>
      </c>
      <c r="F1089">
        <v>0.38249999284744202</v>
      </c>
      <c r="G1089">
        <v>421468000</v>
      </c>
      <c r="H1089">
        <f t="shared" si="64"/>
        <v>2001</v>
      </c>
      <c r="I1089">
        <f t="shared" si="65"/>
        <v>9</v>
      </c>
      <c r="J1089" t="str">
        <f t="shared" si="66"/>
        <v>Sep</v>
      </c>
      <c r="K1089" t="str">
        <f t="shared" si="67"/>
        <v>Wed</v>
      </c>
    </row>
    <row r="1090" spans="1:11" x14ac:dyDescent="0.35">
      <c r="A1090" s="1">
        <v>37140</v>
      </c>
      <c r="B1090">
        <v>0.39199998974800099</v>
      </c>
      <c r="C1090">
        <v>0.40950000286102201</v>
      </c>
      <c r="D1090">
        <v>0.38350000977516102</v>
      </c>
      <c r="E1090">
        <v>0.40749999880790699</v>
      </c>
      <c r="F1090">
        <v>0.40749999880790699</v>
      </c>
      <c r="G1090">
        <v>142632000</v>
      </c>
      <c r="H1090">
        <f t="shared" si="64"/>
        <v>2001</v>
      </c>
      <c r="I1090">
        <f t="shared" si="65"/>
        <v>9</v>
      </c>
      <c r="J1090" t="str">
        <f t="shared" si="66"/>
        <v>Sep</v>
      </c>
      <c r="K1090" t="str">
        <f t="shared" si="67"/>
        <v>Thu</v>
      </c>
    </row>
    <row r="1091" spans="1:11" x14ac:dyDescent="0.35">
      <c r="A1091" s="1">
        <v>37141</v>
      </c>
      <c r="B1091">
        <v>0.39800000190734802</v>
      </c>
      <c r="C1091">
        <v>0.43050000071525502</v>
      </c>
      <c r="D1091">
        <v>0.39250001311302102</v>
      </c>
      <c r="E1091">
        <v>0.42550000548362699</v>
      </c>
      <c r="F1091">
        <v>0.42550000548362699</v>
      </c>
      <c r="G1091">
        <v>142442000</v>
      </c>
      <c r="H1091">
        <f t="shared" si="64"/>
        <v>2001</v>
      </c>
      <c r="I1091">
        <f t="shared" si="65"/>
        <v>9</v>
      </c>
      <c r="J1091" t="str">
        <f t="shared" si="66"/>
        <v>Sep</v>
      </c>
      <c r="K1091" t="str">
        <f t="shared" si="67"/>
        <v>Fri</v>
      </c>
    </row>
    <row r="1092" spans="1:11" x14ac:dyDescent="0.35">
      <c r="A1092" s="1">
        <v>37144</v>
      </c>
      <c r="B1092">
        <v>0.41999998688697798</v>
      </c>
      <c r="C1092">
        <v>0.43250000476837103</v>
      </c>
      <c r="D1092">
        <v>0.402999997138977</v>
      </c>
      <c r="E1092">
        <v>0.43149998784065202</v>
      </c>
      <c r="F1092">
        <v>0.43149998784065202</v>
      </c>
      <c r="G1092">
        <v>116672000</v>
      </c>
      <c r="H1092">
        <f t="shared" ref="H1092:H1155" si="68">YEAR($A1092)</f>
        <v>2001</v>
      </c>
      <c r="I1092">
        <f t="shared" ref="I1092:I1155" si="69">MONTH($A1092)</f>
        <v>9</v>
      </c>
      <c r="J1092" t="str">
        <f t="shared" ref="J1092:J1155" si="70">TEXT($A1092,"mmm")</f>
        <v>Sep</v>
      </c>
      <c r="K1092" t="str">
        <f t="shared" ref="K1092:K1155" si="71">TEXT($A1092,"ddd")</f>
        <v>Mon</v>
      </c>
    </row>
    <row r="1093" spans="1:11" x14ac:dyDescent="0.35">
      <c r="A1093" s="1">
        <v>37151</v>
      </c>
      <c r="B1093">
        <v>0.365000009536743</v>
      </c>
      <c r="C1093">
        <v>0.40250000357627802</v>
      </c>
      <c r="D1093">
        <v>0.35249999165534901</v>
      </c>
      <c r="E1093">
        <v>0.37450000643730103</v>
      </c>
      <c r="F1093">
        <v>0.37450000643730103</v>
      </c>
      <c r="G1093">
        <v>211470000</v>
      </c>
      <c r="H1093">
        <f t="shared" si="68"/>
        <v>2001</v>
      </c>
      <c r="I1093">
        <f t="shared" si="69"/>
        <v>9</v>
      </c>
      <c r="J1093" t="str">
        <f t="shared" si="70"/>
        <v>Sep</v>
      </c>
      <c r="K1093" t="str">
        <f t="shared" si="71"/>
        <v>Mon</v>
      </c>
    </row>
    <row r="1094" spans="1:11" x14ac:dyDescent="0.35">
      <c r="A1094" s="1">
        <v>37152</v>
      </c>
      <c r="B1094">
        <v>0.37950000166893</v>
      </c>
      <c r="C1094">
        <v>0.38749998807907099</v>
      </c>
      <c r="D1094">
        <v>0.36250001192092801</v>
      </c>
      <c r="E1094">
        <v>0.36449998617172202</v>
      </c>
      <c r="F1094">
        <v>0.36449998617172202</v>
      </c>
      <c r="G1094">
        <v>125418000</v>
      </c>
      <c r="H1094">
        <f t="shared" si="68"/>
        <v>2001</v>
      </c>
      <c r="I1094">
        <f t="shared" si="69"/>
        <v>9</v>
      </c>
      <c r="J1094" t="str">
        <f t="shared" si="70"/>
        <v>Sep</v>
      </c>
      <c r="K1094" t="str">
        <f t="shared" si="71"/>
        <v>Tue</v>
      </c>
    </row>
    <row r="1095" spans="1:11" x14ac:dyDescent="0.35">
      <c r="A1095" s="1">
        <v>37153</v>
      </c>
      <c r="B1095">
        <v>0.36750000715255698</v>
      </c>
      <c r="C1095">
        <v>0.37250000238418501</v>
      </c>
      <c r="D1095">
        <v>0.33199998736381497</v>
      </c>
      <c r="E1095">
        <v>0.36550000309944097</v>
      </c>
      <c r="F1095">
        <v>0.36550000309944097</v>
      </c>
      <c r="G1095">
        <v>188730000</v>
      </c>
      <c r="H1095">
        <f t="shared" si="68"/>
        <v>2001</v>
      </c>
      <c r="I1095">
        <f t="shared" si="69"/>
        <v>9</v>
      </c>
      <c r="J1095" t="str">
        <f t="shared" si="70"/>
        <v>Sep</v>
      </c>
      <c r="K1095" t="str">
        <f t="shared" si="71"/>
        <v>Wed</v>
      </c>
    </row>
    <row r="1096" spans="1:11" x14ac:dyDescent="0.35">
      <c r="A1096" s="1">
        <v>37154</v>
      </c>
      <c r="B1096">
        <v>0.35550001263618403</v>
      </c>
      <c r="C1096">
        <v>0.38199999928474399</v>
      </c>
      <c r="D1096">
        <v>0.35249999165534901</v>
      </c>
      <c r="E1096">
        <v>0.37400001287460299</v>
      </c>
      <c r="F1096">
        <v>0.37400001287460299</v>
      </c>
      <c r="G1096">
        <v>172618000</v>
      </c>
      <c r="H1096">
        <f t="shared" si="68"/>
        <v>2001</v>
      </c>
      <c r="I1096">
        <f t="shared" si="69"/>
        <v>9</v>
      </c>
      <c r="J1096" t="str">
        <f t="shared" si="70"/>
        <v>Sep</v>
      </c>
      <c r="K1096" t="str">
        <f t="shared" si="71"/>
        <v>Thu</v>
      </c>
    </row>
    <row r="1097" spans="1:11" x14ac:dyDescent="0.35">
      <c r="A1097" s="1">
        <v>37155</v>
      </c>
      <c r="B1097">
        <v>0.34749999642372098</v>
      </c>
      <c r="C1097">
        <v>0.38600000739097501</v>
      </c>
      <c r="D1097">
        <v>0.33450001478195102</v>
      </c>
      <c r="E1097">
        <v>0.37400001287460299</v>
      </c>
      <c r="F1097">
        <v>0.37400001287460299</v>
      </c>
      <c r="G1097">
        <v>257322000</v>
      </c>
      <c r="H1097">
        <f t="shared" si="68"/>
        <v>2001</v>
      </c>
      <c r="I1097">
        <f t="shared" si="69"/>
        <v>9</v>
      </c>
      <c r="J1097" t="str">
        <f t="shared" si="70"/>
        <v>Sep</v>
      </c>
      <c r="K1097" t="str">
        <f t="shared" si="71"/>
        <v>Fri</v>
      </c>
    </row>
    <row r="1098" spans="1:11" x14ac:dyDescent="0.35">
      <c r="A1098" s="1">
        <v>37158</v>
      </c>
      <c r="B1098">
        <v>0.384999990463256</v>
      </c>
      <c r="C1098">
        <v>0.39149999618530201</v>
      </c>
      <c r="D1098">
        <v>0.36700001358985901</v>
      </c>
      <c r="E1098">
        <v>0.37299999594688399</v>
      </c>
      <c r="F1098">
        <v>0.37299999594688399</v>
      </c>
      <c r="G1098">
        <v>102054000</v>
      </c>
      <c r="H1098">
        <f t="shared" si="68"/>
        <v>2001</v>
      </c>
      <c r="I1098">
        <f t="shared" si="69"/>
        <v>9</v>
      </c>
      <c r="J1098" t="str">
        <f t="shared" si="70"/>
        <v>Sep</v>
      </c>
      <c r="K1098" t="str">
        <f t="shared" si="71"/>
        <v>Mon</v>
      </c>
    </row>
    <row r="1099" spans="1:11" x14ac:dyDescent="0.35">
      <c r="A1099" s="1">
        <v>37159</v>
      </c>
      <c r="B1099">
        <v>0.37450000643730103</v>
      </c>
      <c r="C1099">
        <v>0.37850001454353299</v>
      </c>
      <c r="D1099">
        <v>0.35100001096725397</v>
      </c>
      <c r="E1099">
        <v>0.35449999570846502</v>
      </c>
      <c r="F1099">
        <v>0.35449999570846502</v>
      </c>
      <c r="G1099">
        <v>97262000</v>
      </c>
      <c r="H1099">
        <f t="shared" si="68"/>
        <v>2001</v>
      </c>
      <c r="I1099">
        <f t="shared" si="69"/>
        <v>9</v>
      </c>
      <c r="J1099" t="str">
        <f t="shared" si="70"/>
        <v>Sep</v>
      </c>
      <c r="K1099" t="str">
        <f t="shared" si="71"/>
        <v>Tue</v>
      </c>
    </row>
    <row r="1100" spans="1:11" x14ac:dyDescent="0.35">
      <c r="A1100" s="1">
        <v>37160</v>
      </c>
      <c r="B1100">
        <v>0.36000001430511402</v>
      </c>
      <c r="C1100">
        <v>0.36149999499320901</v>
      </c>
      <c r="D1100">
        <v>0.30000001192092801</v>
      </c>
      <c r="E1100">
        <v>0.31749999523162797</v>
      </c>
      <c r="F1100">
        <v>0.31749999523162797</v>
      </c>
      <c r="G1100">
        <v>156782000</v>
      </c>
      <c r="H1100">
        <f t="shared" si="68"/>
        <v>2001</v>
      </c>
      <c r="I1100">
        <f t="shared" si="69"/>
        <v>9</v>
      </c>
      <c r="J1100" t="str">
        <f t="shared" si="70"/>
        <v>Sep</v>
      </c>
      <c r="K1100" t="str">
        <f t="shared" si="71"/>
        <v>Wed</v>
      </c>
    </row>
    <row r="1101" spans="1:11" x14ac:dyDescent="0.35">
      <c r="A1101" s="1">
        <v>37161</v>
      </c>
      <c r="B1101">
        <v>0.32350000739097501</v>
      </c>
      <c r="C1101">
        <v>0.33199998736381497</v>
      </c>
      <c r="D1101">
        <v>0.283499985933303</v>
      </c>
      <c r="E1101">
        <v>0.31000000238418501</v>
      </c>
      <c r="F1101">
        <v>0.31000000238418501</v>
      </c>
      <c r="G1101">
        <v>165500000</v>
      </c>
      <c r="H1101">
        <f t="shared" si="68"/>
        <v>2001</v>
      </c>
      <c r="I1101">
        <f t="shared" si="69"/>
        <v>9</v>
      </c>
      <c r="J1101" t="str">
        <f t="shared" si="70"/>
        <v>Sep</v>
      </c>
      <c r="K1101" t="str">
        <f t="shared" si="71"/>
        <v>Thu</v>
      </c>
    </row>
    <row r="1102" spans="1:11" x14ac:dyDescent="0.35">
      <c r="A1102" s="1">
        <v>37162</v>
      </c>
      <c r="B1102">
        <v>0.3125</v>
      </c>
      <c r="C1102">
        <v>0.32350000739097501</v>
      </c>
      <c r="D1102">
        <v>0.29150000214576699</v>
      </c>
      <c r="E1102">
        <v>0.29850000143051098</v>
      </c>
      <c r="F1102">
        <v>0.29850000143051098</v>
      </c>
      <c r="G1102">
        <v>139344000</v>
      </c>
      <c r="H1102">
        <f t="shared" si="68"/>
        <v>2001</v>
      </c>
      <c r="I1102">
        <f t="shared" si="69"/>
        <v>9</v>
      </c>
      <c r="J1102" t="str">
        <f t="shared" si="70"/>
        <v>Sep</v>
      </c>
      <c r="K1102" t="str">
        <f t="shared" si="71"/>
        <v>Fri</v>
      </c>
    </row>
    <row r="1103" spans="1:11" x14ac:dyDescent="0.35">
      <c r="A1103" s="1">
        <v>37165</v>
      </c>
      <c r="B1103">
        <v>0.29550001025199801</v>
      </c>
      <c r="C1103">
        <v>0.30500000715255698</v>
      </c>
      <c r="D1103">
        <v>0.27549999952316201</v>
      </c>
      <c r="E1103">
        <v>0.30050000548362699</v>
      </c>
      <c r="F1103">
        <v>0.30050000548362699</v>
      </c>
      <c r="G1103">
        <v>159888000</v>
      </c>
      <c r="H1103">
        <f t="shared" si="68"/>
        <v>2001</v>
      </c>
      <c r="I1103">
        <f t="shared" si="69"/>
        <v>10</v>
      </c>
      <c r="J1103" t="str">
        <f t="shared" si="70"/>
        <v>Oct</v>
      </c>
      <c r="K1103" t="str">
        <f t="shared" si="71"/>
        <v>Mon</v>
      </c>
    </row>
    <row r="1104" spans="1:11" x14ac:dyDescent="0.35">
      <c r="A1104" s="1">
        <v>37166</v>
      </c>
      <c r="B1104">
        <v>0.30849999189376798</v>
      </c>
      <c r="C1104">
        <v>0.30849999189376798</v>
      </c>
      <c r="D1104">
        <v>0.29750001430511402</v>
      </c>
      <c r="E1104">
        <v>0.30399999022483798</v>
      </c>
      <c r="F1104">
        <v>0.30399999022483798</v>
      </c>
      <c r="G1104">
        <v>113554000</v>
      </c>
      <c r="H1104">
        <f t="shared" si="68"/>
        <v>2001</v>
      </c>
      <c r="I1104">
        <f t="shared" si="69"/>
        <v>10</v>
      </c>
      <c r="J1104" t="str">
        <f t="shared" si="70"/>
        <v>Oct</v>
      </c>
      <c r="K1104" t="str">
        <f t="shared" si="71"/>
        <v>Tue</v>
      </c>
    </row>
    <row r="1105" spans="1:11" x14ac:dyDescent="0.35">
      <c r="A1105" s="1">
        <v>37167</v>
      </c>
      <c r="B1105">
        <v>0.30849999189376798</v>
      </c>
      <c r="C1105">
        <v>0.360500007867813</v>
      </c>
      <c r="D1105">
        <v>0.30099999904632502</v>
      </c>
      <c r="E1105">
        <v>0.33799999952316201</v>
      </c>
      <c r="F1105">
        <v>0.33799999952316201</v>
      </c>
      <c r="G1105">
        <v>106470000</v>
      </c>
      <c r="H1105">
        <f t="shared" si="68"/>
        <v>2001</v>
      </c>
      <c r="I1105">
        <f t="shared" si="69"/>
        <v>10</v>
      </c>
      <c r="J1105" t="str">
        <f t="shared" si="70"/>
        <v>Oct</v>
      </c>
      <c r="K1105" t="str">
        <f t="shared" si="71"/>
        <v>Wed</v>
      </c>
    </row>
    <row r="1106" spans="1:11" x14ac:dyDescent="0.35">
      <c r="A1106" s="1">
        <v>37168</v>
      </c>
      <c r="B1106">
        <v>0.35449999570846502</v>
      </c>
      <c r="C1106">
        <v>0.39350000023841802</v>
      </c>
      <c r="D1106">
        <v>0.33399999141693099</v>
      </c>
      <c r="E1106">
        <v>0.35199999809265098</v>
      </c>
      <c r="F1106">
        <v>0.35199999809265098</v>
      </c>
      <c r="G1106">
        <v>124344000</v>
      </c>
      <c r="H1106">
        <f t="shared" si="68"/>
        <v>2001</v>
      </c>
      <c r="I1106">
        <f t="shared" si="69"/>
        <v>10</v>
      </c>
      <c r="J1106" t="str">
        <f t="shared" si="70"/>
        <v>Oct</v>
      </c>
      <c r="K1106" t="str">
        <f t="shared" si="71"/>
        <v>Thu</v>
      </c>
    </row>
    <row r="1107" spans="1:11" x14ac:dyDescent="0.35">
      <c r="A1107" s="1">
        <v>37169</v>
      </c>
      <c r="B1107">
        <v>0.34850001335143999</v>
      </c>
      <c r="C1107">
        <v>0.395000010728836</v>
      </c>
      <c r="D1107">
        <v>0.337000012397766</v>
      </c>
      <c r="E1107">
        <v>0.36000001430511402</v>
      </c>
      <c r="F1107">
        <v>0.36000001430511402</v>
      </c>
      <c r="G1107">
        <v>118018000</v>
      </c>
      <c r="H1107">
        <f t="shared" si="68"/>
        <v>2001</v>
      </c>
      <c r="I1107">
        <f t="shared" si="69"/>
        <v>10</v>
      </c>
      <c r="J1107" t="str">
        <f t="shared" si="70"/>
        <v>Oct</v>
      </c>
      <c r="K1107" t="str">
        <f t="shared" si="71"/>
        <v>Fri</v>
      </c>
    </row>
    <row r="1108" spans="1:11" x14ac:dyDescent="0.35">
      <c r="A1108" s="1">
        <v>37172</v>
      </c>
      <c r="B1108">
        <v>0.35350000858306801</v>
      </c>
      <c r="C1108">
        <v>0.365000009536743</v>
      </c>
      <c r="D1108">
        <v>0.34549999237060502</v>
      </c>
      <c r="E1108">
        <v>0.356000006198883</v>
      </c>
      <c r="F1108">
        <v>0.356000006198883</v>
      </c>
      <c r="G1108">
        <v>78688000</v>
      </c>
      <c r="H1108">
        <f t="shared" si="68"/>
        <v>2001</v>
      </c>
      <c r="I1108">
        <f t="shared" si="69"/>
        <v>10</v>
      </c>
      <c r="J1108" t="str">
        <f t="shared" si="70"/>
        <v>Oct</v>
      </c>
      <c r="K1108" t="str">
        <f t="shared" si="71"/>
        <v>Mon</v>
      </c>
    </row>
    <row r="1109" spans="1:11" x14ac:dyDescent="0.35">
      <c r="A1109" s="1">
        <v>37173</v>
      </c>
      <c r="B1109">
        <v>0.35550001263618403</v>
      </c>
      <c r="C1109">
        <v>0.356000006198883</v>
      </c>
      <c r="D1109">
        <v>0.33349999785423201</v>
      </c>
      <c r="E1109">
        <v>0.34549999237060502</v>
      </c>
      <c r="F1109">
        <v>0.34549999237060502</v>
      </c>
      <c r="G1109">
        <v>55336000</v>
      </c>
      <c r="H1109">
        <f t="shared" si="68"/>
        <v>2001</v>
      </c>
      <c r="I1109">
        <f t="shared" si="69"/>
        <v>10</v>
      </c>
      <c r="J1109" t="str">
        <f t="shared" si="70"/>
        <v>Oct</v>
      </c>
      <c r="K1109" t="str">
        <f t="shared" si="71"/>
        <v>Tue</v>
      </c>
    </row>
    <row r="1110" spans="1:11" x14ac:dyDescent="0.35">
      <c r="A1110" s="1">
        <v>37174</v>
      </c>
      <c r="B1110">
        <v>0.34499999880790699</v>
      </c>
      <c r="C1110">
        <v>0.36550000309944097</v>
      </c>
      <c r="D1110">
        <v>0.34000000357627802</v>
      </c>
      <c r="E1110">
        <v>0.36300000548362699</v>
      </c>
      <c r="F1110">
        <v>0.36300000548362699</v>
      </c>
      <c r="G1110">
        <v>61660000</v>
      </c>
      <c r="H1110">
        <f t="shared" si="68"/>
        <v>2001</v>
      </c>
      <c r="I1110">
        <f t="shared" si="69"/>
        <v>10</v>
      </c>
      <c r="J1110" t="str">
        <f t="shared" si="70"/>
        <v>Oct</v>
      </c>
      <c r="K1110" t="str">
        <f t="shared" si="71"/>
        <v>Wed</v>
      </c>
    </row>
    <row r="1111" spans="1:11" x14ac:dyDescent="0.35">
      <c r="A1111" s="1">
        <v>37175</v>
      </c>
      <c r="B1111">
        <v>0.37700000405311501</v>
      </c>
      <c r="C1111">
        <v>0.40799999237060502</v>
      </c>
      <c r="D1111">
        <v>0.375</v>
      </c>
      <c r="E1111">
        <v>0.39250001311302102</v>
      </c>
      <c r="F1111">
        <v>0.39250001311302102</v>
      </c>
      <c r="G1111">
        <v>133306000</v>
      </c>
      <c r="H1111">
        <f t="shared" si="68"/>
        <v>2001</v>
      </c>
      <c r="I1111">
        <f t="shared" si="69"/>
        <v>10</v>
      </c>
      <c r="J1111" t="str">
        <f t="shared" si="70"/>
        <v>Oct</v>
      </c>
      <c r="K1111" t="str">
        <f t="shared" si="71"/>
        <v>Thu</v>
      </c>
    </row>
    <row r="1112" spans="1:11" x14ac:dyDescent="0.35">
      <c r="A1112" s="1">
        <v>37176</v>
      </c>
      <c r="B1112">
        <v>0.38800001144409102</v>
      </c>
      <c r="C1112">
        <v>0.40749999880790699</v>
      </c>
      <c r="D1112">
        <v>0.37349998950958202</v>
      </c>
      <c r="E1112">
        <v>0.40349999070167503</v>
      </c>
      <c r="F1112">
        <v>0.40349999070167503</v>
      </c>
      <c r="G1112">
        <v>72592000</v>
      </c>
      <c r="H1112">
        <f t="shared" si="68"/>
        <v>2001</v>
      </c>
      <c r="I1112">
        <f t="shared" si="69"/>
        <v>10</v>
      </c>
      <c r="J1112" t="str">
        <f t="shared" si="70"/>
        <v>Oct</v>
      </c>
      <c r="K1112" t="str">
        <f t="shared" si="71"/>
        <v>Fri</v>
      </c>
    </row>
    <row r="1113" spans="1:11" x14ac:dyDescent="0.35">
      <c r="A1113" s="1">
        <v>37179</v>
      </c>
      <c r="B1113">
        <v>0.41200000047683699</v>
      </c>
      <c r="C1113">
        <v>0.46000000834464999</v>
      </c>
      <c r="D1113">
        <v>0.41150000691413802</v>
      </c>
      <c r="E1113">
        <v>0.44400000572204501</v>
      </c>
      <c r="F1113">
        <v>0.44400000572204501</v>
      </c>
      <c r="G1113">
        <v>172036000</v>
      </c>
      <c r="H1113">
        <f t="shared" si="68"/>
        <v>2001</v>
      </c>
      <c r="I1113">
        <f t="shared" si="69"/>
        <v>10</v>
      </c>
      <c r="J1113" t="str">
        <f t="shared" si="70"/>
        <v>Oct</v>
      </c>
      <c r="K1113" t="str">
        <f t="shared" si="71"/>
        <v>Mon</v>
      </c>
    </row>
    <row r="1114" spans="1:11" x14ac:dyDescent="0.35">
      <c r="A1114" s="1">
        <v>37180</v>
      </c>
      <c r="B1114">
        <v>0.46149998903274497</v>
      </c>
      <c r="C1114">
        <v>0.48750001192092801</v>
      </c>
      <c r="D1114">
        <v>0.45550000667571999</v>
      </c>
      <c r="E1114">
        <v>0.47799998521804798</v>
      </c>
      <c r="F1114">
        <v>0.47799998521804798</v>
      </c>
      <c r="G1114">
        <v>165992000</v>
      </c>
      <c r="H1114">
        <f t="shared" si="68"/>
        <v>2001</v>
      </c>
      <c r="I1114">
        <f t="shared" si="69"/>
        <v>10</v>
      </c>
      <c r="J1114" t="str">
        <f t="shared" si="70"/>
        <v>Oct</v>
      </c>
      <c r="K1114" t="str">
        <f t="shared" si="71"/>
        <v>Tue</v>
      </c>
    </row>
    <row r="1115" spans="1:11" x14ac:dyDescent="0.35">
      <c r="A1115" s="1">
        <v>37181</v>
      </c>
      <c r="B1115">
        <v>0.49900001287460299</v>
      </c>
      <c r="C1115">
        <v>0.49950000643730103</v>
      </c>
      <c r="D1115">
        <v>0.44249999523162797</v>
      </c>
      <c r="E1115">
        <v>0.44600000977516102</v>
      </c>
      <c r="F1115">
        <v>0.44600000977516102</v>
      </c>
      <c r="G1115">
        <v>178890000</v>
      </c>
      <c r="H1115">
        <f t="shared" si="68"/>
        <v>2001</v>
      </c>
      <c r="I1115">
        <f t="shared" si="69"/>
        <v>10</v>
      </c>
      <c r="J1115" t="str">
        <f t="shared" si="70"/>
        <v>Oct</v>
      </c>
      <c r="K1115" t="str">
        <f t="shared" si="71"/>
        <v>Wed</v>
      </c>
    </row>
    <row r="1116" spans="1:11" x14ac:dyDescent="0.35">
      <c r="A1116" s="1">
        <v>37182</v>
      </c>
      <c r="B1116">
        <v>0.44549998641014099</v>
      </c>
      <c r="C1116">
        <v>0.46149998903274497</v>
      </c>
      <c r="D1116">
        <v>0.41899999976158098</v>
      </c>
      <c r="E1116">
        <v>0.42350000143051098</v>
      </c>
      <c r="F1116">
        <v>0.42350000143051098</v>
      </c>
      <c r="G1116">
        <v>87066000</v>
      </c>
      <c r="H1116">
        <f t="shared" si="68"/>
        <v>2001</v>
      </c>
      <c r="I1116">
        <f t="shared" si="69"/>
        <v>10</v>
      </c>
      <c r="J1116" t="str">
        <f t="shared" si="70"/>
        <v>Oct</v>
      </c>
      <c r="K1116" t="str">
        <f t="shared" si="71"/>
        <v>Thu</v>
      </c>
    </row>
    <row r="1117" spans="1:11" x14ac:dyDescent="0.35">
      <c r="A1117" s="1">
        <v>37183</v>
      </c>
      <c r="B1117">
        <v>0.42449998855590798</v>
      </c>
      <c r="C1117">
        <v>0.42599999904632502</v>
      </c>
      <c r="D1117">
        <v>0.375</v>
      </c>
      <c r="E1117">
        <v>0.40049999952316201</v>
      </c>
      <c r="F1117">
        <v>0.40049999952316201</v>
      </c>
      <c r="G1117">
        <v>140146000</v>
      </c>
      <c r="H1117">
        <f t="shared" si="68"/>
        <v>2001</v>
      </c>
      <c r="I1117">
        <f t="shared" si="69"/>
        <v>10</v>
      </c>
      <c r="J1117" t="str">
        <f t="shared" si="70"/>
        <v>Oct</v>
      </c>
      <c r="K1117" t="str">
        <f t="shared" si="71"/>
        <v>Fri</v>
      </c>
    </row>
    <row r="1118" spans="1:11" x14ac:dyDescent="0.35">
      <c r="A1118" s="1">
        <v>37186</v>
      </c>
      <c r="B1118">
        <v>0.40349999070167503</v>
      </c>
      <c r="C1118">
        <v>0.44150000810623102</v>
      </c>
      <c r="D1118">
        <v>0.40200001001357999</v>
      </c>
      <c r="E1118">
        <v>0.43849998712539601</v>
      </c>
      <c r="F1118">
        <v>0.43849998712539601</v>
      </c>
      <c r="G1118">
        <v>84620000</v>
      </c>
      <c r="H1118">
        <f t="shared" si="68"/>
        <v>2001</v>
      </c>
      <c r="I1118">
        <f t="shared" si="69"/>
        <v>10</v>
      </c>
      <c r="J1118" t="str">
        <f t="shared" si="70"/>
        <v>Oct</v>
      </c>
      <c r="K1118" t="str">
        <f t="shared" si="71"/>
        <v>Mon</v>
      </c>
    </row>
    <row r="1119" spans="1:11" x14ac:dyDescent="0.35">
      <c r="A1119" s="1">
        <v>37187</v>
      </c>
      <c r="B1119">
        <v>0.46250000596046398</v>
      </c>
      <c r="C1119">
        <v>0.479999989271163</v>
      </c>
      <c r="D1119">
        <v>0.44249999523162797</v>
      </c>
      <c r="E1119">
        <v>0.47749999165534901</v>
      </c>
      <c r="F1119">
        <v>0.47749999165534901</v>
      </c>
      <c r="G1119">
        <v>244528000</v>
      </c>
      <c r="H1119">
        <f t="shared" si="68"/>
        <v>2001</v>
      </c>
      <c r="I1119">
        <f t="shared" si="69"/>
        <v>10</v>
      </c>
      <c r="J1119" t="str">
        <f t="shared" si="70"/>
        <v>Oct</v>
      </c>
      <c r="K1119" t="str">
        <f t="shared" si="71"/>
        <v>Tue</v>
      </c>
    </row>
    <row r="1120" spans="1:11" x14ac:dyDescent="0.35">
      <c r="A1120" s="1">
        <v>37188</v>
      </c>
      <c r="B1120">
        <v>0.40250000357627802</v>
      </c>
      <c r="C1120">
        <v>0.40749999880790699</v>
      </c>
      <c r="D1120">
        <v>0.37000000476837103</v>
      </c>
      <c r="E1120">
        <v>0.38199999928474399</v>
      </c>
      <c r="F1120">
        <v>0.38199999928474399</v>
      </c>
      <c r="G1120">
        <v>533848000</v>
      </c>
      <c r="H1120">
        <f t="shared" si="68"/>
        <v>2001</v>
      </c>
      <c r="I1120">
        <f t="shared" si="69"/>
        <v>10</v>
      </c>
      <c r="J1120" t="str">
        <f t="shared" si="70"/>
        <v>Oct</v>
      </c>
      <c r="K1120" t="str">
        <f t="shared" si="71"/>
        <v>Wed</v>
      </c>
    </row>
    <row r="1121" spans="1:11" x14ac:dyDescent="0.35">
      <c r="A1121" s="1">
        <v>37189</v>
      </c>
      <c r="B1121">
        <v>0.369500011205673</v>
      </c>
      <c r="C1121">
        <v>0.38899999856948803</v>
      </c>
      <c r="D1121">
        <v>0.35749998688697798</v>
      </c>
      <c r="E1121">
        <v>0.38850000500678999</v>
      </c>
      <c r="F1121">
        <v>0.38850000500678999</v>
      </c>
      <c r="G1121">
        <v>185356000</v>
      </c>
      <c r="H1121">
        <f t="shared" si="68"/>
        <v>2001</v>
      </c>
      <c r="I1121">
        <f t="shared" si="69"/>
        <v>10</v>
      </c>
      <c r="J1121" t="str">
        <f t="shared" si="70"/>
        <v>Oct</v>
      </c>
      <c r="K1121" t="str">
        <f t="shared" si="71"/>
        <v>Thu</v>
      </c>
    </row>
    <row r="1122" spans="1:11" x14ac:dyDescent="0.35">
      <c r="A1122" s="1">
        <v>37190</v>
      </c>
      <c r="B1122">
        <v>0.38150000572204501</v>
      </c>
      <c r="C1122">
        <v>0.40049999952316201</v>
      </c>
      <c r="D1122">
        <v>0.37549999356269798</v>
      </c>
      <c r="E1122">
        <v>0.37799999117851202</v>
      </c>
      <c r="F1122">
        <v>0.37799999117851202</v>
      </c>
      <c r="G1122">
        <v>122142000</v>
      </c>
      <c r="H1122">
        <f t="shared" si="68"/>
        <v>2001</v>
      </c>
      <c r="I1122">
        <f t="shared" si="69"/>
        <v>10</v>
      </c>
      <c r="J1122" t="str">
        <f t="shared" si="70"/>
        <v>Oct</v>
      </c>
      <c r="K1122" t="str">
        <f t="shared" si="71"/>
        <v>Fri</v>
      </c>
    </row>
    <row r="1123" spans="1:11" x14ac:dyDescent="0.35">
      <c r="A1123" s="1">
        <v>37193</v>
      </c>
      <c r="B1123">
        <v>0.38049998879432601</v>
      </c>
      <c r="C1123">
        <v>0.38299998641014099</v>
      </c>
      <c r="D1123">
        <v>0.35199999809265098</v>
      </c>
      <c r="E1123">
        <v>0.35249999165534901</v>
      </c>
      <c r="F1123">
        <v>0.35249999165534901</v>
      </c>
      <c r="G1123">
        <v>103236000</v>
      </c>
      <c r="H1123">
        <f t="shared" si="68"/>
        <v>2001</v>
      </c>
      <c r="I1123">
        <f t="shared" si="69"/>
        <v>10</v>
      </c>
      <c r="J1123" t="str">
        <f t="shared" si="70"/>
        <v>Oct</v>
      </c>
      <c r="K1123" t="str">
        <f t="shared" si="71"/>
        <v>Mon</v>
      </c>
    </row>
    <row r="1124" spans="1:11" x14ac:dyDescent="0.35">
      <c r="A1124" s="1">
        <v>37194</v>
      </c>
      <c r="B1124">
        <v>0.350499987602233</v>
      </c>
      <c r="C1124">
        <v>0.351500004529953</v>
      </c>
      <c r="D1124">
        <v>0.31600001454353299</v>
      </c>
      <c r="E1124">
        <v>0.32100000977516102</v>
      </c>
      <c r="F1124">
        <v>0.32100000977516102</v>
      </c>
      <c r="G1124">
        <v>201110000</v>
      </c>
      <c r="H1124">
        <f t="shared" si="68"/>
        <v>2001</v>
      </c>
      <c r="I1124">
        <f t="shared" si="69"/>
        <v>10</v>
      </c>
      <c r="J1124" t="str">
        <f t="shared" si="70"/>
        <v>Oct</v>
      </c>
      <c r="K1124" t="str">
        <f t="shared" si="71"/>
        <v>Tue</v>
      </c>
    </row>
    <row r="1125" spans="1:11" x14ac:dyDescent="0.35">
      <c r="A1125" s="1">
        <v>37195</v>
      </c>
      <c r="B1125">
        <v>0.33950001001357999</v>
      </c>
      <c r="C1125">
        <v>0.35100001096725397</v>
      </c>
      <c r="D1125">
        <v>0.32749998569488498</v>
      </c>
      <c r="E1125">
        <v>0.34900000691413802</v>
      </c>
      <c r="F1125">
        <v>0.34900000691413802</v>
      </c>
      <c r="G1125">
        <v>154830000</v>
      </c>
      <c r="H1125">
        <f t="shared" si="68"/>
        <v>2001</v>
      </c>
      <c r="I1125">
        <f t="shared" si="69"/>
        <v>10</v>
      </c>
      <c r="J1125" t="str">
        <f t="shared" si="70"/>
        <v>Oct</v>
      </c>
      <c r="K1125" t="str">
        <f t="shared" si="71"/>
        <v>Wed</v>
      </c>
    </row>
    <row r="1126" spans="1:11" x14ac:dyDescent="0.35">
      <c r="A1126" s="1">
        <v>37196</v>
      </c>
      <c r="B1126">
        <v>0.35400000214576699</v>
      </c>
      <c r="C1126">
        <v>0.354999989271163</v>
      </c>
      <c r="D1126">
        <v>0.33000001311302102</v>
      </c>
      <c r="E1126">
        <v>0.34749999642372098</v>
      </c>
      <c r="F1126">
        <v>0.34749999642372098</v>
      </c>
      <c r="G1126">
        <v>101070000</v>
      </c>
      <c r="H1126">
        <f t="shared" si="68"/>
        <v>2001</v>
      </c>
      <c r="I1126">
        <f t="shared" si="69"/>
        <v>11</v>
      </c>
      <c r="J1126" t="str">
        <f t="shared" si="70"/>
        <v>Nov</v>
      </c>
      <c r="K1126" t="str">
        <f t="shared" si="71"/>
        <v>Thu</v>
      </c>
    </row>
    <row r="1127" spans="1:11" x14ac:dyDescent="0.35">
      <c r="A1127" s="1">
        <v>37197</v>
      </c>
      <c r="B1127">
        <v>0.34749999642372098</v>
      </c>
      <c r="C1127">
        <v>0.34749999642372098</v>
      </c>
      <c r="D1127">
        <v>0.33349999785423201</v>
      </c>
      <c r="E1127">
        <v>0.33550000190734802</v>
      </c>
      <c r="F1127">
        <v>0.33550000190734802</v>
      </c>
      <c r="G1127">
        <v>73942000</v>
      </c>
      <c r="H1127">
        <f t="shared" si="68"/>
        <v>2001</v>
      </c>
      <c r="I1127">
        <f t="shared" si="69"/>
        <v>11</v>
      </c>
      <c r="J1127" t="str">
        <f t="shared" si="70"/>
        <v>Nov</v>
      </c>
      <c r="K1127" t="str">
        <f t="shared" si="71"/>
        <v>Fri</v>
      </c>
    </row>
    <row r="1128" spans="1:11" x14ac:dyDescent="0.35">
      <c r="A1128" s="1">
        <v>37200</v>
      </c>
      <c r="B1128">
        <v>0.354999989271163</v>
      </c>
      <c r="C1128">
        <v>0.36000001430511402</v>
      </c>
      <c r="D1128">
        <v>0.34799998998641901</v>
      </c>
      <c r="E1128">
        <v>0.34950000047683699</v>
      </c>
      <c r="F1128">
        <v>0.34950000047683699</v>
      </c>
      <c r="G1128">
        <v>125756000</v>
      </c>
      <c r="H1128">
        <f t="shared" si="68"/>
        <v>2001</v>
      </c>
      <c r="I1128">
        <f t="shared" si="69"/>
        <v>11</v>
      </c>
      <c r="J1128" t="str">
        <f t="shared" si="70"/>
        <v>Nov</v>
      </c>
      <c r="K1128" t="str">
        <f t="shared" si="71"/>
        <v>Mon</v>
      </c>
    </row>
    <row r="1129" spans="1:11" x14ac:dyDescent="0.35">
      <c r="A1129" s="1">
        <v>37201</v>
      </c>
      <c r="B1129">
        <v>0.35400000214576699</v>
      </c>
      <c r="C1129">
        <v>0.35649999976158098</v>
      </c>
      <c r="D1129">
        <v>0.34549999237060502</v>
      </c>
      <c r="E1129">
        <v>0.35249999165534901</v>
      </c>
      <c r="F1129">
        <v>0.35249999165534901</v>
      </c>
      <c r="G1129">
        <v>112156000</v>
      </c>
      <c r="H1129">
        <f t="shared" si="68"/>
        <v>2001</v>
      </c>
      <c r="I1129">
        <f t="shared" si="69"/>
        <v>11</v>
      </c>
      <c r="J1129" t="str">
        <f t="shared" si="70"/>
        <v>Nov</v>
      </c>
      <c r="K1129" t="str">
        <f t="shared" si="71"/>
        <v>Tue</v>
      </c>
    </row>
    <row r="1130" spans="1:11" x14ac:dyDescent="0.35">
      <c r="A1130" s="1">
        <v>37202</v>
      </c>
      <c r="B1130">
        <v>0.350499987602233</v>
      </c>
      <c r="C1130">
        <v>0.38400000333786</v>
      </c>
      <c r="D1130">
        <v>0.34999999403953502</v>
      </c>
      <c r="E1130">
        <v>0.37149998545646601</v>
      </c>
      <c r="F1130">
        <v>0.37149998545646601</v>
      </c>
      <c r="G1130">
        <v>194312000</v>
      </c>
      <c r="H1130">
        <f t="shared" si="68"/>
        <v>2001</v>
      </c>
      <c r="I1130">
        <f t="shared" si="69"/>
        <v>11</v>
      </c>
      <c r="J1130" t="str">
        <f t="shared" si="70"/>
        <v>Nov</v>
      </c>
      <c r="K1130" t="str">
        <f t="shared" si="71"/>
        <v>Wed</v>
      </c>
    </row>
    <row r="1131" spans="1:11" x14ac:dyDescent="0.35">
      <c r="A1131" s="1">
        <v>37203</v>
      </c>
      <c r="B1131">
        <v>0.38299998641014099</v>
      </c>
      <c r="C1131">
        <v>0.38350000977516102</v>
      </c>
      <c r="D1131">
        <v>0.337000012397766</v>
      </c>
      <c r="E1131">
        <v>0.34850001335143999</v>
      </c>
      <c r="F1131">
        <v>0.34850001335143999</v>
      </c>
      <c r="G1131">
        <v>189794000</v>
      </c>
      <c r="H1131">
        <f t="shared" si="68"/>
        <v>2001</v>
      </c>
      <c r="I1131">
        <f t="shared" si="69"/>
        <v>11</v>
      </c>
      <c r="J1131" t="str">
        <f t="shared" si="70"/>
        <v>Nov</v>
      </c>
      <c r="K1131" t="str">
        <f t="shared" si="71"/>
        <v>Thu</v>
      </c>
    </row>
    <row r="1132" spans="1:11" x14ac:dyDescent="0.35">
      <c r="A1132" s="1">
        <v>37204</v>
      </c>
      <c r="B1132">
        <v>0.35249999165534901</v>
      </c>
      <c r="C1132">
        <v>0.36100000143051098</v>
      </c>
      <c r="D1132">
        <v>0.34850001335143999</v>
      </c>
      <c r="E1132">
        <v>0.356000006198883</v>
      </c>
      <c r="F1132">
        <v>0.356000006198883</v>
      </c>
      <c r="G1132">
        <v>88008000</v>
      </c>
      <c r="H1132">
        <f t="shared" si="68"/>
        <v>2001</v>
      </c>
      <c r="I1132">
        <f t="shared" si="69"/>
        <v>11</v>
      </c>
      <c r="J1132" t="str">
        <f t="shared" si="70"/>
        <v>Nov</v>
      </c>
      <c r="K1132" t="str">
        <f t="shared" si="71"/>
        <v>Fri</v>
      </c>
    </row>
    <row r="1133" spans="1:11" x14ac:dyDescent="0.35">
      <c r="A1133" s="1">
        <v>37207</v>
      </c>
      <c r="B1133">
        <v>0.35800001025199801</v>
      </c>
      <c r="C1133">
        <v>0.36199998855590798</v>
      </c>
      <c r="D1133">
        <v>0.34000000357627802</v>
      </c>
      <c r="E1133">
        <v>0.35249999165534901</v>
      </c>
      <c r="F1133">
        <v>0.35249999165534901</v>
      </c>
      <c r="G1133">
        <v>76546000</v>
      </c>
      <c r="H1133">
        <f t="shared" si="68"/>
        <v>2001</v>
      </c>
      <c r="I1133">
        <f t="shared" si="69"/>
        <v>11</v>
      </c>
      <c r="J1133" t="str">
        <f t="shared" si="70"/>
        <v>Nov</v>
      </c>
      <c r="K1133" t="str">
        <f t="shared" si="71"/>
        <v>Mon</v>
      </c>
    </row>
    <row r="1134" spans="1:11" x14ac:dyDescent="0.35">
      <c r="A1134" s="1">
        <v>37208</v>
      </c>
      <c r="B1134">
        <v>0.37200000882148698</v>
      </c>
      <c r="C1134">
        <v>0.37650001049041698</v>
      </c>
      <c r="D1134">
        <v>0.36000001430511402</v>
      </c>
      <c r="E1134">
        <v>0.36449998617172202</v>
      </c>
      <c r="F1134">
        <v>0.36449998617172202</v>
      </c>
      <c r="G1134">
        <v>122726000</v>
      </c>
      <c r="H1134">
        <f t="shared" si="68"/>
        <v>2001</v>
      </c>
      <c r="I1134">
        <f t="shared" si="69"/>
        <v>11</v>
      </c>
      <c r="J1134" t="str">
        <f t="shared" si="70"/>
        <v>Nov</v>
      </c>
      <c r="K1134" t="str">
        <f t="shared" si="71"/>
        <v>Tue</v>
      </c>
    </row>
    <row r="1135" spans="1:11" x14ac:dyDescent="0.35">
      <c r="A1135" s="1">
        <v>37209</v>
      </c>
      <c r="B1135">
        <v>0.38150000572204501</v>
      </c>
      <c r="C1135">
        <v>0.47450000047683699</v>
      </c>
      <c r="D1135">
        <v>0.37999999523162797</v>
      </c>
      <c r="E1135">
        <v>0.47450000047683699</v>
      </c>
      <c r="F1135">
        <v>0.47450000047683699</v>
      </c>
      <c r="G1135">
        <v>590596000</v>
      </c>
      <c r="H1135">
        <f t="shared" si="68"/>
        <v>2001</v>
      </c>
      <c r="I1135">
        <f t="shared" si="69"/>
        <v>11</v>
      </c>
      <c r="J1135" t="str">
        <f t="shared" si="70"/>
        <v>Nov</v>
      </c>
      <c r="K1135" t="str">
        <f t="shared" si="71"/>
        <v>Wed</v>
      </c>
    </row>
    <row r="1136" spans="1:11" x14ac:dyDescent="0.35">
      <c r="A1136" s="1">
        <v>37210</v>
      </c>
      <c r="B1136">
        <v>0.460999995470047</v>
      </c>
      <c r="C1136">
        <v>0.49500000476837103</v>
      </c>
      <c r="D1136">
        <v>0.4375</v>
      </c>
      <c r="E1136">
        <v>0.45249998569488498</v>
      </c>
      <c r="F1136">
        <v>0.45249998569488498</v>
      </c>
      <c r="G1136">
        <v>418964000</v>
      </c>
      <c r="H1136">
        <f t="shared" si="68"/>
        <v>2001</v>
      </c>
      <c r="I1136">
        <f t="shared" si="69"/>
        <v>11</v>
      </c>
      <c r="J1136" t="str">
        <f t="shared" si="70"/>
        <v>Nov</v>
      </c>
      <c r="K1136" t="str">
        <f t="shared" si="71"/>
        <v>Thu</v>
      </c>
    </row>
    <row r="1137" spans="1:11" x14ac:dyDescent="0.35">
      <c r="A1137" s="1">
        <v>37211</v>
      </c>
      <c r="B1137">
        <v>0.46050000190734802</v>
      </c>
      <c r="C1137">
        <v>0.46750000119209201</v>
      </c>
      <c r="D1137">
        <v>0.4375</v>
      </c>
      <c r="E1137">
        <v>0.447499990463256</v>
      </c>
      <c r="F1137">
        <v>0.447499990463256</v>
      </c>
      <c r="G1137">
        <v>261240000</v>
      </c>
      <c r="H1137">
        <f t="shared" si="68"/>
        <v>2001</v>
      </c>
      <c r="I1137">
        <f t="shared" si="69"/>
        <v>11</v>
      </c>
      <c r="J1137" t="str">
        <f t="shared" si="70"/>
        <v>Nov</v>
      </c>
      <c r="K1137" t="str">
        <f t="shared" si="71"/>
        <v>Fri</v>
      </c>
    </row>
    <row r="1138" spans="1:11" x14ac:dyDescent="0.35">
      <c r="A1138" s="1">
        <v>37214</v>
      </c>
      <c r="B1138">
        <v>0.46750000119209201</v>
      </c>
      <c r="C1138">
        <v>0.47499999403953502</v>
      </c>
      <c r="D1138">
        <v>0.44999998807907099</v>
      </c>
      <c r="E1138">
        <v>0.45950001478195102</v>
      </c>
      <c r="F1138">
        <v>0.45950001478195102</v>
      </c>
      <c r="G1138">
        <v>200228000</v>
      </c>
      <c r="H1138">
        <f t="shared" si="68"/>
        <v>2001</v>
      </c>
      <c r="I1138">
        <f t="shared" si="69"/>
        <v>11</v>
      </c>
      <c r="J1138" t="str">
        <f t="shared" si="70"/>
        <v>Nov</v>
      </c>
      <c r="K1138" t="str">
        <f t="shared" si="71"/>
        <v>Mon</v>
      </c>
    </row>
    <row r="1139" spans="1:11" x14ac:dyDescent="0.35">
      <c r="A1139" s="1">
        <v>37215</v>
      </c>
      <c r="B1139">
        <v>0.45350000262260398</v>
      </c>
      <c r="C1139">
        <v>0.46500000357627802</v>
      </c>
      <c r="D1139">
        <v>0.43000000715255698</v>
      </c>
      <c r="E1139">
        <v>0.43000000715255698</v>
      </c>
      <c r="F1139">
        <v>0.43000000715255698</v>
      </c>
      <c r="G1139">
        <v>149040000</v>
      </c>
      <c r="H1139">
        <f t="shared" si="68"/>
        <v>2001</v>
      </c>
      <c r="I1139">
        <f t="shared" si="69"/>
        <v>11</v>
      </c>
      <c r="J1139" t="str">
        <f t="shared" si="70"/>
        <v>Nov</v>
      </c>
      <c r="K1139" t="str">
        <f t="shared" si="71"/>
        <v>Tue</v>
      </c>
    </row>
    <row r="1140" spans="1:11" x14ac:dyDescent="0.35">
      <c r="A1140" s="1">
        <v>37216</v>
      </c>
      <c r="B1140">
        <v>0.43700000643730103</v>
      </c>
      <c r="C1140">
        <v>0.44850000739097501</v>
      </c>
      <c r="D1140">
        <v>0.40200001001357999</v>
      </c>
      <c r="E1140">
        <v>0.43999999761581399</v>
      </c>
      <c r="F1140">
        <v>0.43999999761581399</v>
      </c>
      <c r="G1140">
        <v>179932000</v>
      </c>
      <c r="H1140">
        <f t="shared" si="68"/>
        <v>2001</v>
      </c>
      <c r="I1140">
        <f t="shared" si="69"/>
        <v>11</v>
      </c>
      <c r="J1140" t="str">
        <f t="shared" si="70"/>
        <v>Nov</v>
      </c>
      <c r="K1140" t="str">
        <f t="shared" si="71"/>
        <v>Wed</v>
      </c>
    </row>
    <row r="1141" spans="1:11" x14ac:dyDescent="0.35">
      <c r="A1141" s="1">
        <v>37218</v>
      </c>
      <c r="B1141">
        <v>0.44499999284744202</v>
      </c>
      <c r="C1141">
        <v>0.45699998736381497</v>
      </c>
      <c r="D1141">
        <v>0.42800000309944097</v>
      </c>
      <c r="E1141">
        <v>0.45399999618530201</v>
      </c>
      <c r="F1141">
        <v>0.45399999618530201</v>
      </c>
      <c r="G1141">
        <v>81456000</v>
      </c>
      <c r="H1141">
        <f t="shared" si="68"/>
        <v>2001</v>
      </c>
      <c r="I1141">
        <f t="shared" si="69"/>
        <v>11</v>
      </c>
      <c r="J1141" t="str">
        <f t="shared" si="70"/>
        <v>Nov</v>
      </c>
      <c r="K1141" t="str">
        <f t="shared" si="71"/>
        <v>Fri</v>
      </c>
    </row>
    <row r="1142" spans="1:11" x14ac:dyDescent="0.35">
      <c r="A1142" s="1">
        <v>37221</v>
      </c>
      <c r="B1142">
        <v>0.49149999022483798</v>
      </c>
      <c r="C1142">
        <v>0.61100000143051103</v>
      </c>
      <c r="D1142">
        <v>0.490000009536743</v>
      </c>
      <c r="E1142">
        <v>0.61049997806548995</v>
      </c>
      <c r="F1142">
        <v>0.61049997806548995</v>
      </c>
      <c r="G1142">
        <v>1013784000</v>
      </c>
      <c r="H1142">
        <f t="shared" si="68"/>
        <v>2001</v>
      </c>
      <c r="I1142">
        <f t="shared" si="69"/>
        <v>11</v>
      </c>
      <c r="J1142" t="str">
        <f t="shared" si="70"/>
        <v>Nov</v>
      </c>
      <c r="K1142" t="str">
        <f t="shared" si="71"/>
        <v>Mon</v>
      </c>
    </row>
    <row r="1143" spans="1:11" x14ac:dyDescent="0.35">
      <c r="A1143" s="1">
        <v>37222</v>
      </c>
      <c r="B1143">
        <v>0.60250002145767201</v>
      </c>
      <c r="C1143">
        <v>0.61250001192092896</v>
      </c>
      <c r="D1143">
        <v>0.56099998950958196</v>
      </c>
      <c r="E1143">
        <v>0.57400000095367398</v>
      </c>
      <c r="F1143">
        <v>0.57400000095367398</v>
      </c>
      <c r="G1143">
        <v>686176000</v>
      </c>
      <c r="H1143">
        <f t="shared" si="68"/>
        <v>2001</v>
      </c>
      <c r="I1143">
        <f t="shared" si="69"/>
        <v>11</v>
      </c>
      <c r="J1143" t="str">
        <f t="shared" si="70"/>
        <v>Nov</v>
      </c>
      <c r="K1143" t="str">
        <f t="shared" si="71"/>
        <v>Tue</v>
      </c>
    </row>
    <row r="1144" spans="1:11" x14ac:dyDescent="0.35">
      <c r="A1144" s="1">
        <v>37223</v>
      </c>
      <c r="B1144">
        <v>0.56199997663497903</v>
      </c>
      <c r="C1144">
        <v>0.62000000476837103</v>
      </c>
      <c r="D1144">
        <v>0.55900001525878895</v>
      </c>
      <c r="E1144">
        <v>0.57950001955032304</v>
      </c>
      <c r="F1144">
        <v>0.57950001955032304</v>
      </c>
      <c r="G1144">
        <v>970324000</v>
      </c>
      <c r="H1144">
        <f t="shared" si="68"/>
        <v>2001</v>
      </c>
      <c r="I1144">
        <f t="shared" si="69"/>
        <v>11</v>
      </c>
      <c r="J1144" t="str">
        <f t="shared" si="70"/>
        <v>Nov</v>
      </c>
      <c r="K1144" t="str">
        <f t="shared" si="71"/>
        <v>Wed</v>
      </c>
    </row>
    <row r="1145" spans="1:11" x14ac:dyDescent="0.35">
      <c r="A1145" s="1">
        <v>37224</v>
      </c>
      <c r="B1145">
        <v>0.59450000524520796</v>
      </c>
      <c r="C1145">
        <v>0.59500002861022905</v>
      </c>
      <c r="D1145">
        <v>0.53949999809265103</v>
      </c>
      <c r="E1145">
        <v>0.55750000476837103</v>
      </c>
      <c r="F1145">
        <v>0.55750000476837103</v>
      </c>
      <c r="G1145">
        <v>405480000</v>
      </c>
      <c r="H1145">
        <f t="shared" si="68"/>
        <v>2001</v>
      </c>
      <c r="I1145">
        <f t="shared" si="69"/>
        <v>11</v>
      </c>
      <c r="J1145" t="str">
        <f t="shared" si="70"/>
        <v>Nov</v>
      </c>
      <c r="K1145" t="str">
        <f t="shared" si="71"/>
        <v>Thu</v>
      </c>
    </row>
    <row r="1146" spans="1:11" x14ac:dyDescent="0.35">
      <c r="A1146" s="1">
        <v>37225</v>
      </c>
      <c r="B1146">
        <v>0.56499999761581399</v>
      </c>
      <c r="C1146">
        <v>0.57749998569488503</v>
      </c>
      <c r="D1146">
        <v>0.54000002145767201</v>
      </c>
      <c r="E1146">
        <v>0.56599998474121005</v>
      </c>
      <c r="F1146">
        <v>0.56599998474121005</v>
      </c>
      <c r="G1146">
        <v>177776000</v>
      </c>
      <c r="H1146">
        <f t="shared" si="68"/>
        <v>2001</v>
      </c>
      <c r="I1146">
        <f t="shared" si="69"/>
        <v>11</v>
      </c>
      <c r="J1146" t="str">
        <f t="shared" si="70"/>
        <v>Nov</v>
      </c>
      <c r="K1146" t="str">
        <f t="shared" si="71"/>
        <v>Fri</v>
      </c>
    </row>
    <row r="1147" spans="1:11" x14ac:dyDescent="0.35">
      <c r="A1147" s="1">
        <v>37228</v>
      </c>
      <c r="B1147">
        <v>0.55099999904632502</v>
      </c>
      <c r="C1147">
        <v>0.55400002002715998</v>
      </c>
      <c r="D1147">
        <v>0.52399998903274503</v>
      </c>
      <c r="E1147">
        <v>0.524500012397766</v>
      </c>
      <c r="F1147">
        <v>0.524500012397766</v>
      </c>
      <c r="G1147">
        <v>190518000</v>
      </c>
      <c r="H1147">
        <f t="shared" si="68"/>
        <v>2001</v>
      </c>
      <c r="I1147">
        <f t="shared" si="69"/>
        <v>12</v>
      </c>
      <c r="J1147" t="str">
        <f t="shared" si="70"/>
        <v>Dec</v>
      </c>
      <c r="K1147" t="str">
        <f t="shared" si="71"/>
        <v>Mon</v>
      </c>
    </row>
    <row r="1148" spans="1:11" x14ac:dyDescent="0.35">
      <c r="A1148" s="1">
        <v>37229</v>
      </c>
      <c r="B1148">
        <v>0.54650002717971802</v>
      </c>
      <c r="C1148">
        <v>0.60250002145767201</v>
      </c>
      <c r="D1148">
        <v>0.53549998998641901</v>
      </c>
      <c r="E1148">
        <v>0.59649997949600198</v>
      </c>
      <c r="F1148">
        <v>0.59649997949600198</v>
      </c>
      <c r="G1148">
        <v>289994000</v>
      </c>
      <c r="H1148">
        <f t="shared" si="68"/>
        <v>2001</v>
      </c>
      <c r="I1148">
        <f t="shared" si="69"/>
        <v>12</v>
      </c>
      <c r="J1148" t="str">
        <f t="shared" si="70"/>
        <v>Dec</v>
      </c>
      <c r="K1148" t="str">
        <f t="shared" si="71"/>
        <v>Tue</v>
      </c>
    </row>
    <row r="1149" spans="1:11" x14ac:dyDescent="0.35">
      <c r="A1149" s="1">
        <v>37230</v>
      </c>
      <c r="B1149">
        <v>0.62000000476837103</v>
      </c>
      <c r="C1149">
        <v>0.63999998569488503</v>
      </c>
      <c r="D1149">
        <v>0.58749997615814198</v>
      </c>
      <c r="E1149">
        <v>0.58799999952316195</v>
      </c>
      <c r="F1149">
        <v>0.58799999952316195</v>
      </c>
      <c r="G1149">
        <v>478244000</v>
      </c>
      <c r="H1149">
        <f t="shared" si="68"/>
        <v>2001</v>
      </c>
      <c r="I1149">
        <f t="shared" si="69"/>
        <v>12</v>
      </c>
      <c r="J1149" t="str">
        <f t="shared" si="70"/>
        <v>Dec</v>
      </c>
      <c r="K1149" t="str">
        <f t="shared" si="71"/>
        <v>Wed</v>
      </c>
    </row>
    <row r="1150" spans="1:11" x14ac:dyDescent="0.35">
      <c r="A1150" s="1">
        <v>37231</v>
      </c>
      <c r="B1150">
        <v>0.60199999809265103</v>
      </c>
      <c r="C1150">
        <v>0.62000000476837103</v>
      </c>
      <c r="D1150">
        <v>0.59249997138976995</v>
      </c>
      <c r="E1150">
        <v>0.605000019073486</v>
      </c>
      <c r="F1150">
        <v>0.605000019073486</v>
      </c>
      <c r="G1150">
        <v>249692000</v>
      </c>
      <c r="H1150">
        <f t="shared" si="68"/>
        <v>2001</v>
      </c>
      <c r="I1150">
        <f t="shared" si="69"/>
        <v>12</v>
      </c>
      <c r="J1150" t="str">
        <f t="shared" si="70"/>
        <v>Dec</v>
      </c>
      <c r="K1150" t="str">
        <f t="shared" si="71"/>
        <v>Thu</v>
      </c>
    </row>
    <row r="1151" spans="1:11" x14ac:dyDescent="0.35">
      <c r="A1151" s="1">
        <v>37232</v>
      </c>
      <c r="B1151">
        <v>0.61449998617172197</v>
      </c>
      <c r="C1151">
        <v>0.61500000953674305</v>
      </c>
      <c r="D1151">
        <v>0.57499998807907104</v>
      </c>
      <c r="E1151">
        <v>0.58550000190734797</v>
      </c>
      <c r="F1151">
        <v>0.58550000190734797</v>
      </c>
      <c r="G1151">
        <v>141760000</v>
      </c>
      <c r="H1151">
        <f t="shared" si="68"/>
        <v>2001</v>
      </c>
      <c r="I1151">
        <f t="shared" si="69"/>
        <v>12</v>
      </c>
      <c r="J1151" t="str">
        <f t="shared" si="70"/>
        <v>Dec</v>
      </c>
      <c r="K1151" t="str">
        <f t="shared" si="71"/>
        <v>Fri</v>
      </c>
    </row>
    <row r="1152" spans="1:11" x14ac:dyDescent="0.35">
      <c r="A1152" s="1">
        <v>37235</v>
      </c>
      <c r="B1152">
        <v>0.57749998569488503</v>
      </c>
      <c r="C1152">
        <v>0.60750001668929998</v>
      </c>
      <c r="D1152">
        <v>0.57200002670287997</v>
      </c>
      <c r="E1152">
        <v>0.58249998092651301</v>
      </c>
      <c r="F1152">
        <v>0.58249998092651301</v>
      </c>
      <c r="G1152">
        <v>170318000</v>
      </c>
      <c r="H1152">
        <f t="shared" si="68"/>
        <v>2001</v>
      </c>
      <c r="I1152">
        <f t="shared" si="69"/>
        <v>12</v>
      </c>
      <c r="J1152" t="str">
        <f t="shared" si="70"/>
        <v>Dec</v>
      </c>
      <c r="K1152" t="str">
        <f t="shared" si="71"/>
        <v>Mon</v>
      </c>
    </row>
    <row r="1153" spans="1:11" x14ac:dyDescent="0.35">
      <c r="A1153" s="1">
        <v>37236</v>
      </c>
      <c r="B1153">
        <v>0.60000002384185702</v>
      </c>
      <c r="C1153">
        <v>0.62150001525878895</v>
      </c>
      <c r="D1153">
        <v>0.58899998664855902</v>
      </c>
      <c r="E1153">
        <v>0.61199998855590798</v>
      </c>
      <c r="F1153">
        <v>0.61199998855590798</v>
      </c>
      <c r="G1153">
        <v>282680000</v>
      </c>
      <c r="H1153">
        <f t="shared" si="68"/>
        <v>2001</v>
      </c>
      <c r="I1153">
        <f t="shared" si="69"/>
        <v>12</v>
      </c>
      <c r="J1153" t="str">
        <f t="shared" si="70"/>
        <v>Dec</v>
      </c>
      <c r="K1153" t="str">
        <f t="shared" si="71"/>
        <v>Tue</v>
      </c>
    </row>
    <row r="1154" spans="1:11" x14ac:dyDescent="0.35">
      <c r="A1154" s="1">
        <v>37237</v>
      </c>
      <c r="B1154">
        <v>0.62150001525878895</v>
      </c>
      <c r="C1154">
        <v>0.62150001525878895</v>
      </c>
      <c r="D1154">
        <v>0.58149999380111606</v>
      </c>
      <c r="E1154">
        <v>0.59549999237060502</v>
      </c>
      <c r="F1154">
        <v>0.59549999237060502</v>
      </c>
      <c r="G1154">
        <v>161502000</v>
      </c>
      <c r="H1154">
        <f t="shared" si="68"/>
        <v>2001</v>
      </c>
      <c r="I1154">
        <f t="shared" si="69"/>
        <v>12</v>
      </c>
      <c r="J1154" t="str">
        <f t="shared" si="70"/>
        <v>Dec</v>
      </c>
      <c r="K1154" t="str">
        <f t="shared" si="71"/>
        <v>Wed</v>
      </c>
    </row>
    <row r="1155" spans="1:11" x14ac:dyDescent="0.35">
      <c r="A1155" s="1">
        <v>37238</v>
      </c>
      <c r="B1155">
        <v>0.57700002193450906</v>
      </c>
      <c r="C1155">
        <v>0.58999997377395597</v>
      </c>
      <c r="D1155">
        <v>0.542500019073486</v>
      </c>
      <c r="E1155">
        <v>0.54449999332427901</v>
      </c>
      <c r="F1155">
        <v>0.54449999332427901</v>
      </c>
      <c r="G1155">
        <v>157482000</v>
      </c>
      <c r="H1155">
        <f t="shared" si="68"/>
        <v>2001</v>
      </c>
      <c r="I1155">
        <f t="shared" si="69"/>
        <v>12</v>
      </c>
      <c r="J1155" t="str">
        <f t="shared" si="70"/>
        <v>Dec</v>
      </c>
      <c r="K1155" t="str">
        <f t="shared" si="71"/>
        <v>Thu</v>
      </c>
    </row>
    <row r="1156" spans="1:11" x14ac:dyDescent="0.35">
      <c r="A1156" s="1">
        <v>37239</v>
      </c>
      <c r="B1156">
        <v>0.55500000715255704</v>
      </c>
      <c r="C1156">
        <v>0.56000000238418501</v>
      </c>
      <c r="D1156">
        <v>0.50349998474121005</v>
      </c>
      <c r="E1156">
        <v>0.55000001192092896</v>
      </c>
      <c r="F1156">
        <v>0.55000001192092896</v>
      </c>
      <c r="G1156">
        <v>200492000</v>
      </c>
      <c r="H1156">
        <f t="shared" ref="H1156:H1219" si="72">YEAR($A1156)</f>
        <v>2001</v>
      </c>
      <c r="I1156">
        <f t="shared" ref="I1156:I1219" si="73">MONTH($A1156)</f>
        <v>12</v>
      </c>
      <c r="J1156" t="str">
        <f t="shared" ref="J1156:J1219" si="74">TEXT($A1156,"mmm")</f>
        <v>Dec</v>
      </c>
      <c r="K1156" t="str">
        <f t="shared" ref="K1156:K1219" si="75">TEXT($A1156,"ddd")</f>
        <v>Fri</v>
      </c>
    </row>
    <row r="1157" spans="1:11" x14ac:dyDescent="0.35">
      <c r="A1157" s="1">
        <v>37242</v>
      </c>
      <c r="B1157">
        <v>0.55500000715255704</v>
      </c>
      <c r="C1157">
        <v>0.55699998140335005</v>
      </c>
      <c r="D1157">
        <v>0.50900000333786</v>
      </c>
      <c r="E1157">
        <v>0.54049998521804798</v>
      </c>
      <c r="F1157">
        <v>0.54049998521804798</v>
      </c>
      <c r="G1157">
        <v>171986000</v>
      </c>
      <c r="H1157">
        <f t="shared" si="72"/>
        <v>2001</v>
      </c>
      <c r="I1157">
        <f t="shared" si="73"/>
        <v>12</v>
      </c>
      <c r="J1157" t="str">
        <f t="shared" si="74"/>
        <v>Dec</v>
      </c>
      <c r="K1157" t="str">
        <f t="shared" si="75"/>
        <v>Mon</v>
      </c>
    </row>
    <row r="1158" spans="1:11" x14ac:dyDescent="0.35">
      <c r="A1158" s="1">
        <v>37243</v>
      </c>
      <c r="B1158">
        <v>0.55250000953674305</v>
      </c>
      <c r="C1158">
        <v>0.56800001859664895</v>
      </c>
      <c r="D1158">
        <v>0.53100001811981201</v>
      </c>
      <c r="E1158">
        <v>0.54299998283386197</v>
      </c>
      <c r="F1158">
        <v>0.54299998283386197</v>
      </c>
      <c r="G1158">
        <v>147084000</v>
      </c>
      <c r="H1158">
        <f t="shared" si="72"/>
        <v>2001</v>
      </c>
      <c r="I1158">
        <f t="shared" si="73"/>
        <v>12</v>
      </c>
      <c r="J1158" t="str">
        <f t="shared" si="74"/>
        <v>Dec</v>
      </c>
      <c r="K1158" t="str">
        <f t="shared" si="75"/>
        <v>Tue</v>
      </c>
    </row>
    <row r="1159" spans="1:11" x14ac:dyDescent="0.35">
      <c r="A1159" s="1">
        <v>37244</v>
      </c>
      <c r="B1159">
        <v>0.53649997711181596</v>
      </c>
      <c r="C1159">
        <v>0.55750000476837103</v>
      </c>
      <c r="D1159">
        <v>0.52549999952316195</v>
      </c>
      <c r="E1159">
        <v>0.53549998998641901</v>
      </c>
      <c r="F1159">
        <v>0.53549998998641901</v>
      </c>
      <c r="G1159">
        <v>140074000</v>
      </c>
      <c r="H1159">
        <f t="shared" si="72"/>
        <v>2001</v>
      </c>
      <c r="I1159">
        <f t="shared" si="73"/>
        <v>12</v>
      </c>
      <c r="J1159" t="str">
        <f t="shared" si="74"/>
        <v>Dec</v>
      </c>
      <c r="K1159" t="str">
        <f t="shared" si="75"/>
        <v>Wed</v>
      </c>
    </row>
    <row r="1160" spans="1:11" x14ac:dyDescent="0.35">
      <c r="A1160" s="1">
        <v>37245</v>
      </c>
      <c r="B1160">
        <v>0.52850002050399703</v>
      </c>
      <c r="C1160">
        <v>0.54149997234344405</v>
      </c>
      <c r="D1160">
        <v>0.50700002908706598</v>
      </c>
      <c r="E1160">
        <v>0.50749999284744196</v>
      </c>
      <c r="F1160">
        <v>0.50749999284744196</v>
      </c>
      <c r="G1160">
        <v>157024000</v>
      </c>
      <c r="H1160">
        <f t="shared" si="72"/>
        <v>2001</v>
      </c>
      <c r="I1160">
        <f t="shared" si="73"/>
        <v>12</v>
      </c>
      <c r="J1160" t="str">
        <f t="shared" si="74"/>
        <v>Dec</v>
      </c>
      <c r="K1160" t="str">
        <f t="shared" si="75"/>
        <v>Thu</v>
      </c>
    </row>
    <row r="1161" spans="1:11" x14ac:dyDescent="0.35">
      <c r="A1161" s="1">
        <v>37246</v>
      </c>
      <c r="B1161">
        <v>0.51550000905990601</v>
      </c>
      <c r="C1161">
        <v>0.55299997329711903</v>
      </c>
      <c r="D1161">
        <v>0.5</v>
      </c>
      <c r="E1161">
        <v>0.5</v>
      </c>
      <c r="F1161">
        <v>0.5</v>
      </c>
      <c r="G1161">
        <v>278898000</v>
      </c>
      <c r="H1161">
        <f t="shared" si="72"/>
        <v>2001</v>
      </c>
      <c r="I1161">
        <f t="shared" si="73"/>
        <v>12</v>
      </c>
      <c r="J1161" t="str">
        <f t="shared" si="74"/>
        <v>Dec</v>
      </c>
      <c r="K1161" t="str">
        <f t="shared" si="75"/>
        <v>Fri</v>
      </c>
    </row>
    <row r="1162" spans="1:11" x14ac:dyDescent="0.35">
      <c r="A1162" s="1">
        <v>37249</v>
      </c>
      <c r="B1162">
        <v>0.50749999284744196</v>
      </c>
      <c r="C1162">
        <v>0.51099997758865301</v>
      </c>
      <c r="D1162">
        <v>0.475499987602233</v>
      </c>
      <c r="E1162">
        <v>0.49149999022483798</v>
      </c>
      <c r="F1162">
        <v>0.49149999022483798</v>
      </c>
      <c r="G1162">
        <v>124738000</v>
      </c>
      <c r="H1162">
        <f t="shared" si="72"/>
        <v>2001</v>
      </c>
      <c r="I1162">
        <f t="shared" si="73"/>
        <v>12</v>
      </c>
      <c r="J1162" t="str">
        <f t="shared" si="74"/>
        <v>Dec</v>
      </c>
      <c r="K1162" t="str">
        <f t="shared" si="75"/>
        <v>Mon</v>
      </c>
    </row>
    <row r="1163" spans="1:11" x14ac:dyDescent="0.35">
      <c r="A1163" s="1">
        <v>37251</v>
      </c>
      <c r="B1163">
        <v>0.54850000143051103</v>
      </c>
      <c r="C1163">
        <v>0.56400001049041704</v>
      </c>
      <c r="D1163">
        <v>0.54350000619888295</v>
      </c>
      <c r="E1163">
        <v>0.55500000715255704</v>
      </c>
      <c r="F1163">
        <v>0.55500000715255704</v>
      </c>
      <c r="G1163">
        <v>363970000</v>
      </c>
      <c r="H1163">
        <f t="shared" si="72"/>
        <v>2001</v>
      </c>
      <c r="I1163">
        <f t="shared" si="73"/>
        <v>12</v>
      </c>
      <c r="J1163" t="str">
        <f t="shared" si="74"/>
        <v>Dec</v>
      </c>
      <c r="K1163" t="str">
        <f t="shared" si="75"/>
        <v>Wed</v>
      </c>
    </row>
    <row r="1164" spans="1:11" x14ac:dyDescent="0.35">
      <c r="A1164" s="1">
        <v>37252</v>
      </c>
      <c r="B1164">
        <v>0.56650000810623102</v>
      </c>
      <c r="C1164">
        <v>0.57450002431869496</v>
      </c>
      <c r="D1164">
        <v>0.52850002050399703</v>
      </c>
      <c r="E1164">
        <v>0.52999997138976995</v>
      </c>
      <c r="F1164">
        <v>0.52999997138976995</v>
      </c>
      <c r="G1164">
        <v>216802000</v>
      </c>
      <c r="H1164">
        <f t="shared" si="72"/>
        <v>2001</v>
      </c>
      <c r="I1164">
        <f t="shared" si="73"/>
        <v>12</v>
      </c>
      <c r="J1164" t="str">
        <f t="shared" si="74"/>
        <v>Dec</v>
      </c>
      <c r="K1164" t="str">
        <f t="shared" si="75"/>
        <v>Thu</v>
      </c>
    </row>
    <row r="1165" spans="1:11" x14ac:dyDescent="0.35">
      <c r="A1165" s="1">
        <v>37253</v>
      </c>
      <c r="B1165">
        <v>0.54549998044967596</v>
      </c>
      <c r="C1165">
        <v>0.55400002002715998</v>
      </c>
      <c r="D1165">
        <v>0.53450000286102295</v>
      </c>
      <c r="E1165">
        <v>0.54500001668929998</v>
      </c>
      <c r="F1165">
        <v>0.54500001668929998</v>
      </c>
      <c r="G1165">
        <v>205158000</v>
      </c>
      <c r="H1165">
        <f t="shared" si="72"/>
        <v>2001</v>
      </c>
      <c r="I1165">
        <f t="shared" si="73"/>
        <v>12</v>
      </c>
      <c r="J1165" t="str">
        <f t="shared" si="74"/>
        <v>Dec</v>
      </c>
      <c r="K1165" t="str">
        <f t="shared" si="75"/>
        <v>Fri</v>
      </c>
    </row>
    <row r="1166" spans="1:11" x14ac:dyDescent="0.35">
      <c r="A1166" s="1">
        <v>37256</v>
      </c>
      <c r="B1166">
        <v>0.553499996662139</v>
      </c>
      <c r="C1166">
        <v>0.55949997901916504</v>
      </c>
      <c r="D1166">
        <v>0.53700000047683705</v>
      </c>
      <c r="E1166">
        <v>0.54100000858306796</v>
      </c>
      <c r="F1166">
        <v>0.54100000858306796</v>
      </c>
      <c r="G1166">
        <v>120694000</v>
      </c>
      <c r="H1166">
        <f t="shared" si="72"/>
        <v>2001</v>
      </c>
      <c r="I1166">
        <f t="shared" si="73"/>
        <v>12</v>
      </c>
      <c r="J1166" t="str">
        <f t="shared" si="74"/>
        <v>Dec</v>
      </c>
      <c r="K1166" t="str">
        <f t="shared" si="75"/>
        <v>Mon</v>
      </c>
    </row>
    <row r="1167" spans="1:11" x14ac:dyDescent="0.35">
      <c r="A1167" s="1">
        <v>37258</v>
      </c>
      <c r="B1167">
        <v>0.54650002717971802</v>
      </c>
      <c r="C1167">
        <v>0.55000001192092896</v>
      </c>
      <c r="D1167">
        <v>0.52399998903274503</v>
      </c>
      <c r="E1167">
        <v>0.54799997806548995</v>
      </c>
      <c r="F1167">
        <v>0.54799997806548995</v>
      </c>
      <c r="G1167">
        <v>130392000</v>
      </c>
      <c r="H1167">
        <f t="shared" si="72"/>
        <v>2002</v>
      </c>
      <c r="I1167">
        <f t="shared" si="73"/>
        <v>1</v>
      </c>
      <c r="J1167" t="str">
        <f t="shared" si="74"/>
        <v>Jan</v>
      </c>
      <c r="K1167" t="str">
        <f t="shared" si="75"/>
        <v>Wed</v>
      </c>
    </row>
    <row r="1168" spans="1:11" x14ac:dyDescent="0.35">
      <c r="A1168" s="1">
        <v>37259</v>
      </c>
      <c r="B1168">
        <v>0.55650001764297397</v>
      </c>
      <c r="C1168">
        <v>0.59700000286102295</v>
      </c>
      <c r="D1168">
        <v>0.55250000953674305</v>
      </c>
      <c r="E1168">
        <v>0.59500002861022905</v>
      </c>
      <c r="F1168">
        <v>0.59500002861022905</v>
      </c>
      <c r="G1168">
        <v>217514000</v>
      </c>
      <c r="H1168">
        <f t="shared" si="72"/>
        <v>2002</v>
      </c>
      <c r="I1168">
        <f t="shared" si="73"/>
        <v>1</v>
      </c>
      <c r="J1168" t="str">
        <f t="shared" si="74"/>
        <v>Jan</v>
      </c>
      <c r="K1168" t="str">
        <f t="shared" si="75"/>
        <v>Thu</v>
      </c>
    </row>
    <row r="1169" spans="1:11" x14ac:dyDescent="0.35">
      <c r="A1169" s="1">
        <v>37260</v>
      </c>
      <c r="B1169">
        <v>0.60100001096725397</v>
      </c>
      <c r="C1169">
        <v>0.62000000476837103</v>
      </c>
      <c r="D1169">
        <v>0.59750002622604304</v>
      </c>
      <c r="E1169">
        <v>0.61250001192092896</v>
      </c>
      <c r="F1169">
        <v>0.61250001192092896</v>
      </c>
      <c r="G1169">
        <v>253746000</v>
      </c>
      <c r="H1169">
        <f t="shared" si="72"/>
        <v>2002</v>
      </c>
      <c r="I1169">
        <f t="shared" si="73"/>
        <v>1</v>
      </c>
      <c r="J1169" t="str">
        <f t="shared" si="74"/>
        <v>Jan</v>
      </c>
      <c r="K1169" t="str">
        <f t="shared" si="75"/>
        <v>Fri</v>
      </c>
    </row>
    <row r="1170" spans="1:11" x14ac:dyDescent="0.35">
      <c r="A1170" s="1">
        <v>37263</v>
      </c>
      <c r="B1170">
        <v>0.60399997234344405</v>
      </c>
      <c r="C1170">
        <v>0.62550002336501997</v>
      </c>
      <c r="D1170">
        <v>0.60399997234344405</v>
      </c>
      <c r="E1170">
        <v>0.61699998378753595</v>
      </c>
      <c r="F1170">
        <v>0.61699998378753595</v>
      </c>
      <c r="G1170">
        <v>243658000</v>
      </c>
      <c r="H1170">
        <f t="shared" si="72"/>
        <v>2002</v>
      </c>
      <c r="I1170">
        <f t="shared" si="73"/>
        <v>1</v>
      </c>
      <c r="J1170" t="str">
        <f t="shared" si="74"/>
        <v>Jan</v>
      </c>
      <c r="K1170" t="str">
        <f t="shared" si="75"/>
        <v>Mon</v>
      </c>
    </row>
    <row r="1171" spans="1:11" x14ac:dyDescent="0.35">
      <c r="A1171" s="1">
        <v>37264</v>
      </c>
      <c r="B1171">
        <v>0.61349999904632502</v>
      </c>
      <c r="C1171">
        <v>0.615999996662139</v>
      </c>
      <c r="D1171">
        <v>0.58749997615814198</v>
      </c>
      <c r="E1171">
        <v>0.59249997138976995</v>
      </c>
      <c r="F1171">
        <v>0.59249997138976995</v>
      </c>
      <c r="G1171">
        <v>120822000</v>
      </c>
      <c r="H1171">
        <f t="shared" si="72"/>
        <v>2002</v>
      </c>
      <c r="I1171">
        <f t="shared" si="73"/>
        <v>1</v>
      </c>
      <c r="J1171" t="str">
        <f t="shared" si="74"/>
        <v>Jan</v>
      </c>
      <c r="K1171" t="str">
        <f t="shared" si="75"/>
        <v>Tue</v>
      </c>
    </row>
    <row r="1172" spans="1:11" x14ac:dyDescent="0.35">
      <c r="A1172" s="1">
        <v>37265</v>
      </c>
      <c r="B1172">
        <v>0.59799998998641901</v>
      </c>
      <c r="C1172">
        <v>0.60850000381469704</v>
      </c>
      <c r="D1172">
        <v>0.56499999761581399</v>
      </c>
      <c r="E1172">
        <v>0.57649999856948797</v>
      </c>
      <c r="F1172">
        <v>0.57649999856948797</v>
      </c>
      <c r="G1172">
        <v>217592000</v>
      </c>
      <c r="H1172">
        <f t="shared" si="72"/>
        <v>2002</v>
      </c>
      <c r="I1172">
        <f t="shared" si="73"/>
        <v>1</v>
      </c>
      <c r="J1172" t="str">
        <f t="shared" si="74"/>
        <v>Jan</v>
      </c>
      <c r="K1172" t="str">
        <f t="shared" si="75"/>
        <v>Wed</v>
      </c>
    </row>
    <row r="1173" spans="1:11" x14ac:dyDescent="0.35">
      <c r="A1173" s="1">
        <v>37266</v>
      </c>
      <c r="B1173">
        <v>0.58300000429153398</v>
      </c>
      <c r="C1173">
        <v>0.58350002765655495</v>
      </c>
      <c r="D1173">
        <v>0.54350000619888295</v>
      </c>
      <c r="E1173">
        <v>0.55199998617172197</v>
      </c>
      <c r="F1173">
        <v>0.55199998617172197</v>
      </c>
      <c r="G1173">
        <v>162518000</v>
      </c>
      <c r="H1173">
        <f t="shared" si="72"/>
        <v>2002</v>
      </c>
      <c r="I1173">
        <f t="shared" si="73"/>
        <v>1</v>
      </c>
      <c r="J1173" t="str">
        <f t="shared" si="74"/>
        <v>Jan</v>
      </c>
      <c r="K1173" t="str">
        <f t="shared" si="75"/>
        <v>Thu</v>
      </c>
    </row>
    <row r="1174" spans="1:11" x14ac:dyDescent="0.35">
      <c r="A1174" s="1">
        <v>37267</v>
      </c>
      <c r="B1174">
        <v>0.55150002241134599</v>
      </c>
      <c r="C1174">
        <v>0.566999971866607</v>
      </c>
      <c r="D1174">
        <v>0.54650002717971802</v>
      </c>
      <c r="E1174">
        <v>0.55150002241134599</v>
      </c>
      <c r="F1174">
        <v>0.55150002241134599</v>
      </c>
      <c r="G1174">
        <v>85536000</v>
      </c>
      <c r="H1174">
        <f t="shared" si="72"/>
        <v>2002</v>
      </c>
      <c r="I1174">
        <f t="shared" si="73"/>
        <v>1</v>
      </c>
      <c r="J1174" t="str">
        <f t="shared" si="74"/>
        <v>Jan</v>
      </c>
      <c r="K1174" t="str">
        <f t="shared" si="75"/>
        <v>Fri</v>
      </c>
    </row>
    <row r="1175" spans="1:11" x14ac:dyDescent="0.35">
      <c r="A1175" s="1">
        <v>37270</v>
      </c>
      <c r="B1175">
        <v>0.54000002145767201</v>
      </c>
      <c r="C1175">
        <v>0.54149997234344405</v>
      </c>
      <c r="D1175">
        <v>0.504499971866607</v>
      </c>
      <c r="E1175">
        <v>0.50550001859664895</v>
      </c>
      <c r="F1175">
        <v>0.50550001859664895</v>
      </c>
      <c r="G1175">
        <v>119466000</v>
      </c>
      <c r="H1175">
        <f t="shared" si="72"/>
        <v>2002</v>
      </c>
      <c r="I1175">
        <f t="shared" si="73"/>
        <v>1</v>
      </c>
      <c r="J1175" t="str">
        <f t="shared" si="74"/>
        <v>Jan</v>
      </c>
      <c r="K1175" t="str">
        <f t="shared" si="75"/>
        <v>Mon</v>
      </c>
    </row>
    <row r="1176" spans="1:11" x14ac:dyDescent="0.35">
      <c r="A1176" s="1">
        <v>37271</v>
      </c>
      <c r="B1176">
        <v>0.51700001955032304</v>
      </c>
      <c r="C1176">
        <v>0.52100002765655495</v>
      </c>
      <c r="D1176">
        <v>0.50800001621246305</v>
      </c>
      <c r="E1176">
        <v>0.51450002193450906</v>
      </c>
      <c r="F1176">
        <v>0.51450002193450906</v>
      </c>
      <c r="G1176">
        <v>101846000</v>
      </c>
      <c r="H1176">
        <f t="shared" si="72"/>
        <v>2002</v>
      </c>
      <c r="I1176">
        <f t="shared" si="73"/>
        <v>1</v>
      </c>
      <c r="J1176" t="str">
        <f t="shared" si="74"/>
        <v>Jan</v>
      </c>
      <c r="K1176" t="str">
        <f t="shared" si="75"/>
        <v>Tue</v>
      </c>
    </row>
    <row r="1177" spans="1:11" x14ac:dyDescent="0.35">
      <c r="A1177" s="1">
        <v>37272</v>
      </c>
      <c r="B1177">
        <v>0.50050002336501997</v>
      </c>
      <c r="C1177">
        <v>0.50050002336501997</v>
      </c>
      <c r="D1177">
        <v>0.45149999856948803</v>
      </c>
      <c r="E1177">
        <v>0.456499993801116</v>
      </c>
      <c r="F1177">
        <v>0.456499993801116</v>
      </c>
      <c r="G1177">
        <v>300798000</v>
      </c>
      <c r="H1177">
        <f t="shared" si="72"/>
        <v>2002</v>
      </c>
      <c r="I1177">
        <f t="shared" si="73"/>
        <v>1</v>
      </c>
      <c r="J1177" t="str">
        <f t="shared" si="74"/>
        <v>Jan</v>
      </c>
      <c r="K1177" t="str">
        <f t="shared" si="75"/>
        <v>Wed</v>
      </c>
    </row>
    <row r="1178" spans="1:11" x14ac:dyDescent="0.35">
      <c r="A1178" s="1">
        <v>37273</v>
      </c>
      <c r="B1178">
        <v>0.490999996662139</v>
      </c>
      <c r="C1178">
        <v>0.49250000715255698</v>
      </c>
      <c r="D1178">
        <v>0.46999999880790699</v>
      </c>
      <c r="E1178">
        <v>0.48699998855590798</v>
      </c>
      <c r="F1178">
        <v>0.48699998855590798</v>
      </c>
      <c r="G1178">
        <v>332614000</v>
      </c>
      <c r="H1178">
        <f t="shared" si="72"/>
        <v>2002</v>
      </c>
      <c r="I1178">
        <f t="shared" si="73"/>
        <v>1</v>
      </c>
      <c r="J1178" t="str">
        <f t="shared" si="74"/>
        <v>Jan</v>
      </c>
      <c r="K1178" t="str">
        <f t="shared" si="75"/>
        <v>Thu</v>
      </c>
    </row>
    <row r="1179" spans="1:11" x14ac:dyDescent="0.35">
      <c r="A1179" s="1">
        <v>37274</v>
      </c>
      <c r="B1179">
        <v>0.479999989271163</v>
      </c>
      <c r="C1179">
        <v>0.52749997377395597</v>
      </c>
      <c r="D1179">
        <v>0.46950000524520802</v>
      </c>
      <c r="E1179">
        <v>0.50800001621246305</v>
      </c>
      <c r="F1179">
        <v>0.50800001621246305</v>
      </c>
      <c r="G1179">
        <v>229870000</v>
      </c>
      <c r="H1179">
        <f t="shared" si="72"/>
        <v>2002</v>
      </c>
      <c r="I1179">
        <f t="shared" si="73"/>
        <v>1</v>
      </c>
      <c r="J1179" t="str">
        <f t="shared" si="74"/>
        <v>Jan</v>
      </c>
      <c r="K1179" t="str">
        <f t="shared" si="75"/>
        <v>Fri</v>
      </c>
    </row>
    <row r="1180" spans="1:11" x14ac:dyDescent="0.35">
      <c r="A1180" s="1">
        <v>37278</v>
      </c>
      <c r="B1180">
        <v>0.63700002431869496</v>
      </c>
      <c r="C1180">
        <v>0.63950002193450906</v>
      </c>
      <c r="D1180">
        <v>0.60699999332427901</v>
      </c>
      <c r="E1180">
        <v>0.62999999523162797</v>
      </c>
      <c r="F1180">
        <v>0.62999999523162797</v>
      </c>
      <c r="G1180">
        <v>1132918000</v>
      </c>
      <c r="H1180">
        <f t="shared" si="72"/>
        <v>2002</v>
      </c>
      <c r="I1180">
        <f t="shared" si="73"/>
        <v>1</v>
      </c>
      <c r="J1180" t="str">
        <f t="shared" si="74"/>
        <v>Jan</v>
      </c>
      <c r="K1180" t="str">
        <f t="shared" si="75"/>
        <v>Tue</v>
      </c>
    </row>
    <row r="1181" spans="1:11" x14ac:dyDescent="0.35">
      <c r="A1181" s="1">
        <v>37279</v>
      </c>
      <c r="B1181">
        <v>0.62449997663497903</v>
      </c>
      <c r="C1181">
        <v>0.62999999523162797</v>
      </c>
      <c r="D1181">
        <v>0.59500002861022905</v>
      </c>
      <c r="E1181">
        <v>0.62349998950958196</v>
      </c>
      <c r="F1181">
        <v>0.62349998950958196</v>
      </c>
      <c r="G1181">
        <v>360632000</v>
      </c>
      <c r="H1181">
        <f t="shared" si="72"/>
        <v>2002</v>
      </c>
      <c r="I1181">
        <f t="shared" si="73"/>
        <v>1</v>
      </c>
      <c r="J1181" t="str">
        <f t="shared" si="74"/>
        <v>Jan</v>
      </c>
      <c r="K1181" t="str">
        <f t="shared" si="75"/>
        <v>Wed</v>
      </c>
    </row>
    <row r="1182" spans="1:11" x14ac:dyDescent="0.35">
      <c r="A1182" s="1">
        <v>37280</v>
      </c>
      <c r="B1182">
        <v>0.63749998807907104</v>
      </c>
      <c r="C1182">
        <v>0.70300000905990601</v>
      </c>
      <c r="D1182">
        <v>0.63550001382827703</v>
      </c>
      <c r="E1182">
        <v>0.70050001144409102</v>
      </c>
      <c r="F1182">
        <v>0.70050001144409102</v>
      </c>
      <c r="G1182">
        <v>469372000</v>
      </c>
      <c r="H1182">
        <f t="shared" si="72"/>
        <v>2002</v>
      </c>
      <c r="I1182">
        <f t="shared" si="73"/>
        <v>1</v>
      </c>
      <c r="J1182" t="str">
        <f t="shared" si="74"/>
        <v>Jan</v>
      </c>
      <c r="K1182" t="str">
        <f t="shared" si="75"/>
        <v>Thu</v>
      </c>
    </row>
    <row r="1183" spans="1:11" x14ac:dyDescent="0.35">
      <c r="A1183" s="1">
        <v>37281</v>
      </c>
      <c r="B1183">
        <v>0.67799997329711903</v>
      </c>
      <c r="C1183">
        <v>0.76950001716613703</v>
      </c>
      <c r="D1183">
        <v>0.66949999332427901</v>
      </c>
      <c r="E1183">
        <v>0.72200000286102295</v>
      </c>
      <c r="F1183">
        <v>0.72200000286102295</v>
      </c>
      <c r="G1183">
        <v>605530000</v>
      </c>
      <c r="H1183">
        <f t="shared" si="72"/>
        <v>2002</v>
      </c>
      <c r="I1183">
        <f t="shared" si="73"/>
        <v>1</v>
      </c>
      <c r="J1183" t="str">
        <f t="shared" si="74"/>
        <v>Jan</v>
      </c>
      <c r="K1183" t="str">
        <f t="shared" si="75"/>
        <v>Fri</v>
      </c>
    </row>
    <row r="1184" spans="1:11" x14ac:dyDescent="0.35">
      <c r="A1184" s="1">
        <v>37284</v>
      </c>
      <c r="B1184">
        <v>0.74299997091293302</v>
      </c>
      <c r="C1184">
        <v>0.78850001096725397</v>
      </c>
      <c r="D1184">
        <v>0.73799997568130404</v>
      </c>
      <c r="E1184">
        <v>0.77499997615814198</v>
      </c>
      <c r="F1184">
        <v>0.77499997615814198</v>
      </c>
      <c r="G1184">
        <v>460320000</v>
      </c>
      <c r="H1184">
        <f t="shared" si="72"/>
        <v>2002</v>
      </c>
      <c r="I1184">
        <f t="shared" si="73"/>
        <v>1</v>
      </c>
      <c r="J1184" t="str">
        <f t="shared" si="74"/>
        <v>Jan</v>
      </c>
      <c r="K1184" t="str">
        <f t="shared" si="75"/>
        <v>Mon</v>
      </c>
    </row>
    <row r="1185" spans="1:11" x14ac:dyDescent="0.35">
      <c r="A1185" s="1">
        <v>37285</v>
      </c>
      <c r="B1185">
        <v>0.77700001001357999</v>
      </c>
      <c r="C1185">
        <v>0.77749997377395597</v>
      </c>
      <c r="D1185">
        <v>0.69849997758865301</v>
      </c>
      <c r="E1185">
        <v>0.71100002527236905</v>
      </c>
      <c r="F1185">
        <v>0.71100002527236905</v>
      </c>
      <c r="G1185">
        <v>404898000</v>
      </c>
      <c r="H1185">
        <f t="shared" si="72"/>
        <v>2002</v>
      </c>
      <c r="I1185">
        <f t="shared" si="73"/>
        <v>1</v>
      </c>
      <c r="J1185" t="str">
        <f t="shared" si="74"/>
        <v>Jan</v>
      </c>
      <c r="K1185" t="str">
        <f t="shared" si="75"/>
        <v>Tue</v>
      </c>
    </row>
    <row r="1186" spans="1:11" x14ac:dyDescent="0.35">
      <c r="A1186" s="1">
        <v>37286</v>
      </c>
      <c r="B1186">
        <v>0.69900000095367398</v>
      </c>
      <c r="C1186">
        <v>0.71249997615814198</v>
      </c>
      <c r="D1186">
        <v>0.66000002622604304</v>
      </c>
      <c r="E1186">
        <v>0.69499999284744196</v>
      </c>
      <c r="F1186">
        <v>0.69499999284744196</v>
      </c>
      <c r="G1186">
        <v>295036000</v>
      </c>
      <c r="H1186">
        <f t="shared" si="72"/>
        <v>2002</v>
      </c>
      <c r="I1186">
        <f t="shared" si="73"/>
        <v>1</v>
      </c>
      <c r="J1186" t="str">
        <f t="shared" si="74"/>
        <v>Jan</v>
      </c>
      <c r="K1186" t="str">
        <f t="shared" si="75"/>
        <v>Wed</v>
      </c>
    </row>
    <row r="1187" spans="1:11" x14ac:dyDescent="0.35">
      <c r="A1187" s="1">
        <v>37287</v>
      </c>
      <c r="B1187">
        <v>0.70599997043609597</v>
      </c>
      <c r="C1187">
        <v>0.72450000047683705</v>
      </c>
      <c r="D1187">
        <v>0.67049998044967596</v>
      </c>
      <c r="E1187">
        <v>0.70950001478195102</v>
      </c>
      <c r="F1187">
        <v>0.70950001478195102</v>
      </c>
      <c r="G1187">
        <v>209706000</v>
      </c>
      <c r="H1187">
        <f t="shared" si="72"/>
        <v>2002</v>
      </c>
      <c r="I1187">
        <f t="shared" si="73"/>
        <v>1</v>
      </c>
      <c r="J1187" t="str">
        <f t="shared" si="74"/>
        <v>Jan</v>
      </c>
      <c r="K1187" t="str">
        <f t="shared" si="75"/>
        <v>Thu</v>
      </c>
    </row>
    <row r="1188" spans="1:11" x14ac:dyDescent="0.35">
      <c r="A1188" s="1">
        <v>37288</v>
      </c>
      <c r="B1188">
        <v>0.70349997282028198</v>
      </c>
      <c r="C1188">
        <v>0.70450001955032304</v>
      </c>
      <c r="D1188">
        <v>0.667500019073486</v>
      </c>
      <c r="E1188">
        <v>0.68650001287460305</v>
      </c>
      <c r="F1188">
        <v>0.68650001287460305</v>
      </c>
      <c r="G1188">
        <v>156028000</v>
      </c>
      <c r="H1188">
        <f t="shared" si="72"/>
        <v>2002</v>
      </c>
      <c r="I1188">
        <f t="shared" si="73"/>
        <v>2</v>
      </c>
      <c r="J1188" t="str">
        <f t="shared" si="74"/>
        <v>Feb</v>
      </c>
      <c r="K1188" t="str">
        <f t="shared" si="75"/>
        <v>Fri</v>
      </c>
    </row>
    <row r="1189" spans="1:11" x14ac:dyDescent="0.35">
      <c r="A1189" s="1">
        <v>37291</v>
      </c>
      <c r="B1189">
        <v>0.64550000429153398</v>
      </c>
      <c r="C1189">
        <v>0.65450000762939398</v>
      </c>
      <c r="D1189">
        <v>0.62150001525878895</v>
      </c>
      <c r="E1189">
        <v>0.62650001049041704</v>
      </c>
      <c r="F1189">
        <v>0.62650001049041704</v>
      </c>
      <c r="G1189">
        <v>382716000</v>
      </c>
      <c r="H1189">
        <f t="shared" si="72"/>
        <v>2002</v>
      </c>
      <c r="I1189">
        <f t="shared" si="73"/>
        <v>2</v>
      </c>
      <c r="J1189" t="str">
        <f t="shared" si="74"/>
        <v>Feb</v>
      </c>
      <c r="K1189" t="str">
        <f t="shared" si="75"/>
        <v>Mon</v>
      </c>
    </row>
    <row r="1190" spans="1:11" x14ac:dyDescent="0.35">
      <c r="A1190" s="1">
        <v>37292</v>
      </c>
      <c r="B1190">
        <v>0.59899997711181596</v>
      </c>
      <c r="C1190">
        <v>0.61449998617172197</v>
      </c>
      <c r="D1190">
        <v>0.558000028133392</v>
      </c>
      <c r="E1190">
        <v>0.57499998807907104</v>
      </c>
      <c r="F1190">
        <v>0.57499998807907104</v>
      </c>
      <c r="G1190">
        <v>286314000</v>
      </c>
      <c r="H1190">
        <f t="shared" si="72"/>
        <v>2002</v>
      </c>
      <c r="I1190">
        <f t="shared" si="73"/>
        <v>2</v>
      </c>
      <c r="J1190" t="str">
        <f t="shared" si="74"/>
        <v>Feb</v>
      </c>
      <c r="K1190" t="str">
        <f t="shared" si="75"/>
        <v>Tue</v>
      </c>
    </row>
    <row r="1191" spans="1:11" x14ac:dyDescent="0.35">
      <c r="A1191" s="1">
        <v>37293</v>
      </c>
      <c r="B1191">
        <v>0.59500002861022905</v>
      </c>
      <c r="C1191">
        <v>0.60000002384185702</v>
      </c>
      <c r="D1191">
        <v>0.56000000238418501</v>
      </c>
      <c r="E1191">
        <v>0.56300002336501997</v>
      </c>
      <c r="F1191">
        <v>0.56300002336501997</v>
      </c>
      <c r="G1191">
        <v>177188000</v>
      </c>
      <c r="H1191">
        <f t="shared" si="72"/>
        <v>2002</v>
      </c>
      <c r="I1191">
        <f t="shared" si="73"/>
        <v>2</v>
      </c>
      <c r="J1191" t="str">
        <f t="shared" si="74"/>
        <v>Feb</v>
      </c>
      <c r="K1191" t="str">
        <f t="shared" si="75"/>
        <v>Wed</v>
      </c>
    </row>
    <row r="1192" spans="1:11" x14ac:dyDescent="0.35">
      <c r="A1192" s="1">
        <v>37294</v>
      </c>
      <c r="B1192">
        <v>0.5625</v>
      </c>
      <c r="C1192">
        <v>0.59249997138976995</v>
      </c>
      <c r="D1192">
        <v>0.55299997329711903</v>
      </c>
      <c r="E1192">
        <v>0.56199997663497903</v>
      </c>
      <c r="F1192">
        <v>0.56199997663497903</v>
      </c>
      <c r="G1192">
        <v>143448000</v>
      </c>
      <c r="H1192">
        <f t="shared" si="72"/>
        <v>2002</v>
      </c>
      <c r="I1192">
        <f t="shared" si="73"/>
        <v>2</v>
      </c>
      <c r="J1192" t="str">
        <f t="shared" si="74"/>
        <v>Feb</v>
      </c>
      <c r="K1192" t="str">
        <f t="shared" si="75"/>
        <v>Thu</v>
      </c>
    </row>
    <row r="1193" spans="1:11" x14ac:dyDescent="0.35">
      <c r="A1193" s="1">
        <v>37295</v>
      </c>
      <c r="B1193">
        <v>0.57550001144409102</v>
      </c>
      <c r="C1193">
        <v>0.63349997997283902</v>
      </c>
      <c r="D1193">
        <v>0.57499998807907104</v>
      </c>
      <c r="E1193">
        <v>0.62599998712539595</v>
      </c>
      <c r="F1193">
        <v>0.62599998712539595</v>
      </c>
      <c r="G1193">
        <v>121712000</v>
      </c>
      <c r="H1193">
        <f t="shared" si="72"/>
        <v>2002</v>
      </c>
      <c r="I1193">
        <f t="shared" si="73"/>
        <v>2</v>
      </c>
      <c r="J1193" t="str">
        <f t="shared" si="74"/>
        <v>Feb</v>
      </c>
      <c r="K1193" t="str">
        <f t="shared" si="75"/>
        <v>Fri</v>
      </c>
    </row>
    <row r="1194" spans="1:11" x14ac:dyDescent="0.35">
      <c r="A1194" s="1">
        <v>37298</v>
      </c>
      <c r="B1194">
        <v>0.63200002908706598</v>
      </c>
      <c r="C1194">
        <v>0.67500001192092896</v>
      </c>
      <c r="D1194">
        <v>0.62699997425079301</v>
      </c>
      <c r="E1194">
        <v>0.66500002145767201</v>
      </c>
      <c r="F1194">
        <v>0.66500002145767201</v>
      </c>
      <c r="G1194">
        <v>189394000</v>
      </c>
      <c r="H1194">
        <f t="shared" si="72"/>
        <v>2002</v>
      </c>
      <c r="I1194">
        <f t="shared" si="73"/>
        <v>2</v>
      </c>
      <c r="J1194" t="str">
        <f t="shared" si="74"/>
        <v>Feb</v>
      </c>
      <c r="K1194" t="str">
        <f t="shared" si="75"/>
        <v>Mon</v>
      </c>
    </row>
    <row r="1195" spans="1:11" x14ac:dyDescent="0.35">
      <c r="A1195" s="1">
        <v>37299</v>
      </c>
      <c r="B1195">
        <v>0.65149998664855902</v>
      </c>
      <c r="C1195">
        <v>0.66200000047683705</v>
      </c>
      <c r="D1195">
        <v>0.625</v>
      </c>
      <c r="E1195">
        <v>0.64499998092651301</v>
      </c>
      <c r="F1195">
        <v>0.64499998092651301</v>
      </c>
      <c r="G1195">
        <v>149268000</v>
      </c>
      <c r="H1195">
        <f t="shared" si="72"/>
        <v>2002</v>
      </c>
      <c r="I1195">
        <f t="shared" si="73"/>
        <v>2</v>
      </c>
      <c r="J1195" t="str">
        <f t="shared" si="74"/>
        <v>Feb</v>
      </c>
      <c r="K1195" t="str">
        <f t="shared" si="75"/>
        <v>Tue</v>
      </c>
    </row>
    <row r="1196" spans="1:11" x14ac:dyDescent="0.35">
      <c r="A1196" s="1">
        <v>37300</v>
      </c>
      <c r="B1196">
        <v>0.65499997138976995</v>
      </c>
      <c r="C1196">
        <v>0.66649997234344405</v>
      </c>
      <c r="D1196">
        <v>0.65299999713897705</v>
      </c>
      <c r="E1196">
        <v>0.66449999809265103</v>
      </c>
      <c r="F1196">
        <v>0.66449999809265103</v>
      </c>
      <c r="G1196">
        <v>120816000</v>
      </c>
      <c r="H1196">
        <f t="shared" si="72"/>
        <v>2002</v>
      </c>
      <c r="I1196">
        <f t="shared" si="73"/>
        <v>2</v>
      </c>
      <c r="J1196" t="str">
        <f t="shared" si="74"/>
        <v>Feb</v>
      </c>
      <c r="K1196" t="str">
        <f t="shared" si="75"/>
        <v>Wed</v>
      </c>
    </row>
    <row r="1197" spans="1:11" x14ac:dyDescent="0.35">
      <c r="A1197" s="1">
        <v>37301</v>
      </c>
      <c r="B1197">
        <v>0.66699999570846502</v>
      </c>
      <c r="C1197">
        <v>0.71299999952316195</v>
      </c>
      <c r="D1197">
        <v>0.66500002145767201</v>
      </c>
      <c r="E1197">
        <v>0.69400000572204501</v>
      </c>
      <c r="F1197">
        <v>0.69400000572204501</v>
      </c>
      <c r="G1197">
        <v>185630000</v>
      </c>
      <c r="H1197">
        <f t="shared" si="72"/>
        <v>2002</v>
      </c>
      <c r="I1197">
        <f t="shared" si="73"/>
        <v>2</v>
      </c>
      <c r="J1197" t="str">
        <f t="shared" si="74"/>
        <v>Feb</v>
      </c>
      <c r="K1197" t="str">
        <f t="shared" si="75"/>
        <v>Thu</v>
      </c>
    </row>
    <row r="1198" spans="1:11" x14ac:dyDescent="0.35">
      <c r="A1198" s="1">
        <v>37302</v>
      </c>
      <c r="B1198">
        <v>0.69550001621246305</v>
      </c>
      <c r="C1198">
        <v>0.70200002193450906</v>
      </c>
      <c r="D1198">
        <v>0.66350001096725397</v>
      </c>
      <c r="E1198">
        <v>0.67049998044967596</v>
      </c>
      <c r="F1198">
        <v>0.67049998044967596</v>
      </c>
      <c r="G1198">
        <v>145308000</v>
      </c>
      <c r="H1198">
        <f t="shared" si="72"/>
        <v>2002</v>
      </c>
      <c r="I1198">
        <f t="shared" si="73"/>
        <v>2</v>
      </c>
      <c r="J1198" t="str">
        <f t="shared" si="74"/>
        <v>Feb</v>
      </c>
      <c r="K1198" t="str">
        <f t="shared" si="75"/>
        <v>Fri</v>
      </c>
    </row>
    <row r="1199" spans="1:11" x14ac:dyDescent="0.35">
      <c r="A1199" s="1">
        <v>37306</v>
      </c>
      <c r="B1199">
        <v>0.64749997854232699</v>
      </c>
      <c r="C1199">
        <v>0.691999971866607</v>
      </c>
      <c r="D1199">
        <v>0.63999998569488503</v>
      </c>
      <c r="E1199">
        <v>0.65049999952316195</v>
      </c>
      <c r="F1199">
        <v>0.65049999952316195</v>
      </c>
      <c r="G1199">
        <v>165838000</v>
      </c>
      <c r="H1199">
        <f t="shared" si="72"/>
        <v>2002</v>
      </c>
      <c r="I1199">
        <f t="shared" si="73"/>
        <v>2</v>
      </c>
      <c r="J1199" t="str">
        <f t="shared" si="74"/>
        <v>Feb</v>
      </c>
      <c r="K1199" t="str">
        <f t="shared" si="75"/>
        <v>Tue</v>
      </c>
    </row>
    <row r="1200" spans="1:11" x14ac:dyDescent="0.35">
      <c r="A1200" s="1">
        <v>37307</v>
      </c>
      <c r="B1200">
        <v>0.65950000286102295</v>
      </c>
      <c r="C1200">
        <v>0.67000001668929998</v>
      </c>
      <c r="D1200">
        <v>0.60750001668929998</v>
      </c>
      <c r="E1200">
        <v>0.64800000190734797</v>
      </c>
      <c r="F1200">
        <v>0.64800000190734797</v>
      </c>
      <c r="G1200">
        <v>160322000</v>
      </c>
      <c r="H1200">
        <f t="shared" si="72"/>
        <v>2002</v>
      </c>
      <c r="I1200">
        <f t="shared" si="73"/>
        <v>2</v>
      </c>
      <c r="J1200" t="str">
        <f t="shared" si="74"/>
        <v>Feb</v>
      </c>
      <c r="K1200" t="str">
        <f t="shared" si="75"/>
        <v>Wed</v>
      </c>
    </row>
    <row r="1201" spans="1:11" x14ac:dyDescent="0.35">
      <c r="A1201" s="1">
        <v>37308</v>
      </c>
      <c r="B1201">
        <v>0.64550000429153398</v>
      </c>
      <c r="C1201">
        <v>0.68250000476837103</v>
      </c>
      <c r="D1201">
        <v>0.64499998092651301</v>
      </c>
      <c r="E1201">
        <v>0.662999987602233</v>
      </c>
      <c r="F1201">
        <v>0.662999987602233</v>
      </c>
      <c r="G1201">
        <v>165524000</v>
      </c>
      <c r="H1201">
        <f t="shared" si="72"/>
        <v>2002</v>
      </c>
      <c r="I1201">
        <f t="shared" si="73"/>
        <v>2</v>
      </c>
      <c r="J1201" t="str">
        <f t="shared" si="74"/>
        <v>Feb</v>
      </c>
      <c r="K1201" t="str">
        <f t="shared" si="75"/>
        <v>Thu</v>
      </c>
    </row>
    <row r="1202" spans="1:11" x14ac:dyDescent="0.35">
      <c r="A1202" s="1">
        <v>37309</v>
      </c>
      <c r="B1202">
        <v>0.65249997377395597</v>
      </c>
      <c r="C1202">
        <v>0.66149997711181596</v>
      </c>
      <c r="D1202">
        <v>0.63499999046325595</v>
      </c>
      <c r="E1202">
        <v>0.65350002050399703</v>
      </c>
      <c r="F1202">
        <v>0.65350002050399703</v>
      </c>
      <c r="G1202">
        <v>157308000</v>
      </c>
      <c r="H1202">
        <f t="shared" si="72"/>
        <v>2002</v>
      </c>
      <c r="I1202">
        <f t="shared" si="73"/>
        <v>2</v>
      </c>
      <c r="J1202" t="str">
        <f t="shared" si="74"/>
        <v>Feb</v>
      </c>
      <c r="K1202" t="str">
        <f t="shared" si="75"/>
        <v>Fri</v>
      </c>
    </row>
    <row r="1203" spans="1:11" x14ac:dyDescent="0.35">
      <c r="A1203" s="1">
        <v>37312</v>
      </c>
      <c r="B1203">
        <v>0.65450000762939398</v>
      </c>
      <c r="C1203">
        <v>0.68699997663497903</v>
      </c>
      <c r="D1203">
        <v>0.64999997615814198</v>
      </c>
      <c r="E1203">
        <v>0.68650001287460305</v>
      </c>
      <c r="F1203">
        <v>0.68650001287460305</v>
      </c>
      <c r="G1203">
        <v>114694000</v>
      </c>
      <c r="H1203">
        <f t="shared" si="72"/>
        <v>2002</v>
      </c>
      <c r="I1203">
        <f t="shared" si="73"/>
        <v>2</v>
      </c>
      <c r="J1203" t="str">
        <f t="shared" si="74"/>
        <v>Feb</v>
      </c>
      <c r="K1203" t="str">
        <f t="shared" si="75"/>
        <v>Mon</v>
      </c>
    </row>
    <row r="1204" spans="1:11" x14ac:dyDescent="0.35">
      <c r="A1204" s="1">
        <v>37313</v>
      </c>
      <c r="B1204">
        <v>0.67549997568130404</v>
      </c>
      <c r="C1204">
        <v>0.72450000047683705</v>
      </c>
      <c r="D1204">
        <v>0.67250001430511397</v>
      </c>
      <c r="E1204">
        <v>0.72000002861022905</v>
      </c>
      <c r="F1204">
        <v>0.72000002861022905</v>
      </c>
      <c r="G1204">
        <v>166210000</v>
      </c>
      <c r="H1204">
        <f t="shared" si="72"/>
        <v>2002</v>
      </c>
      <c r="I1204">
        <f t="shared" si="73"/>
        <v>2</v>
      </c>
      <c r="J1204" t="str">
        <f t="shared" si="74"/>
        <v>Feb</v>
      </c>
      <c r="K1204" t="str">
        <f t="shared" si="75"/>
        <v>Tue</v>
      </c>
    </row>
    <row r="1205" spans="1:11" x14ac:dyDescent="0.35">
      <c r="A1205" s="1">
        <v>37314</v>
      </c>
      <c r="B1205">
        <v>0.72750002145767201</v>
      </c>
      <c r="C1205">
        <v>0.736500024795532</v>
      </c>
      <c r="D1205">
        <v>0.70599997043609597</v>
      </c>
      <c r="E1205">
        <v>0.71350002288818304</v>
      </c>
      <c r="F1205">
        <v>0.71350002288818304</v>
      </c>
      <c r="G1205">
        <v>171012000</v>
      </c>
      <c r="H1205">
        <f t="shared" si="72"/>
        <v>2002</v>
      </c>
      <c r="I1205">
        <f t="shared" si="73"/>
        <v>2</v>
      </c>
      <c r="J1205" t="str">
        <f t="shared" si="74"/>
        <v>Feb</v>
      </c>
      <c r="K1205" t="str">
        <f t="shared" si="75"/>
        <v>Wed</v>
      </c>
    </row>
    <row r="1206" spans="1:11" x14ac:dyDescent="0.35">
      <c r="A1206" s="1">
        <v>37315</v>
      </c>
      <c r="B1206">
        <v>0.71450001001357999</v>
      </c>
      <c r="C1206">
        <v>0.73750001192092896</v>
      </c>
      <c r="D1206">
        <v>0.69650000333786</v>
      </c>
      <c r="E1206">
        <v>0.70499998331069902</v>
      </c>
      <c r="F1206">
        <v>0.70499998331069902</v>
      </c>
      <c r="G1206">
        <v>121048000</v>
      </c>
      <c r="H1206">
        <f t="shared" si="72"/>
        <v>2002</v>
      </c>
      <c r="I1206">
        <f t="shared" si="73"/>
        <v>2</v>
      </c>
      <c r="J1206" t="str">
        <f t="shared" si="74"/>
        <v>Feb</v>
      </c>
      <c r="K1206" t="str">
        <f t="shared" si="75"/>
        <v>Thu</v>
      </c>
    </row>
    <row r="1207" spans="1:11" x14ac:dyDescent="0.35">
      <c r="A1207" s="1">
        <v>37316</v>
      </c>
      <c r="B1207">
        <v>0.70649999380111606</v>
      </c>
      <c r="C1207">
        <v>0.76999998092651301</v>
      </c>
      <c r="D1207">
        <v>0.70599997043609597</v>
      </c>
      <c r="E1207">
        <v>0.76950001716613703</v>
      </c>
      <c r="F1207">
        <v>0.76950001716613703</v>
      </c>
      <c r="G1207">
        <v>196784000</v>
      </c>
      <c r="H1207">
        <f t="shared" si="72"/>
        <v>2002</v>
      </c>
      <c r="I1207">
        <f t="shared" si="73"/>
        <v>3</v>
      </c>
      <c r="J1207" t="str">
        <f t="shared" si="74"/>
        <v>Mar</v>
      </c>
      <c r="K1207" t="str">
        <f t="shared" si="75"/>
        <v>Fri</v>
      </c>
    </row>
    <row r="1208" spans="1:11" x14ac:dyDescent="0.35">
      <c r="A1208" s="1">
        <v>37319</v>
      </c>
      <c r="B1208">
        <v>0.77100002765655495</v>
      </c>
      <c r="C1208">
        <v>0.82450002431869496</v>
      </c>
      <c r="D1208">
        <v>0.76999998092651301</v>
      </c>
      <c r="E1208">
        <v>0.82400000095367398</v>
      </c>
      <c r="F1208">
        <v>0.82400000095367398</v>
      </c>
      <c r="G1208">
        <v>278564000</v>
      </c>
      <c r="H1208">
        <f t="shared" si="72"/>
        <v>2002</v>
      </c>
      <c r="I1208">
        <f t="shared" si="73"/>
        <v>3</v>
      </c>
      <c r="J1208" t="str">
        <f t="shared" si="74"/>
        <v>Mar</v>
      </c>
      <c r="K1208" t="str">
        <f t="shared" si="75"/>
        <v>Mon</v>
      </c>
    </row>
    <row r="1209" spans="1:11" x14ac:dyDescent="0.35">
      <c r="A1209" s="1">
        <v>37320</v>
      </c>
      <c r="B1209">
        <v>0.80000001192092896</v>
      </c>
      <c r="C1209">
        <v>0.83399999141693104</v>
      </c>
      <c r="D1209">
        <v>0.77649998664855902</v>
      </c>
      <c r="E1209">
        <v>0.79850000143051103</v>
      </c>
      <c r="F1209">
        <v>0.79850000143051103</v>
      </c>
      <c r="G1209">
        <v>176194000</v>
      </c>
      <c r="H1209">
        <f t="shared" si="72"/>
        <v>2002</v>
      </c>
      <c r="I1209">
        <f t="shared" si="73"/>
        <v>3</v>
      </c>
      <c r="J1209" t="str">
        <f t="shared" si="74"/>
        <v>Mar</v>
      </c>
      <c r="K1209" t="str">
        <f t="shared" si="75"/>
        <v>Tue</v>
      </c>
    </row>
    <row r="1210" spans="1:11" x14ac:dyDescent="0.35">
      <c r="A1210" s="1">
        <v>37321</v>
      </c>
      <c r="B1210">
        <v>0.740999996662139</v>
      </c>
      <c r="C1210">
        <v>0.82950001955032304</v>
      </c>
      <c r="D1210">
        <v>0.740999996662139</v>
      </c>
      <c r="E1210">
        <v>0.81650000810623102</v>
      </c>
      <c r="F1210">
        <v>0.81650000810623102</v>
      </c>
      <c r="G1210">
        <v>285254000</v>
      </c>
      <c r="H1210">
        <f t="shared" si="72"/>
        <v>2002</v>
      </c>
      <c r="I1210">
        <f t="shared" si="73"/>
        <v>3</v>
      </c>
      <c r="J1210" t="str">
        <f t="shared" si="74"/>
        <v>Mar</v>
      </c>
      <c r="K1210" t="str">
        <f t="shared" si="75"/>
        <v>Wed</v>
      </c>
    </row>
    <row r="1211" spans="1:11" x14ac:dyDescent="0.35">
      <c r="A1211" s="1">
        <v>37322</v>
      </c>
      <c r="B1211">
        <v>0.82050001621246305</v>
      </c>
      <c r="C1211">
        <v>0.84750002622604304</v>
      </c>
      <c r="D1211">
        <v>0.76999998092651301</v>
      </c>
      <c r="E1211">
        <v>0.78100001811981201</v>
      </c>
      <c r="F1211">
        <v>0.78100001811981201</v>
      </c>
      <c r="G1211">
        <v>185446000</v>
      </c>
      <c r="H1211">
        <f t="shared" si="72"/>
        <v>2002</v>
      </c>
      <c r="I1211">
        <f t="shared" si="73"/>
        <v>3</v>
      </c>
      <c r="J1211" t="str">
        <f t="shared" si="74"/>
        <v>Mar</v>
      </c>
      <c r="K1211" t="str">
        <f t="shared" si="75"/>
        <v>Thu</v>
      </c>
    </row>
    <row r="1212" spans="1:11" x14ac:dyDescent="0.35">
      <c r="A1212" s="1">
        <v>37323</v>
      </c>
      <c r="B1212">
        <v>0.8125</v>
      </c>
      <c r="C1212">
        <v>0.84799998998641901</v>
      </c>
      <c r="D1212">
        <v>0.79650002717971802</v>
      </c>
      <c r="E1212">
        <v>0.81749999523162797</v>
      </c>
      <c r="F1212">
        <v>0.81749999523162797</v>
      </c>
      <c r="G1212">
        <v>188696000</v>
      </c>
      <c r="H1212">
        <f t="shared" si="72"/>
        <v>2002</v>
      </c>
      <c r="I1212">
        <f t="shared" si="73"/>
        <v>3</v>
      </c>
      <c r="J1212" t="str">
        <f t="shared" si="74"/>
        <v>Mar</v>
      </c>
      <c r="K1212" t="str">
        <f t="shared" si="75"/>
        <v>Fri</v>
      </c>
    </row>
    <row r="1213" spans="1:11" x14ac:dyDescent="0.35">
      <c r="A1213" s="1">
        <v>37326</v>
      </c>
      <c r="B1213">
        <v>0.80199998617172197</v>
      </c>
      <c r="C1213">
        <v>0.84399998188018799</v>
      </c>
      <c r="D1213">
        <v>0.79299998283386197</v>
      </c>
      <c r="E1213">
        <v>0.83550000190734797</v>
      </c>
      <c r="F1213">
        <v>0.83550000190734797</v>
      </c>
      <c r="G1213">
        <v>132494000</v>
      </c>
      <c r="H1213">
        <f t="shared" si="72"/>
        <v>2002</v>
      </c>
      <c r="I1213">
        <f t="shared" si="73"/>
        <v>3</v>
      </c>
      <c r="J1213" t="str">
        <f t="shared" si="74"/>
        <v>Mar</v>
      </c>
      <c r="K1213" t="str">
        <f t="shared" si="75"/>
        <v>Mon</v>
      </c>
    </row>
    <row r="1214" spans="1:11" x14ac:dyDescent="0.35">
      <c r="A1214" s="1">
        <v>37327</v>
      </c>
      <c r="B1214">
        <v>0.81749999523162797</v>
      </c>
      <c r="C1214">
        <v>0.82950001955032304</v>
      </c>
      <c r="D1214">
        <v>0.80199998617172197</v>
      </c>
      <c r="E1214">
        <v>0.81550002098083496</v>
      </c>
      <c r="F1214">
        <v>0.81550002098083496</v>
      </c>
      <c r="G1214">
        <v>112382000</v>
      </c>
      <c r="H1214">
        <f t="shared" si="72"/>
        <v>2002</v>
      </c>
      <c r="I1214">
        <f t="shared" si="73"/>
        <v>3</v>
      </c>
      <c r="J1214" t="str">
        <f t="shared" si="74"/>
        <v>Mar</v>
      </c>
      <c r="K1214" t="str">
        <f t="shared" si="75"/>
        <v>Tue</v>
      </c>
    </row>
    <row r="1215" spans="1:11" x14ac:dyDescent="0.35">
      <c r="A1215" s="1">
        <v>37328</v>
      </c>
      <c r="B1215">
        <v>0.80250000953674305</v>
      </c>
      <c r="C1215">
        <v>0.816999971866607</v>
      </c>
      <c r="D1215">
        <v>0.78200000524520796</v>
      </c>
      <c r="E1215">
        <v>0.78700000047683705</v>
      </c>
      <c r="F1215">
        <v>0.78700000047683705</v>
      </c>
      <c r="G1215">
        <v>111188000</v>
      </c>
      <c r="H1215">
        <f t="shared" si="72"/>
        <v>2002</v>
      </c>
      <c r="I1215">
        <f t="shared" si="73"/>
        <v>3</v>
      </c>
      <c r="J1215" t="str">
        <f t="shared" si="74"/>
        <v>Mar</v>
      </c>
      <c r="K1215" t="str">
        <f t="shared" si="75"/>
        <v>Wed</v>
      </c>
    </row>
    <row r="1216" spans="1:11" x14ac:dyDescent="0.35">
      <c r="A1216" s="1">
        <v>37329</v>
      </c>
      <c r="B1216">
        <v>0.74949997663497903</v>
      </c>
      <c r="C1216">
        <v>0.77499997615814198</v>
      </c>
      <c r="D1216">
        <v>0.71399998664855902</v>
      </c>
      <c r="E1216">
        <v>0.72399997711181596</v>
      </c>
      <c r="F1216">
        <v>0.72399997711181596</v>
      </c>
      <c r="G1216">
        <v>303386000</v>
      </c>
      <c r="H1216">
        <f t="shared" si="72"/>
        <v>2002</v>
      </c>
      <c r="I1216">
        <f t="shared" si="73"/>
        <v>3</v>
      </c>
      <c r="J1216" t="str">
        <f t="shared" si="74"/>
        <v>Mar</v>
      </c>
      <c r="K1216" t="str">
        <f t="shared" si="75"/>
        <v>Thu</v>
      </c>
    </row>
    <row r="1217" spans="1:11" x14ac:dyDescent="0.35">
      <c r="A1217" s="1">
        <v>37330</v>
      </c>
      <c r="B1217">
        <v>0.71350002288818304</v>
      </c>
      <c r="C1217">
        <v>0.71450001001357999</v>
      </c>
      <c r="D1217">
        <v>0.67750000953674305</v>
      </c>
      <c r="E1217">
        <v>0.70149999856948797</v>
      </c>
      <c r="F1217">
        <v>0.70149999856948797</v>
      </c>
      <c r="G1217">
        <v>246414000</v>
      </c>
      <c r="H1217">
        <f t="shared" si="72"/>
        <v>2002</v>
      </c>
      <c r="I1217">
        <f t="shared" si="73"/>
        <v>3</v>
      </c>
      <c r="J1217" t="str">
        <f t="shared" si="74"/>
        <v>Mar</v>
      </c>
      <c r="K1217" t="str">
        <f t="shared" si="75"/>
        <v>Fri</v>
      </c>
    </row>
    <row r="1218" spans="1:11" x14ac:dyDescent="0.35">
      <c r="A1218" s="1">
        <v>37333</v>
      </c>
      <c r="B1218">
        <v>0.70749998092651301</v>
      </c>
      <c r="C1218">
        <v>0.76399999856948797</v>
      </c>
      <c r="D1218">
        <v>0.70700001716613703</v>
      </c>
      <c r="E1218">
        <v>0.75050002336501997</v>
      </c>
      <c r="F1218">
        <v>0.75050002336501997</v>
      </c>
      <c r="G1218">
        <v>196636000</v>
      </c>
      <c r="H1218">
        <f t="shared" si="72"/>
        <v>2002</v>
      </c>
      <c r="I1218">
        <f t="shared" si="73"/>
        <v>3</v>
      </c>
      <c r="J1218" t="str">
        <f t="shared" si="74"/>
        <v>Mar</v>
      </c>
      <c r="K1218" t="str">
        <f t="shared" si="75"/>
        <v>Mon</v>
      </c>
    </row>
    <row r="1219" spans="1:11" x14ac:dyDescent="0.35">
      <c r="A1219" s="1">
        <v>37334</v>
      </c>
      <c r="B1219">
        <v>0.75749999284744196</v>
      </c>
      <c r="C1219">
        <v>0.76999998092651301</v>
      </c>
      <c r="D1219">
        <v>0.72799998521804798</v>
      </c>
      <c r="E1219">
        <v>0.73299998044967596</v>
      </c>
      <c r="F1219">
        <v>0.73299998044967596</v>
      </c>
      <c r="G1219">
        <v>97874000</v>
      </c>
      <c r="H1219">
        <f t="shared" si="72"/>
        <v>2002</v>
      </c>
      <c r="I1219">
        <f t="shared" si="73"/>
        <v>3</v>
      </c>
      <c r="J1219" t="str">
        <f t="shared" si="74"/>
        <v>Mar</v>
      </c>
      <c r="K1219" t="str">
        <f t="shared" si="75"/>
        <v>Tue</v>
      </c>
    </row>
    <row r="1220" spans="1:11" x14ac:dyDescent="0.35">
      <c r="A1220" s="1">
        <v>37335</v>
      </c>
      <c r="B1220">
        <v>0.72399997711181596</v>
      </c>
      <c r="C1220">
        <v>0.75650000572204501</v>
      </c>
      <c r="D1220">
        <v>0.71499997377395597</v>
      </c>
      <c r="E1220">
        <v>0.72500002384185702</v>
      </c>
      <c r="F1220">
        <v>0.72500002384185702</v>
      </c>
      <c r="G1220">
        <v>143586000</v>
      </c>
      <c r="H1220">
        <f t="shared" ref="H1220:H1283" si="76">YEAR($A1220)</f>
        <v>2002</v>
      </c>
      <c r="I1220">
        <f t="shared" ref="I1220:I1283" si="77">MONTH($A1220)</f>
        <v>3</v>
      </c>
      <c r="J1220" t="str">
        <f t="shared" ref="J1220:J1283" si="78">TEXT($A1220,"mmm")</f>
        <v>Mar</v>
      </c>
      <c r="K1220" t="str">
        <f t="shared" ref="K1220:K1283" si="79">TEXT($A1220,"ddd")</f>
        <v>Wed</v>
      </c>
    </row>
    <row r="1221" spans="1:11" x14ac:dyDescent="0.35">
      <c r="A1221" s="1">
        <v>37336</v>
      </c>
      <c r="B1221">
        <v>0.73100000619888295</v>
      </c>
      <c r="C1221">
        <v>0.76200002431869496</v>
      </c>
      <c r="D1221">
        <v>0.72799998521804798</v>
      </c>
      <c r="E1221">
        <v>0.75849997997283902</v>
      </c>
      <c r="F1221">
        <v>0.75849997997283902</v>
      </c>
      <c r="G1221">
        <v>111558000</v>
      </c>
      <c r="H1221">
        <f t="shared" si="76"/>
        <v>2002</v>
      </c>
      <c r="I1221">
        <f t="shared" si="77"/>
        <v>3</v>
      </c>
      <c r="J1221" t="str">
        <f t="shared" si="78"/>
        <v>Mar</v>
      </c>
      <c r="K1221" t="str">
        <f t="shared" si="79"/>
        <v>Thu</v>
      </c>
    </row>
    <row r="1222" spans="1:11" x14ac:dyDescent="0.35">
      <c r="A1222" s="1">
        <v>37337</v>
      </c>
      <c r="B1222">
        <v>0.75599998235702504</v>
      </c>
      <c r="C1222">
        <v>0.77999997138976995</v>
      </c>
      <c r="D1222">
        <v>0.75499999523162797</v>
      </c>
      <c r="E1222">
        <v>0.77649998664855902</v>
      </c>
      <c r="F1222">
        <v>0.77649998664855902</v>
      </c>
      <c r="G1222">
        <v>103700000</v>
      </c>
      <c r="H1222">
        <f t="shared" si="76"/>
        <v>2002</v>
      </c>
      <c r="I1222">
        <f t="shared" si="77"/>
        <v>3</v>
      </c>
      <c r="J1222" t="str">
        <f t="shared" si="78"/>
        <v>Mar</v>
      </c>
      <c r="K1222" t="str">
        <f t="shared" si="79"/>
        <v>Fri</v>
      </c>
    </row>
    <row r="1223" spans="1:11" x14ac:dyDescent="0.35">
      <c r="A1223" s="1">
        <v>37340</v>
      </c>
      <c r="B1223">
        <v>0.77350002527236905</v>
      </c>
      <c r="C1223">
        <v>0.78649997711181596</v>
      </c>
      <c r="D1223">
        <v>0.73600000143051103</v>
      </c>
      <c r="E1223">
        <v>0.73699998855590798</v>
      </c>
      <c r="F1223">
        <v>0.73699998855590798</v>
      </c>
      <c r="G1223">
        <v>102322000</v>
      </c>
      <c r="H1223">
        <f t="shared" si="76"/>
        <v>2002</v>
      </c>
      <c r="I1223">
        <f t="shared" si="77"/>
        <v>3</v>
      </c>
      <c r="J1223" t="str">
        <f t="shared" si="78"/>
        <v>Mar</v>
      </c>
      <c r="K1223" t="str">
        <f t="shared" si="79"/>
        <v>Mon</v>
      </c>
    </row>
    <row r="1224" spans="1:11" x14ac:dyDescent="0.35">
      <c r="A1224" s="1">
        <v>37341</v>
      </c>
      <c r="B1224">
        <v>0.73199999332427901</v>
      </c>
      <c r="C1224">
        <v>0.77249997854232699</v>
      </c>
      <c r="D1224">
        <v>0.72750002145767201</v>
      </c>
      <c r="E1224">
        <v>0.74150002002715998</v>
      </c>
      <c r="F1224">
        <v>0.74150002002715998</v>
      </c>
      <c r="G1224">
        <v>98502000</v>
      </c>
      <c r="H1224">
        <f t="shared" si="76"/>
        <v>2002</v>
      </c>
      <c r="I1224">
        <f t="shared" si="77"/>
        <v>3</v>
      </c>
      <c r="J1224" t="str">
        <f t="shared" si="78"/>
        <v>Mar</v>
      </c>
      <c r="K1224" t="str">
        <f t="shared" si="79"/>
        <v>Tue</v>
      </c>
    </row>
    <row r="1225" spans="1:11" x14ac:dyDescent="0.35">
      <c r="A1225" s="1">
        <v>37342</v>
      </c>
      <c r="B1225">
        <v>0.69499999284744196</v>
      </c>
      <c r="C1225">
        <v>0.71749997138976995</v>
      </c>
      <c r="D1225">
        <v>0.68500000238418501</v>
      </c>
      <c r="E1225">
        <v>0.71249997615814198</v>
      </c>
      <c r="F1225">
        <v>0.71249997615814198</v>
      </c>
      <c r="G1225">
        <v>162926000</v>
      </c>
      <c r="H1225">
        <f t="shared" si="76"/>
        <v>2002</v>
      </c>
      <c r="I1225">
        <f t="shared" si="77"/>
        <v>3</v>
      </c>
      <c r="J1225" t="str">
        <f t="shared" si="78"/>
        <v>Mar</v>
      </c>
      <c r="K1225" t="str">
        <f t="shared" si="79"/>
        <v>Wed</v>
      </c>
    </row>
    <row r="1226" spans="1:11" x14ac:dyDescent="0.35">
      <c r="A1226" s="1">
        <v>37343</v>
      </c>
      <c r="B1226">
        <v>0.72000002861022905</v>
      </c>
      <c r="C1226">
        <v>0.73250001668929998</v>
      </c>
      <c r="D1226">
        <v>0.71249997615814198</v>
      </c>
      <c r="E1226">
        <v>0.71499997377395597</v>
      </c>
      <c r="F1226">
        <v>0.71499997377395597</v>
      </c>
      <c r="G1226">
        <v>62450000</v>
      </c>
      <c r="H1226">
        <f t="shared" si="76"/>
        <v>2002</v>
      </c>
      <c r="I1226">
        <f t="shared" si="77"/>
        <v>3</v>
      </c>
      <c r="J1226" t="str">
        <f t="shared" si="78"/>
        <v>Mar</v>
      </c>
      <c r="K1226" t="str">
        <f t="shared" si="79"/>
        <v>Thu</v>
      </c>
    </row>
    <row r="1227" spans="1:11" x14ac:dyDescent="0.35">
      <c r="A1227" s="1">
        <v>37347</v>
      </c>
      <c r="B1227">
        <v>0.71399998664855902</v>
      </c>
      <c r="C1227">
        <v>0.74000000953674305</v>
      </c>
      <c r="D1227">
        <v>0.70700001716613703</v>
      </c>
      <c r="E1227">
        <v>0.74000000953674305</v>
      </c>
      <c r="F1227">
        <v>0.74000000953674305</v>
      </c>
      <c r="G1227">
        <v>95358000</v>
      </c>
      <c r="H1227">
        <f t="shared" si="76"/>
        <v>2002</v>
      </c>
      <c r="I1227">
        <f t="shared" si="77"/>
        <v>4</v>
      </c>
      <c r="J1227" t="str">
        <f t="shared" si="78"/>
        <v>Apr</v>
      </c>
      <c r="K1227" t="str">
        <f t="shared" si="79"/>
        <v>Mon</v>
      </c>
    </row>
    <row r="1228" spans="1:11" x14ac:dyDescent="0.35">
      <c r="A1228" s="1">
        <v>37348</v>
      </c>
      <c r="B1228">
        <v>0.73199999332427901</v>
      </c>
      <c r="C1228">
        <v>0.754499971866607</v>
      </c>
      <c r="D1228">
        <v>0.70950001478195102</v>
      </c>
      <c r="E1228">
        <v>0.71249997615814198</v>
      </c>
      <c r="F1228">
        <v>0.71249997615814198</v>
      </c>
      <c r="G1228">
        <v>95428000</v>
      </c>
      <c r="H1228">
        <f t="shared" si="76"/>
        <v>2002</v>
      </c>
      <c r="I1228">
        <f t="shared" si="77"/>
        <v>4</v>
      </c>
      <c r="J1228" t="str">
        <f t="shared" si="78"/>
        <v>Apr</v>
      </c>
      <c r="K1228" t="str">
        <f t="shared" si="79"/>
        <v>Tue</v>
      </c>
    </row>
    <row r="1229" spans="1:11" x14ac:dyDescent="0.35">
      <c r="A1229" s="1">
        <v>37349</v>
      </c>
      <c r="B1229">
        <v>0.71850001811981201</v>
      </c>
      <c r="C1229">
        <v>0.72250002622604304</v>
      </c>
      <c r="D1229">
        <v>0.68000000715255704</v>
      </c>
      <c r="E1229">
        <v>0.68349999189376798</v>
      </c>
      <c r="F1229">
        <v>0.68349999189376798</v>
      </c>
      <c r="G1229">
        <v>90682000</v>
      </c>
      <c r="H1229">
        <f t="shared" si="76"/>
        <v>2002</v>
      </c>
      <c r="I1229">
        <f t="shared" si="77"/>
        <v>4</v>
      </c>
      <c r="J1229" t="str">
        <f t="shared" si="78"/>
        <v>Apr</v>
      </c>
      <c r="K1229" t="str">
        <f t="shared" si="79"/>
        <v>Wed</v>
      </c>
    </row>
    <row r="1230" spans="1:11" x14ac:dyDescent="0.35">
      <c r="A1230" s="1">
        <v>37350</v>
      </c>
      <c r="B1230">
        <v>0.68650001287460305</v>
      </c>
      <c r="C1230">
        <v>0.68999999761581399</v>
      </c>
      <c r="D1230">
        <v>0.66149997711181596</v>
      </c>
      <c r="E1230">
        <v>0.67699998617172197</v>
      </c>
      <c r="F1230">
        <v>0.67699998617172197</v>
      </c>
      <c r="G1230">
        <v>114634000</v>
      </c>
      <c r="H1230">
        <f t="shared" si="76"/>
        <v>2002</v>
      </c>
      <c r="I1230">
        <f t="shared" si="77"/>
        <v>4</v>
      </c>
      <c r="J1230" t="str">
        <f t="shared" si="78"/>
        <v>Apr</v>
      </c>
      <c r="K1230" t="str">
        <f t="shared" si="79"/>
        <v>Thu</v>
      </c>
    </row>
    <row r="1231" spans="1:11" x14ac:dyDescent="0.35">
      <c r="A1231" s="1">
        <v>37351</v>
      </c>
      <c r="B1231">
        <v>0.68349999189376798</v>
      </c>
      <c r="C1231">
        <v>0.70200002193450906</v>
      </c>
      <c r="D1231">
        <v>0.66549998521804798</v>
      </c>
      <c r="E1231">
        <v>0.67500001192092896</v>
      </c>
      <c r="F1231">
        <v>0.67500001192092896</v>
      </c>
      <c r="G1231">
        <v>90000000</v>
      </c>
      <c r="H1231">
        <f t="shared" si="76"/>
        <v>2002</v>
      </c>
      <c r="I1231">
        <f t="shared" si="77"/>
        <v>4</v>
      </c>
      <c r="J1231" t="str">
        <f t="shared" si="78"/>
        <v>Apr</v>
      </c>
      <c r="K1231" t="str">
        <f t="shared" si="79"/>
        <v>Fri</v>
      </c>
    </row>
    <row r="1232" spans="1:11" x14ac:dyDescent="0.35">
      <c r="A1232" s="1">
        <v>37354</v>
      </c>
      <c r="B1232">
        <v>0.64850002527236905</v>
      </c>
      <c r="C1232">
        <v>0.69800001382827703</v>
      </c>
      <c r="D1232">
        <v>0.64800000190734797</v>
      </c>
      <c r="E1232">
        <v>0.69749999046325595</v>
      </c>
      <c r="F1232">
        <v>0.69749999046325595</v>
      </c>
      <c r="G1232">
        <v>105556000</v>
      </c>
      <c r="H1232">
        <f t="shared" si="76"/>
        <v>2002</v>
      </c>
      <c r="I1232">
        <f t="shared" si="77"/>
        <v>4</v>
      </c>
      <c r="J1232" t="str">
        <f t="shared" si="78"/>
        <v>Apr</v>
      </c>
      <c r="K1232" t="str">
        <f t="shared" si="79"/>
        <v>Mon</v>
      </c>
    </row>
    <row r="1233" spans="1:11" x14ac:dyDescent="0.35">
      <c r="A1233" s="1">
        <v>37355</v>
      </c>
      <c r="B1233">
        <v>0.70349997282028198</v>
      </c>
      <c r="C1233">
        <v>0.72949999570846502</v>
      </c>
      <c r="D1233">
        <v>0.67799997329711903</v>
      </c>
      <c r="E1233">
        <v>0.68000000715255704</v>
      </c>
      <c r="F1233">
        <v>0.68000000715255704</v>
      </c>
      <c r="G1233">
        <v>129180000</v>
      </c>
      <c r="H1233">
        <f t="shared" si="76"/>
        <v>2002</v>
      </c>
      <c r="I1233">
        <f t="shared" si="77"/>
        <v>4</v>
      </c>
      <c r="J1233" t="str">
        <f t="shared" si="78"/>
        <v>Apr</v>
      </c>
      <c r="K1233" t="str">
        <f t="shared" si="79"/>
        <v>Tue</v>
      </c>
    </row>
    <row r="1234" spans="1:11" x14ac:dyDescent="0.35">
      <c r="A1234" s="1">
        <v>37356</v>
      </c>
      <c r="B1234">
        <v>0.68800002336501997</v>
      </c>
      <c r="C1234">
        <v>0.69999998807907104</v>
      </c>
      <c r="D1234">
        <v>0.65249997377395597</v>
      </c>
      <c r="E1234">
        <v>0.674000024795532</v>
      </c>
      <c r="F1234">
        <v>0.674000024795532</v>
      </c>
      <c r="G1234">
        <v>105134000</v>
      </c>
      <c r="H1234">
        <f t="shared" si="76"/>
        <v>2002</v>
      </c>
      <c r="I1234">
        <f t="shared" si="77"/>
        <v>4</v>
      </c>
      <c r="J1234" t="str">
        <f t="shared" si="78"/>
        <v>Apr</v>
      </c>
      <c r="K1234" t="str">
        <f t="shared" si="79"/>
        <v>Wed</v>
      </c>
    </row>
    <row r="1235" spans="1:11" x14ac:dyDescent="0.35">
      <c r="A1235" s="1">
        <v>37357</v>
      </c>
      <c r="B1235">
        <v>0.66399997472762995</v>
      </c>
      <c r="C1235">
        <v>0.66399997472762995</v>
      </c>
      <c r="D1235">
        <v>0.62599998712539595</v>
      </c>
      <c r="E1235">
        <v>0.63700002431869496</v>
      </c>
      <c r="F1235">
        <v>0.63700002431869496</v>
      </c>
      <c r="G1235">
        <v>119152000</v>
      </c>
      <c r="H1235">
        <f t="shared" si="76"/>
        <v>2002</v>
      </c>
      <c r="I1235">
        <f t="shared" si="77"/>
        <v>4</v>
      </c>
      <c r="J1235" t="str">
        <f t="shared" si="78"/>
        <v>Apr</v>
      </c>
      <c r="K1235" t="str">
        <f t="shared" si="79"/>
        <v>Thu</v>
      </c>
    </row>
    <row r="1236" spans="1:11" x14ac:dyDescent="0.35">
      <c r="A1236" s="1">
        <v>37358</v>
      </c>
      <c r="B1236">
        <v>0.64499998092651301</v>
      </c>
      <c r="C1236">
        <v>0.68049997091293302</v>
      </c>
      <c r="D1236">
        <v>0.64249998331069902</v>
      </c>
      <c r="E1236">
        <v>0.66549998521804798</v>
      </c>
      <c r="F1236">
        <v>0.66549998521804798</v>
      </c>
      <c r="G1236">
        <v>107582000</v>
      </c>
      <c r="H1236">
        <f t="shared" si="76"/>
        <v>2002</v>
      </c>
      <c r="I1236">
        <f t="shared" si="77"/>
        <v>4</v>
      </c>
      <c r="J1236" t="str">
        <f t="shared" si="78"/>
        <v>Apr</v>
      </c>
      <c r="K1236" t="str">
        <f t="shared" si="79"/>
        <v>Fri</v>
      </c>
    </row>
    <row r="1237" spans="1:11" x14ac:dyDescent="0.35">
      <c r="A1237" s="1">
        <v>37361</v>
      </c>
      <c r="B1237">
        <v>0.67100000381469704</v>
      </c>
      <c r="C1237">
        <v>0.70499998331069902</v>
      </c>
      <c r="D1237">
        <v>0.667500019073486</v>
      </c>
      <c r="E1237">
        <v>0.69450002908706598</v>
      </c>
      <c r="F1237">
        <v>0.69450002908706598</v>
      </c>
      <c r="G1237">
        <v>95074000</v>
      </c>
      <c r="H1237">
        <f t="shared" si="76"/>
        <v>2002</v>
      </c>
      <c r="I1237">
        <f t="shared" si="77"/>
        <v>4</v>
      </c>
      <c r="J1237" t="str">
        <f t="shared" si="78"/>
        <v>Apr</v>
      </c>
      <c r="K1237" t="str">
        <f t="shared" si="79"/>
        <v>Mon</v>
      </c>
    </row>
    <row r="1238" spans="1:11" x14ac:dyDescent="0.35">
      <c r="A1238" s="1">
        <v>37362</v>
      </c>
      <c r="B1238">
        <v>0.70899999141693104</v>
      </c>
      <c r="C1238">
        <v>0.71450001001357999</v>
      </c>
      <c r="D1238">
        <v>0.68599998950958196</v>
      </c>
      <c r="E1238">
        <v>0.70050001144409102</v>
      </c>
      <c r="F1238">
        <v>0.70050001144409102</v>
      </c>
      <c r="G1238">
        <v>73620000</v>
      </c>
      <c r="H1238">
        <f t="shared" si="76"/>
        <v>2002</v>
      </c>
      <c r="I1238">
        <f t="shared" si="77"/>
        <v>4</v>
      </c>
      <c r="J1238" t="str">
        <f t="shared" si="78"/>
        <v>Apr</v>
      </c>
      <c r="K1238" t="str">
        <f t="shared" si="79"/>
        <v>Tue</v>
      </c>
    </row>
    <row r="1239" spans="1:11" x14ac:dyDescent="0.35">
      <c r="A1239" s="1">
        <v>37363</v>
      </c>
      <c r="B1239">
        <v>0.712000012397766</v>
      </c>
      <c r="C1239">
        <v>0.75</v>
      </c>
      <c r="D1239">
        <v>0.712000012397766</v>
      </c>
      <c r="E1239">
        <v>0.740999996662139</v>
      </c>
      <c r="F1239">
        <v>0.740999996662139</v>
      </c>
      <c r="G1239">
        <v>155122000</v>
      </c>
      <c r="H1239">
        <f t="shared" si="76"/>
        <v>2002</v>
      </c>
      <c r="I1239">
        <f t="shared" si="77"/>
        <v>4</v>
      </c>
      <c r="J1239" t="str">
        <f t="shared" si="78"/>
        <v>Apr</v>
      </c>
      <c r="K1239" t="str">
        <f t="shared" si="79"/>
        <v>Wed</v>
      </c>
    </row>
    <row r="1240" spans="1:11" x14ac:dyDescent="0.35">
      <c r="A1240" s="1">
        <v>37364</v>
      </c>
      <c r="B1240">
        <v>0.73500001430511397</v>
      </c>
      <c r="C1240">
        <v>0.74299997091293302</v>
      </c>
      <c r="D1240">
        <v>0.69749999046325595</v>
      </c>
      <c r="E1240">
        <v>0.71299999952316195</v>
      </c>
      <c r="F1240">
        <v>0.71299999952316195</v>
      </c>
      <c r="G1240">
        <v>77528000</v>
      </c>
      <c r="H1240">
        <f t="shared" si="76"/>
        <v>2002</v>
      </c>
      <c r="I1240">
        <f t="shared" si="77"/>
        <v>4</v>
      </c>
      <c r="J1240" t="str">
        <f t="shared" si="78"/>
        <v>Apr</v>
      </c>
      <c r="K1240" t="str">
        <f t="shared" si="79"/>
        <v>Thu</v>
      </c>
    </row>
    <row r="1241" spans="1:11" x14ac:dyDescent="0.35">
      <c r="A1241" s="1">
        <v>37365</v>
      </c>
      <c r="B1241">
        <v>0.71899998188018799</v>
      </c>
      <c r="C1241">
        <v>0.73699998855590798</v>
      </c>
      <c r="D1241">
        <v>0.70749998092651301</v>
      </c>
      <c r="E1241">
        <v>0.72649997472762995</v>
      </c>
      <c r="F1241">
        <v>0.72649997472762995</v>
      </c>
      <c r="G1241">
        <v>74552000</v>
      </c>
      <c r="H1241">
        <f t="shared" si="76"/>
        <v>2002</v>
      </c>
      <c r="I1241">
        <f t="shared" si="77"/>
        <v>4</v>
      </c>
      <c r="J1241" t="str">
        <f t="shared" si="78"/>
        <v>Apr</v>
      </c>
      <c r="K1241" t="str">
        <f t="shared" si="79"/>
        <v>Fri</v>
      </c>
    </row>
    <row r="1242" spans="1:11" x14ac:dyDescent="0.35">
      <c r="A1242" s="1">
        <v>37368</v>
      </c>
      <c r="B1242">
        <v>0.72899997234344405</v>
      </c>
      <c r="C1242">
        <v>0.74250000715255704</v>
      </c>
      <c r="D1242">
        <v>0.70749998092651301</v>
      </c>
      <c r="E1242">
        <v>0.71549999713897705</v>
      </c>
      <c r="F1242">
        <v>0.71549999713897705</v>
      </c>
      <c r="G1242">
        <v>105806000</v>
      </c>
      <c r="H1242">
        <f t="shared" si="76"/>
        <v>2002</v>
      </c>
      <c r="I1242">
        <f t="shared" si="77"/>
        <v>4</v>
      </c>
      <c r="J1242" t="str">
        <f t="shared" si="78"/>
        <v>Apr</v>
      </c>
      <c r="K1242" t="str">
        <f t="shared" si="79"/>
        <v>Mon</v>
      </c>
    </row>
    <row r="1243" spans="1:11" x14ac:dyDescent="0.35">
      <c r="A1243" s="1">
        <v>37369</v>
      </c>
      <c r="B1243">
        <v>0.71749997138976995</v>
      </c>
      <c r="C1243">
        <v>0.73750001192092896</v>
      </c>
      <c r="D1243">
        <v>0.69400000572204501</v>
      </c>
      <c r="E1243">
        <v>0.70300000905990601</v>
      </c>
      <c r="F1243">
        <v>0.70300000905990601</v>
      </c>
      <c r="G1243">
        <v>161538000</v>
      </c>
      <c r="H1243">
        <f t="shared" si="76"/>
        <v>2002</v>
      </c>
      <c r="I1243">
        <f t="shared" si="77"/>
        <v>4</v>
      </c>
      <c r="J1243" t="str">
        <f t="shared" si="78"/>
        <v>Apr</v>
      </c>
      <c r="K1243" t="str">
        <f t="shared" si="79"/>
        <v>Tue</v>
      </c>
    </row>
    <row r="1244" spans="1:11" x14ac:dyDescent="0.35">
      <c r="A1244" s="1">
        <v>37370</v>
      </c>
      <c r="B1244">
        <v>0.76150000095367398</v>
      </c>
      <c r="C1244">
        <v>0.84249997138976995</v>
      </c>
      <c r="D1244">
        <v>0.75249999761581399</v>
      </c>
      <c r="E1244">
        <v>0.83950001001357999</v>
      </c>
      <c r="F1244">
        <v>0.83950001001357999</v>
      </c>
      <c r="G1244">
        <v>689188000</v>
      </c>
      <c r="H1244">
        <f t="shared" si="76"/>
        <v>2002</v>
      </c>
      <c r="I1244">
        <f t="shared" si="77"/>
        <v>4</v>
      </c>
      <c r="J1244" t="str">
        <f t="shared" si="78"/>
        <v>Apr</v>
      </c>
      <c r="K1244" t="str">
        <f t="shared" si="79"/>
        <v>Wed</v>
      </c>
    </row>
    <row r="1245" spans="1:11" x14ac:dyDescent="0.35">
      <c r="A1245" s="1">
        <v>37371</v>
      </c>
      <c r="B1245">
        <v>0.82550001144409102</v>
      </c>
      <c r="C1245">
        <v>0.85250002145767201</v>
      </c>
      <c r="D1245">
        <v>0.82050001621246305</v>
      </c>
      <c r="E1245">
        <v>0.84100002050399703</v>
      </c>
      <c r="F1245">
        <v>0.84100002050399703</v>
      </c>
      <c r="G1245">
        <v>234604000</v>
      </c>
      <c r="H1245">
        <f t="shared" si="76"/>
        <v>2002</v>
      </c>
      <c r="I1245">
        <f t="shared" si="77"/>
        <v>4</v>
      </c>
      <c r="J1245" t="str">
        <f t="shared" si="78"/>
        <v>Apr</v>
      </c>
      <c r="K1245" t="str">
        <f t="shared" si="79"/>
        <v>Thu</v>
      </c>
    </row>
    <row r="1246" spans="1:11" x14ac:dyDescent="0.35">
      <c r="A1246" s="1">
        <v>37372</v>
      </c>
      <c r="B1246">
        <v>0.84299999475479104</v>
      </c>
      <c r="C1246">
        <v>0.84750002622604304</v>
      </c>
      <c r="D1246">
        <v>0.81599998474121005</v>
      </c>
      <c r="E1246">
        <v>0.84549999237060502</v>
      </c>
      <c r="F1246">
        <v>0.84549999237060502</v>
      </c>
      <c r="G1246">
        <v>162714000</v>
      </c>
      <c r="H1246">
        <f t="shared" si="76"/>
        <v>2002</v>
      </c>
      <c r="I1246">
        <f t="shared" si="77"/>
        <v>4</v>
      </c>
      <c r="J1246" t="str">
        <f t="shared" si="78"/>
        <v>Apr</v>
      </c>
      <c r="K1246" t="str">
        <f t="shared" si="79"/>
        <v>Fri</v>
      </c>
    </row>
    <row r="1247" spans="1:11" x14ac:dyDescent="0.35">
      <c r="A1247" s="1">
        <v>37375</v>
      </c>
      <c r="B1247">
        <v>0.83749997615814198</v>
      </c>
      <c r="C1247">
        <v>0.85000002384185702</v>
      </c>
      <c r="D1247">
        <v>0.79500001668929998</v>
      </c>
      <c r="E1247">
        <v>0.80900001525878895</v>
      </c>
      <c r="F1247">
        <v>0.80900001525878895</v>
      </c>
      <c r="G1247">
        <v>168304000</v>
      </c>
      <c r="H1247">
        <f t="shared" si="76"/>
        <v>2002</v>
      </c>
      <c r="I1247">
        <f t="shared" si="77"/>
        <v>4</v>
      </c>
      <c r="J1247" t="str">
        <f t="shared" si="78"/>
        <v>Apr</v>
      </c>
      <c r="K1247" t="str">
        <f t="shared" si="79"/>
        <v>Mon</v>
      </c>
    </row>
    <row r="1248" spans="1:11" x14ac:dyDescent="0.35">
      <c r="A1248" s="1">
        <v>37376</v>
      </c>
      <c r="B1248">
        <v>0.80650001764297397</v>
      </c>
      <c r="C1248">
        <v>0.83799999952316195</v>
      </c>
      <c r="D1248">
        <v>0.79650002717971802</v>
      </c>
      <c r="E1248">
        <v>0.83450001478195102</v>
      </c>
      <c r="F1248">
        <v>0.83450001478195102</v>
      </c>
      <c r="G1248">
        <v>128416000</v>
      </c>
      <c r="H1248">
        <f t="shared" si="76"/>
        <v>2002</v>
      </c>
      <c r="I1248">
        <f t="shared" si="77"/>
        <v>4</v>
      </c>
      <c r="J1248" t="str">
        <f t="shared" si="78"/>
        <v>Apr</v>
      </c>
      <c r="K1248" t="str">
        <f t="shared" si="79"/>
        <v>Tue</v>
      </c>
    </row>
    <row r="1249" spans="1:11" x14ac:dyDescent="0.35">
      <c r="A1249" s="1">
        <v>37377</v>
      </c>
      <c r="B1249">
        <v>0.82749998569488503</v>
      </c>
      <c r="C1249">
        <v>0.85250002145767201</v>
      </c>
      <c r="D1249">
        <v>0.82099997997283902</v>
      </c>
      <c r="E1249">
        <v>0.82450002431869496</v>
      </c>
      <c r="F1249">
        <v>0.82450002431869496</v>
      </c>
      <c r="G1249">
        <v>154026000</v>
      </c>
      <c r="H1249">
        <f t="shared" si="76"/>
        <v>2002</v>
      </c>
      <c r="I1249">
        <f t="shared" si="77"/>
        <v>5</v>
      </c>
      <c r="J1249" t="str">
        <f t="shared" si="78"/>
        <v>May</v>
      </c>
      <c r="K1249" t="str">
        <f t="shared" si="79"/>
        <v>Wed</v>
      </c>
    </row>
    <row r="1250" spans="1:11" x14ac:dyDescent="0.35">
      <c r="A1250" s="1">
        <v>37378</v>
      </c>
      <c r="B1250">
        <v>0.82150000333786</v>
      </c>
      <c r="C1250">
        <v>0.83249998092651301</v>
      </c>
      <c r="D1250">
        <v>0.8125</v>
      </c>
      <c r="E1250">
        <v>0.81599998474121005</v>
      </c>
      <c r="F1250">
        <v>0.81599998474121005</v>
      </c>
      <c r="G1250">
        <v>96380000</v>
      </c>
      <c r="H1250">
        <f t="shared" si="76"/>
        <v>2002</v>
      </c>
      <c r="I1250">
        <f t="shared" si="77"/>
        <v>5</v>
      </c>
      <c r="J1250" t="str">
        <f t="shared" si="78"/>
        <v>May</v>
      </c>
      <c r="K1250" t="str">
        <f t="shared" si="79"/>
        <v>Thu</v>
      </c>
    </row>
    <row r="1251" spans="1:11" x14ac:dyDescent="0.35">
      <c r="A1251" s="1">
        <v>37379</v>
      </c>
      <c r="B1251">
        <v>0.81150001287460305</v>
      </c>
      <c r="C1251">
        <v>0.81999999284744196</v>
      </c>
      <c r="D1251">
        <v>0.78750002384185702</v>
      </c>
      <c r="E1251">
        <v>0.80250000953674305</v>
      </c>
      <c r="F1251">
        <v>0.80250000953674305</v>
      </c>
      <c r="G1251">
        <v>103220000</v>
      </c>
      <c r="H1251">
        <f t="shared" si="76"/>
        <v>2002</v>
      </c>
      <c r="I1251">
        <f t="shared" si="77"/>
        <v>5</v>
      </c>
      <c r="J1251" t="str">
        <f t="shared" si="78"/>
        <v>May</v>
      </c>
      <c r="K1251" t="str">
        <f t="shared" si="79"/>
        <v>Fri</v>
      </c>
    </row>
    <row r="1252" spans="1:11" x14ac:dyDescent="0.35">
      <c r="A1252" s="1">
        <v>37382</v>
      </c>
      <c r="B1252">
        <v>0.79699999094009399</v>
      </c>
      <c r="C1252">
        <v>0.82450002431869496</v>
      </c>
      <c r="D1252">
        <v>0.78750002384185702</v>
      </c>
      <c r="E1252">
        <v>0.80599999427795399</v>
      </c>
      <c r="F1252">
        <v>0.80599999427795399</v>
      </c>
      <c r="G1252">
        <v>107052000</v>
      </c>
      <c r="H1252">
        <f t="shared" si="76"/>
        <v>2002</v>
      </c>
      <c r="I1252">
        <f t="shared" si="77"/>
        <v>5</v>
      </c>
      <c r="J1252" t="str">
        <f t="shared" si="78"/>
        <v>May</v>
      </c>
      <c r="K1252" t="str">
        <f t="shared" si="79"/>
        <v>Mon</v>
      </c>
    </row>
    <row r="1253" spans="1:11" x14ac:dyDescent="0.35">
      <c r="A1253" s="1">
        <v>37383</v>
      </c>
      <c r="B1253">
        <v>0.80549997091293302</v>
      </c>
      <c r="C1253">
        <v>0.81749999523162797</v>
      </c>
      <c r="D1253">
        <v>0.80150002241134599</v>
      </c>
      <c r="E1253">
        <v>0.80549997091293302</v>
      </c>
      <c r="F1253">
        <v>0.80549997091293302</v>
      </c>
      <c r="G1253">
        <v>110874000</v>
      </c>
      <c r="H1253">
        <f t="shared" si="76"/>
        <v>2002</v>
      </c>
      <c r="I1253">
        <f t="shared" si="77"/>
        <v>5</v>
      </c>
      <c r="J1253" t="str">
        <f t="shared" si="78"/>
        <v>May</v>
      </c>
      <c r="K1253" t="str">
        <f t="shared" si="79"/>
        <v>Tue</v>
      </c>
    </row>
    <row r="1254" spans="1:11" x14ac:dyDescent="0.35">
      <c r="A1254" s="1">
        <v>37384</v>
      </c>
      <c r="B1254">
        <v>0.82749998569488503</v>
      </c>
      <c r="C1254">
        <v>0.87300002574920599</v>
      </c>
      <c r="D1254">
        <v>0.82499998807907104</v>
      </c>
      <c r="E1254">
        <v>0.865999996662139</v>
      </c>
      <c r="F1254">
        <v>0.865999996662139</v>
      </c>
      <c r="G1254">
        <v>157768000</v>
      </c>
      <c r="H1254">
        <f t="shared" si="76"/>
        <v>2002</v>
      </c>
      <c r="I1254">
        <f t="shared" si="77"/>
        <v>5</v>
      </c>
      <c r="J1254" t="str">
        <f t="shared" si="78"/>
        <v>May</v>
      </c>
      <c r="K1254" t="str">
        <f t="shared" si="79"/>
        <v>Wed</v>
      </c>
    </row>
    <row r="1255" spans="1:11" x14ac:dyDescent="0.35">
      <c r="A1255" s="1">
        <v>37385</v>
      </c>
      <c r="B1255">
        <v>0.85600000619888295</v>
      </c>
      <c r="C1255">
        <v>0.91149997711181596</v>
      </c>
      <c r="D1255">
        <v>0.855000019073486</v>
      </c>
      <c r="E1255">
        <v>0.88650000095367398</v>
      </c>
      <c r="F1255">
        <v>0.88650000095367398</v>
      </c>
      <c r="G1255">
        <v>220046000</v>
      </c>
      <c r="H1255">
        <f t="shared" si="76"/>
        <v>2002</v>
      </c>
      <c r="I1255">
        <f t="shared" si="77"/>
        <v>5</v>
      </c>
      <c r="J1255" t="str">
        <f t="shared" si="78"/>
        <v>May</v>
      </c>
      <c r="K1255" t="str">
        <f t="shared" si="79"/>
        <v>Thu</v>
      </c>
    </row>
    <row r="1256" spans="1:11" x14ac:dyDescent="0.35">
      <c r="A1256" s="1">
        <v>37386</v>
      </c>
      <c r="B1256">
        <v>0.89450001716613703</v>
      </c>
      <c r="C1256">
        <v>0.89800000190734797</v>
      </c>
      <c r="D1256">
        <v>0.83999997377395597</v>
      </c>
      <c r="E1256">
        <v>0.84700000286102295</v>
      </c>
      <c r="F1256">
        <v>0.84700000286102295</v>
      </c>
      <c r="G1256">
        <v>151456000</v>
      </c>
      <c r="H1256">
        <f t="shared" si="76"/>
        <v>2002</v>
      </c>
      <c r="I1256">
        <f t="shared" si="77"/>
        <v>5</v>
      </c>
      <c r="J1256" t="str">
        <f t="shared" si="78"/>
        <v>May</v>
      </c>
      <c r="K1256" t="str">
        <f t="shared" si="79"/>
        <v>Fri</v>
      </c>
    </row>
    <row r="1257" spans="1:11" x14ac:dyDescent="0.35">
      <c r="A1257" s="1">
        <v>37389</v>
      </c>
      <c r="B1257">
        <v>0.85850000381469704</v>
      </c>
      <c r="C1257">
        <v>0.88150000572204501</v>
      </c>
      <c r="D1257">
        <v>0.84249997138976995</v>
      </c>
      <c r="E1257">
        <v>0.865999996662139</v>
      </c>
      <c r="F1257">
        <v>0.865999996662139</v>
      </c>
      <c r="G1257">
        <v>134002000</v>
      </c>
      <c r="H1257">
        <f t="shared" si="76"/>
        <v>2002</v>
      </c>
      <c r="I1257">
        <f t="shared" si="77"/>
        <v>5</v>
      </c>
      <c r="J1257" t="str">
        <f t="shared" si="78"/>
        <v>May</v>
      </c>
      <c r="K1257" t="str">
        <f t="shared" si="79"/>
        <v>Mon</v>
      </c>
    </row>
    <row r="1258" spans="1:11" x14ac:dyDescent="0.35">
      <c r="A1258" s="1">
        <v>37390</v>
      </c>
      <c r="B1258">
        <v>0.90200001001357999</v>
      </c>
      <c r="C1258">
        <v>0.97250002622604304</v>
      </c>
      <c r="D1258">
        <v>0.90100002288818304</v>
      </c>
      <c r="E1258">
        <v>0.94050002098083496</v>
      </c>
      <c r="F1258">
        <v>0.94050002098083496</v>
      </c>
      <c r="G1258">
        <v>293194000</v>
      </c>
      <c r="H1258">
        <f t="shared" si="76"/>
        <v>2002</v>
      </c>
      <c r="I1258">
        <f t="shared" si="77"/>
        <v>5</v>
      </c>
      <c r="J1258" t="str">
        <f t="shared" si="78"/>
        <v>May</v>
      </c>
      <c r="K1258" t="str">
        <f t="shared" si="79"/>
        <v>Tue</v>
      </c>
    </row>
    <row r="1259" spans="1:11" x14ac:dyDescent="0.35">
      <c r="A1259" s="1">
        <v>37391</v>
      </c>
      <c r="B1259">
        <v>0.93400001525878895</v>
      </c>
      <c r="C1259">
        <v>1.0199999809265099</v>
      </c>
      <c r="D1259">
        <v>0.917500019073486</v>
      </c>
      <c r="E1259">
        <v>0.99699997901916504</v>
      </c>
      <c r="F1259">
        <v>0.99699997901916504</v>
      </c>
      <c r="G1259">
        <v>257962000</v>
      </c>
      <c r="H1259">
        <f t="shared" si="76"/>
        <v>2002</v>
      </c>
      <c r="I1259">
        <f t="shared" si="77"/>
        <v>5</v>
      </c>
      <c r="J1259" t="str">
        <f t="shared" si="78"/>
        <v>May</v>
      </c>
      <c r="K1259" t="str">
        <f t="shared" si="79"/>
        <v>Wed</v>
      </c>
    </row>
    <row r="1260" spans="1:11" x14ac:dyDescent="0.35">
      <c r="A1260" s="1">
        <v>37392</v>
      </c>
      <c r="B1260">
        <v>0.975499987602233</v>
      </c>
      <c r="C1260">
        <v>0.99750000238418501</v>
      </c>
      <c r="D1260">
        <v>0.96450001001357999</v>
      </c>
      <c r="E1260">
        <v>0.98049998283386197</v>
      </c>
      <c r="F1260">
        <v>0.98049998283386197</v>
      </c>
      <c r="G1260">
        <v>156314000</v>
      </c>
      <c r="H1260">
        <f t="shared" si="76"/>
        <v>2002</v>
      </c>
      <c r="I1260">
        <f t="shared" si="77"/>
        <v>5</v>
      </c>
      <c r="J1260" t="str">
        <f t="shared" si="78"/>
        <v>May</v>
      </c>
      <c r="K1260" t="str">
        <f t="shared" si="79"/>
        <v>Thu</v>
      </c>
    </row>
    <row r="1261" spans="1:11" x14ac:dyDescent="0.35">
      <c r="A1261" s="1">
        <v>37393</v>
      </c>
      <c r="B1261">
        <v>0.99849998950958196</v>
      </c>
      <c r="C1261">
        <v>1</v>
      </c>
      <c r="D1261">
        <v>0.94050002098083496</v>
      </c>
      <c r="E1261">
        <v>0.95800000429153398</v>
      </c>
      <c r="F1261">
        <v>0.95800000429153398</v>
      </c>
      <c r="G1261">
        <v>128938000</v>
      </c>
      <c r="H1261">
        <f t="shared" si="76"/>
        <v>2002</v>
      </c>
      <c r="I1261">
        <f t="shared" si="77"/>
        <v>5</v>
      </c>
      <c r="J1261" t="str">
        <f t="shared" si="78"/>
        <v>May</v>
      </c>
      <c r="K1261" t="str">
        <f t="shared" si="79"/>
        <v>Fri</v>
      </c>
    </row>
    <row r="1262" spans="1:11" x14ac:dyDescent="0.35">
      <c r="A1262" s="1">
        <v>37396</v>
      </c>
      <c r="B1262">
        <v>0.93999999761581399</v>
      </c>
      <c r="C1262">
        <v>0.97399997711181596</v>
      </c>
      <c r="D1262">
        <v>0.93849998712539595</v>
      </c>
      <c r="E1262">
        <v>0.96950000524520796</v>
      </c>
      <c r="F1262">
        <v>0.96950000524520796</v>
      </c>
      <c r="G1262">
        <v>169216000</v>
      </c>
      <c r="H1262">
        <f t="shared" si="76"/>
        <v>2002</v>
      </c>
      <c r="I1262">
        <f t="shared" si="77"/>
        <v>5</v>
      </c>
      <c r="J1262" t="str">
        <f t="shared" si="78"/>
        <v>May</v>
      </c>
      <c r="K1262" t="str">
        <f t="shared" si="79"/>
        <v>Mon</v>
      </c>
    </row>
    <row r="1263" spans="1:11" x14ac:dyDescent="0.35">
      <c r="A1263" s="1">
        <v>37397</v>
      </c>
      <c r="B1263">
        <v>0.97699999809265103</v>
      </c>
      <c r="C1263">
        <v>0.99000000953674305</v>
      </c>
      <c r="D1263">
        <v>0.92750000953674305</v>
      </c>
      <c r="E1263">
        <v>0.93800002336501997</v>
      </c>
      <c r="F1263">
        <v>0.93800002336501997</v>
      </c>
      <c r="G1263">
        <v>155270000</v>
      </c>
      <c r="H1263">
        <f t="shared" si="76"/>
        <v>2002</v>
      </c>
      <c r="I1263">
        <f t="shared" si="77"/>
        <v>5</v>
      </c>
      <c r="J1263" t="str">
        <f t="shared" si="78"/>
        <v>May</v>
      </c>
      <c r="K1263" t="str">
        <f t="shared" si="79"/>
        <v>Tue</v>
      </c>
    </row>
    <row r="1264" spans="1:11" x14ac:dyDescent="0.35">
      <c r="A1264" s="1">
        <v>37398</v>
      </c>
      <c r="B1264">
        <v>0.93349999189376798</v>
      </c>
      <c r="C1264">
        <v>0.95649999380111606</v>
      </c>
      <c r="D1264">
        <v>0.91100001335143999</v>
      </c>
      <c r="E1264">
        <v>0.9375</v>
      </c>
      <c r="F1264">
        <v>0.9375</v>
      </c>
      <c r="G1264">
        <v>101504000</v>
      </c>
      <c r="H1264">
        <f t="shared" si="76"/>
        <v>2002</v>
      </c>
      <c r="I1264">
        <f t="shared" si="77"/>
        <v>5</v>
      </c>
      <c r="J1264" t="str">
        <f t="shared" si="78"/>
        <v>May</v>
      </c>
      <c r="K1264" t="str">
        <f t="shared" si="79"/>
        <v>Wed</v>
      </c>
    </row>
    <row r="1265" spans="1:11" x14ac:dyDescent="0.35">
      <c r="A1265" s="1">
        <v>37399</v>
      </c>
      <c r="B1265">
        <v>0.941999971866607</v>
      </c>
      <c r="C1265">
        <v>0.97750002145767201</v>
      </c>
      <c r="D1265">
        <v>0.93049997091293302</v>
      </c>
      <c r="E1265">
        <v>0.97250002622604304</v>
      </c>
      <c r="F1265">
        <v>0.97250002622604304</v>
      </c>
      <c r="G1265">
        <v>112964000</v>
      </c>
      <c r="H1265">
        <f t="shared" si="76"/>
        <v>2002</v>
      </c>
      <c r="I1265">
        <f t="shared" si="77"/>
        <v>5</v>
      </c>
      <c r="J1265" t="str">
        <f t="shared" si="78"/>
        <v>May</v>
      </c>
      <c r="K1265" t="str">
        <f t="shared" si="79"/>
        <v>Thu</v>
      </c>
    </row>
    <row r="1266" spans="1:11" x14ac:dyDescent="0.35">
      <c r="A1266" s="1">
        <v>37400</v>
      </c>
      <c r="B1266">
        <v>0.97000002861022905</v>
      </c>
      <c r="C1266">
        <v>0.98449999094009399</v>
      </c>
      <c r="D1266">
        <v>0.95300000905990601</v>
      </c>
      <c r="E1266">
        <v>0.97350001335143999</v>
      </c>
      <c r="F1266">
        <v>0.97350001335143999</v>
      </c>
      <c r="G1266">
        <v>85006000</v>
      </c>
      <c r="H1266">
        <f t="shared" si="76"/>
        <v>2002</v>
      </c>
      <c r="I1266">
        <f t="shared" si="77"/>
        <v>5</v>
      </c>
      <c r="J1266" t="str">
        <f t="shared" si="78"/>
        <v>May</v>
      </c>
      <c r="K1266" t="str">
        <f t="shared" si="79"/>
        <v>Fri</v>
      </c>
    </row>
    <row r="1267" spans="1:11" x14ac:dyDescent="0.35">
      <c r="A1267" s="1">
        <v>37404</v>
      </c>
      <c r="B1267">
        <v>0.97850000858306796</v>
      </c>
      <c r="C1267">
        <v>0.98049998283386197</v>
      </c>
      <c r="D1267">
        <v>0.93849998712539595</v>
      </c>
      <c r="E1267">
        <v>0.95300000905990601</v>
      </c>
      <c r="F1267">
        <v>0.95300000905990601</v>
      </c>
      <c r="G1267">
        <v>79066000</v>
      </c>
      <c r="H1267">
        <f t="shared" si="76"/>
        <v>2002</v>
      </c>
      <c r="I1267">
        <f t="shared" si="77"/>
        <v>5</v>
      </c>
      <c r="J1267" t="str">
        <f t="shared" si="78"/>
        <v>May</v>
      </c>
      <c r="K1267" t="str">
        <f t="shared" si="79"/>
        <v>Tue</v>
      </c>
    </row>
    <row r="1268" spans="1:11" x14ac:dyDescent="0.35">
      <c r="A1268" s="1">
        <v>37405</v>
      </c>
      <c r="B1268">
        <v>0.94099998474121005</v>
      </c>
      <c r="C1268">
        <v>0.95499998331069902</v>
      </c>
      <c r="D1268">
        <v>0.93999999761581399</v>
      </c>
      <c r="E1268">
        <v>0.94550001621246305</v>
      </c>
      <c r="F1268">
        <v>0.94550001621246305</v>
      </c>
      <c r="G1268">
        <v>72282000</v>
      </c>
      <c r="H1268">
        <f t="shared" si="76"/>
        <v>2002</v>
      </c>
      <c r="I1268">
        <f t="shared" si="77"/>
        <v>5</v>
      </c>
      <c r="J1268" t="str">
        <f t="shared" si="78"/>
        <v>May</v>
      </c>
      <c r="K1268" t="str">
        <f t="shared" si="79"/>
        <v>Wed</v>
      </c>
    </row>
    <row r="1269" spans="1:11" x14ac:dyDescent="0.35">
      <c r="A1269" s="1">
        <v>37406</v>
      </c>
      <c r="B1269">
        <v>0.93500000238418501</v>
      </c>
      <c r="C1269">
        <v>0.94700002670287997</v>
      </c>
      <c r="D1269">
        <v>0.903999984264373</v>
      </c>
      <c r="E1269">
        <v>0.91850000619888295</v>
      </c>
      <c r="F1269">
        <v>0.91850000619888295</v>
      </c>
      <c r="G1269">
        <v>148642000</v>
      </c>
      <c r="H1269">
        <f t="shared" si="76"/>
        <v>2002</v>
      </c>
      <c r="I1269">
        <f t="shared" si="77"/>
        <v>5</v>
      </c>
      <c r="J1269" t="str">
        <f t="shared" si="78"/>
        <v>May</v>
      </c>
      <c r="K1269" t="str">
        <f t="shared" si="79"/>
        <v>Thu</v>
      </c>
    </row>
    <row r="1270" spans="1:11" x14ac:dyDescent="0.35">
      <c r="A1270" s="1">
        <v>37407</v>
      </c>
      <c r="B1270">
        <v>0.92500001192092896</v>
      </c>
      <c r="C1270">
        <v>0.94450002908706598</v>
      </c>
      <c r="D1270">
        <v>0.91000002622604304</v>
      </c>
      <c r="E1270">
        <v>0.91149997711181596</v>
      </c>
      <c r="F1270">
        <v>0.91149997711181596</v>
      </c>
      <c r="G1270">
        <v>101628000</v>
      </c>
      <c r="H1270">
        <f t="shared" si="76"/>
        <v>2002</v>
      </c>
      <c r="I1270">
        <f t="shared" si="77"/>
        <v>5</v>
      </c>
      <c r="J1270" t="str">
        <f t="shared" si="78"/>
        <v>May</v>
      </c>
      <c r="K1270" t="str">
        <f t="shared" si="79"/>
        <v>Fri</v>
      </c>
    </row>
    <row r="1271" spans="1:11" x14ac:dyDescent="0.35">
      <c r="A1271" s="1">
        <v>37410</v>
      </c>
      <c r="B1271">
        <v>0.91549998521804798</v>
      </c>
      <c r="C1271">
        <v>0.92500001192092896</v>
      </c>
      <c r="D1271">
        <v>0.89649999141693104</v>
      </c>
      <c r="E1271">
        <v>0.89800000190734797</v>
      </c>
      <c r="F1271">
        <v>0.89800000190734797</v>
      </c>
      <c r="G1271">
        <v>74328000</v>
      </c>
      <c r="H1271">
        <f t="shared" si="76"/>
        <v>2002</v>
      </c>
      <c r="I1271">
        <f t="shared" si="77"/>
        <v>6</v>
      </c>
      <c r="J1271" t="str">
        <f t="shared" si="78"/>
        <v>Jun</v>
      </c>
      <c r="K1271" t="str">
        <f t="shared" si="79"/>
        <v>Mon</v>
      </c>
    </row>
    <row r="1272" spans="1:11" x14ac:dyDescent="0.35">
      <c r="A1272" s="1">
        <v>37411</v>
      </c>
      <c r="B1272">
        <v>0.88999998569488503</v>
      </c>
      <c r="C1272">
        <v>0.90700000524520796</v>
      </c>
      <c r="D1272">
        <v>0.87349998950958196</v>
      </c>
      <c r="E1272">
        <v>0.89850002527236905</v>
      </c>
      <c r="F1272">
        <v>0.89850002527236905</v>
      </c>
      <c r="G1272">
        <v>136994000</v>
      </c>
      <c r="H1272">
        <f t="shared" si="76"/>
        <v>2002</v>
      </c>
      <c r="I1272">
        <f t="shared" si="77"/>
        <v>6</v>
      </c>
      <c r="J1272" t="str">
        <f t="shared" si="78"/>
        <v>Jun</v>
      </c>
      <c r="K1272" t="str">
        <f t="shared" si="79"/>
        <v>Tue</v>
      </c>
    </row>
    <row r="1273" spans="1:11" x14ac:dyDescent="0.35">
      <c r="A1273" s="1">
        <v>37412</v>
      </c>
      <c r="B1273">
        <v>0.89899998903274503</v>
      </c>
      <c r="C1273">
        <v>0.90899997949600198</v>
      </c>
      <c r="D1273">
        <v>0.87250000238418501</v>
      </c>
      <c r="E1273">
        <v>0.899500012397766</v>
      </c>
      <c r="F1273">
        <v>0.899500012397766</v>
      </c>
      <c r="G1273">
        <v>87450000</v>
      </c>
      <c r="H1273">
        <f t="shared" si="76"/>
        <v>2002</v>
      </c>
      <c r="I1273">
        <f t="shared" si="77"/>
        <v>6</v>
      </c>
      <c r="J1273" t="str">
        <f t="shared" si="78"/>
        <v>Jun</v>
      </c>
      <c r="K1273" t="str">
        <f t="shared" si="79"/>
        <v>Wed</v>
      </c>
    </row>
    <row r="1274" spans="1:11" x14ac:dyDescent="0.35">
      <c r="A1274" s="1">
        <v>37413</v>
      </c>
      <c r="B1274">
        <v>0.89450001716613703</v>
      </c>
      <c r="C1274">
        <v>0.92049998044967596</v>
      </c>
      <c r="D1274">
        <v>0.88800001144409102</v>
      </c>
      <c r="E1274">
        <v>0.908500015735626</v>
      </c>
      <c r="F1274">
        <v>0.908500015735626</v>
      </c>
      <c r="G1274">
        <v>105000000</v>
      </c>
      <c r="H1274">
        <f t="shared" si="76"/>
        <v>2002</v>
      </c>
      <c r="I1274">
        <f t="shared" si="77"/>
        <v>6</v>
      </c>
      <c r="J1274" t="str">
        <f t="shared" si="78"/>
        <v>Jun</v>
      </c>
      <c r="K1274" t="str">
        <f t="shared" si="79"/>
        <v>Thu</v>
      </c>
    </row>
    <row r="1275" spans="1:11" x14ac:dyDescent="0.35">
      <c r="A1275" s="1">
        <v>37414</v>
      </c>
      <c r="B1275">
        <v>0.89450001716613703</v>
      </c>
      <c r="C1275">
        <v>0.93250000476837103</v>
      </c>
      <c r="D1275">
        <v>0.89249998331069902</v>
      </c>
      <c r="E1275">
        <v>0.92900002002715998</v>
      </c>
      <c r="F1275">
        <v>0.92900002002715998</v>
      </c>
      <c r="G1275">
        <v>107160000</v>
      </c>
      <c r="H1275">
        <f t="shared" si="76"/>
        <v>2002</v>
      </c>
      <c r="I1275">
        <f t="shared" si="77"/>
        <v>6</v>
      </c>
      <c r="J1275" t="str">
        <f t="shared" si="78"/>
        <v>Jun</v>
      </c>
      <c r="K1275" t="str">
        <f t="shared" si="79"/>
        <v>Fri</v>
      </c>
    </row>
    <row r="1276" spans="1:11" x14ac:dyDescent="0.35">
      <c r="A1276" s="1">
        <v>37417</v>
      </c>
      <c r="B1276">
        <v>0.89499998092651301</v>
      </c>
      <c r="C1276">
        <v>0.90600001811981201</v>
      </c>
      <c r="D1276">
        <v>0.85100001096725397</v>
      </c>
      <c r="E1276">
        <v>0.86500000953674305</v>
      </c>
      <c r="F1276">
        <v>0.86500000953674305</v>
      </c>
      <c r="G1276">
        <v>221648000</v>
      </c>
      <c r="H1276">
        <f t="shared" si="76"/>
        <v>2002</v>
      </c>
      <c r="I1276">
        <f t="shared" si="77"/>
        <v>6</v>
      </c>
      <c r="J1276" t="str">
        <f t="shared" si="78"/>
        <v>Jun</v>
      </c>
      <c r="K1276" t="str">
        <f t="shared" si="79"/>
        <v>Mon</v>
      </c>
    </row>
    <row r="1277" spans="1:11" x14ac:dyDescent="0.35">
      <c r="A1277" s="1">
        <v>37418</v>
      </c>
      <c r="B1277">
        <v>0.86549997329711903</v>
      </c>
      <c r="C1277">
        <v>0.88950002193450906</v>
      </c>
      <c r="D1277">
        <v>0.85600000619888295</v>
      </c>
      <c r="E1277">
        <v>0.85699999332427901</v>
      </c>
      <c r="F1277">
        <v>0.85699999332427901</v>
      </c>
      <c r="G1277">
        <v>110416000</v>
      </c>
      <c r="H1277">
        <f t="shared" si="76"/>
        <v>2002</v>
      </c>
      <c r="I1277">
        <f t="shared" si="77"/>
        <v>6</v>
      </c>
      <c r="J1277" t="str">
        <f t="shared" si="78"/>
        <v>Jun</v>
      </c>
      <c r="K1277" t="str">
        <f t="shared" si="79"/>
        <v>Tue</v>
      </c>
    </row>
    <row r="1278" spans="1:11" x14ac:dyDescent="0.35">
      <c r="A1278" s="1">
        <v>37419</v>
      </c>
      <c r="B1278">
        <v>0.85250002145767201</v>
      </c>
      <c r="C1278">
        <v>0.85750001668929998</v>
      </c>
      <c r="D1278">
        <v>0.81300002336501997</v>
      </c>
      <c r="E1278">
        <v>0.85399997234344405</v>
      </c>
      <c r="F1278">
        <v>0.85399997234344405</v>
      </c>
      <c r="G1278">
        <v>146624000</v>
      </c>
      <c r="H1278">
        <f t="shared" si="76"/>
        <v>2002</v>
      </c>
      <c r="I1278">
        <f t="shared" si="77"/>
        <v>6</v>
      </c>
      <c r="J1278" t="str">
        <f t="shared" si="78"/>
        <v>Jun</v>
      </c>
      <c r="K1278" t="str">
        <f t="shared" si="79"/>
        <v>Wed</v>
      </c>
    </row>
    <row r="1279" spans="1:11" x14ac:dyDescent="0.35">
      <c r="A1279" s="1">
        <v>37420</v>
      </c>
      <c r="B1279">
        <v>0.85000002384185702</v>
      </c>
      <c r="C1279">
        <v>0.875</v>
      </c>
      <c r="D1279">
        <v>0.837000012397766</v>
      </c>
      <c r="E1279">
        <v>0.87150001525878895</v>
      </c>
      <c r="F1279">
        <v>0.87150001525878895</v>
      </c>
      <c r="G1279">
        <v>97858000</v>
      </c>
      <c r="H1279">
        <f t="shared" si="76"/>
        <v>2002</v>
      </c>
      <c r="I1279">
        <f t="shared" si="77"/>
        <v>6</v>
      </c>
      <c r="J1279" t="str">
        <f t="shared" si="78"/>
        <v>Jun</v>
      </c>
      <c r="K1279" t="str">
        <f t="shared" si="79"/>
        <v>Thu</v>
      </c>
    </row>
    <row r="1280" spans="1:11" x14ac:dyDescent="0.35">
      <c r="A1280" s="1">
        <v>37421</v>
      </c>
      <c r="B1280">
        <v>0.85699999332427901</v>
      </c>
      <c r="C1280">
        <v>0.87000000476837103</v>
      </c>
      <c r="D1280">
        <v>0.81300002336501997</v>
      </c>
      <c r="E1280">
        <v>0.84100002050399703</v>
      </c>
      <c r="F1280">
        <v>0.84100002050399703</v>
      </c>
      <c r="G1280">
        <v>159464000</v>
      </c>
      <c r="H1280">
        <f t="shared" si="76"/>
        <v>2002</v>
      </c>
      <c r="I1280">
        <f t="shared" si="77"/>
        <v>6</v>
      </c>
      <c r="J1280" t="str">
        <f t="shared" si="78"/>
        <v>Jun</v>
      </c>
      <c r="K1280" t="str">
        <f t="shared" si="79"/>
        <v>Fri</v>
      </c>
    </row>
    <row r="1281" spans="1:11" x14ac:dyDescent="0.35">
      <c r="A1281" s="1">
        <v>37424</v>
      </c>
      <c r="B1281">
        <v>0.84750002622604304</v>
      </c>
      <c r="C1281">
        <v>0.924000024795532</v>
      </c>
      <c r="D1281">
        <v>0.84299999475479104</v>
      </c>
      <c r="E1281">
        <v>0.92049998044967596</v>
      </c>
      <c r="F1281">
        <v>0.92049998044967596</v>
      </c>
      <c r="G1281">
        <v>181032000</v>
      </c>
      <c r="H1281">
        <f t="shared" si="76"/>
        <v>2002</v>
      </c>
      <c r="I1281">
        <f t="shared" si="77"/>
        <v>6</v>
      </c>
      <c r="J1281" t="str">
        <f t="shared" si="78"/>
        <v>Jun</v>
      </c>
      <c r="K1281" t="str">
        <f t="shared" si="79"/>
        <v>Mon</v>
      </c>
    </row>
    <row r="1282" spans="1:11" x14ac:dyDescent="0.35">
      <c r="A1282" s="1">
        <v>37425</v>
      </c>
      <c r="B1282">
        <v>0.90649998188018799</v>
      </c>
      <c r="C1282">
        <v>0.95800000429153398</v>
      </c>
      <c r="D1282">
        <v>0.90450000762939398</v>
      </c>
      <c r="E1282">
        <v>0.93900001049041704</v>
      </c>
      <c r="F1282">
        <v>0.93900001049041704</v>
      </c>
      <c r="G1282">
        <v>159242000</v>
      </c>
      <c r="H1282">
        <f t="shared" si="76"/>
        <v>2002</v>
      </c>
      <c r="I1282">
        <f t="shared" si="77"/>
        <v>6</v>
      </c>
      <c r="J1282" t="str">
        <f t="shared" si="78"/>
        <v>Jun</v>
      </c>
      <c r="K1282" t="str">
        <f t="shared" si="79"/>
        <v>Tue</v>
      </c>
    </row>
    <row r="1283" spans="1:11" x14ac:dyDescent="0.35">
      <c r="A1283" s="1">
        <v>37426</v>
      </c>
      <c r="B1283">
        <v>0.92449998855590798</v>
      </c>
      <c r="C1283">
        <v>0.95499998331069902</v>
      </c>
      <c r="D1283">
        <v>0.91350001096725397</v>
      </c>
      <c r="E1283">
        <v>0.91500002145767201</v>
      </c>
      <c r="F1283">
        <v>0.91500002145767201</v>
      </c>
      <c r="G1283">
        <v>148406000</v>
      </c>
      <c r="H1283">
        <f t="shared" si="76"/>
        <v>2002</v>
      </c>
      <c r="I1283">
        <f t="shared" si="77"/>
        <v>6</v>
      </c>
      <c r="J1283" t="str">
        <f t="shared" si="78"/>
        <v>Jun</v>
      </c>
      <c r="K1283" t="str">
        <f t="shared" si="79"/>
        <v>Wed</v>
      </c>
    </row>
    <row r="1284" spans="1:11" x14ac:dyDescent="0.35">
      <c r="A1284" s="1">
        <v>37427</v>
      </c>
      <c r="B1284">
        <v>0.91600000858306796</v>
      </c>
      <c r="C1284">
        <v>0.91900002956390303</v>
      </c>
      <c r="D1284">
        <v>0.86699998378753595</v>
      </c>
      <c r="E1284">
        <v>0.87749999761581399</v>
      </c>
      <c r="F1284">
        <v>0.87749999761581399</v>
      </c>
      <c r="G1284">
        <v>173940000</v>
      </c>
      <c r="H1284">
        <f t="shared" ref="H1284:H1347" si="80">YEAR($A1284)</f>
        <v>2002</v>
      </c>
      <c r="I1284">
        <f t="shared" ref="I1284:I1347" si="81">MONTH($A1284)</f>
        <v>6</v>
      </c>
      <c r="J1284" t="str">
        <f t="shared" ref="J1284:J1347" si="82">TEXT($A1284,"mmm")</f>
        <v>Jun</v>
      </c>
      <c r="K1284" t="str">
        <f t="shared" ref="K1284:K1347" si="83">TEXT($A1284,"ddd")</f>
        <v>Thu</v>
      </c>
    </row>
    <row r="1285" spans="1:11" x14ac:dyDescent="0.35">
      <c r="A1285" s="1">
        <v>37428</v>
      </c>
      <c r="B1285">
        <v>0.87999999523162797</v>
      </c>
      <c r="C1285">
        <v>0.88950002193450906</v>
      </c>
      <c r="D1285">
        <v>0.86699998378753595</v>
      </c>
      <c r="E1285">
        <v>0.87650001049041704</v>
      </c>
      <c r="F1285">
        <v>0.87650001049041704</v>
      </c>
      <c r="G1285">
        <v>103536000</v>
      </c>
      <c r="H1285">
        <f t="shared" si="80"/>
        <v>2002</v>
      </c>
      <c r="I1285">
        <f t="shared" si="81"/>
        <v>6</v>
      </c>
      <c r="J1285" t="str">
        <f t="shared" si="82"/>
        <v>Jun</v>
      </c>
      <c r="K1285" t="str">
        <f t="shared" si="83"/>
        <v>Fri</v>
      </c>
    </row>
    <row r="1286" spans="1:11" x14ac:dyDescent="0.35">
      <c r="A1286" s="1">
        <v>37431</v>
      </c>
      <c r="B1286">
        <v>0.87150001525878895</v>
      </c>
      <c r="C1286">
        <v>0.88899999856948797</v>
      </c>
      <c r="D1286">
        <v>0.84700000286102295</v>
      </c>
      <c r="E1286">
        <v>0.87550002336501997</v>
      </c>
      <c r="F1286">
        <v>0.87550002336501997</v>
      </c>
      <c r="G1286">
        <v>119136000</v>
      </c>
      <c r="H1286">
        <f t="shared" si="80"/>
        <v>2002</v>
      </c>
      <c r="I1286">
        <f t="shared" si="81"/>
        <v>6</v>
      </c>
      <c r="J1286" t="str">
        <f t="shared" si="82"/>
        <v>Jun</v>
      </c>
      <c r="K1286" t="str">
        <f t="shared" si="83"/>
        <v>Mon</v>
      </c>
    </row>
    <row r="1287" spans="1:11" x14ac:dyDescent="0.35">
      <c r="A1287" s="1">
        <v>37432</v>
      </c>
      <c r="B1287">
        <v>0.84450000524520796</v>
      </c>
      <c r="C1287">
        <v>0.84750002622604304</v>
      </c>
      <c r="D1287">
        <v>0.75199997425079301</v>
      </c>
      <c r="E1287">
        <v>0.76700001955032304</v>
      </c>
      <c r="F1287">
        <v>0.76700001955032304</v>
      </c>
      <c r="G1287">
        <v>306080000</v>
      </c>
      <c r="H1287">
        <f t="shared" si="80"/>
        <v>2002</v>
      </c>
      <c r="I1287">
        <f t="shared" si="81"/>
        <v>6</v>
      </c>
      <c r="J1287" t="str">
        <f t="shared" si="82"/>
        <v>Jun</v>
      </c>
      <c r="K1287" t="str">
        <f t="shared" si="83"/>
        <v>Tue</v>
      </c>
    </row>
    <row r="1288" spans="1:11" x14ac:dyDescent="0.35">
      <c r="A1288" s="1">
        <v>37433</v>
      </c>
      <c r="B1288">
        <v>0.73449999094009399</v>
      </c>
      <c r="C1288">
        <v>0.79650002717971802</v>
      </c>
      <c r="D1288">
        <v>0.73400002717971802</v>
      </c>
      <c r="E1288">
        <v>0.792500019073486</v>
      </c>
      <c r="F1288">
        <v>0.792500019073486</v>
      </c>
      <c r="G1288">
        <v>165444000</v>
      </c>
      <c r="H1288">
        <f t="shared" si="80"/>
        <v>2002</v>
      </c>
      <c r="I1288">
        <f t="shared" si="81"/>
        <v>6</v>
      </c>
      <c r="J1288" t="str">
        <f t="shared" si="82"/>
        <v>Jun</v>
      </c>
      <c r="K1288" t="str">
        <f t="shared" si="83"/>
        <v>Wed</v>
      </c>
    </row>
    <row r="1289" spans="1:11" x14ac:dyDescent="0.35">
      <c r="A1289" s="1">
        <v>37434</v>
      </c>
      <c r="B1289">
        <v>0.80549997091293302</v>
      </c>
      <c r="C1289">
        <v>0.82349997758865301</v>
      </c>
      <c r="D1289">
        <v>0.76499998569488503</v>
      </c>
      <c r="E1289">
        <v>0.79299998283386197</v>
      </c>
      <c r="F1289">
        <v>0.79299998283386197</v>
      </c>
      <c r="G1289">
        <v>123840000</v>
      </c>
      <c r="H1289">
        <f t="shared" si="80"/>
        <v>2002</v>
      </c>
      <c r="I1289">
        <f t="shared" si="81"/>
        <v>6</v>
      </c>
      <c r="J1289" t="str">
        <f t="shared" si="82"/>
        <v>Jun</v>
      </c>
      <c r="K1289" t="str">
        <f t="shared" si="83"/>
        <v>Thu</v>
      </c>
    </row>
    <row r="1290" spans="1:11" x14ac:dyDescent="0.35">
      <c r="A1290" s="1">
        <v>37435</v>
      </c>
      <c r="B1290">
        <v>0.78450000286102295</v>
      </c>
      <c r="C1290">
        <v>0.81800001859664895</v>
      </c>
      <c r="D1290">
        <v>0.76999998092651301</v>
      </c>
      <c r="E1290">
        <v>0.8125</v>
      </c>
      <c r="F1290">
        <v>0.8125</v>
      </c>
      <c r="G1290">
        <v>124758000</v>
      </c>
      <c r="H1290">
        <f t="shared" si="80"/>
        <v>2002</v>
      </c>
      <c r="I1290">
        <f t="shared" si="81"/>
        <v>6</v>
      </c>
      <c r="J1290" t="str">
        <f t="shared" si="82"/>
        <v>Jun</v>
      </c>
      <c r="K1290" t="str">
        <f t="shared" si="83"/>
        <v>Fri</v>
      </c>
    </row>
    <row r="1291" spans="1:11" x14ac:dyDescent="0.35">
      <c r="A1291" s="1">
        <v>37438</v>
      </c>
      <c r="B1291">
        <v>0.80849999189376798</v>
      </c>
      <c r="C1291">
        <v>0.80849999189376798</v>
      </c>
      <c r="D1291">
        <v>0.67599999904632502</v>
      </c>
      <c r="E1291">
        <v>0.67750000953674305</v>
      </c>
      <c r="F1291">
        <v>0.67750000953674305</v>
      </c>
      <c r="G1291">
        <v>270730000</v>
      </c>
      <c r="H1291">
        <f t="shared" si="80"/>
        <v>2002</v>
      </c>
      <c r="I1291">
        <f t="shared" si="81"/>
        <v>7</v>
      </c>
      <c r="J1291" t="str">
        <f t="shared" si="82"/>
        <v>Jul</v>
      </c>
      <c r="K1291" t="str">
        <f t="shared" si="83"/>
        <v>Mon</v>
      </c>
    </row>
    <row r="1292" spans="1:11" x14ac:dyDescent="0.35">
      <c r="A1292" s="1">
        <v>37439</v>
      </c>
      <c r="B1292">
        <v>0.68000000715255704</v>
      </c>
      <c r="C1292">
        <v>0.70800000429153398</v>
      </c>
      <c r="D1292">
        <v>0.64999997615814198</v>
      </c>
      <c r="E1292">
        <v>0.66600000858306796</v>
      </c>
      <c r="F1292">
        <v>0.66600000858306796</v>
      </c>
      <c r="G1292">
        <v>173398000</v>
      </c>
      <c r="H1292">
        <f t="shared" si="80"/>
        <v>2002</v>
      </c>
      <c r="I1292">
        <f t="shared" si="81"/>
        <v>7</v>
      </c>
      <c r="J1292" t="str">
        <f t="shared" si="82"/>
        <v>Jul</v>
      </c>
      <c r="K1292" t="str">
        <f t="shared" si="83"/>
        <v>Tue</v>
      </c>
    </row>
    <row r="1293" spans="1:11" x14ac:dyDescent="0.35">
      <c r="A1293" s="1">
        <v>37440</v>
      </c>
      <c r="B1293">
        <v>0.66900002956390303</v>
      </c>
      <c r="C1293">
        <v>0.72299998998641901</v>
      </c>
      <c r="D1293">
        <v>0.64450001716613703</v>
      </c>
      <c r="E1293">
        <v>0.71249997615814198</v>
      </c>
      <c r="F1293">
        <v>0.71249997615814198</v>
      </c>
      <c r="G1293">
        <v>154074000</v>
      </c>
      <c r="H1293">
        <f t="shared" si="80"/>
        <v>2002</v>
      </c>
      <c r="I1293">
        <f t="shared" si="81"/>
        <v>7</v>
      </c>
      <c r="J1293" t="str">
        <f t="shared" si="82"/>
        <v>Jul</v>
      </c>
      <c r="K1293" t="str">
        <f t="shared" si="83"/>
        <v>Wed</v>
      </c>
    </row>
    <row r="1294" spans="1:11" x14ac:dyDescent="0.35">
      <c r="A1294" s="1">
        <v>37442</v>
      </c>
      <c r="B1294">
        <v>0.71950000524520796</v>
      </c>
      <c r="C1294">
        <v>0.76150000095367398</v>
      </c>
      <c r="D1294">
        <v>0.71850001811981201</v>
      </c>
      <c r="E1294">
        <v>0.76050001382827703</v>
      </c>
      <c r="F1294">
        <v>0.76050001382827703</v>
      </c>
      <c r="G1294">
        <v>67338000</v>
      </c>
      <c r="H1294">
        <f t="shared" si="80"/>
        <v>2002</v>
      </c>
      <c r="I1294">
        <f t="shared" si="81"/>
        <v>7</v>
      </c>
      <c r="J1294" t="str">
        <f t="shared" si="82"/>
        <v>Jul</v>
      </c>
      <c r="K1294" t="str">
        <f t="shared" si="83"/>
        <v>Fri</v>
      </c>
    </row>
    <row r="1295" spans="1:11" x14ac:dyDescent="0.35">
      <c r="A1295" s="1">
        <v>37445</v>
      </c>
      <c r="B1295">
        <v>0.74750000238418501</v>
      </c>
      <c r="C1295">
        <v>0.792500019073486</v>
      </c>
      <c r="D1295">
        <v>0.73400002717971802</v>
      </c>
      <c r="E1295">
        <v>0.74699997901916504</v>
      </c>
      <c r="F1295">
        <v>0.74699997901916504</v>
      </c>
      <c r="G1295">
        <v>117800000</v>
      </c>
      <c r="H1295">
        <f t="shared" si="80"/>
        <v>2002</v>
      </c>
      <c r="I1295">
        <f t="shared" si="81"/>
        <v>7</v>
      </c>
      <c r="J1295" t="str">
        <f t="shared" si="82"/>
        <v>Jul</v>
      </c>
      <c r="K1295" t="str">
        <f t="shared" si="83"/>
        <v>Mon</v>
      </c>
    </row>
    <row r="1296" spans="1:11" x14ac:dyDescent="0.35">
      <c r="A1296" s="1">
        <v>37446</v>
      </c>
      <c r="B1296">
        <v>0.75249999761581399</v>
      </c>
      <c r="C1296">
        <v>0.80150002241134599</v>
      </c>
      <c r="D1296">
        <v>0.74900001287460305</v>
      </c>
      <c r="E1296">
        <v>0.77999997138976995</v>
      </c>
      <c r="F1296">
        <v>0.77999997138976995</v>
      </c>
      <c r="G1296">
        <v>150572000</v>
      </c>
      <c r="H1296">
        <f t="shared" si="80"/>
        <v>2002</v>
      </c>
      <c r="I1296">
        <f t="shared" si="81"/>
        <v>7</v>
      </c>
      <c r="J1296" t="str">
        <f t="shared" si="82"/>
        <v>Jul</v>
      </c>
      <c r="K1296" t="str">
        <f t="shared" si="83"/>
        <v>Tue</v>
      </c>
    </row>
    <row r="1297" spans="1:11" x14ac:dyDescent="0.35">
      <c r="A1297" s="1">
        <v>37447</v>
      </c>
      <c r="B1297">
        <v>0.78250002861022905</v>
      </c>
      <c r="C1297">
        <v>0.79699999094009399</v>
      </c>
      <c r="D1297">
        <v>0.73250001668929998</v>
      </c>
      <c r="E1297">
        <v>0.74800002574920599</v>
      </c>
      <c r="F1297">
        <v>0.74800002574920599</v>
      </c>
      <c r="G1297">
        <v>135224000</v>
      </c>
      <c r="H1297">
        <f t="shared" si="80"/>
        <v>2002</v>
      </c>
      <c r="I1297">
        <f t="shared" si="81"/>
        <v>7</v>
      </c>
      <c r="J1297" t="str">
        <f t="shared" si="82"/>
        <v>Jul</v>
      </c>
      <c r="K1297" t="str">
        <f t="shared" si="83"/>
        <v>Wed</v>
      </c>
    </row>
    <row r="1298" spans="1:11" x14ac:dyDescent="0.35">
      <c r="A1298" s="1">
        <v>37448</v>
      </c>
      <c r="B1298">
        <v>0.73299998044967596</v>
      </c>
      <c r="C1298">
        <v>0.79199999570846502</v>
      </c>
      <c r="D1298">
        <v>0.69999998807907104</v>
      </c>
      <c r="E1298">
        <v>0.77749997377395597</v>
      </c>
      <c r="F1298">
        <v>0.77749997377395597</v>
      </c>
      <c r="G1298">
        <v>146342000</v>
      </c>
      <c r="H1298">
        <f t="shared" si="80"/>
        <v>2002</v>
      </c>
      <c r="I1298">
        <f t="shared" si="81"/>
        <v>7</v>
      </c>
      <c r="J1298" t="str">
        <f t="shared" si="82"/>
        <v>Jul</v>
      </c>
      <c r="K1298" t="str">
        <f t="shared" si="83"/>
        <v>Thu</v>
      </c>
    </row>
    <row r="1299" spans="1:11" x14ac:dyDescent="0.35">
      <c r="A1299" s="1">
        <v>37449</v>
      </c>
      <c r="B1299">
        <v>0.78750002384185702</v>
      </c>
      <c r="C1299">
        <v>0.80949997901916504</v>
      </c>
      <c r="D1299">
        <v>0.76249998807907104</v>
      </c>
      <c r="E1299">
        <v>0.77149999141693104</v>
      </c>
      <c r="F1299">
        <v>0.77149999141693104</v>
      </c>
      <c r="G1299">
        <v>140000000</v>
      </c>
      <c r="H1299">
        <f t="shared" si="80"/>
        <v>2002</v>
      </c>
      <c r="I1299">
        <f t="shared" si="81"/>
        <v>7</v>
      </c>
      <c r="J1299" t="str">
        <f t="shared" si="82"/>
        <v>Jul</v>
      </c>
      <c r="K1299" t="str">
        <f t="shared" si="83"/>
        <v>Fri</v>
      </c>
    </row>
    <row r="1300" spans="1:11" x14ac:dyDescent="0.35">
      <c r="A1300" s="1">
        <v>37452</v>
      </c>
      <c r="B1300">
        <v>0.77350002527236905</v>
      </c>
      <c r="C1300">
        <v>0.799000024795532</v>
      </c>
      <c r="D1300">
        <v>0.75</v>
      </c>
      <c r="E1300">
        <v>0.79699999094009399</v>
      </c>
      <c r="F1300">
        <v>0.79699999094009399</v>
      </c>
      <c r="G1300">
        <v>120522000</v>
      </c>
      <c r="H1300">
        <f t="shared" si="80"/>
        <v>2002</v>
      </c>
      <c r="I1300">
        <f t="shared" si="81"/>
        <v>7</v>
      </c>
      <c r="J1300" t="str">
        <f t="shared" si="82"/>
        <v>Jul</v>
      </c>
      <c r="K1300" t="str">
        <f t="shared" si="83"/>
        <v>Mon</v>
      </c>
    </row>
    <row r="1301" spans="1:11" x14ac:dyDescent="0.35">
      <c r="A1301" s="1">
        <v>37453</v>
      </c>
      <c r="B1301">
        <v>0.78450000286102295</v>
      </c>
      <c r="C1301">
        <v>0.85350000858306796</v>
      </c>
      <c r="D1301">
        <v>0.78299999237060502</v>
      </c>
      <c r="E1301">
        <v>0.81449997425079301</v>
      </c>
      <c r="F1301">
        <v>0.81449997425079301</v>
      </c>
      <c r="G1301">
        <v>215814000</v>
      </c>
      <c r="H1301">
        <f t="shared" si="80"/>
        <v>2002</v>
      </c>
      <c r="I1301">
        <f t="shared" si="81"/>
        <v>7</v>
      </c>
      <c r="J1301" t="str">
        <f t="shared" si="82"/>
        <v>Jul</v>
      </c>
      <c r="K1301" t="str">
        <f t="shared" si="83"/>
        <v>Tue</v>
      </c>
    </row>
    <row r="1302" spans="1:11" x14ac:dyDescent="0.35">
      <c r="A1302" s="1">
        <v>37454</v>
      </c>
      <c r="B1302">
        <v>0.84200000762939398</v>
      </c>
      <c r="C1302">
        <v>0.85799998044967596</v>
      </c>
      <c r="D1302">
        <v>0.76599997282028198</v>
      </c>
      <c r="E1302">
        <v>0.808000028133392</v>
      </c>
      <c r="F1302">
        <v>0.808000028133392</v>
      </c>
      <c r="G1302">
        <v>146442000</v>
      </c>
      <c r="H1302">
        <f t="shared" si="80"/>
        <v>2002</v>
      </c>
      <c r="I1302">
        <f t="shared" si="81"/>
        <v>7</v>
      </c>
      <c r="J1302" t="str">
        <f t="shared" si="82"/>
        <v>Jul</v>
      </c>
      <c r="K1302" t="str">
        <f t="shared" si="83"/>
        <v>Wed</v>
      </c>
    </row>
    <row r="1303" spans="1:11" x14ac:dyDescent="0.35">
      <c r="A1303" s="1">
        <v>37455</v>
      </c>
      <c r="B1303">
        <v>0.79600000381469704</v>
      </c>
      <c r="C1303">
        <v>0.82950001955032304</v>
      </c>
      <c r="D1303">
        <v>0.77649998664855902</v>
      </c>
      <c r="E1303">
        <v>0.77749997377395597</v>
      </c>
      <c r="F1303">
        <v>0.77749997377395597</v>
      </c>
      <c r="G1303">
        <v>137134000</v>
      </c>
      <c r="H1303">
        <f t="shared" si="80"/>
        <v>2002</v>
      </c>
      <c r="I1303">
        <f t="shared" si="81"/>
        <v>7</v>
      </c>
      <c r="J1303" t="str">
        <f t="shared" si="82"/>
        <v>Jul</v>
      </c>
      <c r="K1303" t="str">
        <f t="shared" si="83"/>
        <v>Thu</v>
      </c>
    </row>
    <row r="1304" spans="1:11" x14ac:dyDescent="0.35">
      <c r="A1304" s="1">
        <v>37456</v>
      </c>
      <c r="B1304">
        <v>0.76800000667571999</v>
      </c>
      <c r="C1304">
        <v>0.78549998998641901</v>
      </c>
      <c r="D1304">
        <v>0.75349998474121005</v>
      </c>
      <c r="E1304">
        <v>0.76450002193450906</v>
      </c>
      <c r="F1304">
        <v>0.76450002193450906</v>
      </c>
      <c r="G1304">
        <v>122116000</v>
      </c>
      <c r="H1304">
        <f t="shared" si="80"/>
        <v>2002</v>
      </c>
      <c r="I1304">
        <f t="shared" si="81"/>
        <v>7</v>
      </c>
      <c r="J1304" t="str">
        <f t="shared" si="82"/>
        <v>Jul</v>
      </c>
      <c r="K1304" t="str">
        <f t="shared" si="83"/>
        <v>Fri</v>
      </c>
    </row>
    <row r="1305" spans="1:11" x14ac:dyDescent="0.35">
      <c r="A1305" s="1">
        <v>37459</v>
      </c>
      <c r="B1305">
        <v>0.75749999284744196</v>
      </c>
      <c r="C1305">
        <v>0.78250002861022905</v>
      </c>
      <c r="D1305">
        <v>0.75</v>
      </c>
      <c r="E1305">
        <v>0.77499997615814198</v>
      </c>
      <c r="F1305">
        <v>0.77499997615814198</v>
      </c>
      <c r="G1305">
        <v>186658000</v>
      </c>
      <c r="H1305">
        <f t="shared" si="80"/>
        <v>2002</v>
      </c>
      <c r="I1305">
        <f t="shared" si="81"/>
        <v>7</v>
      </c>
      <c r="J1305" t="str">
        <f t="shared" si="82"/>
        <v>Jul</v>
      </c>
      <c r="K1305" t="str">
        <f t="shared" si="83"/>
        <v>Mon</v>
      </c>
    </row>
    <row r="1306" spans="1:11" x14ac:dyDescent="0.35">
      <c r="A1306" s="1">
        <v>37460</v>
      </c>
      <c r="B1306">
        <v>0.77700001001357999</v>
      </c>
      <c r="C1306">
        <v>0.79400002956390303</v>
      </c>
      <c r="D1306">
        <v>0.72000002861022905</v>
      </c>
      <c r="E1306">
        <v>0.72750002145767201</v>
      </c>
      <c r="F1306">
        <v>0.72750002145767201</v>
      </c>
      <c r="G1306">
        <v>225828000</v>
      </c>
      <c r="H1306">
        <f t="shared" si="80"/>
        <v>2002</v>
      </c>
      <c r="I1306">
        <f t="shared" si="81"/>
        <v>7</v>
      </c>
      <c r="J1306" t="str">
        <f t="shared" si="82"/>
        <v>Jul</v>
      </c>
      <c r="K1306" t="str">
        <f t="shared" si="83"/>
        <v>Tue</v>
      </c>
    </row>
    <row r="1307" spans="1:11" x14ac:dyDescent="0.35">
      <c r="A1307" s="1">
        <v>37461</v>
      </c>
      <c r="B1307">
        <v>0.61849999427795399</v>
      </c>
      <c r="C1307">
        <v>0.70800000429153398</v>
      </c>
      <c r="D1307">
        <v>0.61299997568130404</v>
      </c>
      <c r="E1307">
        <v>0.70499998331069902</v>
      </c>
      <c r="F1307">
        <v>0.70499998331069902</v>
      </c>
      <c r="G1307">
        <v>395326000</v>
      </c>
      <c r="H1307">
        <f t="shared" si="80"/>
        <v>2002</v>
      </c>
      <c r="I1307">
        <f t="shared" si="81"/>
        <v>7</v>
      </c>
      <c r="J1307" t="str">
        <f t="shared" si="82"/>
        <v>Jul</v>
      </c>
      <c r="K1307" t="str">
        <f t="shared" si="83"/>
        <v>Wed</v>
      </c>
    </row>
    <row r="1308" spans="1:11" x14ac:dyDescent="0.35">
      <c r="A1308" s="1">
        <v>37462</v>
      </c>
      <c r="B1308">
        <v>0.68550002574920599</v>
      </c>
      <c r="C1308">
        <v>0.70050001144409102</v>
      </c>
      <c r="D1308">
        <v>0.62000000476837103</v>
      </c>
      <c r="E1308">
        <v>0.62449997663497903</v>
      </c>
      <c r="F1308">
        <v>0.62449997663497903</v>
      </c>
      <c r="G1308">
        <v>187204000</v>
      </c>
      <c r="H1308">
        <f t="shared" si="80"/>
        <v>2002</v>
      </c>
      <c r="I1308">
        <f t="shared" si="81"/>
        <v>7</v>
      </c>
      <c r="J1308" t="str">
        <f t="shared" si="82"/>
        <v>Jul</v>
      </c>
      <c r="K1308" t="str">
        <f t="shared" si="83"/>
        <v>Thu</v>
      </c>
    </row>
    <row r="1309" spans="1:11" x14ac:dyDescent="0.35">
      <c r="A1309" s="1">
        <v>37463</v>
      </c>
      <c r="B1309">
        <v>0.63599997758865301</v>
      </c>
      <c r="C1309">
        <v>0.65549999475479104</v>
      </c>
      <c r="D1309">
        <v>0.625</v>
      </c>
      <c r="E1309">
        <v>0.64649999141693104</v>
      </c>
      <c r="F1309">
        <v>0.64649999141693104</v>
      </c>
      <c r="G1309">
        <v>111134000</v>
      </c>
      <c r="H1309">
        <f t="shared" si="80"/>
        <v>2002</v>
      </c>
      <c r="I1309">
        <f t="shared" si="81"/>
        <v>7</v>
      </c>
      <c r="J1309" t="str">
        <f t="shared" si="82"/>
        <v>Jul</v>
      </c>
      <c r="K1309" t="str">
        <f t="shared" si="83"/>
        <v>Fri</v>
      </c>
    </row>
    <row r="1310" spans="1:11" x14ac:dyDescent="0.35">
      <c r="A1310" s="1">
        <v>37466</v>
      </c>
      <c r="B1310">
        <v>0.66250002384185702</v>
      </c>
      <c r="C1310">
        <v>0.72299998998641901</v>
      </c>
      <c r="D1310">
        <v>0.66149997711181596</v>
      </c>
      <c r="E1310">
        <v>0.716499984264373</v>
      </c>
      <c r="F1310">
        <v>0.716499984264373</v>
      </c>
      <c r="G1310">
        <v>140990000</v>
      </c>
      <c r="H1310">
        <f t="shared" si="80"/>
        <v>2002</v>
      </c>
      <c r="I1310">
        <f t="shared" si="81"/>
        <v>7</v>
      </c>
      <c r="J1310" t="str">
        <f t="shared" si="82"/>
        <v>Jul</v>
      </c>
      <c r="K1310" t="str">
        <f t="shared" si="83"/>
        <v>Mon</v>
      </c>
    </row>
    <row r="1311" spans="1:11" x14ac:dyDescent="0.35">
      <c r="A1311" s="1">
        <v>37467</v>
      </c>
      <c r="B1311">
        <v>0.70950001478195102</v>
      </c>
      <c r="C1311">
        <v>0.74500000476837103</v>
      </c>
      <c r="D1311">
        <v>0.70399999618530196</v>
      </c>
      <c r="E1311">
        <v>0.73849999904632502</v>
      </c>
      <c r="F1311">
        <v>0.73849999904632502</v>
      </c>
      <c r="G1311">
        <v>111178000</v>
      </c>
      <c r="H1311">
        <f t="shared" si="80"/>
        <v>2002</v>
      </c>
      <c r="I1311">
        <f t="shared" si="81"/>
        <v>7</v>
      </c>
      <c r="J1311" t="str">
        <f t="shared" si="82"/>
        <v>Jul</v>
      </c>
      <c r="K1311" t="str">
        <f t="shared" si="83"/>
        <v>Tue</v>
      </c>
    </row>
    <row r="1312" spans="1:11" x14ac:dyDescent="0.35">
      <c r="A1312" s="1">
        <v>37468</v>
      </c>
      <c r="B1312">
        <v>0.72250002622604304</v>
      </c>
      <c r="C1312">
        <v>0.73299998044967596</v>
      </c>
      <c r="D1312">
        <v>0.70700001716613703</v>
      </c>
      <c r="E1312">
        <v>0.72250002622604304</v>
      </c>
      <c r="F1312">
        <v>0.72250002622604304</v>
      </c>
      <c r="G1312">
        <v>76020000</v>
      </c>
      <c r="H1312">
        <f t="shared" si="80"/>
        <v>2002</v>
      </c>
      <c r="I1312">
        <f t="shared" si="81"/>
        <v>7</v>
      </c>
      <c r="J1312" t="str">
        <f t="shared" si="82"/>
        <v>Jul</v>
      </c>
      <c r="K1312" t="str">
        <f t="shared" si="83"/>
        <v>Wed</v>
      </c>
    </row>
    <row r="1313" spans="1:11" x14ac:dyDescent="0.35">
      <c r="A1313" s="1">
        <v>37469</v>
      </c>
      <c r="B1313">
        <v>0.71549999713897705</v>
      </c>
      <c r="C1313">
        <v>0.72500002384185702</v>
      </c>
      <c r="D1313">
        <v>0.69950002431869496</v>
      </c>
      <c r="E1313">
        <v>0.70800000429153398</v>
      </c>
      <c r="F1313">
        <v>0.70800000429153398</v>
      </c>
      <c r="G1313">
        <v>121336000</v>
      </c>
      <c r="H1313">
        <f t="shared" si="80"/>
        <v>2002</v>
      </c>
      <c r="I1313">
        <f t="shared" si="81"/>
        <v>8</v>
      </c>
      <c r="J1313" t="str">
        <f t="shared" si="82"/>
        <v>Aug</v>
      </c>
      <c r="K1313" t="str">
        <f t="shared" si="83"/>
        <v>Thu</v>
      </c>
    </row>
    <row r="1314" spans="1:11" x14ac:dyDescent="0.35">
      <c r="A1314" s="1">
        <v>37470</v>
      </c>
      <c r="B1314">
        <v>0.70649999380111606</v>
      </c>
      <c r="C1314">
        <v>0.70700001716613703</v>
      </c>
      <c r="D1314">
        <v>0.67250001430511397</v>
      </c>
      <c r="E1314">
        <v>0.691999971866607</v>
      </c>
      <c r="F1314">
        <v>0.691999971866607</v>
      </c>
      <c r="G1314">
        <v>83572000</v>
      </c>
      <c r="H1314">
        <f t="shared" si="80"/>
        <v>2002</v>
      </c>
      <c r="I1314">
        <f t="shared" si="81"/>
        <v>8</v>
      </c>
      <c r="J1314" t="str">
        <f t="shared" si="82"/>
        <v>Aug</v>
      </c>
      <c r="K1314" t="str">
        <f t="shared" si="83"/>
        <v>Fri</v>
      </c>
    </row>
    <row r="1315" spans="1:11" x14ac:dyDescent="0.35">
      <c r="A1315" s="1">
        <v>37473</v>
      </c>
      <c r="B1315">
        <v>0.68250000476837103</v>
      </c>
      <c r="C1315">
        <v>0.68949997425079301</v>
      </c>
      <c r="D1315">
        <v>0.63899999856948797</v>
      </c>
      <c r="E1315">
        <v>0.64349997043609597</v>
      </c>
      <c r="F1315">
        <v>0.64349997043609597</v>
      </c>
      <c r="G1315">
        <v>77146000</v>
      </c>
      <c r="H1315">
        <f t="shared" si="80"/>
        <v>2002</v>
      </c>
      <c r="I1315">
        <f t="shared" si="81"/>
        <v>8</v>
      </c>
      <c r="J1315" t="str">
        <f t="shared" si="82"/>
        <v>Aug</v>
      </c>
      <c r="K1315" t="str">
        <f t="shared" si="83"/>
        <v>Mon</v>
      </c>
    </row>
    <row r="1316" spans="1:11" x14ac:dyDescent="0.35">
      <c r="A1316" s="1">
        <v>37474</v>
      </c>
      <c r="B1316">
        <v>0.66350001096725397</v>
      </c>
      <c r="C1316">
        <v>0.69499999284744196</v>
      </c>
      <c r="D1316">
        <v>0.65700000524520796</v>
      </c>
      <c r="E1316">
        <v>0.68699997663497903</v>
      </c>
      <c r="F1316">
        <v>0.68699997663497903</v>
      </c>
      <c r="G1316">
        <v>94038000</v>
      </c>
      <c r="H1316">
        <f t="shared" si="80"/>
        <v>2002</v>
      </c>
      <c r="I1316">
        <f t="shared" si="81"/>
        <v>8</v>
      </c>
      <c r="J1316" t="str">
        <f t="shared" si="82"/>
        <v>Aug</v>
      </c>
      <c r="K1316" t="str">
        <f t="shared" si="83"/>
        <v>Tue</v>
      </c>
    </row>
    <row r="1317" spans="1:11" x14ac:dyDescent="0.35">
      <c r="A1317" s="1">
        <v>37475</v>
      </c>
      <c r="B1317">
        <v>0.69650000333786</v>
      </c>
      <c r="C1317">
        <v>0.69700002670287997</v>
      </c>
      <c r="D1317">
        <v>0.64249998331069902</v>
      </c>
      <c r="E1317">
        <v>0.68000000715255704</v>
      </c>
      <c r="F1317">
        <v>0.68000000715255704</v>
      </c>
      <c r="G1317">
        <v>111114000</v>
      </c>
      <c r="H1317">
        <f t="shared" si="80"/>
        <v>2002</v>
      </c>
      <c r="I1317">
        <f t="shared" si="81"/>
        <v>8</v>
      </c>
      <c r="J1317" t="str">
        <f t="shared" si="82"/>
        <v>Aug</v>
      </c>
      <c r="K1317" t="str">
        <f t="shared" si="83"/>
        <v>Wed</v>
      </c>
    </row>
    <row r="1318" spans="1:11" x14ac:dyDescent="0.35">
      <c r="A1318" s="1">
        <v>37476</v>
      </c>
      <c r="B1318">
        <v>0.66200000047683705</v>
      </c>
      <c r="C1318">
        <v>0.70499998331069902</v>
      </c>
      <c r="D1318">
        <v>0.65299999713897705</v>
      </c>
      <c r="E1318">
        <v>0.69499999284744196</v>
      </c>
      <c r="F1318">
        <v>0.69499999284744196</v>
      </c>
      <c r="G1318">
        <v>109416000</v>
      </c>
      <c r="H1318">
        <f t="shared" si="80"/>
        <v>2002</v>
      </c>
      <c r="I1318">
        <f t="shared" si="81"/>
        <v>8</v>
      </c>
      <c r="J1318" t="str">
        <f t="shared" si="82"/>
        <v>Aug</v>
      </c>
      <c r="K1318" t="str">
        <f t="shared" si="83"/>
        <v>Thu</v>
      </c>
    </row>
    <row r="1319" spans="1:11" x14ac:dyDescent="0.35">
      <c r="A1319" s="1">
        <v>37477</v>
      </c>
      <c r="B1319">
        <v>0.68049997091293302</v>
      </c>
      <c r="C1319">
        <v>0.73750001192092896</v>
      </c>
      <c r="D1319">
        <v>0.68000000715255704</v>
      </c>
      <c r="E1319">
        <v>0.71299999952316195</v>
      </c>
      <c r="F1319">
        <v>0.71299999952316195</v>
      </c>
      <c r="G1319">
        <v>95558000</v>
      </c>
      <c r="H1319">
        <f t="shared" si="80"/>
        <v>2002</v>
      </c>
      <c r="I1319">
        <f t="shared" si="81"/>
        <v>8</v>
      </c>
      <c r="J1319" t="str">
        <f t="shared" si="82"/>
        <v>Aug</v>
      </c>
      <c r="K1319" t="str">
        <f t="shared" si="83"/>
        <v>Fri</v>
      </c>
    </row>
    <row r="1320" spans="1:11" x14ac:dyDescent="0.35">
      <c r="A1320" s="1">
        <v>37480</v>
      </c>
      <c r="B1320">
        <v>0.70700001716613703</v>
      </c>
      <c r="C1320">
        <v>0.72450000047683705</v>
      </c>
      <c r="D1320">
        <v>0.69749999046325595</v>
      </c>
      <c r="E1320">
        <v>0.72299998998641901</v>
      </c>
      <c r="F1320">
        <v>0.72299998998641901</v>
      </c>
      <c r="G1320">
        <v>70066000</v>
      </c>
      <c r="H1320">
        <f t="shared" si="80"/>
        <v>2002</v>
      </c>
      <c r="I1320">
        <f t="shared" si="81"/>
        <v>8</v>
      </c>
      <c r="J1320" t="str">
        <f t="shared" si="82"/>
        <v>Aug</v>
      </c>
      <c r="K1320" t="str">
        <f t="shared" si="83"/>
        <v>Mon</v>
      </c>
    </row>
    <row r="1321" spans="1:11" x14ac:dyDescent="0.35">
      <c r="A1321" s="1">
        <v>37481</v>
      </c>
      <c r="B1321">
        <v>0.71499997377395597</v>
      </c>
      <c r="C1321">
        <v>0.73350000381469704</v>
      </c>
      <c r="D1321">
        <v>0.69499999284744196</v>
      </c>
      <c r="E1321">
        <v>0.69650000333786</v>
      </c>
      <c r="F1321">
        <v>0.69650000333786</v>
      </c>
      <c r="G1321">
        <v>104688000</v>
      </c>
      <c r="H1321">
        <f t="shared" si="80"/>
        <v>2002</v>
      </c>
      <c r="I1321">
        <f t="shared" si="81"/>
        <v>8</v>
      </c>
      <c r="J1321" t="str">
        <f t="shared" si="82"/>
        <v>Aug</v>
      </c>
      <c r="K1321" t="str">
        <f t="shared" si="83"/>
        <v>Tue</v>
      </c>
    </row>
    <row r="1322" spans="1:11" x14ac:dyDescent="0.35">
      <c r="A1322" s="1">
        <v>37482</v>
      </c>
      <c r="B1322">
        <v>0.69650000333786</v>
      </c>
      <c r="C1322">
        <v>0.70300000905990601</v>
      </c>
      <c r="D1322">
        <v>0.66600000858306796</v>
      </c>
      <c r="E1322">
        <v>0.69550001621246305</v>
      </c>
      <c r="F1322">
        <v>0.69550001621246305</v>
      </c>
      <c r="G1322">
        <v>138704000</v>
      </c>
      <c r="H1322">
        <f t="shared" si="80"/>
        <v>2002</v>
      </c>
      <c r="I1322">
        <f t="shared" si="81"/>
        <v>8</v>
      </c>
      <c r="J1322" t="str">
        <f t="shared" si="82"/>
        <v>Aug</v>
      </c>
      <c r="K1322" t="str">
        <f t="shared" si="83"/>
        <v>Wed</v>
      </c>
    </row>
    <row r="1323" spans="1:11" x14ac:dyDescent="0.35">
      <c r="A1323" s="1">
        <v>37483</v>
      </c>
      <c r="B1323">
        <v>0.70249998569488503</v>
      </c>
      <c r="C1323">
        <v>0.73750001192092896</v>
      </c>
      <c r="D1323">
        <v>0.69599997997283902</v>
      </c>
      <c r="E1323">
        <v>0.73100000619888295</v>
      </c>
      <c r="F1323">
        <v>0.73100000619888295</v>
      </c>
      <c r="G1323">
        <v>100932000</v>
      </c>
      <c r="H1323">
        <f t="shared" si="80"/>
        <v>2002</v>
      </c>
      <c r="I1323">
        <f t="shared" si="81"/>
        <v>8</v>
      </c>
      <c r="J1323" t="str">
        <f t="shared" si="82"/>
        <v>Aug</v>
      </c>
      <c r="K1323" t="str">
        <f t="shared" si="83"/>
        <v>Thu</v>
      </c>
    </row>
    <row r="1324" spans="1:11" x14ac:dyDescent="0.35">
      <c r="A1324" s="1">
        <v>37484</v>
      </c>
      <c r="B1324">
        <v>0.71950000524520796</v>
      </c>
      <c r="C1324">
        <v>0.75050002336501997</v>
      </c>
      <c r="D1324">
        <v>0.71549999713897705</v>
      </c>
      <c r="E1324">
        <v>0.74500000476837103</v>
      </c>
      <c r="F1324">
        <v>0.74500000476837103</v>
      </c>
      <c r="G1324">
        <v>73042000</v>
      </c>
      <c r="H1324">
        <f t="shared" si="80"/>
        <v>2002</v>
      </c>
      <c r="I1324">
        <f t="shared" si="81"/>
        <v>8</v>
      </c>
      <c r="J1324" t="str">
        <f t="shared" si="82"/>
        <v>Aug</v>
      </c>
      <c r="K1324" t="str">
        <f t="shared" si="83"/>
        <v>Fri</v>
      </c>
    </row>
    <row r="1325" spans="1:11" x14ac:dyDescent="0.35">
      <c r="A1325" s="1">
        <v>37487</v>
      </c>
      <c r="B1325">
        <v>0.74199998378753595</v>
      </c>
      <c r="C1325">
        <v>0.77600002288818304</v>
      </c>
      <c r="D1325">
        <v>0.73350000381469704</v>
      </c>
      <c r="E1325">
        <v>0.77499997615814198</v>
      </c>
      <c r="F1325">
        <v>0.77499997615814198</v>
      </c>
      <c r="G1325">
        <v>85542000</v>
      </c>
      <c r="H1325">
        <f t="shared" si="80"/>
        <v>2002</v>
      </c>
      <c r="I1325">
        <f t="shared" si="81"/>
        <v>8</v>
      </c>
      <c r="J1325" t="str">
        <f t="shared" si="82"/>
        <v>Aug</v>
      </c>
      <c r="K1325" t="str">
        <f t="shared" si="83"/>
        <v>Mon</v>
      </c>
    </row>
    <row r="1326" spans="1:11" x14ac:dyDescent="0.35">
      <c r="A1326" s="1">
        <v>37488</v>
      </c>
      <c r="B1326">
        <v>0.76899999380111606</v>
      </c>
      <c r="C1326">
        <v>0.79949998855590798</v>
      </c>
      <c r="D1326">
        <v>0.76550000905990601</v>
      </c>
      <c r="E1326">
        <v>0.799000024795532</v>
      </c>
      <c r="F1326">
        <v>0.799000024795532</v>
      </c>
      <c r="G1326">
        <v>154026000</v>
      </c>
      <c r="H1326">
        <f t="shared" si="80"/>
        <v>2002</v>
      </c>
      <c r="I1326">
        <f t="shared" si="81"/>
        <v>8</v>
      </c>
      <c r="J1326" t="str">
        <f t="shared" si="82"/>
        <v>Aug</v>
      </c>
      <c r="K1326" t="str">
        <f t="shared" si="83"/>
        <v>Tue</v>
      </c>
    </row>
    <row r="1327" spans="1:11" x14ac:dyDescent="0.35">
      <c r="A1327" s="1">
        <v>37489</v>
      </c>
      <c r="B1327">
        <v>0.79750001430511397</v>
      </c>
      <c r="C1327">
        <v>0.79850000143051103</v>
      </c>
      <c r="D1327">
        <v>0.75999999046325595</v>
      </c>
      <c r="E1327">
        <v>0.76899999380111606</v>
      </c>
      <c r="F1327">
        <v>0.76899999380111606</v>
      </c>
      <c r="G1327">
        <v>145684000</v>
      </c>
      <c r="H1327">
        <f t="shared" si="80"/>
        <v>2002</v>
      </c>
      <c r="I1327">
        <f t="shared" si="81"/>
        <v>8</v>
      </c>
      <c r="J1327" t="str">
        <f t="shared" si="82"/>
        <v>Aug</v>
      </c>
      <c r="K1327" t="str">
        <f t="shared" si="83"/>
        <v>Wed</v>
      </c>
    </row>
    <row r="1328" spans="1:11" x14ac:dyDescent="0.35">
      <c r="A1328" s="1">
        <v>37490</v>
      </c>
      <c r="B1328">
        <v>0.76649999618530196</v>
      </c>
      <c r="C1328">
        <v>0.79750001430511397</v>
      </c>
      <c r="D1328">
        <v>0.74599999189376798</v>
      </c>
      <c r="E1328">
        <v>0.78649997711181596</v>
      </c>
      <c r="F1328">
        <v>0.78649997711181596</v>
      </c>
      <c r="G1328">
        <v>137082000</v>
      </c>
      <c r="H1328">
        <f t="shared" si="80"/>
        <v>2002</v>
      </c>
      <c r="I1328">
        <f t="shared" si="81"/>
        <v>8</v>
      </c>
      <c r="J1328" t="str">
        <f t="shared" si="82"/>
        <v>Aug</v>
      </c>
      <c r="K1328" t="str">
        <f t="shared" si="83"/>
        <v>Thu</v>
      </c>
    </row>
    <row r="1329" spans="1:11" x14ac:dyDescent="0.35">
      <c r="A1329" s="1">
        <v>37491</v>
      </c>
      <c r="B1329">
        <v>0.77999997138976995</v>
      </c>
      <c r="C1329">
        <v>0.78600001335143999</v>
      </c>
      <c r="D1329">
        <v>0.74750000238418501</v>
      </c>
      <c r="E1329">
        <v>0.75849997997283902</v>
      </c>
      <c r="F1329">
        <v>0.75849997997283902</v>
      </c>
      <c r="G1329">
        <v>100776000</v>
      </c>
      <c r="H1329">
        <f t="shared" si="80"/>
        <v>2002</v>
      </c>
      <c r="I1329">
        <f t="shared" si="81"/>
        <v>8</v>
      </c>
      <c r="J1329" t="str">
        <f t="shared" si="82"/>
        <v>Aug</v>
      </c>
      <c r="K1329" t="str">
        <f t="shared" si="83"/>
        <v>Fri</v>
      </c>
    </row>
    <row r="1330" spans="1:11" x14ac:dyDescent="0.35">
      <c r="A1330" s="1">
        <v>37494</v>
      </c>
      <c r="B1330">
        <v>0.76450002193450906</v>
      </c>
      <c r="C1330">
        <v>0.77200001478195102</v>
      </c>
      <c r="D1330">
        <v>0.73400002717971802</v>
      </c>
      <c r="E1330">
        <v>0.74650001525878895</v>
      </c>
      <c r="F1330">
        <v>0.74650001525878895</v>
      </c>
      <c r="G1330">
        <v>128192000</v>
      </c>
      <c r="H1330">
        <f t="shared" si="80"/>
        <v>2002</v>
      </c>
      <c r="I1330">
        <f t="shared" si="81"/>
        <v>8</v>
      </c>
      <c r="J1330" t="str">
        <f t="shared" si="82"/>
        <v>Aug</v>
      </c>
      <c r="K1330" t="str">
        <f t="shared" si="83"/>
        <v>Mon</v>
      </c>
    </row>
    <row r="1331" spans="1:11" x14ac:dyDescent="0.35">
      <c r="A1331" s="1">
        <v>37495</v>
      </c>
      <c r="B1331">
        <v>0.75199997425079301</v>
      </c>
      <c r="C1331">
        <v>0.763499975204467</v>
      </c>
      <c r="D1331">
        <v>0.72500002384185702</v>
      </c>
      <c r="E1331">
        <v>0.72600001096725397</v>
      </c>
      <c r="F1331">
        <v>0.72600001096725397</v>
      </c>
      <c r="G1331">
        <v>71578000</v>
      </c>
      <c r="H1331">
        <f t="shared" si="80"/>
        <v>2002</v>
      </c>
      <c r="I1331">
        <f t="shared" si="81"/>
        <v>8</v>
      </c>
      <c r="J1331" t="str">
        <f t="shared" si="82"/>
        <v>Aug</v>
      </c>
      <c r="K1331" t="str">
        <f t="shared" si="83"/>
        <v>Tue</v>
      </c>
    </row>
    <row r="1332" spans="1:11" x14ac:dyDescent="0.35">
      <c r="A1332" s="1">
        <v>37496</v>
      </c>
      <c r="B1332">
        <v>0.72399997711181596</v>
      </c>
      <c r="C1332">
        <v>0.74849998950958196</v>
      </c>
      <c r="D1332">
        <v>0.71749997138976995</v>
      </c>
      <c r="E1332">
        <v>0.72850000858306796</v>
      </c>
      <c r="F1332">
        <v>0.72850000858306796</v>
      </c>
      <c r="G1332">
        <v>99710000</v>
      </c>
      <c r="H1332">
        <f t="shared" si="80"/>
        <v>2002</v>
      </c>
      <c r="I1332">
        <f t="shared" si="81"/>
        <v>8</v>
      </c>
      <c r="J1332" t="str">
        <f t="shared" si="82"/>
        <v>Aug</v>
      </c>
      <c r="K1332" t="str">
        <f t="shared" si="83"/>
        <v>Wed</v>
      </c>
    </row>
    <row r="1333" spans="1:11" x14ac:dyDescent="0.35">
      <c r="A1333" s="1">
        <v>37497</v>
      </c>
      <c r="B1333">
        <v>0.72149997949600198</v>
      </c>
      <c r="C1333">
        <v>0.75950002670287997</v>
      </c>
      <c r="D1333">
        <v>0.71050000190734797</v>
      </c>
      <c r="E1333">
        <v>0.75700002908706598</v>
      </c>
      <c r="F1333">
        <v>0.75700002908706598</v>
      </c>
      <c r="G1333">
        <v>135836000</v>
      </c>
      <c r="H1333">
        <f t="shared" si="80"/>
        <v>2002</v>
      </c>
      <c r="I1333">
        <f t="shared" si="81"/>
        <v>8</v>
      </c>
      <c r="J1333" t="str">
        <f t="shared" si="82"/>
        <v>Aug</v>
      </c>
      <c r="K1333" t="str">
        <f t="shared" si="83"/>
        <v>Thu</v>
      </c>
    </row>
    <row r="1334" spans="1:11" x14ac:dyDescent="0.35">
      <c r="A1334" s="1">
        <v>37498</v>
      </c>
      <c r="B1334">
        <v>0.745500028133392</v>
      </c>
      <c r="C1334">
        <v>0.76899999380111606</v>
      </c>
      <c r="D1334">
        <v>0.73750001192092896</v>
      </c>
      <c r="E1334">
        <v>0.74699997901916504</v>
      </c>
      <c r="F1334">
        <v>0.74699997901916504</v>
      </c>
      <c r="G1334">
        <v>68794000</v>
      </c>
      <c r="H1334">
        <f t="shared" si="80"/>
        <v>2002</v>
      </c>
      <c r="I1334">
        <f t="shared" si="81"/>
        <v>8</v>
      </c>
      <c r="J1334" t="str">
        <f t="shared" si="82"/>
        <v>Aug</v>
      </c>
      <c r="K1334" t="str">
        <f t="shared" si="83"/>
        <v>Fri</v>
      </c>
    </row>
    <row r="1335" spans="1:11" x14ac:dyDescent="0.35">
      <c r="A1335" s="1">
        <v>37502</v>
      </c>
      <c r="B1335">
        <v>0.73549997806548995</v>
      </c>
      <c r="C1335">
        <v>0.75150001049041704</v>
      </c>
      <c r="D1335">
        <v>0.72450000047683705</v>
      </c>
      <c r="E1335">
        <v>0.730000019073486</v>
      </c>
      <c r="F1335">
        <v>0.730000019073486</v>
      </c>
      <c r="G1335">
        <v>93604000</v>
      </c>
      <c r="H1335">
        <f t="shared" si="80"/>
        <v>2002</v>
      </c>
      <c r="I1335">
        <f t="shared" si="81"/>
        <v>9</v>
      </c>
      <c r="J1335" t="str">
        <f t="shared" si="82"/>
        <v>Sep</v>
      </c>
      <c r="K1335" t="str">
        <f t="shared" si="83"/>
        <v>Tue</v>
      </c>
    </row>
    <row r="1336" spans="1:11" x14ac:dyDescent="0.35">
      <c r="A1336" s="1">
        <v>37503</v>
      </c>
      <c r="B1336">
        <v>0.73299998044967596</v>
      </c>
      <c r="C1336">
        <v>0.74800002574920599</v>
      </c>
      <c r="D1336">
        <v>0.71299999952316195</v>
      </c>
      <c r="E1336">
        <v>0.74150002002715998</v>
      </c>
      <c r="F1336">
        <v>0.74150002002715998</v>
      </c>
      <c r="G1336">
        <v>88608000</v>
      </c>
      <c r="H1336">
        <f t="shared" si="80"/>
        <v>2002</v>
      </c>
      <c r="I1336">
        <f t="shared" si="81"/>
        <v>9</v>
      </c>
      <c r="J1336" t="str">
        <f t="shared" si="82"/>
        <v>Sep</v>
      </c>
      <c r="K1336" t="str">
        <f t="shared" si="83"/>
        <v>Wed</v>
      </c>
    </row>
    <row r="1337" spans="1:11" x14ac:dyDescent="0.35">
      <c r="A1337" s="1">
        <v>37504</v>
      </c>
      <c r="B1337">
        <v>0.72899997234344405</v>
      </c>
      <c r="C1337">
        <v>0.73600000143051103</v>
      </c>
      <c r="D1337">
        <v>0.712000012397766</v>
      </c>
      <c r="E1337">
        <v>0.71249997615814198</v>
      </c>
      <c r="F1337">
        <v>0.71249997615814198</v>
      </c>
      <c r="G1337">
        <v>106404000</v>
      </c>
      <c r="H1337">
        <f t="shared" si="80"/>
        <v>2002</v>
      </c>
      <c r="I1337">
        <f t="shared" si="81"/>
        <v>9</v>
      </c>
      <c r="J1337" t="str">
        <f t="shared" si="82"/>
        <v>Sep</v>
      </c>
      <c r="K1337" t="str">
        <f t="shared" si="83"/>
        <v>Thu</v>
      </c>
    </row>
    <row r="1338" spans="1:11" x14ac:dyDescent="0.35">
      <c r="A1338" s="1">
        <v>37505</v>
      </c>
      <c r="B1338">
        <v>0.72799998521804798</v>
      </c>
      <c r="C1338">
        <v>0.77399998903274503</v>
      </c>
      <c r="D1338">
        <v>0.72799998521804798</v>
      </c>
      <c r="E1338">
        <v>0.76550000905990601</v>
      </c>
      <c r="F1338">
        <v>0.76550000905990601</v>
      </c>
      <c r="G1338">
        <v>99906000</v>
      </c>
      <c r="H1338">
        <f t="shared" si="80"/>
        <v>2002</v>
      </c>
      <c r="I1338">
        <f t="shared" si="81"/>
        <v>9</v>
      </c>
      <c r="J1338" t="str">
        <f t="shared" si="82"/>
        <v>Sep</v>
      </c>
      <c r="K1338" t="str">
        <f t="shared" si="83"/>
        <v>Fri</v>
      </c>
    </row>
    <row r="1339" spans="1:11" x14ac:dyDescent="0.35">
      <c r="A1339" s="1">
        <v>37508</v>
      </c>
      <c r="B1339">
        <v>0.75599998235702504</v>
      </c>
      <c r="C1339">
        <v>0.83249998092651301</v>
      </c>
      <c r="D1339">
        <v>0.75300002098083496</v>
      </c>
      <c r="E1339">
        <v>0.82550001144409102</v>
      </c>
      <c r="F1339">
        <v>0.82550001144409102</v>
      </c>
      <c r="G1339">
        <v>176450000</v>
      </c>
      <c r="H1339">
        <f t="shared" si="80"/>
        <v>2002</v>
      </c>
      <c r="I1339">
        <f t="shared" si="81"/>
        <v>9</v>
      </c>
      <c r="J1339" t="str">
        <f t="shared" si="82"/>
        <v>Sep</v>
      </c>
      <c r="K1339" t="str">
        <f t="shared" si="83"/>
        <v>Mon</v>
      </c>
    </row>
    <row r="1340" spans="1:11" x14ac:dyDescent="0.35">
      <c r="A1340" s="1">
        <v>37509</v>
      </c>
      <c r="B1340">
        <v>0.82649999856948797</v>
      </c>
      <c r="C1340">
        <v>0.86750000715255704</v>
      </c>
      <c r="D1340">
        <v>0.82099997997283902</v>
      </c>
      <c r="E1340">
        <v>0.85650002956390303</v>
      </c>
      <c r="F1340">
        <v>0.85650002956390303</v>
      </c>
      <c r="G1340">
        <v>224976000</v>
      </c>
      <c r="H1340">
        <f t="shared" si="80"/>
        <v>2002</v>
      </c>
      <c r="I1340">
        <f t="shared" si="81"/>
        <v>9</v>
      </c>
      <c r="J1340" t="str">
        <f t="shared" si="82"/>
        <v>Sep</v>
      </c>
      <c r="K1340" t="str">
        <f t="shared" si="83"/>
        <v>Tue</v>
      </c>
    </row>
    <row r="1341" spans="1:11" x14ac:dyDescent="0.35">
      <c r="A1341" s="1">
        <v>37510</v>
      </c>
      <c r="B1341">
        <v>0.85750001668929998</v>
      </c>
      <c r="C1341">
        <v>0.89249998331069902</v>
      </c>
      <c r="D1341">
        <v>0.85199999809265103</v>
      </c>
      <c r="E1341">
        <v>0.85549998283386197</v>
      </c>
      <c r="F1341">
        <v>0.85549998283386197</v>
      </c>
      <c r="G1341">
        <v>133264000</v>
      </c>
      <c r="H1341">
        <f t="shared" si="80"/>
        <v>2002</v>
      </c>
      <c r="I1341">
        <f t="shared" si="81"/>
        <v>9</v>
      </c>
      <c r="J1341" t="str">
        <f t="shared" si="82"/>
        <v>Sep</v>
      </c>
      <c r="K1341" t="str">
        <f t="shared" si="83"/>
        <v>Wed</v>
      </c>
    </row>
    <row r="1342" spans="1:11" x14ac:dyDescent="0.35">
      <c r="A1342" s="1">
        <v>37511</v>
      </c>
      <c r="B1342">
        <v>0.841499984264373</v>
      </c>
      <c r="C1342">
        <v>0.85650002956390303</v>
      </c>
      <c r="D1342">
        <v>0.83050000667571999</v>
      </c>
      <c r="E1342">
        <v>0.83749997615814198</v>
      </c>
      <c r="F1342">
        <v>0.83749997615814198</v>
      </c>
      <c r="G1342">
        <v>141302000</v>
      </c>
      <c r="H1342">
        <f t="shared" si="80"/>
        <v>2002</v>
      </c>
      <c r="I1342">
        <f t="shared" si="81"/>
        <v>9</v>
      </c>
      <c r="J1342" t="str">
        <f t="shared" si="82"/>
        <v>Sep</v>
      </c>
      <c r="K1342" t="str">
        <f t="shared" si="83"/>
        <v>Thu</v>
      </c>
    </row>
    <row r="1343" spans="1:11" x14ac:dyDescent="0.35">
      <c r="A1343" s="1">
        <v>37512</v>
      </c>
      <c r="B1343">
        <v>0.83450001478195102</v>
      </c>
      <c r="C1343">
        <v>0.84950000047683705</v>
      </c>
      <c r="D1343">
        <v>0.82499998807907104</v>
      </c>
      <c r="E1343">
        <v>0.83050000667571999</v>
      </c>
      <c r="F1343">
        <v>0.83050000667571999</v>
      </c>
      <c r="G1343">
        <v>73098000</v>
      </c>
      <c r="H1343">
        <f t="shared" si="80"/>
        <v>2002</v>
      </c>
      <c r="I1343">
        <f t="shared" si="81"/>
        <v>9</v>
      </c>
      <c r="J1343" t="str">
        <f t="shared" si="82"/>
        <v>Sep</v>
      </c>
      <c r="K1343" t="str">
        <f t="shared" si="83"/>
        <v>Fri</v>
      </c>
    </row>
    <row r="1344" spans="1:11" x14ac:dyDescent="0.35">
      <c r="A1344" s="1">
        <v>37515</v>
      </c>
      <c r="B1344">
        <v>0.82550001144409102</v>
      </c>
      <c r="C1344">
        <v>0.84649997949600198</v>
      </c>
      <c r="D1344">
        <v>0.82249999046325595</v>
      </c>
      <c r="E1344">
        <v>0.83550000190734797</v>
      </c>
      <c r="F1344">
        <v>0.83550000190734797</v>
      </c>
      <c r="G1344">
        <v>59250000</v>
      </c>
      <c r="H1344">
        <f t="shared" si="80"/>
        <v>2002</v>
      </c>
      <c r="I1344">
        <f t="shared" si="81"/>
        <v>9</v>
      </c>
      <c r="J1344" t="str">
        <f t="shared" si="82"/>
        <v>Sep</v>
      </c>
      <c r="K1344" t="str">
        <f t="shared" si="83"/>
        <v>Mon</v>
      </c>
    </row>
    <row r="1345" spans="1:11" x14ac:dyDescent="0.35">
      <c r="A1345" s="1">
        <v>37516</v>
      </c>
      <c r="B1345">
        <v>0.85000002384185702</v>
      </c>
      <c r="C1345">
        <v>0.88749998807907104</v>
      </c>
      <c r="D1345">
        <v>0.83850002288818304</v>
      </c>
      <c r="E1345">
        <v>0.86750000715255704</v>
      </c>
      <c r="F1345">
        <v>0.86750000715255704</v>
      </c>
      <c r="G1345">
        <v>172424000</v>
      </c>
      <c r="H1345">
        <f t="shared" si="80"/>
        <v>2002</v>
      </c>
      <c r="I1345">
        <f t="shared" si="81"/>
        <v>9</v>
      </c>
      <c r="J1345" t="str">
        <f t="shared" si="82"/>
        <v>Sep</v>
      </c>
      <c r="K1345" t="str">
        <f t="shared" si="83"/>
        <v>Tue</v>
      </c>
    </row>
    <row r="1346" spans="1:11" x14ac:dyDescent="0.35">
      <c r="A1346" s="1">
        <v>37517</v>
      </c>
      <c r="B1346">
        <v>0.86100000143051103</v>
      </c>
      <c r="C1346">
        <v>0.89649999141693104</v>
      </c>
      <c r="D1346">
        <v>0.84750002622604304</v>
      </c>
      <c r="E1346">
        <v>0.88650000095367398</v>
      </c>
      <c r="F1346">
        <v>0.88650000095367398</v>
      </c>
      <c r="G1346">
        <v>167820000</v>
      </c>
      <c r="H1346">
        <f t="shared" si="80"/>
        <v>2002</v>
      </c>
      <c r="I1346">
        <f t="shared" si="81"/>
        <v>9</v>
      </c>
      <c r="J1346" t="str">
        <f t="shared" si="82"/>
        <v>Sep</v>
      </c>
      <c r="K1346" t="str">
        <f t="shared" si="83"/>
        <v>Wed</v>
      </c>
    </row>
    <row r="1347" spans="1:11" x14ac:dyDescent="0.35">
      <c r="A1347" s="1">
        <v>37518</v>
      </c>
      <c r="B1347">
        <v>0.87000000476837103</v>
      </c>
      <c r="C1347">
        <v>0.88200002908706598</v>
      </c>
      <c r="D1347">
        <v>0.85850000381469704</v>
      </c>
      <c r="E1347">
        <v>0.86049997806548995</v>
      </c>
      <c r="F1347">
        <v>0.86049997806548995</v>
      </c>
      <c r="G1347">
        <v>96822000</v>
      </c>
      <c r="H1347">
        <f t="shared" si="80"/>
        <v>2002</v>
      </c>
      <c r="I1347">
        <f t="shared" si="81"/>
        <v>9</v>
      </c>
      <c r="J1347" t="str">
        <f t="shared" si="82"/>
        <v>Sep</v>
      </c>
      <c r="K1347" t="str">
        <f t="shared" si="83"/>
        <v>Thu</v>
      </c>
    </row>
    <row r="1348" spans="1:11" x14ac:dyDescent="0.35">
      <c r="A1348" s="1">
        <v>37519</v>
      </c>
      <c r="B1348">
        <v>0.87250000238418501</v>
      </c>
      <c r="C1348">
        <v>0.88200002908706598</v>
      </c>
      <c r="D1348">
        <v>0.77249997854232699</v>
      </c>
      <c r="E1348">
        <v>0.79299998283386197</v>
      </c>
      <c r="F1348">
        <v>0.79299998283386197</v>
      </c>
      <c r="G1348">
        <v>252112000</v>
      </c>
      <c r="H1348">
        <f t="shared" ref="H1348:H1411" si="84">YEAR($A1348)</f>
        <v>2002</v>
      </c>
      <c r="I1348">
        <f t="shared" ref="I1348:I1411" si="85">MONTH($A1348)</f>
        <v>9</v>
      </c>
      <c r="J1348" t="str">
        <f t="shared" ref="J1348:J1411" si="86">TEXT($A1348,"mmm")</f>
        <v>Sep</v>
      </c>
      <c r="K1348" t="str">
        <f t="shared" ref="K1348:K1411" si="87">TEXT($A1348,"ddd")</f>
        <v>Fri</v>
      </c>
    </row>
    <row r="1349" spans="1:11" x14ac:dyDescent="0.35">
      <c r="A1349" s="1">
        <v>37522</v>
      </c>
      <c r="B1349">
        <v>0.77999997138976995</v>
      </c>
      <c r="C1349">
        <v>0.82200002670287997</v>
      </c>
      <c r="D1349">
        <v>0.77950000762939398</v>
      </c>
      <c r="E1349">
        <v>0.80250000953674305</v>
      </c>
      <c r="F1349">
        <v>0.80250000953674305</v>
      </c>
      <c r="G1349">
        <v>148090000</v>
      </c>
      <c r="H1349">
        <f t="shared" si="84"/>
        <v>2002</v>
      </c>
      <c r="I1349">
        <f t="shared" si="85"/>
        <v>9</v>
      </c>
      <c r="J1349" t="str">
        <f t="shared" si="86"/>
        <v>Sep</v>
      </c>
      <c r="K1349" t="str">
        <f t="shared" si="87"/>
        <v>Mon</v>
      </c>
    </row>
    <row r="1350" spans="1:11" x14ac:dyDescent="0.35">
      <c r="A1350" s="1">
        <v>37523</v>
      </c>
      <c r="B1350">
        <v>0.79350000619888295</v>
      </c>
      <c r="C1350">
        <v>0.81849998235702504</v>
      </c>
      <c r="D1350">
        <v>0.77999997138976995</v>
      </c>
      <c r="E1350">
        <v>0.79650002717971802</v>
      </c>
      <c r="F1350">
        <v>0.79650002717971802</v>
      </c>
      <c r="G1350">
        <v>141458000</v>
      </c>
      <c r="H1350">
        <f t="shared" si="84"/>
        <v>2002</v>
      </c>
      <c r="I1350">
        <f t="shared" si="85"/>
        <v>9</v>
      </c>
      <c r="J1350" t="str">
        <f t="shared" si="86"/>
        <v>Sep</v>
      </c>
      <c r="K1350" t="str">
        <f t="shared" si="87"/>
        <v>Tue</v>
      </c>
    </row>
    <row r="1351" spans="1:11" x14ac:dyDescent="0.35">
      <c r="A1351" s="1">
        <v>37524</v>
      </c>
      <c r="B1351">
        <v>0.80849999189376798</v>
      </c>
      <c r="C1351">
        <v>0.81950002908706598</v>
      </c>
      <c r="D1351">
        <v>0.76450002193450906</v>
      </c>
      <c r="E1351">
        <v>0.78649997711181596</v>
      </c>
      <c r="F1351">
        <v>0.78649997711181596</v>
      </c>
      <c r="G1351">
        <v>186780000</v>
      </c>
      <c r="H1351">
        <f t="shared" si="84"/>
        <v>2002</v>
      </c>
      <c r="I1351">
        <f t="shared" si="85"/>
        <v>9</v>
      </c>
      <c r="J1351" t="str">
        <f t="shared" si="86"/>
        <v>Sep</v>
      </c>
      <c r="K1351" t="str">
        <f t="shared" si="87"/>
        <v>Wed</v>
      </c>
    </row>
    <row r="1352" spans="1:11" x14ac:dyDescent="0.35">
      <c r="A1352" s="1">
        <v>37525</v>
      </c>
      <c r="B1352">
        <v>0.79650002717971802</v>
      </c>
      <c r="C1352">
        <v>0.86750000715255704</v>
      </c>
      <c r="D1352">
        <v>0.78549998998641901</v>
      </c>
      <c r="E1352">
        <v>0.85750001668929998</v>
      </c>
      <c r="F1352">
        <v>0.85750001668929998</v>
      </c>
      <c r="G1352">
        <v>232700000</v>
      </c>
      <c r="H1352">
        <f t="shared" si="84"/>
        <v>2002</v>
      </c>
      <c r="I1352">
        <f t="shared" si="85"/>
        <v>9</v>
      </c>
      <c r="J1352" t="str">
        <f t="shared" si="86"/>
        <v>Sep</v>
      </c>
      <c r="K1352" t="str">
        <f t="shared" si="87"/>
        <v>Thu</v>
      </c>
    </row>
    <row r="1353" spans="1:11" x14ac:dyDescent="0.35">
      <c r="A1353" s="1">
        <v>37526</v>
      </c>
      <c r="B1353">
        <v>0.84249997138976995</v>
      </c>
      <c r="C1353">
        <v>0.87000000476837103</v>
      </c>
      <c r="D1353">
        <v>0.84100002050399703</v>
      </c>
      <c r="E1353">
        <v>0.850499987602233</v>
      </c>
      <c r="F1353">
        <v>0.850499987602233</v>
      </c>
      <c r="G1353">
        <v>140674000</v>
      </c>
      <c r="H1353">
        <f t="shared" si="84"/>
        <v>2002</v>
      </c>
      <c r="I1353">
        <f t="shared" si="85"/>
        <v>9</v>
      </c>
      <c r="J1353" t="str">
        <f t="shared" si="86"/>
        <v>Sep</v>
      </c>
      <c r="K1353" t="str">
        <f t="shared" si="87"/>
        <v>Fri</v>
      </c>
    </row>
    <row r="1354" spans="1:11" x14ac:dyDescent="0.35">
      <c r="A1354" s="1">
        <v>37529</v>
      </c>
      <c r="B1354">
        <v>0.83200001716613703</v>
      </c>
      <c r="C1354">
        <v>0.84249997138976995</v>
      </c>
      <c r="D1354">
        <v>0.792500019073486</v>
      </c>
      <c r="E1354">
        <v>0.79650002717971802</v>
      </c>
      <c r="F1354">
        <v>0.79650002717971802</v>
      </c>
      <c r="G1354">
        <v>184798000</v>
      </c>
      <c r="H1354">
        <f t="shared" si="84"/>
        <v>2002</v>
      </c>
      <c r="I1354">
        <f t="shared" si="85"/>
        <v>9</v>
      </c>
      <c r="J1354" t="str">
        <f t="shared" si="86"/>
        <v>Sep</v>
      </c>
      <c r="K1354" t="str">
        <f t="shared" si="87"/>
        <v>Mon</v>
      </c>
    </row>
    <row r="1355" spans="1:11" x14ac:dyDescent="0.35">
      <c r="A1355" s="1">
        <v>37530</v>
      </c>
      <c r="B1355">
        <v>0.81150001287460305</v>
      </c>
      <c r="C1355">
        <v>0.85299998521804798</v>
      </c>
      <c r="D1355">
        <v>0.80049997568130404</v>
      </c>
      <c r="E1355">
        <v>0.84750002622604304</v>
      </c>
      <c r="F1355">
        <v>0.84750002622604304</v>
      </c>
      <c r="G1355">
        <v>184346000</v>
      </c>
      <c r="H1355">
        <f t="shared" si="84"/>
        <v>2002</v>
      </c>
      <c r="I1355">
        <f t="shared" si="85"/>
        <v>10</v>
      </c>
      <c r="J1355" t="str">
        <f t="shared" si="86"/>
        <v>Oct</v>
      </c>
      <c r="K1355" t="str">
        <f t="shared" si="87"/>
        <v>Tue</v>
      </c>
    </row>
    <row r="1356" spans="1:11" x14ac:dyDescent="0.35">
      <c r="A1356" s="1">
        <v>37531</v>
      </c>
      <c r="B1356">
        <v>0.84049999713897705</v>
      </c>
      <c r="C1356">
        <v>0.88200002908706598</v>
      </c>
      <c r="D1356">
        <v>0.83499997854232699</v>
      </c>
      <c r="E1356">
        <v>0.850499987602233</v>
      </c>
      <c r="F1356">
        <v>0.850499987602233</v>
      </c>
      <c r="G1356">
        <v>164472000</v>
      </c>
      <c r="H1356">
        <f t="shared" si="84"/>
        <v>2002</v>
      </c>
      <c r="I1356">
        <f t="shared" si="85"/>
        <v>10</v>
      </c>
      <c r="J1356" t="str">
        <f t="shared" si="86"/>
        <v>Oct</v>
      </c>
      <c r="K1356" t="str">
        <f t="shared" si="87"/>
        <v>Wed</v>
      </c>
    </row>
    <row r="1357" spans="1:11" x14ac:dyDescent="0.35">
      <c r="A1357" s="1">
        <v>37532</v>
      </c>
      <c r="B1357">
        <v>0.83950001001357999</v>
      </c>
      <c r="C1357">
        <v>0.86250001192092896</v>
      </c>
      <c r="D1357">
        <v>0.83300000429153398</v>
      </c>
      <c r="E1357">
        <v>0.83749997615814198</v>
      </c>
      <c r="F1357">
        <v>0.83749997615814198</v>
      </c>
      <c r="G1357">
        <v>127082000</v>
      </c>
      <c r="H1357">
        <f t="shared" si="84"/>
        <v>2002</v>
      </c>
      <c r="I1357">
        <f t="shared" si="85"/>
        <v>10</v>
      </c>
      <c r="J1357" t="str">
        <f t="shared" si="86"/>
        <v>Oct</v>
      </c>
      <c r="K1357" t="str">
        <f t="shared" si="87"/>
        <v>Thu</v>
      </c>
    </row>
    <row r="1358" spans="1:11" x14ac:dyDescent="0.35">
      <c r="A1358" s="1">
        <v>37533</v>
      </c>
      <c r="B1358">
        <v>0.84750002622604304</v>
      </c>
      <c r="C1358">
        <v>0.85750001668929998</v>
      </c>
      <c r="D1358">
        <v>0.81900000572204501</v>
      </c>
      <c r="E1358">
        <v>0.82749998569488503</v>
      </c>
      <c r="F1358">
        <v>0.82749998569488503</v>
      </c>
      <c r="G1358">
        <v>152988000</v>
      </c>
      <c r="H1358">
        <f t="shared" si="84"/>
        <v>2002</v>
      </c>
      <c r="I1358">
        <f t="shared" si="85"/>
        <v>10</v>
      </c>
      <c r="J1358" t="str">
        <f t="shared" si="86"/>
        <v>Oct</v>
      </c>
      <c r="K1358" t="str">
        <f t="shared" si="87"/>
        <v>Fri</v>
      </c>
    </row>
    <row r="1359" spans="1:11" x14ac:dyDescent="0.35">
      <c r="A1359" s="1">
        <v>37536</v>
      </c>
      <c r="B1359">
        <v>0.82749998569488503</v>
      </c>
      <c r="C1359">
        <v>0.84799998998641901</v>
      </c>
      <c r="D1359">
        <v>0.81849998235702504</v>
      </c>
      <c r="E1359">
        <v>0.83200001716613703</v>
      </c>
      <c r="F1359">
        <v>0.83200001716613703</v>
      </c>
      <c r="G1359">
        <v>114962000</v>
      </c>
      <c r="H1359">
        <f t="shared" si="84"/>
        <v>2002</v>
      </c>
      <c r="I1359">
        <f t="shared" si="85"/>
        <v>10</v>
      </c>
      <c r="J1359" t="str">
        <f t="shared" si="86"/>
        <v>Oct</v>
      </c>
      <c r="K1359" t="str">
        <f t="shared" si="87"/>
        <v>Mon</v>
      </c>
    </row>
    <row r="1360" spans="1:11" x14ac:dyDescent="0.35">
      <c r="A1360" s="1">
        <v>37537</v>
      </c>
      <c r="B1360">
        <v>0.84399998188018799</v>
      </c>
      <c r="C1360">
        <v>0.85299998521804798</v>
      </c>
      <c r="D1360">
        <v>0.82300001382827703</v>
      </c>
      <c r="E1360">
        <v>0.84700000286102295</v>
      </c>
      <c r="F1360">
        <v>0.84700000286102295</v>
      </c>
      <c r="G1360">
        <v>121960000</v>
      </c>
      <c r="H1360">
        <f t="shared" si="84"/>
        <v>2002</v>
      </c>
      <c r="I1360">
        <f t="shared" si="85"/>
        <v>10</v>
      </c>
      <c r="J1360" t="str">
        <f t="shared" si="86"/>
        <v>Oct</v>
      </c>
      <c r="K1360" t="str">
        <f t="shared" si="87"/>
        <v>Tue</v>
      </c>
    </row>
    <row r="1361" spans="1:11" x14ac:dyDescent="0.35">
      <c r="A1361" s="1">
        <v>37538</v>
      </c>
      <c r="B1361">
        <v>0.83499997854232699</v>
      </c>
      <c r="C1361">
        <v>0.85650002956390303</v>
      </c>
      <c r="D1361">
        <v>0.82999998331069902</v>
      </c>
      <c r="E1361">
        <v>0.84299999475479104</v>
      </c>
      <c r="F1361">
        <v>0.84299999475479104</v>
      </c>
      <c r="G1361">
        <v>121670000</v>
      </c>
      <c r="H1361">
        <f t="shared" si="84"/>
        <v>2002</v>
      </c>
      <c r="I1361">
        <f t="shared" si="85"/>
        <v>10</v>
      </c>
      <c r="J1361" t="str">
        <f t="shared" si="86"/>
        <v>Oct</v>
      </c>
      <c r="K1361" t="str">
        <f t="shared" si="87"/>
        <v>Wed</v>
      </c>
    </row>
    <row r="1362" spans="1:11" x14ac:dyDescent="0.35">
      <c r="A1362" s="1">
        <v>37539</v>
      </c>
      <c r="B1362">
        <v>0.85799998044967596</v>
      </c>
      <c r="C1362">
        <v>0.89850002527236905</v>
      </c>
      <c r="D1362">
        <v>0.85750001668929998</v>
      </c>
      <c r="E1362">
        <v>0.89800000190734797</v>
      </c>
      <c r="F1362">
        <v>0.89800000190734797</v>
      </c>
      <c r="G1362">
        <v>210572000</v>
      </c>
      <c r="H1362">
        <f t="shared" si="84"/>
        <v>2002</v>
      </c>
      <c r="I1362">
        <f t="shared" si="85"/>
        <v>10</v>
      </c>
      <c r="J1362" t="str">
        <f t="shared" si="86"/>
        <v>Oct</v>
      </c>
      <c r="K1362" t="str">
        <f t="shared" si="87"/>
        <v>Thu</v>
      </c>
    </row>
    <row r="1363" spans="1:11" x14ac:dyDescent="0.35">
      <c r="A1363" s="1">
        <v>37540</v>
      </c>
      <c r="B1363">
        <v>0.90899997949600198</v>
      </c>
      <c r="C1363">
        <v>0.93699997663497903</v>
      </c>
      <c r="D1363">
        <v>0.90499997138976995</v>
      </c>
      <c r="E1363">
        <v>0.92299997806548995</v>
      </c>
      <c r="F1363">
        <v>0.92299997806548995</v>
      </c>
      <c r="G1363">
        <v>192570000</v>
      </c>
      <c r="H1363">
        <f t="shared" si="84"/>
        <v>2002</v>
      </c>
      <c r="I1363">
        <f t="shared" si="85"/>
        <v>10</v>
      </c>
      <c r="J1363" t="str">
        <f t="shared" si="86"/>
        <v>Oct</v>
      </c>
      <c r="K1363" t="str">
        <f t="shared" si="87"/>
        <v>Fri</v>
      </c>
    </row>
    <row r="1364" spans="1:11" x14ac:dyDescent="0.35">
      <c r="A1364" s="1">
        <v>37543</v>
      </c>
      <c r="B1364">
        <v>0.90899997949600198</v>
      </c>
      <c r="C1364">
        <v>0.96149998903274503</v>
      </c>
      <c r="D1364">
        <v>0.908500015735626</v>
      </c>
      <c r="E1364">
        <v>0.95999997854232699</v>
      </c>
      <c r="F1364">
        <v>0.95999997854232699</v>
      </c>
      <c r="G1364">
        <v>197448000</v>
      </c>
      <c r="H1364">
        <f t="shared" si="84"/>
        <v>2002</v>
      </c>
      <c r="I1364">
        <f t="shared" si="85"/>
        <v>10</v>
      </c>
      <c r="J1364" t="str">
        <f t="shared" si="86"/>
        <v>Oct</v>
      </c>
      <c r="K1364" t="str">
        <f t="shared" si="87"/>
        <v>Mon</v>
      </c>
    </row>
    <row r="1365" spans="1:11" x14ac:dyDescent="0.35">
      <c r="A1365" s="1">
        <v>37544</v>
      </c>
      <c r="B1365">
        <v>0.99199998378753595</v>
      </c>
      <c r="C1365">
        <v>1.0069999694824201</v>
      </c>
      <c r="D1365">
        <v>0.93250000476837103</v>
      </c>
      <c r="E1365">
        <v>0.94700002670287997</v>
      </c>
      <c r="F1365">
        <v>0.94700002670287997</v>
      </c>
      <c r="G1365">
        <v>280184000</v>
      </c>
      <c r="H1365">
        <f t="shared" si="84"/>
        <v>2002</v>
      </c>
      <c r="I1365">
        <f t="shared" si="85"/>
        <v>10</v>
      </c>
      <c r="J1365" t="str">
        <f t="shared" si="86"/>
        <v>Oct</v>
      </c>
      <c r="K1365" t="str">
        <f t="shared" si="87"/>
        <v>Tue</v>
      </c>
    </row>
    <row r="1366" spans="1:11" x14ac:dyDescent="0.35">
      <c r="A1366" s="1">
        <v>37545</v>
      </c>
      <c r="B1366">
        <v>0.91350001096725397</v>
      </c>
      <c r="C1366">
        <v>0.98299998044967596</v>
      </c>
      <c r="D1366">
        <v>0.91250002384185702</v>
      </c>
      <c r="E1366">
        <v>0.97450000047683705</v>
      </c>
      <c r="F1366">
        <v>0.97450000047683705</v>
      </c>
      <c r="G1366">
        <v>174842000</v>
      </c>
      <c r="H1366">
        <f t="shared" si="84"/>
        <v>2002</v>
      </c>
      <c r="I1366">
        <f t="shared" si="85"/>
        <v>10</v>
      </c>
      <c r="J1366" t="str">
        <f t="shared" si="86"/>
        <v>Oct</v>
      </c>
      <c r="K1366" t="str">
        <f t="shared" si="87"/>
        <v>Wed</v>
      </c>
    </row>
    <row r="1367" spans="1:11" x14ac:dyDescent="0.35">
      <c r="A1367" s="1">
        <v>37546</v>
      </c>
      <c r="B1367">
        <v>1.00499999523162</v>
      </c>
      <c r="C1367">
        <v>1.0110000371932899</v>
      </c>
      <c r="D1367">
        <v>0.92150002717971802</v>
      </c>
      <c r="E1367">
        <v>0.93699997663497903</v>
      </c>
      <c r="F1367">
        <v>0.93699997663497903</v>
      </c>
      <c r="G1367">
        <v>283618000</v>
      </c>
      <c r="H1367">
        <f t="shared" si="84"/>
        <v>2002</v>
      </c>
      <c r="I1367">
        <f t="shared" si="85"/>
        <v>10</v>
      </c>
      <c r="J1367" t="str">
        <f t="shared" si="86"/>
        <v>Oct</v>
      </c>
      <c r="K1367" t="str">
        <f t="shared" si="87"/>
        <v>Thu</v>
      </c>
    </row>
    <row r="1368" spans="1:11" x14ac:dyDescent="0.35">
      <c r="A1368" s="1">
        <v>37547</v>
      </c>
      <c r="B1368">
        <v>0.924000024795532</v>
      </c>
      <c r="C1368">
        <v>0.96450001001357999</v>
      </c>
      <c r="D1368">
        <v>0.91799998283386197</v>
      </c>
      <c r="E1368">
        <v>0.95200002193450906</v>
      </c>
      <c r="F1368">
        <v>0.95200002193450906</v>
      </c>
      <c r="G1368">
        <v>131366000</v>
      </c>
      <c r="H1368">
        <f t="shared" si="84"/>
        <v>2002</v>
      </c>
      <c r="I1368">
        <f t="shared" si="85"/>
        <v>10</v>
      </c>
      <c r="J1368" t="str">
        <f t="shared" si="86"/>
        <v>Oct</v>
      </c>
      <c r="K1368" t="str">
        <f t="shared" si="87"/>
        <v>Fri</v>
      </c>
    </row>
    <row r="1369" spans="1:11" x14ac:dyDescent="0.35">
      <c r="A1369" s="1">
        <v>37550</v>
      </c>
      <c r="B1369">
        <v>0.94450002908706598</v>
      </c>
      <c r="C1369">
        <v>0.97649997472762995</v>
      </c>
      <c r="D1369">
        <v>0.93599998950958196</v>
      </c>
      <c r="E1369">
        <v>0.96299999952316195</v>
      </c>
      <c r="F1369">
        <v>0.96299999952316195</v>
      </c>
      <c r="G1369">
        <v>135154000</v>
      </c>
      <c r="H1369">
        <f t="shared" si="84"/>
        <v>2002</v>
      </c>
      <c r="I1369">
        <f t="shared" si="85"/>
        <v>10</v>
      </c>
      <c r="J1369" t="str">
        <f t="shared" si="86"/>
        <v>Oct</v>
      </c>
      <c r="K1369" t="str">
        <f t="shared" si="87"/>
        <v>Mon</v>
      </c>
    </row>
    <row r="1370" spans="1:11" x14ac:dyDescent="0.35">
      <c r="A1370" s="1">
        <v>37551</v>
      </c>
      <c r="B1370">
        <v>0.95050001144409102</v>
      </c>
      <c r="C1370">
        <v>0.995500028133392</v>
      </c>
      <c r="D1370">
        <v>0.94499999284744196</v>
      </c>
      <c r="E1370">
        <v>0.96899998188018799</v>
      </c>
      <c r="F1370">
        <v>0.96899998188018799</v>
      </c>
      <c r="G1370">
        <v>172914000</v>
      </c>
      <c r="H1370">
        <f t="shared" si="84"/>
        <v>2002</v>
      </c>
      <c r="I1370">
        <f t="shared" si="85"/>
        <v>10</v>
      </c>
      <c r="J1370" t="str">
        <f t="shared" si="86"/>
        <v>Oct</v>
      </c>
      <c r="K1370" t="str">
        <f t="shared" si="87"/>
        <v>Tue</v>
      </c>
    </row>
    <row r="1371" spans="1:11" x14ac:dyDescent="0.35">
      <c r="A1371" s="1">
        <v>37552</v>
      </c>
      <c r="B1371">
        <v>0.97600001096725397</v>
      </c>
      <c r="C1371">
        <v>0.990999996662139</v>
      </c>
      <c r="D1371">
        <v>0.96850001811981201</v>
      </c>
      <c r="E1371">
        <v>0.98750001192092896</v>
      </c>
      <c r="F1371">
        <v>0.98750001192092896</v>
      </c>
      <c r="G1371">
        <v>132962000</v>
      </c>
      <c r="H1371">
        <f t="shared" si="84"/>
        <v>2002</v>
      </c>
      <c r="I1371">
        <f t="shared" si="85"/>
        <v>10</v>
      </c>
      <c r="J1371" t="str">
        <f t="shared" si="86"/>
        <v>Oct</v>
      </c>
      <c r="K1371" t="str">
        <f t="shared" si="87"/>
        <v>Wed</v>
      </c>
    </row>
    <row r="1372" spans="1:11" x14ac:dyDescent="0.35">
      <c r="A1372" s="1">
        <v>37553</v>
      </c>
      <c r="B1372">
        <v>0.99750000238418501</v>
      </c>
      <c r="C1372">
        <v>1.01300001144409</v>
      </c>
      <c r="D1372">
        <v>0.99000000953674305</v>
      </c>
      <c r="E1372">
        <v>0.99299997091293302</v>
      </c>
      <c r="F1372">
        <v>0.99299997091293302</v>
      </c>
      <c r="G1372">
        <v>258598000</v>
      </c>
      <c r="H1372">
        <f t="shared" si="84"/>
        <v>2002</v>
      </c>
      <c r="I1372">
        <f t="shared" si="85"/>
        <v>10</v>
      </c>
      <c r="J1372" t="str">
        <f t="shared" si="86"/>
        <v>Oct</v>
      </c>
      <c r="K1372" t="str">
        <f t="shared" si="87"/>
        <v>Thu</v>
      </c>
    </row>
    <row r="1373" spans="1:11" x14ac:dyDescent="0.35">
      <c r="A1373" s="1">
        <v>37554</v>
      </c>
      <c r="B1373">
        <v>0.941999971866607</v>
      </c>
      <c r="C1373">
        <v>0.96799999475479104</v>
      </c>
      <c r="D1373">
        <v>0.924000024795532</v>
      </c>
      <c r="E1373">
        <v>0.96499997377395597</v>
      </c>
      <c r="F1373">
        <v>0.96499997377395597</v>
      </c>
      <c r="G1373">
        <v>318000000</v>
      </c>
      <c r="H1373">
        <f t="shared" si="84"/>
        <v>2002</v>
      </c>
      <c r="I1373">
        <f t="shared" si="85"/>
        <v>10</v>
      </c>
      <c r="J1373" t="str">
        <f t="shared" si="86"/>
        <v>Oct</v>
      </c>
      <c r="K1373" t="str">
        <f t="shared" si="87"/>
        <v>Fri</v>
      </c>
    </row>
    <row r="1374" spans="1:11" x14ac:dyDescent="0.35">
      <c r="A1374" s="1">
        <v>37557</v>
      </c>
      <c r="B1374">
        <v>0.96399998664855902</v>
      </c>
      <c r="C1374">
        <v>0.986500024795532</v>
      </c>
      <c r="D1374">
        <v>0.92000001668929998</v>
      </c>
      <c r="E1374">
        <v>0.92949998378753595</v>
      </c>
      <c r="F1374">
        <v>0.92949998378753595</v>
      </c>
      <c r="G1374">
        <v>175996000</v>
      </c>
      <c r="H1374">
        <f t="shared" si="84"/>
        <v>2002</v>
      </c>
      <c r="I1374">
        <f t="shared" si="85"/>
        <v>10</v>
      </c>
      <c r="J1374" t="str">
        <f t="shared" si="86"/>
        <v>Oct</v>
      </c>
      <c r="K1374" t="str">
        <f t="shared" si="87"/>
        <v>Mon</v>
      </c>
    </row>
    <row r="1375" spans="1:11" x14ac:dyDescent="0.35">
      <c r="A1375" s="1">
        <v>37558</v>
      </c>
      <c r="B1375">
        <v>0.92549997568130404</v>
      </c>
      <c r="C1375">
        <v>0.94599997997283902</v>
      </c>
      <c r="D1375">
        <v>0.90350002050399703</v>
      </c>
      <c r="E1375">
        <v>0.928499996662139</v>
      </c>
      <c r="F1375">
        <v>0.928499996662139</v>
      </c>
      <c r="G1375">
        <v>144840000</v>
      </c>
      <c r="H1375">
        <f t="shared" si="84"/>
        <v>2002</v>
      </c>
      <c r="I1375">
        <f t="shared" si="85"/>
        <v>10</v>
      </c>
      <c r="J1375" t="str">
        <f t="shared" si="86"/>
        <v>Oct</v>
      </c>
      <c r="K1375" t="str">
        <f t="shared" si="87"/>
        <v>Tue</v>
      </c>
    </row>
    <row r="1376" spans="1:11" x14ac:dyDescent="0.35">
      <c r="A1376" s="1">
        <v>37559</v>
      </c>
      <c r="B1376">
        <v>0.94249999523162797</v>
      </c>
      <c r="C1376">
        <v>0.96100002527236905</v>
      </c>
      <c r="D1376">
        <v>0.92350000143051103</v>
      </c>
      <c r="E1376">
        <v>0.95399999618530196</v>
      </c>
      <c r="F1376">
        <v>0.95399999618530196</v>
      </c>
      <c r="G1376">
        <v>137776000</v>
      </c>
      <c r="H1376">
        <f t="shared" si="84"/>
        <v>2002</v>
      </c>
      <c r="I1376">
        <f t="shared" si="85"/>
        <v>10</v>
      </c>
      <c r="J1376" t="str">
        <f t="shared" si="86"/>
        <v>Oct</v>
      </c>
      <c r="K1376" t="str">
        <f t="shared" si="87"/>
        <v>Wed</v>
      </c>
    </row>
    <row r="1377" spans="1:11" x14ac:dyDescent="0.35">
      <c r="A1377" s="1">
        <v>37560</v>
      </c>
      <c r="B1377">
        <v>0.95149999856948797</v>
      </c>
      <c r="C1377">
        <v>0.97399997711181596</v>
      </c>
      <c r="D1377">
        <v>0.94249999523162797</v>
      </c>
      <c r="E1377">
        <v>0.96799999475479104</v>
      </c>
      <c r="F1377">
        <v>0.96799999475479104</v>
      </c>
      <c r="G1377">
        <v>136452000</v>
      </c>
      <c r="H1377">
        <f t="shared" si="84"/>
        <v>2002</v>
      </c>
      <c r="I1377">
        <f t="shared" si="85"/>
        <v>10</v>
      </c>
      <c r="J1377" t="str">
        <f t="shared" si="86"/>
        <v>Oct</v>
      </c>
      <c r="K1377" t="str">
        <f t="shared" si="87"/>
        <v>Thu</v>
      </c>
    </row>
    <row r="1378" spans="1:11" x14ac:dyDescent="0.35">
      <c r="A1378" s="1">
        <v>37561</v>
      </c>
      <c r="B1378">
        <v>0.96100002527236905</v>
      </c>
      <c r="C1378">
        <v>0.99500000476837103</v>
      </c>
      <c r="D1378">
        <v>0.95450001955032304</v>
      </c>
      <c r="E1378">
        <v>0.99000000953674305</v>
      </c>
      <c r="F1378">
        <v>0.99000000953674305</v>
      </c>
      <c r="G1378">
        <v>110988000</v>
      </c>
      <c r="H1378">
        <f t="shared" si="84"/>
        <v>2002</v>
      </c>
      <c r="I1378">
        <f t="shared" si="85"/>
        <v>11</v>
      </c>
      <c r="J1378" t="str">
        <f t="shared" si="86"/>
        <v>Nov</v>
      </c>
      <c r="K1378" t="str">
        <f t="shared" si="87"/>
        <v>Fri</v>
      </c>
    </row>
    <row r="1379" spans="1:11" x14ac:dyDescent="0.35">
      <c r="A1379" s="1">
        <v>37564</v>
      </c>
      <c r="B1379">
        <v>0.96950000524520796</v>
      </c>
      <c r="C1379">
        <v>0.99049997329711903</v>
      </c>
      <c r="D1379">
        <v>0.92949998378753595</v>
      </c>
      <c r="E1379">
        <v>0.93900001049041704</v>
      </c>
      <c r="F1379">
        <v>0.93900001049041704</v>
      </c>
      <c r="G1379">
        <v>259270000</v>
      </c>
      <c r="H1379">
        <f t="shared" si="84"/>
        <v>2002</v>
      </c>
      <c r="I1379">
        <f t="shared" si="85"/>
        <v>11</v>
      </c>
      <c r="J1379" t="str">
        <f t="shared" si="86"/>
        <v>Nov</v>
      </c>
      <c r="K1379" t="str">
        <f t="shared" si="87"/>
        <v>Mon</v>
      </c>
    </row>
    <row r="1380" spans="1:11" x14ac:dyDescent="0.35">
      <c r="A1380" s="1">
        <v>37565</v>
      </c>
      <c r="B1380">
        <v>0.93150001764297397</v>
      </c>
      <c r="C1380">
        <v>0.94349998235702504</v>
      </c>
      <c r="D1380">
        <v>0.91000002622604304</v>
      </c>
      <c r="E1380">
        <v>0.93599998950958196</v>
      </c>
      <c r="F1380">
        <v>0.93599998950958196</v>
      </c>
      <c r="G1380">
        <v>158848000</v>
      </c>
      <c r="H1380">
        <f t="shared" si="84"/>
        <v>2002</v>
      </c>
      <c r="I1380">
        <f t="shared" si="85"/>
        <v>11</v>
      </c>
      <c r="J1380" t="str">
        <f t="shared" si="86"/>
        <v>Nov</v>
      </c>
      <c r="K1380" t="str">
        <f t="shared" si="87"/>
        <v>Tue</v>
      </c>
    </row>
    <row r="1381" spans="1:11" x14ac:dyDescent="0.35">
      <c r="A1381" s="1">
        <v>37566</v>
      </c>
      <c r="B1381">
        <v>0.93849998712539595</v>
      </c>
      <c r="C1381">
        <v>0.96950000524520796</v>
      </c>
      <c r="D1381">
        <v>0.912999987602233</v>
      </c>
      <c r="E1381">
        <v>0.96700000762939398</v>
      </c>
      <c r="F1381">
        <v>0.96700000762939398</v>
      </c>
      <c r="G1381">
        <v>159468000</v>
      </c>
      <c r="H1381">
        <f t="shared" si="84"/>
        <v>2002</v>
      </c>
      <c r="I1381">
        <f t="shared" si="85"/>
        <v>11</v>
      </c>
      <c r="J1381" t="str">
        <f t="shared" si="86"/>
        <v>Nov</v>
      </c>
      <c r="K1381" t="str">
        <f t="shared" si="87"/>
        <v>Wed</v>
      </c>
    </row>
    <row r="1382" spans="1:11" x14ac:dyDescent="0.35">
      <c r="A1382" s="1">
        <v>37567</v>
      </c>
      <c r="B1382">
        <v>0.94249999523162797</v>
      </c>
      <c r="C1382">
        <v>0.96499997377395597</v>
      </c>
      <c r="D1382">
        <v>0.93849998712539595</v>
      </c>
      <c r="E1382">
        <v>0.95599997043609597</v>
      </c>
      <c r="F1382">
        <v>0.95599997043609597</v>
      </c>
      <c r="G1382">
        <v>128394000</v>
      </c>
      <c r="H1382">
        <f t="shared" si="84"/>
        <v>2002</v>
      </c>
      <c r="I1382">
        <f t="shared" si="85"/>
        <v>11</v>
      </c>
      <c r="J1382" t="str">
        <f t="shared" si="86"/>
        <v>Nov</v>
      </c>
      <c r="K1382" t="str">
        <f t="shared" si="87"/>
        <v>Thu</v>
      </c>
    </row>
    <row r="1383" spans="1:11" x14ac:dyDescent="0.35">
      <c r="A1383" s="1">
        <v>37568</v>
      </c>
      <c r="B1383">
        <v>0.95200002193450906</v>
      </c>
      <c r="C1383">
        <v>0.98299998044967596</v>
      </c>
      <c r="D1383">
        <v>0.94050002098083496</v>
      </c>
      <c r="E1383">
        <v>0.975499987602233</v>
      </c>
      <c r="F1383">
        <v>0.975499987602233</v>
      </c>
      <c r="G1383">
        <v>140642000</v>
      </c>
      <c r="H1383">
        <f t="shared" si="84"/>
        <v>2002</v>
      </c>
      <c r="I1383">
        <f t="shared" si="85"/>
        <v>11</v>
      </c>
      <c r="J1383" t="str">
        <f t="shared" si="86"/>
        <v>Nov</v>
      </c>
      <c r="K1383" t="str">
        <f t="shared" si="87"/>
        <v>Fri</v>
      </c>
    </row>
    <row r="1384" spans="1:11" x14ac:dyDescent="0.35">
      <c r="A1384" s="1">
        <v>37571</v>
      </c>
      <c r="B1384">
        <v>0.97000002861022905</v>
      </c>
      <c r="C1384">
        <v>0.97750002145767201</v>
      </c>
      <c r="D1384">
        <v>0.93999999761581399</v>
      </c>
      <c r="E1384">
        <v>0.94999998807907104</v>
      </c>
      <c r="F1384">
        <v>0.94999998807907104</v>
      </c>
      <c r="G1384">
        <v>114992000</v>
      </c>
      <c r="H1384">
        <f t="shared" si="84"/>
        <v>2002</v>
      </c>
      <c r="I1384">
        <f t="shared" si="85"/>
        <v>11</v>
      </c>
      <c r="J1384" t="str">
        <f t="shared" si="86"/>
        <v>Nov</v>
      </c>
      <c r="K1384" t="str">
        <f t="shared" si="87"/>
        <v>Mon</v>
      </c>
    </row>
    <row r="1385" spans="1:11" x14ac:dyDescent="0.35">
      <c r="A1385" s="1">
        <v>37572</v>
      </c>
      <c r="B1385">
        <v>0.95050001144409102</v>
      </c>
      <c r="C1385">
        <v>0.99949997663497903</v>
      </c>
      <c r="D1385">
        <v>0.95050001144409102</v>
      </c>
      <c r="E1385">
        <v>0.990999996662139</v>
      </c>
      <c r="F1385">
        <v>0.990999996662139</v>
      </c>
      <c r="G1385">
        <v>209244000</v>
      </c>
      <c r="H1385">
        <f t="shared" si="84"/>
        <v>2002</v>
      </c>
      <c r="I1385">
        <f t="shared" si="85"/>
        <v>11</v>
      </c>
      <c r="J1385" t="str">
        <f t="shared" si="86"/>
        <v>Nov</v>
      </c>
      <c r="K1385" t="str">
        <f t="shared" si="87"/>
        <v>Tue</v>
      </c>
    </row>
    <row r="1386" spans="1:11" x14ac:dyDescent="0.35">
      <c r="A1386" s="1">
        <v>37573</v>
      </c>
      <c r="B1386">
        <v>0.98049998283386197</v>
      </c>
      <c r="C1386">
        <v>1.04999995231628</v>
      </c>
      <c r="D1386">
        <v>0.98049998283386197</v>
      </c>
      <c r="E1386">
        <v>1.0204999446868801</v>
      </c>
      <c r="F1386">
        <v>1.0204999446868801</v>
      </c>
      <c r="G1386">
        <v>364124000</v>
      </c>
      <c r="H1386">
        <f t="shared" si="84"/>
        <v>2002</v>
      </c>
      <c r="I1386">
        <f t="shared" si="85"/>
        <v>11</v>
      </c>
      <c r="J1386" t="str">
        <f t="shared" si="86"/>
        <v>Nov</v>
      </c>
      <c r="K1386" t="str">
        <f t="shared" si="87"/>
        <v>Wed</v>
      </c>
    </row>
    <row r="1387" spans="1:11" x14ac:dyDescent="0.35">
      <c r="A1387" s="1">
        <v>37574</v>
      </c>
      <c r="B1387">
        <v>1.0494999885559</v>
      </c>
      <c r="C1387">
        <v>1.0744999647140501</v>
      </c>
      <c r="D1387">
        <v>1.0475000143051101</v>
      </c>
      <c r="E1387">
        <v>1.0605000257492001</v>
      </c>
      <c r="F1387">
        <v>1.0605000257492001</v>
      </c>
      <c r="G1387">
        <v>263546000</v>
      </c>
      <c r="H1387">
        <f t="shared" si="84"/>
        <v>2002</v>
      </c>
      <c r="I1387">
        <f t="shared" si="85"/>
        <v>11</v>
      </c>
      <c r="J1387" t="str">
        <f t="shared" si="86"/>
        <v>Nov</v>
      </c>
      <c r="K1387" t="str">
        <f t="shared" si="87"/>
        <v>Thu</v>
      </c>
    </row>
    <row r="1388" spans="1:11" x14ac:dyDescent="0.35">
      <c r="A1388" s="1">
        <v>37575</v>
      </c>
      <c r="B1388">
        <v>1.05750000476837</v>
      </c>
      <c r="C1388">
        <v>1.1174999475479099</v>
      </c>
      <c r="D1388">
        <v>1.05449998378753</v>
      </c>
      <c r="E1388">
        <v>1.1104999780654901</v>
      </c>
      <c r="F1388">
        <v>1.1104999780654901</v>
      </c>
      <c r="G1388">
        <v>245168000</v>
      </c>
      <c r="H1388">
        <f t="shared" si="84"/>
        <v>2002</v>
      </c>
      <c r="I1388">
        <f t="shared" si="85"/>
        <v>11</v>
      </c>
      <c r="J1388" t="str">
        <f t="shared" si="86"/>
        <v>Nov</v>
      </c>
      <c r="K1388" t="str">
        <f t="shared" si="87"/>
        <v>Fri</v>
      </c>
    </row>
    <row r="1389" spans="1:11" x14ac:dyDescent="0.35">
      <c r="A1389" s="1">
        <v>37578</v>
      </c>
      <c r="B1389">
        <v>1.1325000524520801</v>
      </c>
      <c r="C1389">
        <v>1.18700003623962</v>
      </c>
      <c r="D1389">
        <v>1.10749995708465</v>
      </c>
      <c r="E1389">
        <v>1.12100005149841</v>
      </c>
      <c r="F1389">
        <v>1.12100005149841</v>
      </c>
      <c r="G1389">
        <v>506670000</v>
      </c>
      <c r="H1389">
        <f t="shared" si="84"/>
        <v>2002</v>
      </c>
      <c r="I1389">
        <f t="shared" si="85"/>
        <v>11</v>
      </c>
      <c r="J1389" t="str">
        <f t="shared" si="86"/>
        <v>Nov</v>
      </c>
      <c r="K1389" t="str">
        <f t="shared" si="87"/>
        <v>Mon</v>
      </c>
    </row>
    <row r="1390" spans="1:11" x14ac:dyDescent="0.35">
      <c r="A1390" s="1">
        <v>37579</v>
      </c>
      <c r="B1390">
        <v>1.09399998188018</v>
      </c>
      <c r="C1390">
        <v>1.09449994564056</v>
      </c>
      <c r="D1390">
        <v>1.0614999532699501</v>
      </c>
      <c r="E1390">
        <v>1.0644999742507899</v>
      </c>
      <c r="F1390">
        <v>1.0644999742507899</v>
      </c>
      <c r="G1390">
        <v>245178000</v>
      </c>
      <c r="H1390">
        <f t="shared" si="84"/>
        <v>2002</v>
      </c>
      <c r="I1390">
        <f t="shared" si="85"/>
        <v>11</v>
      </c>
      <c r="J1390" t="str">
        <f t="shared" si="86"/>
        <v>Nov</v>
      </c>
      <c r="K1390" t="str">
        <f t="shared" si="87"/>
        <v>Tue</v>
      </c>
    </row>
    <row r="1391" spans="1:11" x14ac:dyDescent="0.35">
      <c r="A1391" s="1">
        <v>37580</v>
      </c>
      <c r="B1391">
        <v>1.06749999523162</v>
      </c>
      <c r="C1391">
        <v>1.1499999761581401</v>
      </c>
      <c r="D1391">
        <v>1.0609999895095801</v>
      </c>
      <c r="E1391">
        <v>1.1449999809265099</v>
      </c>
      <c r="F1391">
        <v>1.1449999809265099</v>
      </c>
      <c r="G1391">
        <v>265888000</v>
      </c>
      <c r="H1391">
        <f t="shared" si="84"/>
        <v>2002</v>
      </c>
      <c r="I1391">
        <f t="shared" si="85"/>
        <v>11</v>
      </c>
      <c r="J1391" t="str">
        <f t="shared" si="86"/>
        <v>Nov</v>
      </c>
      <c r="K1391" t="str">
        <f t="shared" si="87"/>
        <v>Wed</v>
      </c>
    </row>
    <row r="1392" spans="1:11" x14ac:dyDescent="0.35">
      <c r="A1392" s="1">
        <v>37581</v>
      </c>
      <c r="B1392">
        <v>1.1664999723434399</v>
      </c>
      <c r="C1392">
        <v>1.19249999523162</v>
      </c>
      <c r="D1392">
        <v>1.16050004959106</v>
      </c>
      <c r="E1392">
        <v>1.16999995708465</v>
      </c>
      <c r="F1392">
        <v>1.16999995708465</v>
      </c>
      <c r="G1392">
        <v>225770000</v>
      </c>
      <c r="H1392">
        <f t="shared" si="84"/>
        <v>2002</v>
      </c>
      <c r="I1392">
        <f t="shared" si="85"/>
        <v>11</v>
      </c>
      <c r="J1392" t="str">
        <f t="shared" si="86"/>
        <v>Nov</v>
      </c>
      <c r="K1392" t="str">
        <f t="shared" si="87"/>
        <v>Thu</v>
      </c>
    </row>
    <row r="1393" spans="1:11" x14ac:dyDescent="0.35">
      <c r="A1393" s="1">
        <v>37582</v>
      </c>
      <c r="B1393">
        <v>1.15999996662139</v>
      </c>
      <c r="C1393">
        <v>1.21399998664855</v>
      </c>
      <c r="D1393">
        <v>1.1549999713897701</v>
      </c>
      <c r="E1393">
        <v>1.1994999647140501</v>
      </c>
      <c r="F1393">
        <v>1.1994999647140501</v>
      </c>
      <c r="G1393">
        <v>233732000</v>
      </c>
      <c r="H1393">
        <f t="shared" si="84"/>
        <v>2002</v>
      </c>
      <c r="I1393">
        <f t="shared" si="85"/>
        <v>11</v>
      </c>
      <c r="J1393" t="str">
        <f t="shared" si="86"/>
        <v>Nov</v>
      </c>
      <c r="K1393" t="str">
        <f t="shared" si="87"/>
        <v>Fri</v>
      </c>
    </row>
    <row r="1394" spans="1:11" x14ac:dyDescent="0.35">
      <c r="A1394" s="1">
        <v>37585</v>
      </c>
      <c r="B1394">
        <v>1.20150005817413</v>
      </c>
      <c r="C1394">
        <v>1.2250000238418499</v>
      </c>
      <c r="D1394">
        <v>1.19099998474121</v>
      </c>
      <c r="E1394">
        <v>1.2124999761581401</v>
      </c>
      <c r="F1394">
        <v>1.2124999761581401</v>
      </c>
      <c r="G1394">
        <v>201822000</v>
      </c>
      <c r="H1394">
        <f t="shared" si="84"/>
        <v>2002</v>
      </c>
      <c r="I1394">
        <f t="shared" si="85"/>
        <v>11</v>
      </c>
      <c r="J1394" t="str">
        <f t="shared" si="86"/>
        <v>Nov</v>
      </c>
      <c r="K1394" t="str">
        <f t="shared" si="87"/>
        <v>Mon</v>
      </c>
    </row>
    <row r="1395" spans="1:11" x14ac:dyDescent="0.35">
      <c r="A1395" s="1">
        <v>37586</v>
      </c>
      <c r="B1395">
        <v>1.20099997520446</v>
      </c>
      <c r="C1395">
        <v>1.21000003814697</v>
      </c>
      <c r="D1395">
        <v>1.1690000295639</v>
      </c>
      <c r="E1395">
        <v>1.16999995708465</v>
      </c>
      <c r="F1395">
        <v>1.16999995708465</v>
      </c>
      <c r="G1395">
        <v>128116000</v>
      </c>
      <c r="H1395">
        <f t="shared" si="84"/>
        <v>2002</v>
      </c>
      <c r="I1395">
        <f t="shared" si="85"/>
        <v>11</v>
      </c>
      <c r="J1395" t="str">
        <f t="shared" si="86"/>
        <v>Nov</v>
      </c>
      <c r="K1395" t="str">
        <f t="shared" si="87"/>
        <v>Tue</v>
      </c>
    </row>
    <row r="1396" spans="1:11" x14ac:dyDescent="0.35">
      <c r="A1396" s="1">
        <v>37587</v>
      </c>
      <c r="B1396">
        <v>1.1859999895095801</v>
      </c>
      <c r="C1396">
        <v>1.2120000123977599</v>
      </c>
      <c r="D1396">
        <v>1.1855000257492001</v>
      </c>
      <c r="E1396">
        <v>1.2039999961853001</v>
      </c>
      <c r="F1396">
        <v>1.2039999961853001</v>
      </c>
      <c r="G1396">
        <v>113320000</v>
      </c>
      <c r="H1396">
        <f t="shared" si="84"/>
        <v>2002</v>
      </c>
      <c r="I1396">
        <f t="shared" si="85"/>
        <v>11</v>
      </c>
      <c r="J1396" t="str">
        <f t="shared" si="86"/>
        <v>Nov</v>
      </c>
      <c r="K1396" t="str">
        <f t="shared" si="87"/>
        <v>Wed</v>
      </c>
    </row>
    <row r="1397" spans="1:11" x14ac:dyDescent="0.35">
      <c r="A1397" s="1">
        <v>37589</v>
      </c>
      <c r="B1397">
        <v>1.2074999809265099</v>
      </c>
      <c r="C1397">
        <v>1.21899998188018</v>
      </c>
      <c r="D1397">
        <v>1.1664999723434399</v>
      </c>
      <c r="E1397">
        <v>1.1675000190734801</v>
      </c>
      <c r="F1397">
        <v>1.1675000190734801</v>
      </c>
      <c r="G1397">
        <v>51546000</v>
      </c>
      <c r="H1397">
        <f t="shared" si="84"/>
        <v>2002</v>
      </c>
      <c r="I1397">
        <f t="shared" si="85"/>
        <v>11</v>
      </c>
      <c r="J1397" t="str">
        <f t="shared" si="86"/>
        <v>Nov</v>
      </c>
      <c r="K1397" t="str">
        <f t="shared" si="87"/>
        <v>Fri</v>
      </c>
    </row>
    <row r="1398" spans="1:11" x14ac:dyDescent="0.35">
      <c r="A1398" s="1">
        <v>37592</v>
      </c>
      <c r="B1398">
        <v>1.2074999809265099</v>
      </c>
      <c r="C1398">
        <v>1.25</v>
      </c>
      <c r="D1398">
        <v>1.20000004768371</v>
      </c>
      <c r="E1398">
        <v>1.20550000667572</v>
      </c>
      <c r="F1398">
        <v>1.20550000667572</v>
      </c>
      <c r="G1398">
        <v>223050000</v>
      </c>
      <c r="H1398">
        <f t="shared" si="84"/>
        <v>2002</v>
      </c>
      <c r="I1398">
        <f t="shared" si="85"/>
        <v>12</v>
      </c>
      <c r="J1398" t="str">
        <f t="shared" si="86"/>
        <v>Dec</v>
      </c>
      <c r="K1398" t="str">
        <f t="shared" si="87"/>
        <v>Mon</v>
      </c>
    </row>
    <row r="1399" spans="1:11" x14ac:dyDescent="0.35">
      <c r="A1399" s="1">
        <v>37593</v>
      </c>
      <c r="B1399">
        <v>1.19149994850158</v>
      </c>
      <c r="C1399">
        <v>1.1990000009536701</v>
      </c>
      <c r="D1399">
        <v>1.1690000295639</v>
      </c>
      <c r="E1399">
        <v>1.18700003623962</v>
      </c>
      <c r="F1399">
        <v>1.18700003623962</v>
      </c>
      <c r="G1399">
        <v>118022000</v>
      </c>
      <c r="H1399">
        <f t="shared" si="84"/>
        <v>2002</v>
      </c>
      <c r="I1399">
        <f t="shared" si="85"/>
        <v>12</v>
      </c>
      <c r="J1399" t="str">
        <f t="shared" si="86"/>
        <v>Dec</v>
      </c>
      <c r="K1399" t="str">
        <f t="shared" si="87"/>
        <v>Tue</v>
      </c>
    </row>
    <row r="1400" spans="1:11" x14ac:dyDescent="0.35">
      <c r="A1400" s="1">
        <v>37594</v>
      </c>
      <c r="B1400">
        <v>1.17400002479553</v>
      </c>
      <c r="C1400">
        <v>1.1900000572204501</v>
      </c>
      <c r="D1400">
        <v>1.14800000190734</v>
      </c>
      <c r="E1400">
        <v>1.16949999332427</v>
      </c>
      <c r="F1400">
        <v>1.16949999332427</v>
      </c>
      <c r="G1400">
        <v>157578000</v>
      </c>
      <c r="H1400">
        <f t="shared" si="84"/>
        <v>2002</v>
      </c>
      <c r="I1400">
        <f t="shared" si="85"/>
        <v>12</v>
      </c>
      <c r="J1400" t="str">
        <f t="shared" si="86"/>
        <v>Dec</v>
      </c>
      <c r="K1400" t="str">
        <f t="shared" si="87"/>
        <v>Wed</v>
      </c>
    </row>
    <row r="1401" spans="1:11" x14ac:dyDescent="0.35">
      <c r="A1401" s="1">
        <v>37595</v>
      </c>
      <c r="B1401">
        <v>1.18299996852874</v>
      </c>
      <c r="C1401">
        <v>1.18400001525878</v>
      </c>
      <c r="D1401">
        <v>1.1100000143051101</v>
      </c>
      <c r="E1401">
        <v>1.12899994850158</v>
      </c>
      <c r="F1401">
        <v>1.12899994850158</v>
      </c>
      <c r="G1401">
        <v>212852000</v>
      </c>
      <c r="H1401">
        <f t="shared" si="84"/>
        <v>2002</v>
      </c>
      <c r="I1401">
        <f t="shared" si="85"/>
        <v>12</v>
      </c>
      <c r="J1401" t="str">
        <f t="shared" si="86"/>
        <v>Dec</v>
      </c>
      <c r="K1401" t="str">
        <f t="shared" si="87"/>
        <v>Thu</v>
      </c>
    </row>
    <row r="1402" spans="1:11" x14ac:dyDescent="0.35">
      <c r="A1402" s="1">
        <v>37596</v>
      </c>
      <c r="B1402">
        <v>1.08500003814697</v>
      </c>
      <c r="C1402">
        <v>1.13450002670288</v>
      </c>
      <c r="D1402">
        <v>1.07550001144409</v>
      </c>
      <c r="E1402">
        <v>1.130499958992</v>
      </c>
      <c r="F1402">
        <v>1.130499958992</v>
      </c>
      <c r="G1402">
        <v>187870000</v>
      </c>
      <c r="H1402">
        <f t="shared" si="84"/>
        <v>2002</v>
      </c>
      <c r="I1402">
        <f t="shared" si="85"/>
        <v>12</v>
      </c>
      <c r="J1402" t="str">
        <f t="shared" si="86"/>
        <v>Dec</v>
      </c>
      <c r="K1402" t="str">
        <f t="shared" si="87"/>
        <v>Fri</v>
      </c>
    </row>
    <row r="1403" spans="1:11" x14ac:dyDescent="0.35">
      <c r="A1403" s="1">
        <v>37599</v>
      </c>
      <c r="B1403">
        <v>1.11150002479553</v>
      </c>
      <c r="C1403">
        <v>1.1174999475479099</v>
      </c>
      <c r="D1403">
        <v>1.08000004291534</v>
      </c>
      <c r="E1403">
        <v>1.08399999141693</v>
      </c>
      <c r="F1403">
        <v>1.08399999141693</v>
      </c>
      <c r="G1403">
        <v>149094000</v>
      </c>
      <c r="H1403">
        <f t="shared" si="84"/>
        <v>2002</v>
      </c>
      <c r="I1403">
        <f t="shared" si="85"/>
        <v>12</v>
      </c>
      <c r="J1403" t="str">
        <f t="shared" si="86"/>
        <v>Dec</v>
      </c>
      <c r="K1403" t="str">
        <f t="shared" si="87"/>
        <v>Mon</v>
      </c>
    </row>
    <row r="1404" spans="1:11" x14ac:dyDescent="0.35">
      <c r="A1404" s="1">
        <v>37600</v>
      </c>
      <c r="B1404">
        <v>1.09800004959106</v>
      </c>
      <c r="C1404">
        <v>1.0994999408721899</v>
      </c>
      <c r="D1404">
        <v>1.06200003623962</v>
      </c>
      <c r="E1404">
        <v>1.09300005435943</v>
      </c>
      <c r="F1404">
        <v>1.09300005435943</v>
      </c>
      <c r="G1404">
        <v>141874000</v>
      </c>
      <c r="H1404">
        <f t="shared" si="84"/>
        <v>2002</v>
      </c>
      <c r="I1404">
        <f t="shared" si="85"/>
        <v>12</v>
      </c>
      <c r="J1404" t="str">
        <f t="shared" si="86"/>
        <v>Dec</v>
      </c>
      <c r="K1404" t="str">
        <f t="shared" si="87"/>
        <v>Tue</v>
      </c>
    </row>
    <row r="1405" spans="1:11" x14ac:dyDescent="0.35">
      <c r="A1405" s="1">
        <v>37601</v>
      </c>
      <c r="B1405">
        <v>1.0835000276565501</v>
      </c>
      <c r="C1405">
        <v>1.1189999580383301</v>
      </c>
      <c r="D1405">
        <v>1.08099997043609</v>
      </c>
      <c r="E1405">
        <v>1.1065000295639</v>
      </c>
      <c r="F1405">
        <v>1.1065000295639</v>
      </c>
      <c r="G1405">
        <v>127746000</v>
      </c>
      <c r="H1405">
        <f t="shared" si="84"/>
        <v>2002</v>
      </c>
      <c r="I1405">
        <f t="shared" si="85"/>
        <v>12</v>
      </c>
      <c r="J1405" t="str">
        <f t="shared" si="86"/>
        <v>Dec</v>
      </c>
      <c r="K1405" t="str">
        <f t="shared" si="87"/>
        <v>Wed</v>
      </c>
    </row>
    <row r="1406" spans="1:11" x14ac:dyDescent="0.35">
      <c r="A1406" s="1">
        <v>37602</v>
      </c>
      <c r="B1406">
        <v>1.1234999895095801</v>
      </c>
      <c r="C1406">
        <v>1.1310000419616699</v>
      </c>
      <c r="D1406">
        <v>1.0904999971389699</v>
      </c>
      <c r="E1406">
        <v>1.1150000095367401</v>
      </c>
      <c r="F1406">
        <v>1.1150000095367401</v>
      </c>
      <c r="G1406">
        <v>119550000</v>
      </c>
      <c r="H1406">
        <f t="shared" si="84"/>
        <v>2002</v>
      </c>
      <c r="I1406">
        <f t="shared" si="85"/>
        <v>12</v>
      </c>
      <c r="J1406" t="str">
        <f t="shared" si="86"/>
        <v>Dec</v>
      </c>
      <c r="K1406" t="str">
        <f t="shared" si="87"/>
        <v>Thu</v>
      </c>
    </row>
    <row r="1407" spans="1:11" x14ac:dyDescent="0.35">
      <c r="A1407" s="1">
        <v>37603</v>
      </c>
      <c r="B1407">
        <v>1.09749996662139</v>
      </c>
      <c r="C1407">
        <v>1.1174999475479099</v>
      </c>
      <c r="D1407">
        <v>1.09350001811981</v>
      </c>
      <c r="E1407">
        <v>1.1089999675750699</v>
      </c>
      <c r="F1407">
        <v>1.1089999675750699</v>
      </c>
      <c r="G1407">
        <v>77184000</v>
      </c>
      <c r="H1407">
        <f t="shared" si="84"/>
        <v>2002</v>
      </c>
      <c r="I1407">
        <f t="shared" si="85"/>
        <v>12</v>
      </c>
      <c r="J1407" t="str">
        <f t="shared" si="86"/>
        <v>Dec</v>
      </c>
      <c r="K1407" t="str">
        <f t="shared" si="87"/>
        <v>Fri</v>
      </c>
    </row>
    <row r="1408" spans="1:11" x14ac:dyDescent="0.35">
      <c r="A1408" s="1">
        <v>37606</v>
      </c>
      <c r="B1408">
        <v>1.11150002479553</v>
      </c>
      <c r="C1408">
        <v>1.1265000104904099</v>
      </c>
      <c r="D1408">
        <v>1.10199999809265</v>
      </c>
      <c r="E1408">
        <v>1.12549996376037</v>
      </c>
      <c r="F1408">
        <v>1.12549996376037</v>
      </c>
      <c r="G1408">
        <v>98814000</v>
      </c>
      <c r="H1408">
        <f t="shared" si="84"/>
        <v>2002</v>
      </c>
      <c r="I1408">
        <f t="shared" si="85"/>
        <v>12</v>
      </c>
      <c r="J1408" t="str">
        <f t="shared" si="86"/>
        <v>Dec</v>
      </c>
      <c r="K1408" t="str">
        <f t="shared" si="87"/>
        <v>Mon</v>
      </c>
    </row>
    <row r="1409" spans="1:11" x14ac:dyDescent="0.35">
      <c r="A1409" s="1">
        <v>37607</v>
      </c>
      <c r="B1409">
        <v>1.11650002002716</v>
      </c>
      <c r="C1409">
        <v>1.1280000209808301</v>
      </c>
      <c r="D1409">
        <v>1.11600005626678</v>
      </c>
      <c r="E1409">
        <v>1.1230000257492001</v>
      </c>
      <c r="F1409">
        <v>1.1230000257492001</v>
      </c>
      <c r="G1409">
        <v>68390000</v>
      </c>
      <c r="H1409">
        <f t="shared" si="84"/>
        <v>2002</v>
      </c>
      <c r="I1409">
        <f t="shared" si="85"/>
        <v>12</v>
      </c>
      <c r="J1409" t="str">
        <f t="shared" si="86"/>
        <v>Dec</v>
      </c>
      <c r="K1409" t="str">
        <f t="shared" si="87"/>
        <v>Tue</v>
      </c>
    </row>
    <row r="1410" spans="1:11" x14ac:dyDescent="0.35">
      <c r="A1410" s="1">
        <v>37608</v>
      </c>
      <c r="B1410">
        <v>1.11249995231628</v>
      </c>
      <c r="C1410">
        <v>1.1130000352859399</v>
      </c>
      <c r="D1410">
        <v>1.09899997711181</v>
      </c>
      <c r="E1410">
        <v>1.1050000190734801</v>
      </c>
      <c r="F1410">
        <v>1.1050000190734801</v>
      </c>
      <c r="G1410">
        <v>79856000</v>
      </c>
      <c r="H1410">
        <f t="shared" si="84"/>
        <v>2002</v>
      </c>
      <c r="I1410">
        <f t="shared" si="85"/>
        <v>12</v>
      </c>
      <c r="J1410" t="str">
        <f t="shared" si="86"/>
        <v>Dec</v>
      </c>
      <c r="K1410" t="str">
        <f t="shared" si="87"/>
        <v>Wed</v>
      </c>
    </row>
    <row r="1411" spans="1:11" x14ac:dyDescent="0.35">
      <c r="A1411" s="1">
        <v>37609</v>
      </c>
      <c r="B1411">
        <v>1.0815000534057599</v>
      </c>
      <c r="C1411">
        <v>1.1100000143051101</v>
      </c>
      <c r="D1411">
        <v>1.07650005817413</v>
      </c>
      <c r="E1411">
        <v>1.0844999551773</v>
      </c>
      <c r="F1411">
        <v>1.0844999551773</v>
      </c>
      <c r="G1411">
        <v>116288000</v>
      </c>
      <c r="H1411">
        <f t="shared" si="84"/>
        <v>2002</v>
      </c>
      <c r="I1411">
        <f t="shared" si="85"/>
        <v>12</v>
      </c>
      <c r="J1411" t="str">
        <f t="shared" si="86"/>
        <v>Dec</v>
      </c>
      <c r="K1411" t="str">
        <f t="shared" si="87"/>
        <v>Thu</v>
      </c>
    </row>
    <row r="1412" spans="1:11" x14ac:dyDescent="0.35">
      <c r="A1412" s="1">
        <v>37610</v>
      </c>
      <c r="B1412">
        <v>1.08949995040893</v>
      </c>
      <c r="C1412">
        <v>1.1004999876022299</v>
      </c>
      <c r="D1412">
        <v>1.08000004291534</v>
      </c>
      <c r="E1412">
        <v>1.0965000391006401</v>
      </c>
      <c r="F1412">
        <v>1.0965000391006401</v>
      </c>
      <c r="G1412">
        <v>98706000</v>
      </c>
      <c r="H1412">
        <f t="shared" ref="H1412:H1475" si="88">YEAR($A1412)</f>
        <v>2002</v>
      </c>
      <c r="I1412">
        <f t="shared" ref="I1412:I1475" si="89">MONTH($A1412)</f>
        <v>12</v>
      </c>
      <c r="J1412" t="str">
        <f t="shared" ref="J1412:J1475" si="90">TEXT($A1412,"mmm")</f>
        <v>Dec</v>
      </c>
      <c r="K1412" t="str">
        <f t="shared" ref="K1412:K1475" si="91">TEXT($A1412,"ddd")</f>
        <v>Fri</v>
      </c>
    </row>
    <row r="1413" spans="1:11" x14ac:dyDescent="0.35">
      <c r="A1413" s="1">
        <v>37613</v>
      </c>
      <c r="B1413">
        <v>1.08899998664855</v>
      </c>
      <c r="C1413">
        <v>1.1234999895095801</v>
      </c>
      <c r="D1413">
        <v>1.08899998664855</v>
      </c>
      <c r="E1413">
        <v>1.1119999885559</v>
      </c>
      <c r="F1413">
        <v>1.1119999885559</v>
      </c>
      <c r="G1413">
        <v>88490000</v>
      </c>
      <c r="H1413">
        <f t="shared" si="88"/>
        <v>2002</v>
      </c>
      <c r="I1413">
        <f t="shared" si="89"/>
        <v>12</v>
      </c>
      <c r="J1413" t="str">
        <f t="shared" si="90"/>
        <v>Dec</v>
      </c>
      <c r="K1413" t="str">
        <f t="shared" si="91"/>
        <v>Mon</v>
      </c>
    </row>
    <row r="1414" spans="1:11" x14ac:dyDescent="0.35">
      <c r="A1414" s="1">
        <v>37614</v>
      </c>
      <c r="B1414">
        <v>1.1089999675750699</v>
      </c>
      <c r="C1414">
        <v>1.1139999628067001</v>
      </c>
      <c r="D1414">
        <v>1.09399998188018</v>
      </c>
      <c r="E1414">
        <v>1.09399998188018</v>
      </c>
      <c r="F1414">
        <v>1.09399998188018</v>
      </c>
      <c r="G1414">
        <v>46972000</v>
      </c>
      <c r="H1414">
        <f t="shared" si="88"/>
        <v>2002</v>
      </c>
      <c r="I1414">
        <f t="shared" si="89"/>
        <v>12</v>
      </c>
      <c r="J1414" t="str">
        <f t="shared" si="90"/>
        <v>Dec</v>
      </c>
      <c r="K1414" t="str">
        <f t="shared" si="91"/>
        <v>Tue</v>
      </c>
    </row>
    <row r="1415" spans="1:11" x14ac:dyDescent="0.35">
      <c r="A1415" s="1">
        <v>37616</v>
      </c>
      <c r="B1415">
        <v>1.0794999599456701</v>
      </c>
      <c r="C1415">
        <v>1.08000004291534</v>
      </c>
      <c r="D1415">
        <v>1</v>
      </c>
      <c r="E1415">
        <v>1.0149999856948799</v>
      </c>
      <c r="F1415">
        <v>1.0149999856948799</v>
      </c>
      <c r="G1415">
        <v>283986000</v>
      </c>
      <c r="H1415">
        <f t="shared" si="88"/>
        <v>2002</v>
      </c>
      <c r="I1415">
        <f t="shared" si="89"/>
        <v>12</v>
      </c>
      <c r="J1415" t="str">
        <f t="shared" si="90"/>
        <v>Dec</v>
      </c>
      <c r="K1415" t="str">
        <f t="shared" si="91"/>
        <v>Thu</v>
      </c>
    </row>
    <row r="1416" spans="1:11" x14ac:dyDescent="0.35">
      <c r="A1416" s="1">
        <v>37617</v>
      </c>
      <c r="B1416">
        <v>0.99849998950958196</v>
      </c>
      <c r="C1416">
        <v>1.00499999523162</v>
      </c>
      <c r="D1416">
        <v>0.92150002717971802</v>
      </c>
      <c r="E1416">
        <v>0.94300001859664895</v>
      </c>
      <c r="F1416">
        <v>0.94300001859664895</v>
      </c>
      <c r="G1416">
        <v>439456000</v>
      </c>
      <c r="H1416">
        <f t="shared" si="88"/>
        <v>2002</v>
      </c>
      <c r="I1416">
        <f t="shared" si="89"/>
        <v>12</v>
      </c>
      <c r="J1416" t="str">
        <f t="shared" si="90"/>
        <v>Dec</v>
      </c>
      <c r="K1416" t="str">
        <f t="shared" si="91"/>
        <v>Fri</v>
      </c>
    </row>
    <row r="1417" spans="1:11" x14ac:dyDescent="0.35">
      <c r="A1417" s="1">
        <v>37620</v>
      </c>
      <c r="B1417">
        <v>0.94249999523162797</v>
      </c>
      <c r="C1417">
        <v>0.97000002861022905</v>
      </c>
      <c r="D1417">
        <v>0.93699997663497903</v>
      </c>
      <c r="E1417">
        <v>0.96249997615814198</v>
      </c>
      <c r="F1417">
        <v>0.96249997615814198</v>
      </c>
      <c r="G1417">
        <v>165694000</v>
      </c>
      <c r="H1417">
        <f t="shared" si="88"/>
        <v>2002</v>
      </c>
      <c r="I1417">
        <f t="shared" si="89"/>
        <v>12</v>
      </c>
      <c r="J1417" t="str">
        <f t="shared" si="90"/>
        <v>Dec</v>
      </c>
      <c r="K1417" t="str">
        <f t="shared" si="91"/>
        <v>Mon</v>
      </c>
    </row>
    <row r="1418" spans="1:11" x14ac:dyDescent="0.35">
      <c r="A1418" s="1">
        <v>37621</v>
      </c>
      <c r="B1418">
        <v>0.96249997615814198</v>
      </c>
      <c r="C1418">
        <v>0.97799998521804798</v>
      </c>
      <c r="D1418">
        <v>0.94150000810623102</v>
      </c>
      <c r="E1418">
        <v>0.94450002908706598</v>
      </c>
      <c r="F1418">
        <v>0.94450002908706598</v>
      </c>
      <c r="G1418">
        <v>110740000</v>
      </c>
      <c r="H1418">
        <f t="shared" si="88"/>
        <v>2002</v>
      </c>
      <c r="I1418">
        <f t="shared" si="89"/>
        <v>12</v>
      </c>
      <c r="J1418" t="str">
        <f t="shared" si="90"/>
        <v>Dec</v>
      </c>
      <c r="K1418" t="str">
        <f t="shared" si="91"/>
        <v>Tue</v>
      </c>
    </row>
    <row r="1419" spans="1:11" x14ac:dyDescent="0.35">
      <c r="A1419" s="1">
        <v>37623</v>
      </c>
      <c r="B1419">
        <v>0.95950001478195102</v>
      </c>
      <c r="C1419">
        <v>0.98400002717971802</v>
      </c>
      <c r="D1419">
        <v>0.92750000953674305</v>
      </c>
      <c r="E1419">
        <v>0.97850000858306796</v>
      </c>
      <c r="F1419">
        <v>0.97850000858306796</v>
      </c>
      <c r="G1419">
        <v>129680000</v>
      </c>
      <c r="H1419">
        <f t="shared" si="88"/>
        <v>2003</v>
      </c>
      <c r="I1419">
        <f t="shared" si="89"/>
        <v>1</v>
      </c>
      <c r="J1419" t="str">
        <f t="shared" si="90"/>
        <v>Jan</v>
      </c>
      <c r="K1419" t="str">
        <f t="shared" si="91"/>
        <v>Thu</v>
      </c>
    </row>
    <row r="1420" spans="1:11" x14ac:dyDescent="0.35">
      <c r="A1420" s="1">
        <v>37624</v>
      </c>
      <c r="B1420">
        <v>0.97949999570846502</v>
      </c>
      <c r="C1420">
        <v>1.02649998664855</v>
      </c>
      <c r="D1420">
        <v>0.97049999237060502</v>
      </c>
      <c r="E1420">
        <v>1.02600002288818</v>
      </c>
      <c r="F1420">
        <v>1.02600002288818</v>
      </c>
      <c r="G1420">
        <v>175140000</v>
      </c>
      <c r="H1420">
        <f t="shared" si="88"/>
        <v>2003</v>
      </c>
      <c r="I1420">
        <f t="shared" si="89"/>
        <v>1</v>
      </c>
      <c r="J1420" t="str">
        <f t="shared" si="90"/>
        <v>Jan</v>
      </c>
      <c r="K1420" t="str">
        <f t="shared" si="91"/>
        <v>Fri</v>
      </c>
    </row>
    <row r="1421" spans="1:11" x14ac:dyDescent="0.35">
      <c r="A1421" s="1">
        <v>37627</v>
      </c>
      <c r="B1421">
        <v>1.0199999809265099</v>
      </c>
      <c r="C1421">
        <v>1.05850005149841</v>
      </c>
      <c r="D1421">
        <v>1.0149999856948799</v>
      </c>
      <c r="E1421">
        <v>1.03499996662139</v>
      </c>
      <c r="F1421">
        <v>1.03499996662139</v>
      </c>
      <c r="G1421">
        <v>153962000</v>
      </c>
      <c r="H1421">
        <f t="shared" si="88"/>
        <v>2003</v>
      </c>
      <c r="I1421">
        <f t="shared" si="89"/>
        <v>1</v>
      </c>
      <c r="J1421" t="str">
        <f t="shared" si="90"/>
        <v>Jan</v>
      </c>
      <c r="K1421" t="str">
        <f t="shared" si="91"/>
        <v>Mon</v>
      </c>
    </row>
    <row r="1422" spans="1:11" x14ac:dyDescent="0.35">
      <c r="A1422" s="1">
        <v>37628</v>
      </c>
      <c r="B1422">
        <v>1.0414999723434399</v>
      </c>
      <c r="C1422">
        <v>1.0874999761581401</v>
      </c>
      <c r="D1422">
        <v>1.0299999713897701</v>
      </c>
      <c r="E1422">
        <v>1.0774999856948799</v>
      </c>
      <c r="F1422">
        <v>1.0774999856948799</v>
      </c>
      <c r="G1422">
        <v>191364000</v>
      </c>
      <c r="H1422">
        <f t="shared" si="88"/>
        <v>2003</v>
      </c>
      <c r="I1422">
        <f t="shared" si="89"/>
        <v>1</v>
      </c>
      <c r="J1422" t="str">
        <f t="shared" si="90"/>
        <v>Jan</v>
      </c>
      <c r="K1422" t="str">
        <f t="shared" si="91"/>
        <v>Tue</v>
      </c>
    </row>
    <row r="1423" spans="1:11" x14ac:dyDescent="0.35">
      <c r="A1423" s="1">
        <v>37629</v>
      </c>
      <c r="B1423">
        <v>1.07200002670288</v>
      </c>
      <c r="C1423">
        <v>1.08000004291534</v>
      </c>
      <c r="D1423">
        <v>1.04100000858306</v>
      </c>
      <c r="E1423">
        <v>1.0509999990463199</v>
      </c>
      <c r="F1423">
        <v>1.0509999990463199</v>
      </c>
      <c r="G1423">
        <v>139630000</v>
      </c>
      <c r="H1423">
        <f t="shared" si="88"/>
        <v>2003</v>
      </c>
      <c r="I1423">
        <f t="shared" si="89"/>
        <v>1</v>
      </c>
      <c r="J1423" t="str">
        <f t="shared" si="90"/>
        <v>Jan</v>
      </c>
      <c r="K1423" t="str">
        <f t="shared" si="91"/>
        <v>Wed</v>
      </c>
    </row>
    <row r="1424" spans="1:11" x14ac:dyDescent="0.35">
      <c r="A1424" s="1">
        <v>37630</v>
      </c>
      <c r="B1424">
        <v>1.05400002002716</v>
      </c>
      <c r="C1424">
        <v>1.08500003814697</v>
      </c>
      <c r="D1424">
        <v>1.04499995708465</v>
      </c>
      <c r="E1424">
        <v>1.07249999046325</v>
      </c>
      <c r="F1424">
        <v>1.07249999046325</v>
      </c>
      <c r="G1424">
        <v>123096000</v>
      </c>
      <c r="H1424">
        <f t="shared" si="88"/>
        <v>2003</v>
      </c>
      <c r="I1424">
        <f t="shared" si="89"/>
        <v>1</v>
      </c>
      <c r="J1424" t="str">
        <f t="shared" si="90"/>
        <v>Jan</v>
      </c>
      <c r="K1424" t="str">
        <f t="shared" si="91"/>
        <v>Thu</v>
      </c>
    </row>
    <row r="1425" spans="1:11" x14ac:dyDescent="0.35">
      <c r="A1425" s="1">
        <v>37631</v>
      </c>
      <c r="B1425">
        <v>1.0479999780654901</v>
      </c>
      <c r="C1425">
        <v>1.0829999446868801</v>
      </c>
      <c r="D1425">
        <v>1.04050004482269</v>
      </c>
      <c r="E1425">
        <v>1.06599998474121</v>
      </c>
      <c r="F1425">
        <v>1.06599998474121</v>
      </c>
      <c r="G1425">
        <v>151586000</v>
      </c>
      <c r="H1425">
        <f t="shared" si="88"/>
        <v>2003</v>
      </c>
      <c r="I1425">
        <f t="shared" si="89"/>
        <v>1</v>
      </c>
      <c r="J1425" t="str">
        <f t="shared" si="90"/>
        <v>Jan</v>
      </c>
      <c r="K1425" t="str">
        <f t="shared" si="91"/>
        <v>Fri</v>
      </c>
    </row>
    <row r="1426" spans="1:11" x14ac:dyDescent="0.35">
      <c r="A1426" s="1">
        <v>37634</v>
      </c>
      <c r="B1426">
        <v>1.06649994850158</v>
      </c>
      <c r="C1426">
        <v>1.1050000190734801</v>
      </c>
      <c r="D1426">
        <v>1.0625</v>
      </c>
      <c r="E1426">
        <v>1.10199999809265</v>
      </c>
      <c r="F1426">
        <v>1.10199999809265</v>
      </c>
      <c r="G1426">
        <v>142426000</v>
      </c>
      <c r="H1426">
        <f t="shared" si="88"/>
        <v>2003</v>
      </c>
      <c r="I1426">
        <f t="shared" si="89"/>
        <v>1</v>
      </c>
      <c r="J1426" t="str">
        <f t="shared" si="90"/>
        <v>Jan</v>
      </c>
      <c r="K1426" t="str">
        <f t="shared" si="91"/>
        <v>Mon</v>
      </c>
    </row>
    <row r="1427" spans="1:11" x14ac:dyDescent="0.35">
      <c r="A1427" s="1">
        <v>37635</v>
      </c>
      <c r="B1427">
        <v>1.0924999713897701</v>
      </c>
      <c r="C1427">
        <v>1.13800001144409</v>
      </c>
      <c r="D1427">
        <v>1.0829999446868801</v>
      </c>
      <c r="E1427">
        <v>1.1369999647140501</v>
      </c>
      <c r="F1427">
        <v>1.1369999647140501</v>
      </c>
      <c r="G1427">
        <v>140976000</v>
      </c>
      <c r="H1427">
        <f t="shared" si="88"/>
        <v>2003</v>
      </c>
      <c r="I1427">
        <f t="shared" si="89"/>
        <v>1</v>
      </c>
      <c r="J1427" t="str">
        <f t="shared" si="90"/>
        <v>Jan</v>
      </c>
      <c r="K1427" t="str">
        <f t="shared" si="91"/>
        <v>Tue</v>
      </c>
    </row>
    <row r="1428" spans="1:11" x14ac:dyDescent="0.35">
      <c r="A1428" s="1">
        <v>37636</v>
      </c>
      <c r="B1428">
        <v>1.12950003147125</v>
      </c>
      <c r="C1428">
        <v>1.130499958992</v>
      </c>
      <c r="D1428">
        <v>1.0970000028610201</v>
      </c>
      <c r="E1428">
        <v>1.1134999990463199</v>
      </c>
      <c r="F1428">
        <v>1.1134999990463199</v>
      </c>
      <c r="G1428">
        <v>139788000</v>
      </c>
      <c r="H1428">
        <f t="shared" si="88"/>
        <v>2003</v>
      </c>
      <c r="I1428">
        <f t="shared" si="89"/>
        <v>1</v>
      </c>
      <c r="J1428" t="str">
        <f t="shared" si="90"/>
        <v>Jan</v>
      </c>
      <c r="K1428" t="str">
        <f t="shared" si="91"/>
        <v>Wed</v>
      </c>
    </row>
    <row r="1429" spans="1:11" x14ac:dyDescent="0.35">
      <c r="A1429" s="1">
        <v>37637</v>
      </c>
      <c r="B1429">
        <v>1.0844999551773</v>
      </c>
      <c r="C1429">
        <v>1.1050000190734801</v>
      </c>
      <c r="D1429">
        <v>1.07249999046325</v>
      </c>
      <c r="E1429">
        <v>1.0900000333786</v>
      </c>
      <c r="F1429">
        <v>1.0900000333786</v>
      </c>
      <c r="G1429">
        <v>158232000</v>
      </c>
      <c r="H1429">
        <f t="shared" si="88"/>
        <v>2003</v>
      </c>
      <c r="I1429">
        <f t="shared" si="89"/>
        <v>1</v>
      </c>
      <c r="J1429" t="str">
        <f t="shared" si="90"/>
        <v>Jan</v>
      </c>
      <c r="K1429" t="str">
        <f t="shared" si="91"/>
        <v>Thu</v>
      </c>
    </row>
    <row r="1430" spans="1:11" x14ac:dyDescent="0.35">
      <c r="A1430" s="1">
        <v>37638</v>
      </c>
      <c r="B1430">
        <v>1.0729999542236299</v>
      </c>
      <c r="C1430">
        <v>1.08550000190734</v>
      </c>
      <c r="D1430">
        <v>1.0614999532699501</v>
      </c>
      <c r="E1430">
        <v>1.0700000524520801</v>
      </c>
      <c r="F1430">
        <v>1.0700000524520801</v>
      </c>
      <c r="G1430">
        <v>115724000</v>
      </c>
      <c r="H1430">
        <f t="shared" si="88"/>
        <v>2003</v>
      </c>
      <c r="I1430">
        <f t="shared" si="89"/>
        <v>1</v>
      </c>
      <c r="J1430" t="str">
        <f t="shared" si="90"/>
        <v>Jan</v>
      </c>
      <c r="K1430" t="str">
        <f t="shared" si="91"/>
        <v>Fri</v>
      </c>
    </row>
    <row r="1431" spans="1:11" x14ac:dyDescent="0.35">
      <c r="A1431" s="1">
        <v>37642</v>
      </c>
      <c r="B1431">
        <v>1.0625</v>
      </c>
      <c r="C1431">
        <v>1.08050000667572</v>
      </c>
      <c r="D1431">
        <v>1.01800000667572</v>
      </c>
      <c r="E1431">
        <v>1.05400002002716</v>
      </c>
      <c r="F1431">
        <v>1.05400002002716</v>
      </c>
      <c r="G1431">
        <v>125862000</v>
      </c>
      <c r="H1431">
        <f t="shared" si="88"/>
        <v>2003</v>
      </c>
      <c r="I1431">
        <f t="shared" si="89"/>
        <v>1</v>
      </c>
      <c r="J1431" t="str">
        <f t="shared" si="90"/>
        <v>Jan</v>
      </c>
      <c r="K1431" t="str">
        <f t="shared" si="91"/>
        <v>Tue</v>
      </c>
    </row>
    <row r="1432" spans="1:11" x14ac:dyDescent="0.35">
      <c r="A1432" s="1">
        <v>37643</v>
      </c>
      <c r="B1432">
        <v>1.0384999513626001</v>
      </c>
      <c r="C1432">
        <v>1.08500003814697</v>
      </c>
      <c r="D1432">
        <v>1.0375000238418499</v>
      </c>
      <c r="E1432">
        <v>1.05850005149841</v>
      </c>
      <c r="F1432">
        <v>1.05850005149841</v>
      </c>
      <c r="G1432">
        <v>133672000</v>
      </c>
      <c r="H1432">
        <f t="shared" si="88"/>
        <v>2003</v>
      </c>
      <c r="I1432">
        <f t="shared" si="89"/>
        <v>1</v>
      </c>
      <c r="J1432" t="str">
        <f t="shared" si="90"/>
        <v>Jan</v>
      </c>
      <c r="K1432" t="str">
        <f t="shared" si="91"/>
        <v>Wed</v>
      </c>
    </row>
    <row r="1433" spans="1:11" x14ac:dyDescent="0.35">
      <c r="A1433" s="1">
        <v>37644</v>
      </c>
      <c r="B1433">
        <v>1.0770000219345</v>
      </c>
      <c r="C1433">
        <v>1.10199999809265</v>
      </c>
      <c r="D1433">
        <v>1.05750000476837</v>
      </c>
      <c r="E1433">
        <v>1.08949995040893</v>
      </c>
      <c r="F1433">
        <v>1.08949995040893</v>
      </c>
      <c r="G1433">
        <v>219960000</v>
      </c>
      <c r="H1433">
        <f t="shared" si="88"/>
        <v>2003</v>
      </c>
      <c r="I1433">
        <f t="shared" si="89"/>
        <v>1</v>
      </c>
      <c r="J1433" t="str">
        <f t="shared" si="90"/>
        <v>Jan</v>
      </c>
      <c r="K1433" t="str">
        <f t="shared" si="91"/>
        <v>Thu</v>
      </c>
    </row>
    <row r="1434" spans="1:11" x14ac:dyDescent="0.35">
      <c r="A1434" s="1">
        <v>37645</v>
      </c>
      <c r="B1434">
        <v>1.12950003147125</v>
      </c>
      <c r="C1434">
        <v>1.1640000343322701</v>
      </c>
      <c r="D1434">
        <v>1.0950000286102199</v>
      </c>
      <c r="E1434">
        <v>1.1054999828338601</v>
      </c>
      <c r="F1434">
        <v>1.1054999828338601</v>
      </c>
      <c r="G1434">
        <v>433636000</v>
      </c>
      <c r="H1434">
        <f t="shared" si="88"/>
        <v>2003</v>
      </c>
      <c r="I1434">
        <f t="shared" si="89"/>
        <v>1</v>
      </c>
      <c r="J1434" t="str">
        <f t="shared" si="90"/>
        <v>Jan</v>
      </c>
      <c r="K1434" t="str">
        <f t="shared" si="91"/>
        <v>Fri</v>
      </c>
    </row>
    <row r="1435" spans="1:11" x14ac:dyDescent="0.35">
      <c r="A1435" s="1">
        <v>37648</v>
      </c>
      <c r="B1435">
        <v>1.08399999141693</v>
      </c>
      <c r="C1435">
        <v>1.1184999942779501</v>
      </c>
      <c r="D1435">
        <v>1.0820000171661299</v>
      </c>
      <c r="E1435">
        <v>1.08899998664855</v>
      </c>
      <c r="F1435">
        <v>1.08899998664855</v>
      </c>
      <c r="G1435">
        <v>164140000</v>
      </c>
      <c r="H1435">
        <f t="shared" si="88"/>
        <v>2003</v>
      </c>
      <c r="I1435">
        <f t="shared" si="89"/>
        <v>1</v>
      </c>
      <c r="J1435" t="str">
        <f t="shared" si="90"/>
        <v>Jan</v>
      </c>
      <c r="K1435" t="str">
        <f t="shared" si="91"/>
        <v>Mon</v>
      </c>
    </row>
    <row r="1436" spans="1:11" x14ac:dyDescent="0.35">
      <c r="A1436" s="1">
        <v>37649</v>
      </c>
      <c r="B1436">
        <v>1.0954999923705999</v>
      </c>
      <c r="C1436">
        <v>1.09850001335144</v>
      </c>
      <c r="D1436">
        <v>1.0614999532699501</v>
      </c>
      <c r="E1436">
        <v>1.08099997043609</v>
      </c>
      <c r="F1436">
        <v>1.08099997043609</v>
      </c>
      <c r="G1436">
        <v>159368000</v>
      </c>
      <c r="H1436">
        <f t="shared" si="88"/>
        <v>2003</v>
      </c>
      <c r="I1436">
        <f t="shared" si="89"/>
        <v>1</v>
      </c>
      <c r="J1436" t="str">
        <f t="shared" si="90"/>
        <v>Jan</v>
      </c>
      <c r="K1436" t="str">
        <f t="shared" si="91"/>
        <v>Tue</v>
      </c>
    </row>
    <row r="1437" spans="1:11" x14ac:dyDescent="0.35">
      <c r="A1437" s="1">
        <v>37650</v>
      </c>
      <c r="B1437">
        <v>1.0774999856948799</v>
      </c>
      <c r="C1437">
        <v>1.1174999475479099</v>
      </c>
      <c r="D1437">
        <v>1.0700000524520801</v>
      </c>
      <c r="E1437">
        <v>1.1039999723434399</v>
      </c>
      <c r="F1437">
        <v>1.1039999723434399</v>
      </c>
      <c r="G1437">
        <v>141138000</v>
      </c>
      <c r="H1437">
        <f t="shared" si="88"/>
        <v>2003</v>
      </c>
      <c r="I1437">
        <f t="shared" si="89"/>
        <v>1</v>
      </c>
      <c r="J1437" t="str">
        <f t="shared" si="90"/>
        <v>Jan</v>
      </c>
      <c r="K1437" t="str">
        <f t="shared" si="91"/>
        <v>Wed</v>
      </c>
    </row>
    <row r="1438" spans="1:11" x14ac:dyDescent="0.35">
      <c r="A1438" s="1">
        <v>37651</v>
      </c>
      <c r="B1438">
        <v>1.1100000143051101</v>
      </c>
      <c r="C1438">
        <v>1.12000000476837</v>
      </c>
      <c r="D1438">
        <v>1.0865000486373899</v>
      </c>
      <c r="E1438">
        <v>1.0909999608993499</v>
      </c>
      <c r="F1438">
        <v>1.0909999608993499</v>
      </c>
      <c r="G1438">
        <v>119314000</v>
      </c>
      <c r="H1438">
        <f t="shared" si="88"/>
        <v>2003</v>
      </c>
      <c r="I1438">
        <f t="shared" si="89"/>
        <v>1</v>
      </c>
      <c r="J1438" t="str">
        <f t="shared" si="90"/>
        <v>Jan</v>
      </c>
      <c r="K1438" t="str">
        <f t="shared" si="91"/>
        <v>Thu</v>
      </c>
    </row>
    <row r="1439" spans="1:11" x14ac:dyDescent="0.35">
      <c r="A1439" s="1">
        <v>37652</v>
      </c>
      <c r="B1439">
        <v>1.0820000171661299</v>
      </c>
      <c r="C1439">
        <v>1.1134999990463199</v>
      </c>
      <c r="D1439">
        <v>1.0779999494552599</v>
      </c>
      <c r="E1439">
        <v>1.0924999713897701</v>
      </c>
      <c r="F1439">
        <v>1.0924999713897701</v>
      </c>
      <c r="G1439">
        <v>125250000</v>
      </c>
      <c r="H1439">
        <f t="shared" si="88"/>
        <v>2003</v>
      </c>
      <c r="I1439">
        <f t="shared" si="89"/>
        <v>1</v>
      </c>
      <c r="J1439" t="str">
        <f t="shared" si="90"/>
        <v>Jan</v>
      </c>
      <c r="K1439" t="str">
        <f t="shared" si="91"/>
        <v>Fri</v>
      </c>
    </row>
    <row r="1440" spans="1:11" x14ac:dyDescent="0.35">
      <c r="A1440" s="1">
        <v>37655</v>
      </c>
      <c r="B1440">
        <v>1.0970000028610201</v>
      </c>
      <c r="C1440">
        <v>1.1219999790191599</v>
      </c>
      <c r="D1440">
        <v>1.0909999608993499</v>
      </c>
      <c r="E1440">
        <v>1.10800004005432</v>
      </c>
      <c r="F1440">
        <v>1.10800004005432</v>
      </c>
      <c r="G1440">
        <v>103910000</v>
      </c>
      <c r="H1440">
        <f t="shared" si="88"/>
        <v>2003</v>
      </c>
      <c r="I1440">
        <f t="shared" si="89"/>
        <v>2</v>
      </c>
      <c r="J1440" t="str">
        <f t="shared" si="90"/>
        <v>Feb</v>
      </c>
      <c r="K1440" t="str">
        <f t="shared" si="91"/>
        <v>Mon</v>
      </c>
    </row>
    <row r="1441" spans="1:11" x14ac:dyDescent="0.35">
      <c r="A1441" s="1">
        <v>37656</v>
      </c>
      <c r="B1441">
        <v>1.0970000028610201</v>
      </c>
      <c r="C1441">
        <v>1.10699999332427</v>
      </c>
      <c r="D1441">
        <v>1.0785000324249201</v>
      </c>
      <c r="E1441">
        <v>1.10249996185302</v>
      </c>
      <c r="F1441">
        <v>1.10249996185302</v>
      </c>
      <c r="G1441">
        <v>96352000</v>
      </c>
      <c r="H1441">
        <f t="shared" si="88"/>
        <v>2003</v>
      </c>
      <c r="I1441">
        <f t="shared" si="89"/>
        <v>2</v>
      </c>
      <c r="J1441" t="str">
        <f t="shared" si="90"/>
        <v>Feb</v>
      </c>
      <c r="K1441" t="str">
        <f t="shared" si="91"/>
        <v>Tue</v>
      </c>
    </row>
    <row r="1442" spans="1:11" x14ac:dyDescent="0.35">
      <c r="A1442" s="1">
        <v>37657</v>
      </c>
      <c r="B1442">
        <v>1.1089999675750699</v>
      </c>
      <c r="C1442">
        <v>1.125</v>
      </c>
      <c r="D1442">
        <v>1.1015000343322701</v>
      </c>
      <c r="E1442">
        <v>1.1085000038146899</v>
      </c>
      <c r="F1442">
        <v>1.1085000038146899</v>
      </c>
      <c r="G1442">
        <v>106862000</v>
      </c>
      <c r="H1442">
        <f t="shared" si="88"/>
        <v>2003</v>
      </c>
      <c r="I1442">
        <f t="shared" si="89"/>
        <v>2</v>
      </c>
      <c r="J1442" t="str">
        <f t="shared" si="90"/>
        <v>Feb</v>
      </c>
      <c r="K1442" t="str">
        <f t="shared" si="91"/>
        <v>Wed</v>
      </c>
    </row>
    <row r="1443" spans="1:11" x14ac:dyDescent="0.35">
      <c r="A1443" s="1">
        <v>37658</v>
      </c>
      <c r="B1443">
        <v>1.10800004005432</v>
      </c>
      <c r="C1443">
        <v>1.1239999532699501</v>
      </c>
      <c r="D1443">
        <v>1.0965000391006401</v>
      </c>
      <c r="E1443">
        <v>1.1045000553131099</v>
      </c>
      <c r="F1443">
        <v>1.1045000553131099</v>
      </c>
      <c r="G1443">
        <v>80754000</v>
      </c>
      <c r="H1443">
        <f t="shared" si="88"/>
        <v>2003</v>
      </c>
      <c r="I1443">
        <f t="shared" si="89"/>
        <v>2</v>
      </c>
      <c r="J1443" t="str">
        <f t="shared" si="90"/>
        <v>Feb</v>
      </c>
      <c r="K1443" t="str">
        <f t="shared" si="91"/>
        <v>Thu</v>
      </c>
    </row>
    <row r="1444" spans="1:11" x14ac:dyDescent="0.35">
      <c r="A1444" s="1">
        <v>37659</v>
      </c>
      <c r="B1444">
        <v>1.1050000190734801</v>
      </c>
      <c r="C1444">
        <v>1.1054999828338601</v>
      </c>
      <c r="D1444">
        <v>1.0599999427795399</v>
      </c>
      <c r="E1444">
        <v>1.07200002670288</v>
      </c>
      <c r="F1444">
        <v>1.07200002670288</v>
      </c>
      <c r="G1444">
        <v>138858000</v>
      </c>
      <c r="H1444">
        <f t="shared" si="88"/>
        <v>2003</v>
      </c>
      <c r="I1444">
        <f t="shared" si="89"/>
        <v>2</v>
      </c>
      <c r="J1444" t="str">
        <f t="shared" si="90"/>
        <v>Feb</v>
      </c>
      <c r="K1444" t="str">
        <f t="shared" si="91"/>
        <v>Fri</v>
      </c>
    </row>
    <row r="1445" spans="1:11" x14ac:dyDescent="0.35">
      <c r="A1445" s="1">
        <v>37662</v>
      </c>
      <c r="B1445">
        <v>1.0700000524520801</v>
      </c>
      <c r="C1445">
        <v>1.07050001621246</v>
      </c>
      <c r="D1445">
        <v>1.0284999608993499</v>
      </c>
      <c r="E1445">
        <v>1.0700000524520801</v>
      </c>
      <c r="F1445">
        <v>1.0700000524520801</v>
      </c>
      <c r="G1445">
        <v>161930000</v>
      </c>
      <c r="H1445">
        <f t="shared" si="88"/>
        <v>2003</v>
      </c>
      <c r="I1445">
        <f t="shared" si="89"/>
        <v>2</v>
      </c>
      <c r="J1445" t="str">
        <f t="shared" si="90"/>
        <v>Feb</v>
      </c>
      <c r="K1445" t="str">
        <f t="shared" si="91"/>
        <v>Mon</v>
      </c>
    </row>
    <row r="1446" spans="1:11" x14ac:dyDescent="0.35">
      <c r="A1446" s="1">
        <v>37663</v>
      </c>
      <c r="B1446">
        <v>1.0779999494552599</v>
      </c>
      <c r="C1446">
        <v>1.08000004291534</v>
      </c>
      <c r="D1446">
        <v>1.0345000028610201</v>
      </c>
      <c r="E1446">
        <v>1.0390000343322701</v>
      </c>
      <c r="F1446">
        <v>1.0390000343322701</v>
      </c>
      <c r="G1446">
        <v>133580000</v>
      </c>
      <c r="H1446">
        <f t="shared" si="88"/>
        <v>2003</v>
      </c>
      <c r="I1446">
        <f t="shared" si="89"/>
        <v>2</v>
      </c>
      <c r="J1446" t="str">
        <f t="shared" si="90"/>
        <v>Feb</v>
      </c>
      <c r="K1446" t="str">
        <f t="shared" si="91"/>
        <v>Tue</v>
      </c>
    </row>
    <row r="1447" spans="1:11" x14ac:dyDescent="0.35">
      <c r="A1447" s="1">
        <v>37664</v>
      </c>
      <c r="B1447">
        <v>1.03949999809265</v>
      </c>
      <c r="C1447">
        <v>1.0599999427795399</v>
      </c>
      <c r="D1447">
        <v>1.0329999923705999</v>
      </c>
      <c r="E1447">
        <v>1.0564999580383301</v>
      </c>
      <c r="F1447">
        <v>1.0564999580383301</v>
      </c>
      <c r="G1447">
        <v>108678000</v>
      </c>
      <c r="H1447">
        <f t="shared" si="88"/>
        <v>2003</v>
      </c>
      <c r="I1447">
        <f t="shared" si="89"/>
        <v>2</v>
      </c>
      <c r="J1447" t="str">
        <f t="shared" si="90"/>
        <v>Feb</v>
      </c>
      <c r="K1447" t="str">
        <f t="shared" si="91"/>
        <v>Wed</v>
      </c>
    </row>
    <row r="1448" spans="1:11" x14ac:dyDescent="0.35">
      <c r="A1448" s="1">
        <v>37665</v>
      </c>
      <c r="B1448">
        <v>1.0475000143051101</v>
      </c>
      <c r="C1448">
        <v>1.04999995231628</v>
      </c>
      <c r="D1448">
        <v>0.98049998283386197</v>
      </c>
      <c r="E1448">
        <v>1.0030000209808301</v>
      </c>
      <c r="F1448">
        <v>1.0030000209808301</v>
      </c>
      <c r="G1448">
        <v>231536000</v>
      </c>
      <c r="H1448">
        <f t="shared" si="88"/>
        <v>2003</v>
      </c>
      <c r="I1448">
        <f t="shared" si="89"/>
        <v>2</v>
      </c>
      <c r="J1448" t="str">
        <f t="shared" si="90"/>
        <v>Feb</v>
      </c>
      <c r="K1448" t="str">
        <f t="shared" si="91"/>
        <v>Thu</v>
      </c>
    </row>
    <row r="1449" spans="1:11" x14ac:dyDescent="0.35">
      <c r="A1449" s="1">
        <v>37666</v>
      </c>
      <c r="B1449">
        <v>0.99949997663497903</v>
      </c>
      <c r="C1449">
        <v>1.0115000009536701</v>
      </c>
      <c r="D1449">
        <v>0.98549997806548995</v>
      </c>
      <c r="E1449">
        <v>1.0030000209808301</v>
      </c>
      <c r="F1449">
        <v>1.0030000209808301</v>
      </c>
      <c r="G1449">
        <v>132506000</v>
      </c>
      <c r="H1449">
        <f t="shared" si="88"/>
        <v>2003</v>
      </c>
      <c r="I1449">
        <f t="shared" si="89"/>
        <v>2</v>
      </c>
      <c r="J1449" t="str">
        <f t="shared" si="90"/>
        <v>Feb</v>
      </c>
      <c r="K1449" t="str">
        <f t="shared" si="91"/>
        <v>Fri</v>
      </c>
    </row>
    <row r="1450" spans="1:11" x14ac:dyDescent="0.35">
      <c r="A1450" s="1">
        <v>37670</v>
      </c>
      <c r="B1450">
        <v>1.0075000524520801</v>
      </c>
      <c r="C1450">
        <v>1.07050001621246</v>
      </c>
      <c r="D1450">
        <v>1.0075000524520801</v>
      </c>
      <c r="E1450">
        <v>1.0694999694824201</v>
      </c>
      <c r="F1450">
        <v>1.0694999694824201</v>
      </c>
      <c r="G1450">
        <v>157998000</v>
      </c>
      <c r="H1450">
        <f t="shared" si="88"/>
        <v>2003</v>
      </c>
      <c r="I1450">
        <f t="shared" si="89"/>
        <v>2</v>
      </c>
      <c r="J1450" t="str">
        <f t="shared" si="90"/>
        <v>Feb</v>
      </c>
      <c r="K1450" t="str">
        <f t="shared" si="91"/>
        <v>Tue</v>
      </c>
    </row>
    <row r="1451" spans="1:11" x14ac:dyDescent="0.35">
      <c r="A1451" s="1">
        <v>37671</v>
      </c>
      <c r="B1451">
        <v>1.05750000476837</v>
      </c>
      <c r="C1451">
        <v>1.0625</v>
      </c>
      <c r="D1451">
        <v>1.0509999990463199</v>
      </c>
      <c r="E1451">
        <v>1.0594999790191599</v>
      </c>
      <c r="F1451">
        <v>1.0594999790191599</v>
      </c>
      <c r="G1451">
        <v>109416000</v>
      </c>
      <c r="H1451">
        <f t="shared" si="88"/>
        <v>2003</v>
      </c>
      <c r="I1451">
        <f t="shared" si="89"/>
        <v>2</v>
      </c>
      <c r="J1451" t="str">
        <f t="shared" si="90"/>
        <v>Feb</v>
      </c>
      <c r="K1451" t="str">
        <f t="shared" si="91"/>
        <v>Wed</v>
      </c>
    </row>
    <row r="1452" spans="1:11" x14ac:dyDescent="0.35">
      <c r="A1452" s="1">
        <v>37672</v>
      </c>
      <c r="B1452">
        <v>1.0594999790191599</v>
      </c>
      <c r="C1452">
        <v>1.07500004768371</v>
      </c>
      <c r="D1452">
        <v>1.05449998378753</v>
      </c>
      <c r="E1452">
        <v>1.067999958992</v>
      </c>
      <c r="F1452">
        <v>1.067999958992</v>
      </c>
      <c r="G1452">
        <v>83396000</v>
      </c>
      <c r="H1452">
        <f t="shared" si="88"/>
        <v>2003</v>
      </c>
      <c r="I1452">
        <f t="shared" si="89"/>
        <v>2</v>
      </c>
      <c r="J1452" t="str">
        <f t="shared" si="90"/>
        <v>Feb</v>
      </c>
      <c r="K1452" t="str">
        <f t="shared" si="91"/>
        <v>Thu</v>
      </c>
    </row>
    <row r="1453" spans="1:11" x14ac:dyDescent="0.35">
      <c r="A1453" s="1">
        <v>37673</v>
      </c>
      <c r="B1453">
        <v>1.06749999523162</v>
      </c>
      <c r="C1453">
        <v>1.0915000438690099</v>
      </c>
      <c r="D1453">
        <v>1.0520000457763601</v>
      </c>
      <c r="E1453">
        <v>1.08899998664855</v>
      </c>
      <c r="F1453">
        <v>1.08899998664855</v>
      </c>
      <c r="G1453">
        <v>144156000</v>
      </c>
      <c r="H1453">
        <f t="shared" si="88"/>
        <v>2003</v>
      </c>
      <c r="I1453">
        <f t="shared" si="89"/>
        <v>2</v>
      </c>
      <c r="J1453" t="str">
        <f t="shared" si="90"/>
        <v>Feb</v>
      </c>
      <c r="K1453" t="str">
        <f t="shared" si="91"/>
        <v>Fri</v>
      </c>
    </row>
    <row r="1454" spans="1:11" x14ac:dyDescent="0.35">
      <c r="A1454" s="1">
        <v>37676</v>
      </c>
      <c r="B1454">
        <v>1.0820000171661299</v>
      </c>
      <c r="C1454">
        <v>1.1089999675750699</v>
      </c>
      <c r="D1454">
        <v>1.0820000171661299</v>
      </c>
      <c r="E1454">
        <v>1.08899998664855</v>
      </c>
      <c r="F1454">
        <v>1.08899998664855</v>
      </c>
      <c r="G1454">
        <v>138732000</v>
      </c>
      <c r="H1454">
        <f t="shared" si="88"/>
        <v>2003</v>
      </c>
      <c r="I1454">
        <f t="shared" si="89"/>
        <v>2</v>
      </c>
      <c r="J1454" t="str">
        <f t="shared" si="90"/>
        <v>Feb</v>
      </c>
      <c r="K1454" t="str">
        <f t="shared" si="91"/>
        <v>Mon</v>
      </c>
    </row>
    <row r="1455" spans="1:11" x14ac:dyDescent="0.35">
      <c r="A1455" s="1">
        <v>37677</v>
      </c>
      <c r="B1455">
        <v>1.07500004768371</v>
      </c>
      <c r="C1455">
        <v>1.1000000238418499</v>
      </c>
      <c r="D1455">
        <v>1.0700000524520801</v>
      </c>
      <c r="E1455">
        <v>1.09399998188018</v>
      </c>
      <c r="F1455">
        <v>1.09399998188018</v>
      </c>
      <c r="G1455">
        <v>112480000</v>
      </c>
      <c r="H1455">
        <f t="shared" si="88"/>
        <v>2003</v>
      </c>
      <c r="I1455">
        <f t="shared" si="89"/>
        <v>2</v>
      </c>
      <c r="J1455" t="str">
        <f t="shared" si="90"/>
        <v>Feb</v>
      </c>
      <c r="K1455" t="str">
        <f t="shared" si="91"/>
        <v>Tue</v>
      </c>
    </row>
    <row r="1456" spans="1:11" x14ac:dyDescent="0.35">
      <c r="A1456" s="1">
        <v>37678</v>
      </c>
      <c r="B1456">
        <v>1.0815000534057599</v>
      </c>
      <c r="C1456">
        <v>1.09899997711181</v>
      </c>
      <c r="D1456">
        <v>1.08099997043609</v>
      </c>
      <c r="E1456">
        <v>1.0820000171661299</v>
      </c>
      <c r="F1456">
        <v>1.0820000171661299</v>
      </c>
      <c r="G1456">
        <v>82426000</v>
      </c>
      <c r="H1456">
        <f t="shared" si="88"/>
        <v>2003</v>
      </c>
      <c r="I1456">
        <f t="shared" si="89"/>
        <v>2</v>
      </c>
      <c r="J1456" t="str">
        <f t="shared" si="90"/>
        <v>Feb</v>
      </c>
      <c r="K1456" t="str">
        <f t="shared" si="91"/>
        <v>Wed</v>
      </c>
    </row>
    <row r="1457" spans="1:11" x14ac:dyDescent="0.35">
      <c r="A1457" s="1">
        <v>37679</v>
      </c>
      <c r="B1457">
        <v>1.0829999446868801</v>
      </c>
      <c r="C1457">
        <v>1.08850002288818</v>
      </c>
      <c r="D1457">
        <v>1.01250004768371</v>
      </c>
      <c r="E1457">
        <v>1.08099997043609</v>
      </c>
      <c r="F1457">
        <v>1.08099997043609</v>
      </c>
      <c r="G1457">
        <v>101526000</v>
      </c>
      <c r="H1457">
        <f t="shared" si="88"/>
        <v>2003</v>
      </c>
      <c r="I1457">
        <f t="shared" si="89"/>
        <v>2</v>
      </c>
      <c r="J1457" t="str">
        <f t="shared" si="90"/>
        <v>Feb</v>
      </c>
      <c r="K1457" t="str">
        <f t="shared" si="91"/>
        <v>Thu</v>
      </c>
    </row>
    <row r="1458" spans="1:11" x14ac:dyDescent="0.35">
      <c r="A1458" s="1">
        <v>37680</v>
      </c>
      <c r="B1458">
        <v>1.0785000324249201</v>
      </c>
      <c r="C1458">
        <v>1.1009999513626001</v>
      </c>
      <c r="D1458">
        <v>1.07149994373321</v>
      </c>
      <c r="E1458">
        <v>1.1004999876022299</v>
      </c>
      <c r="F1458">
        <v>1.1004999876022299</v>
      </c>
      <c r="G1458">
        <v>93742000</v>
      </c>
      <c r="H1458">
        <f t="shared" si="88"/>
        <v>2003</v>
      </c>
      <c r="I1458">
        <f t="shared" si="89"/>
        <v>2</v>
      </c>
      <c r="J1458" t="str">
        <f t="shared" si="90"/>
        <v>Feb</v>
      </c>
      <c r="K1458" t="str">
        <f t="shared" si="91"/>
        <v>Fri</v>
      </c>
    </row>
    <row r="1459" spans="1:11" x14ac:dyDescent="0.35">
      <c r="A1459" s="1">
        <v>37683</v>
      </c>
      <c r="B1459">
        <v>1.10749995708465</v>
      </c>
      <c r="C1459">
        <v>1.130499958992</v>
      </c>
      <c r="D1459">
        <v>1.0870000123977599</v>
      </c>
      <c r="E1459">
        <v>1.0904999971389699</v>
      </c>
      <c r="F1459">
        <v>1.0904999971389699</v>
      </c>
      <c r="G1459">
        <v>89606000</v>
      </c>
      <c r="H1459">
        <f t="shared" si="88"/>
        <v>2003</v>
      </c>
      <c r="I1459">
        <f t="shared" si="89"/>
        <v>3</v>
      </c>
      <c r="J1459" t="str">
        <f t="shared" si="90"/>
        <v>Mar</v>
      </c>
      <c r="K1459" t="str">
        <f t="shared" si="91"/>
        <v>Mon</v>
      </c>
    </row>
    <row r="1460" spans="1:11" x14ac:dyDescent="0.35">
      <c r="A1460" s="1">
        <v>37684</v>
      </c>
      <c r="B1460">
        <v>1.08500003814697</v>
      </c>
      <c r="C1460">
        <v>1.1174999475479099</v>
      </c>
      <c r="D1460">
        <v>1.067999958992</v>
      </c>
      <c r="E1460">
        <v>1.1134999990463199</v>
      </c>
      <c r="F1460">
        <v>1.1134999990463199</v>
      </c>
      <c r="G1460">
        <v>108686000</v>
      </c>
      <c r="H1460">
        <f t="shared" si="88"/>
        <v>2003</v>
      </c>
      <c r="I1460">
        <f t="shared" si="89"/>
        <v>3</v>
      </c>
      <c r="J1460" t="str">
        <f t="shared" si="90"/>
        <v>Mar</v>
      </c>
      <c r="K1460" t="str">
        <f t="shared" si="91"/>
        <v>Tue</v>
      </c>
    </row>
    <row r="1461" spans="1:11" x14ac:dyDescent="0.35">
      <c r="A1461" s="1">
        <v>37685</v>
      </c>
      <c r="B1461">
        <v>1.1039999723434399</v>
      </c>
      <c r="C1461">
        <v>1.1310000419616699</v>
      </c>
      <c r="D1461">
        <v>1.1009999513626001</v>
      </c>
      <c r="E1461">
        <v>1.12100005149841</v>
      </c>
      <c r="F1461">
        <v>1.12100005149841</v>
      </c>
      <c r="G1461">
        <v>103208000</v>
      </c>
      <c r="H1461">
        <f t="shared" si="88"/>
        <v>2003</v>
      </c>
      <c r="I1461">
        <f t="shared" si="89"/>
        <v>3</v>
      </c>
      <c r="J1461" t="str">
        <f t="shared" si="90"/>
        <v>Mar</v>
      </c>
      <c r="K1461" t="str">
        <f t="shared" si="91"/>
        <v>Wed</v>
      </c>
    </row>
    <row r="1462" spans="1:11" x14ac:dyDescent="0.35">
      <c r="A1462" s="1">
        <v>37686</v>
      </c>
      <c r="B1462">
        <v>1.11600005626678</v>
      </c>
      <c r="C1462">
        <v>1.14250004291534</v>
      </c>
      <c r="D1462">
        <v>1.1059999465942301</v>
      </c>
      <c r="E1462">
        <v>1.13450002670288</v>
      </c>
      <c r="F1462">
        <v>1.13450002670288</v>
      </c>
      <c r="G1462">
        <v>108548000</v>
      </c>
      <c r="H1462">
        <f t="shared" si="88"/>
        <v>2003</v>
      </c>
      <c r="I1462">
        <f t="shared" si="89"/>
        <v>3</v>
      </c>
      <c r="J1462" t="str">
        <f t="shared" si="90"/>
        <v>Mar</v>
      </c>
      <c r="K1462" t="str">
        <f t="shared" si="91"/>
        <v>Thu</v>
      </c>
    </row>
    <row r="1463" spans="1:11" x14ac:dyDescent="0.35">
      <c r="A1463" s="1">
        <v>37687</v>
      </c>
      <c r="B1463">
        <v>1.11600005626678</v>
      </c>
      <c r="C1463">
        <v>1.15199995040893</v>
      </c>
      <c r="D1463">
        <v>1.1130000352859399</v>
      </c>
      <c r="E1463">
        <v>1.1484999656677199</v>
      </c>
      <c r="F1463">
        <v>1.1484999656677199</v>
      </c>
      <c r="G1463">
        <v>116968000</v>
      </c>
      <c r="H1463">
        <f t="shared" si="88"/>
        <v>2003</v>
      </c>
      <c r="I1463">
        <f t="shared" si="89"/>
        <v>3</v>
      </c>
      <c r="J1463" t="str">
        <f t="shared" si="90"/>
        <v>Mar</v>
      </c>
      <c r="K1463" t="str">
        <f t="shared" si="91"/>
        <v>Fri</v>
      </c>
    </row>
    <row r="1464" spans="1:11" x14ac:dyDescent="0.35">
      <c r="A1464" s="1">
        <v>37690</v>
      </c>
      <c r="B1464">
        <v>1.12999999523162</v>
      </c>
      <c r="C1464">
        <v>1.14800000190734</v>
      </c>
      <c r="D1464">
        <v>1.1275000572204501</v>
      </c>
      <c r="E1464">
        <v>1.1440000534057599</v>
      </c>
      <c r="F1464">
        <v>1.1440000534057599</v>
      </c>
      <c r="G1464">
        <v>88120000</v>
      </c>
      <c r="H1464">
        <f t="shared" si="88"/>
        <v>2003</v>
      </c>
      <c r="I1464">
        <f t="shared" si="89"/>
        <v>3</v>
      </c>
      <c r="J1464" t="str">
        <f t="shared" si="90"/>
        <v>Mar</v>
      </c>
      <c r="K1464" t="str">
        <f t="shared" si="91"/>
        <v>Mon</v>
      </c>
    </row>
    <row r="1465" spans="1:11" x14ac:dyDescent="0.35">
      <c r="A1465" s="1">
        <v>37691</v>
      </c>
      <c r="B1465">
        <v>1.13750004768371</v>
      </c>
      <c r="C1465">
        <v>1.1460000276565501</v>
      </c>
      <c r="D1465">
        <v>1.12549996376037</v>
      </c>
      <c r="E1465">
        <v>1.13900005817413</v>
      </c>
      <c r="F1465">
        <v>1.13900005817413</v>
      </c>
      <c r="G1465">
        <v>80682000</v>
      </c>
      <c r="H1465">
        <f t="shared" si="88"/>
        <v>2003</v>
      </c>
      <c r="I1465">
        <f t="shared" si="89"/>
        <v>3</v>
      </c>
      <c r="J1465" t="str">
        <f t="shared" si="90"/>
        <v>Mar</v>
      </c>
      <c r="K1465" t="str">
        <f t="shared" si="91"/>
        <v>Tue</v>
      </c>
    </row>
    <row r="1466" spans="1:11" x14ac:dyDescent="0.35">
      <c r="A1466" s="1">
        <v>37692</v>
      </c>
      <c r="B1466">
        <v>1.12549996376037</v>
      </c>
      <c r="C1466">
        <v>1.1690000295639</v>
      </c>
      <c r="D1466">
        <v>1.12450003623962</v>
      </c>
      <c r="E1466">
        <v>1.1679999828338601</v>
      </c>
      <c r="F1466">
        <v>1.1679999828338601</v>
      </c>
      <c r="G1466">
        <v>111462000</v>
      </c>
      <c r="H1466">
        <f t="shared" si="88"/>
        <v>2003</v>
      </c>
      <c r="I1466">
        <f t="shared" si="89"/>
        <v>3</v>
      </c>
      <c r="J1466" t="str">
        <f t="shared" si="90"/>
        <v>Mar</v>
      </c>
      <c r="K1466" t="str">
        <f t="shared" si="91"/>
        <v>Wed</v>
      </c>
    </row>
    <row r="1467" spans="1:11" x14ac:dyDescent="0.35">
      <c r="A1467" s="1">
        <v>37693</v>
      </c>
      <c r="B1467">
        <v>1.18400001525878</v>
      </c>
      <c r="C1467">
        <v>1.2295000553131099</v>
      </c>
      <c r="D1467">
        <v>1.15649998188018</v>
      </c>
      <c r="E1467">
        <v>1.2209999561309799</v>
      </c>
      <c r="F1467">
        <v>1.2209999561309799</v>
      </c>
      <c r="G1467">
        <v>224178000</v>
      </c>
      <c r="H1467">
        <f t="shared" si="88"/>
        <v>2003</v>
      </c>
      <c r="I1467">
        <f t="shared" si="89"/>
        <v>3</v>
      </c>
      <c r="J1467" t="str">
        <f t="shared" si="90"/>
        <v>Mar</v>
      </c>
      <c r="K1467" t="str">
        <f t="shared" si="91"/>
        <v>Thu</v>
      </c>
    </row>
    <row r="1468" spans="1:11" x14ac:dyDescent="0.35">
      <c r="A1468" s="1">
        <v>37694</v>
      </c>
      <c r="B1468">
        <v>1.22699999809265</v>
      </c>
      <c r="C1468">
        <v>1.24500000476837</v>
      </c>
      <c r="D1468">
        <v>1.21000003814697</v>
      </c>
      <c r="E1468">
        <v>1.2354999780654901</v>
      </c>
      <c r="F1468">
        <v>1.2354999780654901</v>
      </c>
      <c r="G1468">
        <v>178156000</v>
      </c>
      <c r="H1468">
        <f t="shared" si="88"/>
        <v>2003</v>
      </c>
      <c r="I1468">
        <f t="shared" si="89"/>
        <v>3</v>
      </c>
      <c r="J1468" t="str">
        <f t="shared" si="90"/>
        <v>Mar</v>
      </c>
      <c r="K1468" t="str">
        <f t="shared" si="91"/>
        <v>Fri</v>
      </c>
    </row>
    <row r="1469" spans="1:11" x14ac:dyDescent="0.35">
      <c r="A1469" s="1">
        <v>37697</v>
      </c>
      <c r="B1469">
        <v>1.22350001335144</v>
      </c>
      <c r="C1469">
        <v>1.3420000076293901</v>
      </c>
      <c r="D1469">
        <v>1.2200000286102199</v>
      </c>
      <c r="E1469">
        <v>1.3274999856948799</v>
      </c>
      <c r="F1469">
        <v>1.3274999856948799</v>
      </c>
      <c r="G1469">
        <v>302498000</v>
      </c>
      <c r="H1469">
        <f t="shared" si="88"/>
        <v>2003</v>
      </c>
      <c r="I1469">
        <f t="shared" si="89"/>
        <v>3</v>
      </c>
      <c r="J1469" t="str">
        <f t="shared" si="90"/>
        <v>Mar</v>
      </c>
      <c r="K1469" t="str">
        <f t="shared" si="91"/>
        <v>Mon</v>
      </c>
    </row>
    <row r="1470" spans="1:11" x14ac:dyDescent="0.35">
      <c r="A1470" s="1">
        <v>37698</v>
      </c>
      <c r="B1470">
        <v>1.3229999542236299</v>
      </c>
      <c r="C1470">
        <v>1.3420000076293901</v>
      </c>
      <c r="D1470">
        <v>1.3049999475479099</v>
      </c>
      <c r="E1470">
        <v>1.33899998664855</v>
      </c>
      <c r="F1470">
        <v>1.33899998664855</v>
      </c>
      <c r="G1470">
        <v>174996000</v>
      </c>
      <c r="H1470">
        <f t="shared" si="88"/>
        <v>2003</v>
      </c>
      <c r="I1470">
        <f t="shared" si="89"/>
        <v>3</v>
      </c>
      <c r="J1470" t="str">
        <f t="shared" si="90"/>
        <v>Mar</v>
      </c>
      <c r="K1470" t="str">
        <f t="shared" si="91"/>
        <v>Tue</v>
      </c>
    </row>
    <row r="1471" spans="1:11" x14ac:dyDescent="0.35">
      <c r="A1471" s="1">
        <v>37699</v>
      </c>
      <c r="B1471">
        <v>1.31649994850158</v>
      </c>
      <c r="C1471">
        <v>1.3344999551773</v>
      </c>
      <c r="D1471">
        <v>1.30799996852874</v>
      </c>
      <c r="E1471">
        <v>1.3270000219345</v>
      </c>
      <c r="F1471">
        <v>1.3270000219345</v>
      </c>
      <c r="G1471">
        <v>169620000</v>
      </c>
      <c r="H1471">
        <f t="shared" si="88"/>
        <v>2003</v>
      </c>
      <c r="I1471">
        <f t="shared" si="89"/>
        <v>3</v>
      </c>
      <c r="J1471" t="str">
        <f t="shared" si="90"/>
        <v>Mar</v>
      </c>
      <c r="K1471" t="str">
        <f t="shared" si="91"/>
        <v>Wed</v>
      </c>
    </row>
    <row r="1472" spans="1:11" x14ac:dyDescent="0.35">
      <c r="A1472" s="1">
        <v>37700</v>
      </c>
      <c r="B1472">
        <v>1.31700003147125</v>
      </c>
      <c r="C1472">
        <v>1.3815000057220399</v>
      </c>
      <c r="D1472">
        <v>1.3064999580383301</v>
      </c>
      <c r="E1472">
        <v>1.3724999427795399</v>
      </c>
      <c r="F1472">
        <v>1.3724999427795399</v>
      </c>
      <c r="G1472">
        <v>187524000</v>
      </c>
      <c r="H1472">
        <f t="shared" si="88"/>
        <v>2003</v>
      </c>
      <c r="I1472">
        <f t="shared" si="89"/>
        <v>3</v>
      </c>
      <c r="J1472" t="str">
        <f t="shared" si="90"/>
        <v>Mar</v>
      </c>
      <c r="K1472" t="str">
        <f t="shared" si="91"/>
        <v>Thu</v>
      </c>
    </row>
    <row r="1473" spans="1:11" x14ac:dyDescent="0.35">
      <c r="A1473" s="1">
        <v>37701</v>
      </c>
      <c r="B1473">
        <v>1.3854999542236299</v>
      </c>
      <c r="C1473">
        <v>1.39750003814697</v>
      </c>
      <c r="D1473">
        <v>1.35199999809265</v>
      </c>
      <c r="E1473">
        <v>1.39649999141693</v>
      </c>
      <c r="F1473">
        <v>1.39649999141693</v>
      </c>
      <c r="G1473">
        <v>213154000</v>
      </c>
      <c r="H1473">
        <f t="shared" si="88"/>
        <v>2003</v>
      </c>
      <c r="I1473">
        <f t="shared" si="89"/>
        <v>3</v>
      </c>
      <c r="J1473" t="str">
        <f t="shared" si="90"/>
        <v>Mar</v>
      </c>
      <c r="K1473" t="str">
        <f t="shared" si="91"/>
        <v>Fri</v>
      </c>
    </row>
    <row r="1474" spans="1:11" x14ac:dyDescent="0.35">
      <c r="A1474" s="1">
        <v>37704</v>
      </c>
      <c r="B1474">
        <v>1.3539999723434399</v>
      </c>
      <c r="C1474">
        <v>1.3630000352859399</v>
      </c>
      <c r="D1474">
        <v>1.3099999427795399</v>
      </c>
      <c r="E1474">
        <v>1.3114999532699501</v>
      </c>
      <c r="F1474">
        <v>1.3114999532699501</v>
      </c>
      <c r="G1474">
        <v>206810000</v>
      </c>
      <c r="H1474">
        <f t="shared" si="88"/>
        <v>2003</v>
      </c>
      <c r="I1474">
        <f t="shared" si="89"/>
        <v>3</v>
      </c>
      <c r="J1474" t="str">
        <f t="shared" si="90"/>
        <v>Mar</v>
      </c>
      <c r="K1474" t="str">
        <f t="shared" si="91"/>
        <v>Mon</v>
      </c>
    </row>
    <row r="1475" spans="1:11" x14ac:dyDescent="0.35">
      <c r="A1475" s="1">
        <v>37705</v>
      </c>
      <c r="B1475">
        <v>1.3125</v>
      </c>
      <c r="C1475">
        <v>1.3545000553131099</v>
      </c>
      <c r="D1475">
        <v>1.3105000257492001</v>
      </c>
      <c r="E1475">
        <v>1.3450000286102199</v>
      </c>
      <c r="F1475">
        <v>1.3450000286102199</v>
      </c>
      <c r="G1475">
        <v>144264000</v>
      </c>
      <c r="H1475">
        <f t="shared" si="88"/>
        <v>2003</v>
      </c>
      <c r="I1475">
        <f t="shared" si="89"/>
        <v>3</v>
      </c>
      <c r="J1475" t="str">
        <f t="shared" si="90"/>
        <v>Mar</v>
      </c>
      <c r="K1475" t="str">
        <f t="shared" si="91"/>
        <v>Tue</v>
      </c>
    </row>
    <row r="1476" spans="1:11" x14ac:dyDescent="0.35">
      <c r="A1476" s="1">
        <v>37706</v>
      </c>
      <c r="B1476">
        <v>1.34399998188018</v>
      </c>
      <c r="C1476">
        <v>1.39349997043609</v>
      </c>
      <c r="D1476">
        <v>1.33550000190734</v>
      </c>
      <c r="E1476">
        <v>1.38800001144409</v>
      </c>
      <c r="F1476">
        <v>1.38800001144409</v>
      </c>
      <c r="G1476">
        <v>147514000</v>
      </c>
      <c r="H1476">
        <f t="shared" ref="H1476:H1539" si="92">YEAR($A1476)</f>
        <v>2003</v>
      </c>
      <c r="I1476">
        <f t="shared" ref="I1476:I1539" si="93">MONTH($A1476)</f>
        <v>3</v>
      </c>
      <c r="J1476" t="str">
        <f t="shared" ref="J1476:J1539" si="94">TEXT($A1476,"mmm")</f>
        <v>Mar</v>
      </c>
      <c r="K1476" t="str">
        <f t="shared" ref="K1476:K1539" si="95">TEXT($A1476,"ddd")</f>
        <v>Wed</v>
      </c>
    </row>
    <row r="1477" spans="1:11" x14ac:dyDescent="0.35">
      <c r="A1477" s="1">
        <v>37707</v>
      </c>
      <c r="B1477">
        <v>1.37950003147125</v>
      </c>
      <c r="C1477">
        <v>1.40199995040893</v>
      </c>
      <c r="D1477">
        <v>1.3724999427795399</v>
      </c>
      <c r="E1477">
        <v>1.38849997520446</v>
      </c>
      <c r="F1477">
        <v>1.38849997520446</v>
      </c>
      <c r="G1477">
        <v>212842000</v>
      </c>
      <c r="H1477">
        <f t="shared" si="92"/>
        <v>2003</v>
      </c>
      <c r="I1477">
        <f t="shared" si="93"/>
        <v>3</v>
      </c>
      <c r="J1477" t="str">
        <f t="shared" si="94"/>
        <v>Mar</v>
      </c>
      <c r="K1477" t="str">
        <f t="shared" si="95"/>
        <v>Thu</v>
      </c>
    </row>
    <row r="1478" spans="1:11" x14ac:dyDescent="0.35">
      <c r="A1478" s="1">
        <v>37708</v>
      </c>
      <c r="B1478">
        <v>1.37950003147125</v>
      </c>
      <c r="C1478">
        <v>1.39750003814697</v>
      </c>
      <c r="D1478">
        <v>1.3550000190734801</v>
      </c>
      <c r="E1478">
        <v>1.3589999675750699</v>
      </c>
      <c r="F1478">
        <v>1.3589999675750699</v>
      </c>
      <c r="G1478">
        <v>128740000</v>
      </c>
      <c r="H1478">
        <f t="shared" si="92"/>
        <v>2003</v>
      </c>
      <c r="I1478">
        <f t="shared" si="93"/>
        <v>3</v>
      </c>
      <c r="J1478" t="str">
        <f t="shared" si="94"/>
        <v>Mar</v>
      </c>
      <c r="K1478" t="str">
        <f t="shared" si="95"/>
        <v>Fri</v>
      </c>
    </row>
    <row r="1479" spans="1:11" x14ac:dyDescent="0.35">
      <c r="A1479" s="1">
        <v>37711</v>
      </c>
      <c r="B1479">
        <v>1.3285000324249201</v>
      </c>
      <c r="C1479">
        <v>1.3370000123977599</v>
      </c>
      <c r="D1479">
        <v>1.2979999780654901</v>
      </c>
      <c r="E1479">
        <v>1.3014999628067001</v>
      </c>
      <c r="F1479">
        <v>1.3014999628067001</v>
      </c>
      <c r="G1479">
        <v>184296000</v>
      </c>
      <c r="H1479">
        <f t="shared" si="92"/>
        <v>2003</v>
      </c>
      <c r="I1479">
        <f t="shared" si="93"/>
        <v>3</v>
      </c>
      <c r="J1479" t="str">
        <f t="shared" si="94"/>
        <v>Mar</v>
      </c>
      <c r="K1479" t="str">
        <f t="shared" si="95"/>
        <v>Mon</v>
      </c>
    </row>
    <row r="1480" spans="1:11" x14ac:dyDescent="0.35">
      <c r="A1480" s="1">
        <v>37712</v>
      </c>
      <c r="B1480">
        <v>1.2775000333786</v>
      </c>
      <c r="C1480">
        <v>1.2795000076293901</v>
      </c>
      <c r="D1480">
        <v>1.2530000209808301</v>
      </c>
      <c r="E1480">
        <v>1.27699995040893</v>
      </c>
      <c r="F1480">
        <v>1.27699995040893</v>
      </c>
      <c r="G1480">
        <v>195480000</v>
      </c>
      <c r="H1480">
        <f t="shared" si="92"/>
        <v>2003</v>
      </c>
      <c r="I1480">
        <f t="shared" si="93"/>
        <v>4</v>
      </c>
      <c r="J1480" t="str">
        <f t="shared" si="94"/>
        <v>Apr</v>
      </c>
      <c r="K1480" t="str">
        <f t="shared" si="95"/>
        <v>Tue</v>
      </c>
    </row>
    <row r="1481" spans="1:11" x14ac:dyDescent="0.35">
      <c r="A1481" s="1">
        <v>37713</v>
      </c>
      <c r="B1481">
        <v>1.29900002479553</v>
      </c>
      <c r="C1481">
        <v>1.3240000009536701</v>
      </c>
      <c r="D1481">
        <v>1.2920000553131099</v>
      </c>
      <c r="E1481">
        <v>1.3190000057220399</v>
      </c>
      <c r="F1481">
        <v>1.3190000057220399</v>
      </c>
      <c r="G1481">
        <v>132460000</v>
      </c>
      <c r="H1481">
        <f t="shared" si="92"/>
        <v>2003</v>
      </c>
      <c r="I1481">
        <f t="shared" si="93"/>
        <v>4</v>
      </c>
      <c r="J1481" t="str">
        <f t="shared" si="94"/>
        <v>Apr</v>
      </c>
      <c r="K1481" t="str">
        <f t="shared" si="95"/>
        <v>Wed</v>
      </c>
    </row>
    <row r="1482" spans="1:11" x14ac:dyDescent="0.35">
      <c r="A1482" s="1">
        <v>37714</v>
      </c>
      <c r="B1482">
        <v>1.32550001144409</v>
      </c>
      <c r="C1482">
        <v>1.3545000553131099</v>
      </c>
      <c r="D1482">
        <v>1.3009999990463199</v>
      </c>
      <c r="E1482">
        <v>1.3324999809265099</v>
      </c>
      <c r="F1482">
        <v>1.3324999809265099</v>
      </c>
      <c r="G1482">
        <v>146488000</v>
      </c>
      <c r="H1482">
        <f t="shared" si="92"/>
        <v>2003</v>
      </c>
      <c r="I1482">
        <f t="shared" si="93"/>
        <v>4</v>
      </c>
      <c r="J1482" t="str">
        <f t="shared" si="94"/>
        <v>Apr</v>
      </c>
      <c r="K1482" t="str">
        <f t="shared" si="95"/>
        <v>Thu</v>
      </c>
    </row>
    <row r="1483" spans="1:11" x14ac:dyDescent="0.35">
      <c r="A1483" s="1">
        <v>37715</v>
      </c>
      <c r="B1483">
        <v>1.33550000190734</v>
      </c>
      <c r="C1483">
        <v>1.3415000438690099</v>
      </c>
      <c r="D1483">
        <v>1.2975000143051101</v>
      </c>
      <c r="E1483">
        <v>1.3109999895095801</v>
      </c>
      <c r="F1483">
        <v>1.3109999895095801</v>
      </c>
      <c r="G1483">
        <v>121456000</v>
      </c>
      <c r="H1483">
        <f t="shared" si="92"/>
        <v>2003</v>
      </c>
      <c r="I1483">
        <f t="shared" si="93"/>
        <v>4</v>
      </c>
      <c r="J1483" t="str">
        <f t="shared" si="94"/>
        <v>Apr</v>
      </c>
      <c r="K1483" t="str">
        <f t="shared" si="95"/>
        <v>Fri</v>
      </c>
    </row>
    <row r="1484" spans="1:11" x14ac:dyDescent="0.35">
      <c r="A1484" s="1">
        <v>37718</v>
      </c>
      <c r="B1484">
        <v>1.3604999780654901</v>
      </c>
      <c r="C1484">
        <v>1.3780000209808301</v>
      </c>
      <c r="D1484">
        <v>1.3374999761581401</v>
      </c>
      <c r="E1484">
        <v>1.3409999608993499</v>
      </c>
      <c r="F1484">
        <v>1.3409999608993499</v>
      </c>
      <c r="G1484">
        <v>144608000</v>
      </c>
      <c r="H1484">
        <f t="shared" si="92"/>
        <v>2003</v>
      </c>
      <c r="I1484">
        <f t="shared" si="93"/>
        <v>4</v>
      </c>
      <c r="J1484" t="str">
        <f t="shared" si="94"/>
        <v>Apr</v>
      </c>
      <c r="K1484" t="str">
        <f t="shared" si="95"/>
        <v>Mon</v>
      </c>
    </row>
    <row r="1485" spans="1:11" x14ac:dyDescent="0.35">
      <c r="A1485" s="1">
        <v>37719</v>
      </c>
      <c r="B1485">
        <v>1.33949995040893</v>
      </c>
      <c r="C1485">
        <v>1.3400000333786</v>
      </c>
      <c r="D1485">
        <v>1.32249999046325</v>
      </c>
      <c r="E1485">
        <v>1.32599997520446</v>
      </c>
      <c r="F1485">
        <v>1.32599997520446</v>
      </c>
      <c r="G1485">
        <v>108072000</v>
      </c>
      <c r="H1485">
        <f t="shared" si="92"/>
        <v>2003</v>
      </c>
      <c r="I1485">
        <f t="shared" si="93"/>
        <v>4</v>
      </c>
      <c r="J1485" t="str">
        <f t="shared" si="94"/>
        <v>Apr</v>
      </c>
      <c r="K1485" t="str">
        <f t="shared" si="95"/>
        <v>Tue</v>
      </c>
    </row>
    <row r="1486" spans="1:11" x14ac:dyDescent="0.35">
      <c r="A1486" s="1">
        <v>37720</v>
      </c>
      <c r="B1486">
        <v>1.31749999523162</v>
      </c>
      <c r="C1486">
        <v>1.3185000419616699</v>
      </c>
      <c r="D1486">
        <v>1.24199998378753</v>
      </c>
      <c r="E1486">
        <v>1.2530000209808301</v>
      </c>
      <c r="F1486">
        <v>1.2530000209808301</v>
      </c>
      <c r="G1486">
        <v>239178000</v>
      </c>
      <c r="H1486">
        <f t="shared" si="92"/>
        <v>2003</v>
      </c>
      <c r="I1486">
        <f t="shared" si="93"/>
        <v>4</v>
      </c>
      <c r="J1486" t="str">
        <f t="shared" si="94"/>
        <v>Apr</v>
      </c>
      <c r="K1486" t="str">
        <f t="shared" si="95"/>
        <v>Wed</v>
      </c>
    </row>
    <row r="1487" spans="1:11" x14ac:dyDescent="0.35">
      <c r="A1487" s="1">
        <v>37721</v>
      </c>
      <c r="B1487">
        <v>1.27149999141693</v>
      </c>
      <c r="C1487">
        <v>1.2970000505447301</v>
      </c>
      <c r="D1487">
        <v>1.2389999628067001</v>
      </c>
      <c r="E1487">
        <v>1.2834999561309799</v>
      </c>
      <c r="F1487">
        <v>1.2834999561309799</v>
      </c>
      <c r="G1487">
        <v>186224000</v>
      </c>
      <c r="H1487">
        <f t="shared" si="92"/>
        <v>2003</v>
      </c>
      <c r="I1487">
        <f t="shared" si="93"/>
        <v>4</v>
      </c>
      <c r="J1487" t="str">
        <f t="shared" si="94"/>
        <v>Apr</v>
      </c>
      <c r="K1487" t="str">
        <f t="shared" si="95"/>
        <v>Thu</v>
      </c>
    </row>
    <row r="1488" spans="1:11" x14ac:dyDescent="0.35">
      <c r="A1488" s="1">
        <v>37722</v>
      </c>
      <c r="B1488">
        <v>1.2925000190734801</v>
      </c>
      <c r="C1488">
        <v>1.31200003623962</v>
      </c>
      <c r="D1488">
        <v>1.2710000276565501</v>
      </c>
      <c r="E1488">
        <v>1.2875000238418499</v>
      </c>
      <c r="F1488">
        <v>1.2875000238418499</v>
      </c>
      <c r="G1488">
        <v>137980000</v>
      </c>
      <c r="H1488">
        <f t="shared" si="92"/>
        <v>2003</v>
      </c>
      <c r="I1488">
        <f t="shared" si="93"/>
        <v>4</v>
      </c>
      <c r="J1488" t="str">
        <f t="shared" si="94"/>
        <v>Apr</v>
      </c>
      <c r="K1488" t="str">
        <f t="shared" si="95"/>
        <v>Fri</v>
      </c>
    </row>
    <row r="1489" spans="1:11" x14ac:dyDescent="0.35">
      <c r="A1489" s="1">
        <v>37725</v>
      </c>
      <c r="B1489">
        <v>1.2400000095367401</v>
      </c>
      <c r="C1489">
        <v>1.2575000524520801</v>
      </c>
      <c r="D1489">
        <v>1.2250000238418499</v>
      </c>
      <c r="E1489">
        <v>1.2525000572204501</v>
      </c>
      <c r="F1489">
        <v>1.2525000572204501</v>
      </c>
      <c r="G1489">
        <v>208342000</v>
      </c>
      <c r="H1489">
        <f t="shared" si="92"/>
        <v>2003</v>
      </c>
      <c r="I1489">
        <f t="shared" si="93"/>
        <v>4</v>
      </c>
      <c r="J1489" t="str">
        <f t="shared" si="94"/>
        <v>Apr</v>
      </c>
      <c r="K1489" t="str">
        <f t="shared" si="95"/>
        <v>Mon</v>
      </c>
    </row>
    <row r="1490" spans="1:11" x14ac:dyDescent="0.35">
      <c r="A1490" s="1">
        <v>37726</v>
      </c>
      <c r="B1490">
        <v>1.2445000410079901</v>
      </c>
      <c r="C1490">
        <v>1.27149999141693</v>
      </c>
      <c r="D1490">
        <v>1.24100005626678</v>
      </c>
      <c r="E1490">
        <v>1.2565000057220399</v>
      </c>
      <c r="F1490">
        <v>1.2565000057220399</v>
      </c>
      <c r="G1490">
        <v>126828000</v>
      </c>
      <c r="H1490">
        <f t="shared" si="92"/>
        <v>2003</v>
      </c>
      <c r="I1490">
        <f t="shared" si="93"/>
        <v>4</v>
      </c>
      <c r="J1490" t="str">
        <f t="shared" si="94"/>
        <v>Apr</v>
      </c>
      <c r="K1490" t="str">
        <f t="shared" si="95"/>
        <v>Tue</v>
      </c>
    </row>
    <row r="1491" spans="1:11" x14ac:dyDescent="0.35">
      <c r="A1491" s="1">
        <v>37727</v>
      </c>
      <c r="B1491">
        <v>1.2649999856948799</v>
      </c>
      <c r="C1491">
        <v>1.2749999761581401</v>
      </c>
      <c r="D1491">
        <v>1.2065000534057599</v>
      </c>
      <c r="E1491">
        <v>1.21899998188018</v>
      </c>
      <c r="F1491">
        <v>1.21899998188018</v>
      </c>
      <c r="G1491">
        <v>185890000</v>
      </c>
      <c r="H1491">
        <f t="shared" si="92"/>
        <v>2003</v>
      </c>
      <c r="I1491">
        <f t="shared" si="93"/>
        <v>4</v>
      </c>
      <c r="J1491" t="str">
        <f t="shared" si="94"/>
        <v>Apr</v>
      </c>
      <c r="K1491" t="str">
        <f t="shared" si="95"/>
        <v>Wed</v>
      </c>
    </row>
    <row r="1492" spans="1:11" x14ac:dyDescent="0.35">
      <c r="A1492" s="1">
        <v>37728</v>
      </c>
      <c r="B1492">
        <v>1.22350001335144</v>
      </c>
      <c r="C1492">
        <v>1.25049996376037</v>
      </c>
      <c r="D1492">
        <v>1.2174999713897701</v>
      </c>
      <c r="E1492">
        <v>1.24950003623962</v>
      </c>
      <c r="F1492">
        <v>1.24950003623962</v>
      </c>
      <c r="G1492">
        <v>135798000</v>
      </c>
      <c r="H1492">
        <f t="shared" si="92"/>
        <v>2003</v>
      </c>
      <c r="I1492">
        <f t="shared" si="93"/>
        <v>4</v>
      </c>
      <c r="J1492" t="str">
        <f t="shared" si="94"/>
        <v>Apr</v>
      </c>
      <c r="K1492" t="str">
        <f t="shared" si="95"/>
        <v>Thu</v>
      </c>
    </row>
    <row r="1493" spans="1:11" x14ac:dyDescent="0.35">
      <c r="A1493" s="1">
        <v>37732</v>
      </c>
      <c r="B1493">
        <v>1.2515000104904099</v>
      </c>
      <c r="C1493">
        <v>1.30850005149841</v>
      </c>
      <c r="D1493">
        <v>1.24500000476837</v>
      </c>
      <c r="E1493">
        <v>1.26250004768371</v>
      </c>
      <c r="F1493">
        <v>1.26250004768371</v>
      </c>
      <c r="G1493">
        <v>142646000</v>
      </c>
      <c r="H1493">
        <f t="shared" si="92"/>
        <v>2003</v>
      </c>
      <c r="I1493">
        <f t="shared" si="93"/>
        <v>4</v>
      </c>
      <c r="J1493" t="str">
        <f t="shared" si="94"/>
        <v>Apr</v>
      </c>
      <c r="K1493" t="str">
        <f t="shared" si="95"/>
        <v>Mon</v>
      </c>
    </row>
    <row r="1494" spans="1:11" x14ac:dyDescent="0.35">
      <c r="A1494" s="1">
        <v>37733</v>
      </c>
      <c r="B1494">
        <v>1.25450003147125</v>
      </c>
      <c r="C1494">
        <v>1.2845000028610201</v>
      </c>
      <c r="D1494">
        <v>1.24100005626678</v>
      </c>
      <c r="E1494">
        <v>1.2790000438690099</v>
      </c>
      <c r="F1494">
        <v>1.2790000438690099</v>
      </c>
      <c r="G1494">
        <v>137372000</v>
      </c>
      <c r="H1494">
        <f t="shared" si="92"/>
        <v>2003</v>
      </c>
      <c r="I1494">
        <f t="shared" si="93"/>
        <v>4</v>
      </c>
      <c r="J1494" t="str">
        <f t="shared" si="94"/>
        <v>Apr</v>
      </c>
      <c r="K1494" t="str">
        <f t="shared" si="95"/>
        <v>Tue</v>
      </c>
    </row>
    <row r="1495" spans="1:11" x14ac:dyDescent="0.35">
      <c r="A1495" s="1">
        <v>37734</v>
      </c>
      <c r="B1495">
        <v>1.3200000524520801</v>
      </c>
      <c r="C1495">
        <v>1.3274999856948799</v>
      </c>
      <c r="D1495">
        <v>1.26800000667572</v>
      </c>
      <c r="E1495">
        <v>1.27149999141693</v>
      </c>
      <c r="F1495">
        <v>1.27149999141693</v>
      </c>
      <c r="G1495">
        <v>177002000</v>
      </c>
      <c r="H1495">
        <f t="shared" si="92"/>
        <v>2003</v>
      </c>
      <c r="I1495">
        <f t="shared" si="93"/>
        <v>4</v>
      </c>
      <c r="J1495" t="str">
        <f t="shared" si="94"/>
        <v>Apr</v>
      </c>
      <c r="K1495" t="str">
        <f t="shared" si="95"/>
        <v>Wed</v>
      </c>
    </row>
    <row r="1496" spans="1:11" x14ac:dyDescent="0.35">
      <c r="A1496" s="1">
        <v>37735</v>
      </c>
      <c r="B1496">
        <v>1.2699999809265099</v>
      </c>
      <c r="C1496">
        <v>1.3359999656677199</v>
      </c>
      <c r="D1496">
        <v>1.2384999990463199</v>
      </c>
      <c r="E1496">
        <v>1.2560000419616699</v>
      </c>
      <c r="F1496">
        <v>1.2560000419616699</v>
      </c>
      <c r="G1496">
        <v>352066000</v>
      </c>
      <c r="H1496">
        <f t="shared" si="92"/>
        <v>2003</v>
      </c>
      <c r="I1496">
        <f t="shared" si="93"/>
        <v>4</v>
      </c>
      <c r="J1496" t="str">
        <f t="shared" si="94"/>
        <v>Apr</v>
      </c>
      <c r="K1496" t="str">
        <f t="shared" si="95"/>
        <v>Thu</v>
      </c>
    </row>
    <row r="1497" spans="1:11" x14ac:dyDescent="0.35">
      <c r="A1497" s="1">
        <v>37736</v>
      </c>
      <c r="B1497">
        <v>1.3999999761581401</v>
      </c>
      <c r="C1497">
        <v>1.45000004768371</v>
      </c>
      <c r="D1497">
        <v>1.3910000324249201</v>
      </c>
      <c r="E1497">
        <v>1.4485000371932899</v>
      </c>
      <c r="F1497">
        <v>1.4485000371932899</v>
      </c>
      <c r="G1497">
        <v>799448000</v>
      </c>
      <c r="H1497">
        <f t="shared" si="92"/>
        <v>2003</v>
      </c>
      <c r="I1497">
        <f t="shared" si="93"/>
        <v>4</v>
      </c>
      <c r="J1497" t="str">
        <f t="shared" si="94"/>
        <v>Apr</v>
      </c>
      <c r="K1497" t="str">
        <f t="shared" si="95"/>
        <v>Fri</v>
      </c>
    </row>
    <row r="1498" spans="1:11" x14ac:dyDescent="0.35">
      <c r="A1498" s="1">
        <v>37739</v>
      </c>
      <c r="B1498">
        <v>1.4320000410079901</v>
      </c>
      <c r="C1498">
        <v>1.4594999551773</v>
      </c>
      <c r="D1498">
        <v>1.4299999475479099</v>
      </c>
      <c r="E1498">
        <v>1.45550000667572</v>
      </c>
      <c r="F1498">
        <v>1.45550000667572</v>
      </c>
      <c r="G1498">
        <v>316020000</v>
      </c>
      <c r="H1498">
        <f t="shared" si="92"/>
        <v>2003</v>
      </c>
      <c r="I1498">
        <f t="shared" si="93"/>
        <v>4</v>
      </c>
      <c r="J1498" t="str">
        <f t="shared" si="94"/>
        <v>Apr</v>
      </c>
      <c r="K1498" t="str">
        <f t="shared" si="95"/>
        <v>Mon</v>
      </c>
    </row>
    <row r="1499" spans="1:11" x14ac:dyDescent="0.35">
      <c r="A1499" s="1">
        <v>37740</v>
      </c>
      <c r="B1499">
        <v>1.44550001621246</v>
      </c>
      <c r="C1499">
        <v>1.4520000219345</v>
      </c>
      <c r="D1499">
        <v>1.4305000305175699</v>
      </c>
      <c r="E1499">
        <v>1.4444999694824201</v>
      </c>
      <c r="F1499">
        <v>1.4444999694824201</v>
      </c>
      <c r="G1499">
        <v>210528000</v>
      </c>
      <c r="H1499">
        <f t="shared" si="92"/>
        <v>2003</v>
      </c>
      <c r="I1499">
        <f t="shared" si="93"/>
        <v>4</v>
      </c>
      <c r="J1499" t="str">
        <f t="shared" si="94"/>
        <v>Apr</v>
      </c>
      <c r="K1499" t="str">
        <f t="shared" si="95"/>
        <v>Tue</v>
      </c>
    </row>
    <row r="1500" spans="1:11" x14ac:dyDescent="0.35">
      <c r="A1500" s="1">
        <v>37741</v>
      </c>
      <c r="B1500">
        <v>1.4299999475479099</v>
      </c>
      <c r="C1500">
        <v>1.45000004768371</v>
      </c>
      <c r="D1500">
        <v>1.4190000295639</v>
      </c>
      <c r="E1500">
        <v>1.4344999790191599</v>
      </c>
      <c r="F1500">
        <v>1.4344999790191599</v>
      </c>
      <c r="G1500">
        <v>189000000</v>
      </c>
      <c r="H1500">
        <f t="shared" si="92"/>
        <v>2003</v>
      </c>
      <c r="I1500">
        <f t="shared" si="93"/>
        <v>4</v>
      </c>
      <c r="J1500" t="str">
        <f t="shared" si="94"/>
        <v>Apr</v>
      </c>
      <c r="K1500" t="str">
        <f t="shared" si="95"/>
        <v>Wed</v>
      </c>
    </row>
    <row r="1501" spans="1:11" x14ac:dyDescent="0.35">
      <c r="A1501" s="1">
        <v>37742</v>
      </c>
      <c r="B1501">
        <v>1.43400001525878</v>
      </c>
      <c r="C1501">
        <v>1.4349999427795399</v>
      </c>
      <c r="D1501">
        <v>1.4075000286102199</v>
      </c>
      <c r="E1501">
        <v>1.43299996852874</v>
      </c>
      <c r="F1501">
        <v>1.43299996852874</v>
      </c>
      <c r="G1501">
        <v>153784000</v>
      </c>
      <c r="H1501">
        <f t="shared" si="92"/>
        <v>2003</v>
      </c>
      <c r="I1501">
        <f t="shared" si="93"/>
        <v>5</v>
      </c>
      <c r="J1501" t="str">
        <f t="shared" si="94"/>
        <v>May</v>
      </c>
      <c r="K1501" t="str">
        <f t="shared" si="95"/>
        <v>Thu</v>
      </c>
    </row>
    <row r="1502" spans="1:11" x14ac:dyDescent="0.35">
      <c r="A1502" s="1">
        <v>37743</v>
      </c>
      <c r="B1502">
        <v>1.4314999580383301</v>
      </c>
      <c r="C1502">
        <v>1.47249996662139</v>
      </c>
      <c r="D1502">
        <v>1.4275000095367401</v>
      </c>
      <c r="E1502">
        <v>1.4715000391006401</v>
      </c>
      <c r="F1502">
        <v>1.4715000391006401</v>
      </c>
      <c r="G1502">
        <v>197688000</v>
      </c>
      <c r="H1502">
        <f t="shared" si="92"/>
        <v>2003</v>
      </c>
      <c r="I1502">
        <f t="shared" si="93"/>
        <v>5</v>
      </c>
      <c r="J1502" t="str">
        <f t="shared" si="94"/>
        <v>May</v>
      </c>
      <c r="K1502" t="str">
        <f t="shared" si="95"/>
        <v>Fri</v>
      </c>
    </row>
    <row r="1503" spans="1:11" x14ac:dyDescent="0.35">
      <c r="A1503" s="1">
        <v>37746</v>
      </c>
      <c r="B1503">
        <v>1.47350001335144</v>
      </c>
      <c r="C1503">
        <v>1.5025000572204501</v>
      </c>
      <c r="D1503">
        <v>1.45050001144409</v>
      </c>
      <c r="E1503">
        <v>1.4980000257492001</v>
      </c>
      <c r="F1503">
        <v>1.4980000257492001</v>
      </c>
      <c r="G1503">
        <v>222726000</v>
      </c>
      <c r="H1503">
        <f t="shared" si="92"/>
        <v>2003</v>
      </c>
      <c r="I1503">
        <f t="shared" si="93"/>
        <v>5</v>
      </c>
      <c r="J1503" t="str">
        <f t="shared" si="94"/>
        <v>May</v>
      </c>
      <c r="K1503" t="str">
        <f t="shared" si="95"/>
        <v>Mon</v>
      </c>
    </row>
    <row r="1504" spans="1:11" x14ac:dyDescent="0.35">
      <c r="A1504" s="1">
        <v>37747</v>
      </c>
      <c r="B1504">
        <v>1.4934999942779501</v>
      </c>
      <c r="C1504">
        <v>1.55900001525878</v>
      </c>
      <c r="D1504">
        <v>1.4900000095367401</v>
      </c>
      <c r="E1504">
        <v>1.5440000295639</v>
      </c>
      <c r="F1504">
        <v>1.5440000295639</v>
      </c>
      <c r="G1504">
        <v>279248000</v>
      </c>
      <c r="H1504">
        <f t="shared" si="92"/>
        <v>2003</v>
      </c>
      <c r="I1504">
        <f t="shared" si="93"/>
        <v>5</v>
      </c>
      <c r="J1504" t="str">
        <f t="shared" si="94"/>
        <v>May</v>
      </c>
      <c r="K1504" t="str">
        <f t="shared" si="95"/>
        <v>Tue</v>
      </c>
    </row>
    <row r="1505" spans="1:11" x14ac:dyDescent="0.35">
      <c r="A1505" s="1">
        <v>37748</v>
      </c>
      <c r="B1505">
        <v>1.5329999923705999</v>
      </c>
      <c r="C1505">
        <v>1.5429999828338601</v>
      </c>
      <c r="D1505">
        <v>1.5015000104904099</v>
      </c>
      <c r="E1505">
        <v>1.53499996662139</v>
      </c>
      <c r="F1505">
        <v>1.53499996662139</v>
      </c>
      <c r="G1505">
        <v>207036000</v>
      </c>
      <c r="H1505">
        <f t="shared" si="92"/>
        <v>2003</v>
      </c>
      <c r="I1505">
        <f t="shared" si="93"/>
        <v>5</v>
      </c>
      <c r="J1505" t="str">
        <f t="shared" si="94"/>
        <v>May</v>
      </c>
      <c r="K1505" t="str">
        <f t="shared" si="95"/>
        <v>Wed</v>
      </c>
    </row>
    <row r="1506" spans="1:11" x14ac:dyDescent="0.35">
      <c r="A1506" s="1">
        <v>37749</v>
      </c>
      <c r="B1506">
        <v>1.51800000667572</v>
      </c>
      <c r="C1506">
        <v>1.5379999876022299</v>
      </c>
      <c r="D1506">
        <v>1.5110000371932899</v>
      </c>
      <c r="E1506">
        <v>1.52250003814697</v>
      </c>
      <c r="F1506">
        <v>1.52250003814697</v>
      </c>
      <c r="G1506">
        <v>170270000</v>
      </c>
      <c r="H1506">
        <f t="shared" si="92"/>
        <v>2003</v>
      </c>
      <c r="I1506">
        <f t="shared" si="93"/>
        <v>5</v>
      </c>
      <c r="J1506" t="str">
        <f t="shared" si="94"/>
        <v>May</v>
      </c>
      <c r="K1506" t="str">
        <f t="shared" si="95"/>
        <v>Thu</v>
      </c>
    </row>
    <row r="1507" spans="1:11" x14ac:dyDescent="0.35">
      <c r="A1507" s="1">
        <v>37750</v>
      </c>
      <c r="B1507">
        <v>1.52300000190734</v>
      </c>
      <c r="C1507">
        <v>1.5494999885559</v>
      </c>
      <c r="D1507">
        <v>1.50999999046325</v>
      </c>
      <c r="E1507">
        <v>1.5479999780654901</v>
      </c>
      <c r="F1507">
        <v>1.5479999780654901</v>
      </c>
      <c r="G1507">
        <v>119634000</v>
      </c>
      <c r="H1507">
        <f t="shared" si="92"/>
        <v>2003</v>
      </c>
      <c r="I1507">
        <f t="shared" si="93"/>
        <v>5</v>
      </c>
      <c r="J1507" t="str">
        <f t="shared" si="94"/>
        <v>May</v>
      </c>
      <c r="K1507" t="str">
        <f t="shared" si="95"/>
        <v>Fri</v>
      </c>
    </row>
    <row r="1508" spans="1:11" x14ac:dyDescent="0.35">
      <c r="A1508" s="1">
        <v>37753</v>
      </c>
      <c r="B1508">
        <v>1.5414999723434399</v>
      </c>
      <c r="C1508">
        <v>1.5900000333786</v>
      </c>
      <c r="D1508">
        <v>1.5334999561309799</v>
      </c>
      <c r="E1508">
        <v>1.58500003814697</v>
      </c>
      <c r="F1508">
        <v>1.58500003814697</v>
      </c>
      <c r="G1508">
        <v>144938000</v>
      </c>
      <c r="H1508">
        <f t="shared" si="92"/>
        <v>2003</v>
      </c>
      <c r="I1508">
        <f t="shared" si="93"/>
        <v>5</v>
      </c>
      <c r="J1508" t="str">
        <f t="shared" si="94"/>
        <v>May</v>
      </c>
      <c r="K1508" t="str">
        <f t="shared" si="95"/>
        <v>Mon</v>
      </c>
    </row>
    <row r="1509" spans="1:11" x14ac:dyDescent="0.35">
      <c r="A1509" s="1">
        <v>37754</v>
      </c>
      <c r="B1509">
        <v>1.5774999856948799</v>
      </c>
      <c r="C1509">
        <v>1.6744999885559</v>
      </c>
      <c r="D1509">
        <v>1.57200002670288</v>
      </c>
      <c r="E1509">
        <v>1.64750003814697</v>
      </c>
      <c r="F1509">
        <v>1.64750003814697</v>
      </c>
      <c r="G1509">
        <v>316890000</v>
      </c>
      <c r="H1509">
        <f t="shared" si="92"/>
        <v>2003</v>
      </c>
      <c r="I1509">
        <f t="shared" si="93"/>
        <v>5</v>
      </c>
      <c r="J1509" t="str">
        <f t="shared" si="94"/>
        <v>May</v>
      </c>
      <c r="K1509" t="str">
        <f t="shared" si="95"/>
        <v>Tue</v>
      </c>
    </row>
    <row r="1510" spans="1:11" x14ac:dyDescent="0.35">
      <c r="A1510" s="1">
        <v>37755</v>
      </c>
      <c r="B1510">
        <v>1.65699994564056</v>
      </c>
      <c r="C1510">
        <v>1.6595000028610201</v>
      </c>
      <c r="D1510">
        <v>1.6219999790191599</v>
      </c>
      <c r="E1510">
        <v>1.62999999523162</v>
      </c>
      <c r="F1510">
        <v>1.62999999523162</v>
      </c>
      <c r="G1510">
        <v>159864000</v>
      </c>
      <c r="H1510">
        <f t="shared" si="92"/>
        <v>2003</v>
      </c>
      <c r="I1510">
        <f t="shared" si="93"/>
        <v>5</v>
      </c>
      <c r="J1510" t="str">
        <f t="shared" si="94"/>
        <v>May</v>
      </c>
      <c r="K1510" t="str">
        <f t="shared" si="95"/>
        <v>Wed</v>
      </c>
    </row>
    <row r="1511" spans="1:11" x14ac:dyDescent="0.35">
      <c r="A1511" s="1">
        <v>37756</v>
      </c>
      <c r="B1511">
        <v>1.6319999694824201</v>
      </c>
      <c r="C1511">
        <v>1.63750004768371</v>
      </c>
      <c r="D1511">
        <v>1.6100000143051101</v>
      </c>
      <c r="E1511">
        <v>1.6315000057220399</v>
      </c>
      <c r="F1511">
        <v>1.6315000057220399</v>
      </c>
      <c r="G1511">
        <v>103846000</v>
      </c>
      <c r="H1511">
        <f t="shared" si="92"/>
        <v>2003</v>
      </c>
      <c r="I1511">
        <f t="shared" si="93"/>
        <v>5</v>
      </c>
      <c r="J1511" t="str">
        <f t="shared" si="94"/>
        <v>May</v>
      </c>
      <c r="K1511" t="str">
        <f t="shared" si="95"/>
        <v>Thu</v>
      </c>
    </row>
    <row r="1512" spans="1:11" x14ac:dyDescent="0.35">
      <c r="A1512" s="1">
        <v>37757</v>
      </c>
      <c r="B1512">
        <v>1.62549996376037</v>
      </c>
      <c r="C1512">
        <v>1.6579999923705999</v>
      </c>
      <c r="D1512">
        <v>1.6189999580383301</v>
      </c>
      <c r="E1512">
        <v>1.6525000333786</v>
      </c>
      <c r="F1512">
        <v>1.6525000333786</v>
      </c>
      <c r="G1512">
        <v>152882000</v>
      </c>
      <c r="H1512">
        <f t="shared" si="92"/>
        <v>2003</v>
      </c>
      <c r="I1512">
        <f t="shared" si="93"/>
        <v>5</v>
      </c>
      <c r="J1512" t="str">
        <f t="shared" si="94"/>
        <v>May</v>
      </c>
      <c r="K1512" t="str">
        <f t="shared" si="95"/>
        <v>Fri</v>
      </c>
    </row>
    <row r="1513" spans="1:11" x14ac:dyDescent="0.35">
      <c r="A1513" s="1">
        <v>37760</v>
      </c>
      <c r="B1513">
        <v>1.63499999046325</v>
      </c>
      <c r="C1513">
        <v>1.6484999656677199</v>
      </c>
      <c r="D1513">
        <v>1.5700000524520801</v>
      </c>
      <c r="E1513">
        <v>1.5779999494552599</v>
      </c>
      <c r="F1513">
        <v>1.5779999494552599</v>
      </c>
      <c r="G1513">
        <v>195270000</v>
      </c>
      <c r="H1513">
        <f t="shared" si="92"/>
        <v>2003</v>
      </c>
      <c r="I1513">
        <f t="shared" si="93"/>
        <v>5</v>
      </c>
      <c r="J1513" t="str">
        <f t="shared" si="94"/>
        <v>May</v>
      </c>
      <c r="K1513" t="str">
        <f t="shared" si="95"/>
        <v>Mon</v>
      </c>
    </row>
    <row r="1514" spans="1:11" x14ac:dyDescent="0.35">
      <c r="A1514" s="1">
        <v>37761</v>
      </c>
      <c r="B1514">
        <v>1.5779999494552599</v>
      </c>
      <c r="C1514">
        <v>1.6065000295639</v>
      </c>
      <c r="D1514">
        <v>1.55850005149841</v>
      </c>
      <c r="E1514">
        <v>1.5740000009536701</v>
      </c>
      <c r="F1514">
        <v>1.5740000009536701</v>
      </c>
      <c r="G1514">
        <v>161324000</v>
      </c>
      <c r="H1514">
        <f t="shared" si="92"/>
        <v>2003</v>
      </c>
      <c r="I1514">
        <f t="shared" si="93"/>
        <v>5</v>
      </c>
      <c r="J1514" t="str">
        <f t="shared" si="94"/>
        <v>May</v>
      </c>
      <c r="K1514" t="str">
        <f t="shared" si="95"/>
        <v>Tue</v>
      </c>
    </row>
    <row r="1515" spans="1:11" x14ac:dyDescent="0.35">
      <c r="A1515" s="1">
        <v>37762</v>
      </c>
      <c r="B1515">
        <v>1.56700003147125</v>
      </c>
      <c r="C1515">
        <v>1.5920000076293901</v>
      </c>
      <c r="D1515">
        <v>1.55799996852874</v>
      </c>
      <c r="E1515">
        <v>1.5874999761581401</v>
      </c>
      <c r="F1515">
        <v>1.5874999761581401</v>
      </c>
      <c r="G1515">
        <v>104006000</v>
      </c>
      <c r="H1515">
        <f t="shared" si="92"/>
        <v>2003</v>
      </c>
      <c r="I1515">
        <f t="shared" si="93"/>
        <v>5</v>
      </c>
      <c r="J1515" t="str">
        <f t="shared" si="94"/>
        <v>May</v>
      </c>
      <c r="K1515" t="str">
        <f t="shared" si="95"/>
        <v>Wed</v>
      </c>
    </row>
    <row r="1516" spans="1:11" x14ac:dyDescent="0.35">
      <c r="A1516" s="1">
        <v>37763</v>
      </c>
      <c r="B1516">
        <v>1.5874999761581401</v>
      </c>
      <c r="C1516">
        <v>1.66449999809265</v>
      </c>
      <c r="D1516">
        <v>1.5644999742507899</v>
      </c>
      <c r="E1516">
        <v>1.6499999761581401</v>
      </c>
      <c r="F1516">
        <v>1.6499999761581401</v>
      </c>
      <c r="G1516">
        <v>169798000</v>
      </c>
      <c r="H1516">
        <f t="shared" si="92"/>
        <v>2003</v>
      </c>
      <c r="I1516">
        <f t="shared" si="93"/>
        <v>5</v>
      </c>
      <c r="J1516" t="str">
        <f t="shared" si="94"/>
        <v>May</v>
      </c>
      <c r="K1516" t="str">
        <f t="shared" si="95"/>
        <v>Thu</v>
      </c>
    </row>
    <row r="1517" spans="1:11" x14ac:dyDescent="0.35">
      <c r="A1517" s="1">
        <v>37764</v>
      </c>
      <c r="B1517">
        <v>1.65149998664855</v>
      </c>
      <c r="C1517">
        <v>1.6525000333786</v>
      </c>
      <c r="D1517">
        <v>1.6234999895095801</v>
      </c>
      <c r="E1517">
        <v>1.6360000371932899</v>
      </c>
      <c r="F1517">
        <v>1.6360000371932899</v>
      </c>
      <c r="G1517">
        <v>141264000</v>
      </c>
      <c r="H1517">
        <f t="shared" si="92"/>
        <v>2003</v>
      </c>
      <c r="I1517">
        <f t="shared" si="93"/>
        <v>5</v>
      </c>
      <c r="J1517" t="str">
        <f t="shared" si="94"/>
        <v>May</v>
      </c>
      <c r="K1517" t="str">
        <f t="shared" si="95"/>
        <v>Fri</v>
      </c>
    </row>
    <row r="1518" spans="1:11" x14ac:dyDescent="0.35">
      <c r="A1518" s="1">
        <v>37768</v>
      </c>
      <c r="B1518">
        <v>1.6275000572204501</v>
      </c>
      <c r="C1518">
        <v>1.7515000104904099</v>
      </c>
      <c r="D1518">
        <v>1.6224999427795399</v>
      </c>
      <c r="E1518">
        <v>1.7424999475479099</v>
      </c>
      <c r="F1518">
        <v>1.7424999475479099</v>
      </c>
      <c r="G1518">
        <v>244508000</v>
      </c>
      <c r="H1518">
        <f t="shared" si="92"/>
        <v>2003</v>
      </c>
      <c r="I1518">
        <f t="shared" si="93"/>
        <v>5</v>
      </c>
      <c r="J1518" t="str">
        <f t="shared" si="94"/>
        <v>May</v>
      </c>
      <c r="K1518" t="str">
        <f t="shared" si="95"/>
        <v>Tue</v>
      </c>
    </row>
    <row r="1519" spans="1:11" x14ac:dyDescent="0.35">
      <c r="A1519" s="1">
        <v>37769</v>
      </c>
      <c r="B1519">
        <v>1.7439999580383301</v>
      </c>
      <c r="C1519">
        <v>1.78649997711181</v>
      </c>
      <c r="D1519">
        <v>1.73249995708465</v>
      </c>
      <c r="E1519">
        <v>1.7430000305175699</v>
      </c>
      <c r="F1519">
        <v>1.7430000305175699</v>
      </c>
      <c r="G1519">
        <v>181062000</v>
      </c>
      <c r="H1519">
        <f t="shared" si="92"/>
        <v>2003</v>
      </c>
      <c r="I1519">
        <f t="shared" si="93"/>
        <v>5</v>
      </c>
      <c r="J1519" t="str">
        <f t="shared" si="94"/>
        <v>May</v>
      </c>
      <c r="K1519" t="str">
        <f t="shared" si="95"/>
        <v>Wed</v>
      </c>
    </row>
    <row r="1520" spans="1:11" x14ac:dyDescent="0.35">
      <c r="A1520" s="1">
        <v>37770</v>
      </c>
      <c r="B1520">
        <v>1.7445000410079901</v>
      </c>
      <c r="C1520">
        <v>1.79849994182586</v>
      </c>
      <c r="D1520">
        <v>1.7350000143051101</v>
      </c>
      <c r="E1520">
        <v>1.7775000333786</v>
      </c>
      <c r="F1520">
        <v>1.7775000333786</v>
      </c>
      <c r="G1520">
        <v>186832000</v>
      </c>
      <c r="H1520">
        <f t="shared" si="92"/>
        <v>2003</v>
      </c>
      <c r="I1520">
        <f t="shared" si="93"/>
        <v>5</v>
      </c>
      <c r="J1520" t="str">
        <f t="shared" si="94"/>
        <v>May</v>
      </c>
      <c r="K1520" t="str">
        <f t="shared" si="95"/>
        <v>Thu</v>
      </c>
    </row>
    <row r="1521" spans="1:11" x14ac:dyDescent="0.35">
      <c r="A1521" s="1">
        <v>37771</v>
      </c>
      <c r="B1521">
        <v>1.78050005435943</v>
      </c>
      <c r="C1521">
        <v>1.80449998378753</v>
      </c>
      <c r="D1521">
        <v>1.75</v>
      </c>
      <c r="E1521">
        <v>1.79449999332427</v>
      </c>
      <c r="F1521">
        <v>1.79449999332427</v>
      </c>
      <c r="G1521">
        <v>203806000</v>
      </c>
      <c r="H1521">
        <f t="shared" si="92"/>
        <v>2003</v>
      </c>
      <c r="I1521">
        <f t="shared" si="93"/>
        <v>5</v>
      </c>
      <c r="J1521" t="str">
        <f t="shared" si="94"/>
        <v>May</v>
      </c>
      <c r="K1521" t="str">
        <f t="shared" si="95"/>
        <v>Fri</v>
      </c>
    </row>
    <row r="1522" spans="1:11" x14ac:dyDescent="0.35">
      <c r="A1522" s="1">
        <v>37774</v>
      </c>
      <c r="B1522">
        <v>1.82500004768371</v>
      </c>
      <c r="C1522">
        <v>1.83399999141693</v>
      </c>
      <c r="D1522">
        <v>1.76750004291534</v>
      </c>
      <c r="E1522">
        <v>1.7699999809265099</v>
      </c>
      <c r="F1522">
        <v>1.7699999809265099</v>
      </c>
      <c r="G1522">
        <v>191054000</v>
      </c>
      <c r="H1522">
        <f t="shared" si="92"/>
        <v>2003</v>
      </c>
      <c r="I1522">
        <f t="shared" si="93"/>
        <v>6</v>
      </c>
      <c r="J1522" t="str">
        <f t="shared" si="94"/>
        <v>Jun</v>
      </c>
      <c r="K1522" t="str">
        <f t="shared" si="95"/>
        <v>Mon</v>
      </c>
    </row>
    <row r="1523" spans="1:11" x14ac:dyDescent="0.35">
      <c r="A1523" s="1">
        <v>37775</v>
      </c>
      <c r="B1523">
        <v>1.7354999780654901</v>
      </c>
      <c r="C1523">
        <v>1.7654999494552599</v>
      </c>
      <c r="D1523">
        <v>1.7339999675750699</v>
      </c>
      <c r="E1523">
        <v>1.7615000009536701</v>
      </c>
      <c r="F1523">
        <v>1.7615000009536701</v>
      </c>
      <c r="G1523">
        <v>201918000</v>
      </c>
      <c r="H1523">
        <f t="shared" si="92"/>
        <v>2003</v>
      </c>
      <c r="I1523">
        <f t="shared" si="93"/>
        <v>6</v>
      </c>
      <c r="J1523" t="str">
        <f t="shared" si="94"/>
        <v>Jun</v>
      </c>
      <c r="K1523" t="str">
        <f t="shared" si="95"/>
        <v>Tue</v>
      </c>
    </row>
    <row r="1524" spans="1:11" x14ac:dyDescent="0.35">
      <c r="A1524" s="1">
        <v>37776</v>
      </c>
      <c r="B1524">
        <v>1.75</v>
      </c>
      <c r="C1524">
        <v>1.7799999713897701</v>
      </c>
      <c r="D1524">
        <v>1.7350000143051101</v>
      </c>
      <c r="E1524">
        <v>1.7695000171661299</v>
      </c>
      <c r="F1524">
        <v>1.7695000171661299</v>
      </c>
      <c r="G1524">
        <v>186668000</v>
      </c>
      <c r="H1524">
        <f t="shared" si="92"/>
        <v>2003</v>
      </c>
      <c r="I1524">
        <f t="shared" si="93"/>
        <v>6</v>
      </c>
      <c r="J1524" t="str">
        <f t="shared" si="94"/>
        <v>Jun</v>
      </c>
      <c r="K1524" t="str">
        <f t="shared" si="95"/>
        <v>Wed</v>
      </c>
    </row>
    <row r="1525" spans="1:11" x14ac:dyDescent="0.35">
      <c r="A1525" s="1">
        <v>37777</v>
      </c>
      <c r="B1525">
        <v>1.75800001621246</v>
      </c>
      <c r="C1525">
        <v>1.7920000553131099</v>
      </c>
      <c r="D1525">
        <v>1.7304999828338601</v>
      </c>
      <c r="E1525">
        <v>1.77600002288818</v>
      </c>
      <c r="F1525">
        <v>1.77600002288818</v>
      </c>
      <c r="G1525">
        <v>143874000</v>
      </c>
      <c r="H1525">
        <f t="shared" si="92"/>
        <v>2003</v>
      </c>
      <c r="I1525">
        <f t="shared" si="93"/>
        <v>6</v>
      </c>
      <c r="J1525" t="str">
        <f t="shared" si="94"/>
        <v>Jun</v>
      </c>
      <c r="K1525" t="str">
        <f t="shared" si="95"/>
        <v>Thu</v>
      </c>
    </row>
    <row r="1526" spans="1:11" x14ac:dyDescent="0.35">
      <c r="A1526" s="1">
        <v>37778</v>
      </c>
      <c r="B1526">
        <v>1.8020000457763601</v>
      </c>
      <c r="C1526">
        <v>1.81299996376037</v>
      </c>
      <c r="D1526">
        <v>1.6625000238418499</v>
      </c>
      <c r="E1526">
        <v>1.6675000190734801</v>
      </c>
      <c r="F1526">
        <v>1.6675000190734801</v>
      </c>
      <c r="G1526">
        <v>227618000</v>
      </c>
      <c r="H1526">
        <f t="shared" si="92"/>
        <v>2003</v>
      </c>
      <c r="I1526">
        <f t="shared" si="93"/>
        <v>6</v>
      </c>
      <c r="J1526" t="str">
        <f t="shared" si="94"/>
        <v>Jun</v>
      </c>
      <c r="K1526" t="str">
        <f t="shared" si="95"/>
        <v>Fri</v>
      </c>
    </row>
    <row r="1527" spans="1:11" x14ac:dyDescent="0.35">
      <c r="A1527" s="1">
        <v>37781</v>
      </c>
      <c r="B1527">
        <v>1.72350001335144</v>
      </c>
      <c r="C1527">
        <v>1.72350001335144</v>
      </c>
      <c r="D1527">
        <v>1.6540000438690099</v>
      </c>
      <c r="E1527">
        <v>1.68400001525878</v>
      </c>
      <c r="F1527">
        <v>1.68400001525878</v>
      </c>
      <c r="G1527">
        <v>168768000</v>
      </c>
      <c r="H1527">
        <f t="shared" si="92"/>
        <v>2003</v>
      </c>
      <c r="I1527">
        <f t="shared" si="93"/>
        <v>6</v>
      </c>
      <c r="J1527" t="str">
        <f t="shared" si="94"/>
        <v>Jun</v>
      </c>
      <c r="K1527" t="str">
        <f t="shared" si="95"/>
        <v>Mon</v>
      </c>
    </row>
    <row r="1528" spans="1:11" x14ac:dyDescent="0.35">
      <c r="A1528" s="1">
        <v>37782</v>
      </c>
      <c r="B1528">
        <v>1.70099997520446</v>
      </c>
      <c r="C1528">
        <v>1.71899998188018</v>
      </c>
      <c r="D1528">
        <v>1.6414999961853001</v>
      </c>
      <c r="E1528">
        <v>1.7035000324249201</v>
      </c>
      <c r="F1528">
        <v>1.7035000324249201</v>
      </c>
      <c r="G1528">
        <v>193272000</v>
      </c>
      <c r="H1528">
        <f t="shared" si="92"/>
        <v>2003</v>
      </c>
      <c r="I1528">
        <f t="shared" si="93"/>
        <v>6</v>
      </c>
      <c r="J1528" t="str">
        <f t="shared" si="94"/>
        <v>Jun</v>
      </c>
      <c r="K1528" t="str">
        <f t="shared" si="95"/>
        <v>Tue</v>
      </c>
    </row>
    <row r="1529" spans="1:11" x14ac:dyDescent="0.35">
      <c r="A1529" s="1">
        <v>37783</v>
      </c>
      <c r="B1529">
        <v>1.6985000371932899</v>
      </c>
      <c r="C1529">
        <v>1.74049997329711</v>
      </c>
      <c r="D1529">
        <v>1.6799999475479099</v>
      </c>
      <c r="E1529">
        <v>1.73249995708465</v>
      </c>
      <c r="F1529">
        <v>1.73249995708465</v>
      </c>
      <c r="G1529">
        <v>154928000</v>
      </c>
      <c r="H1529">
        <f t="shared" si="92"/>
        <v>2003</v>
      </c>
      <c r="I1529">
        <f t="shared" si="93"/>
        <v>6</v>
      </c>
      <c r="J1529" t="str">
        <f t="shared" si="94"/>
        <v>Jun</v>
      </c>
      <c r="K1529" t="str">
        <f t="shared" si="95"/>
        <v>Wed</v>
      </c>
    </row>
    <row r="1530" spans="1:11" x14ac:dyDescent="0.35">
      <c r="A1530" s="1">
        <v>37784</v>
      </c>
      <c r="B1530">
        <v>1.7649999856948799</v>
      </c>
      <c r="C1530">
        <v>1.7699999809265099</v>
      </c>
      <c r="D1530">
        <v>1.7354999780654901</v>
      </c>
      <c r="E1530">
        <v>1.75999999046325</v>
      </c>
      <c r="F1530">
        <v>1.75999999046325</v>
      </c>
      <c r="G1530">
        <v>140650000</v>
      </c>
      <c r="H1530">
        <f t="shared" si="92"/>
        <v>2003</v>
      </c>
      <c r="I1530">
        <f t="shared" si="93"/>
        <v>6</v>
      </c>
      <c r="J1530" t="str">
        <f t="shared" si="94"/>
        <v>Jun</v>
      </c>
      <c r="K1530" t="str">
        <f t="shared" si="95"/>
        <v>Thu</v>
      </c>
    </row>
    <row r="1531" spans="1:11" x14ac:dyDescent="0.35">
      <c r="A1531" s="1">
        <v>37785</v>
      </c>
      <c r="B1531">
        <v>1.7699999809265099</v>
      </c>
      <c r="C1531">
        <v>1.77250003814697</v>
      </c>
      <c r="D1531">
        <v>1.7024999856948799</v>
      </c>
      <c r="E1531">
        <v>1.7065000534057599</v>
      </c>
      <c r="F1531">
        <v>1.7065000534057599</v>
      </c>
      <c r="G1531">
        <v>120236000</v>
      </c>
      <c r="H1531">
        <f t="shared" si="92"/>
        <v>2003</v>
      </c>
      <c r="I1531">
        <f t="shared" si="93"/>
        <v>6</v>
      </c>
      <c r="J1531" t="str">
        <f t="shared" si="94"/>
        <v>Jun</v>
      </c>
      <c r="K1531" t="str">
        <f t="shared" si="95"/>
        <v>Fri</v>
      </c>
    </row>
    <row r="1532" spans="1:11" x14ac:dyDescent="0.35">
      <c r="A1532" s="1">
        <v>37788</v>
      </c>
      <c r="B1532">
        <v>1.72850000858306</v>
      </c>
      <c r="C1532">
        <v>1.7925000190734801</v>
      </c>
      <c r="D1532">
        <v>1.7039999961853001</v>
      </c>
      <c r="E1532">
        <v>1.7920000553131099</v>
      </c>
      <c r="F1532">
        <v>1.7920000553131099</v>
      </c>
      <c r="G1532">
        <v>142558000</v>
      </c>
      <c r="H1532">
        <f t="shared" si="92"/>
        <v>2003</v>
      </c>
      <c r="I1532">
        <f t="shared" si="93"/>
        <v>6</v>
      </c>
      <c r="J1532" t="str">
        <f t="shared" si="94"/>
        <v>Jun</v>
      </c>
      <c r="K1532" t="str">
        <f t="shared" si="95"/>
        <v>Mon</v>
      </c>
    </row>
    <row r="1533" spans="1:11" x14ac:dyDescent="0.35">
      <c r="A1533" s="1">
        <v>37789</v>
      </c>
      <c r="B1533">
        <v>1.7964999675750699</v>
      </c>
      <c r="C1533">
        <v>1.8185000419616699</v>
      </c>
      <c r="D1533">
        <v>1.76250004768371</v>
      </c>
      <c r="E1533">
        <v>1.7920000553131099</v>
      </c>
      <c r="F1533">
        <v>1.7920000553131099</v>
      </c>
      <c r="G1533">
        <v>164998000</v>
      </c>
      <c r="H1533">
        <f t="shared" si="92"/>
        <v>2003</v>
      </c>
      <c r="I1533">
        <f t="shared" si="93"/>
        <v>6</v>
      </c>
      <c r="J1533" t="str">
        <f t="shared" si="94"/>
        <v>Jun</v>
      </c>
      <c r="K1533" t="str">
        <f t="shared" si="95"/>
        <v>Tue</v>
      </c>
    </row>
    <row r="1534" spans="1:11" x14ac:dyDescent="0.35">
      <c r="A1534" s="1">
        <v>37790</v>
      </c>
      <c r="B1534">
        <v>1.7749999761581401</v>
      </c>
      <c r="C1534">
        <v>1.8619999885559</v>
      </c>
      <c r="D1534">
        <v>1.76750004291534</v>
      </c>
      <c r="E1534">
        <v>1.7925000190734801</v>
      </c>
      <c r="F1534">
        <v>1.7925000190734801</v>
      </c>
      <c r="G1534">
        <v>224136000</v>
      </c>
      <c r="H1534">
        <f t="shared" si="92"/>
        <v>2003</v>
      </c>
      <c r="I1534">
        <f t="shared" si="93"/>
        <v>6</v>
      </c>
      <c r="J1534" t="str">
        <f t="shared" si="94"/>
        <v>Jun</v>
      </c>
      <c r="K1534" t="str">
        <f t="shared" si="95"/>
        <v>Wed</v>
      </c>
    </row>
    <row r="1535" spans="1:11" x14ac:dyDescent="0.35">
      <c r="A1535" s="1">
        <v>37791</v>
      </c>
      <c r="B1535">
        <v>1.78999996185302</v>
      </c>
      <c r="C1535">
        <v>1.8374999761581401</v>
      </c>
      <c r="D1535">
        <v>1.7690000534057599</v>
      </c>
      <c r="E1535">
        <v>1.7749999761581401</v>
      </c>
      <c r="F1535">
        <v>1.7749999761581401</v>
      </c>
      <c r="G1535">
        <v>119762000</v>
      </c>
      <c r="H1535">
        <f t="shared" si="92"/>
        <v>2003</v>
      </c>
      <c r="I1535">
        <f t="shared" si="93"/>
        <v>6</v>
      </c>
      <c r="J1535" t="str">
        <f t="shared" si="94"/>
        <v>Jun</v>
      </c>
      <c r="K1535" t="str">
        <f t="shared" si="95"/>
        <v>Thu</v>
      </c>
    </row>
    <row r="1536" spans="1:11" x14ac:dyDescent="0.35">
      <c r="A1536" s="1">
        <v>37792</v>
      </c>
      <c r="B1536">
        <v>1.78999996185302</v>
      </c>
      <c r="C1536">
        <v>1.7940000295639</v>
      </c>
      <c r="D1536">
        <v>1.74199998378753</v>
      </c>
      <c r="E1536">
        <v>1.7519999742507899</v>
      </c>
      <c r="F1536">
        <v>1.7519999742507899</v>
      </c>
      <c r="G1536">
        <v>140250000</v>
      </c>
      <c r="H1536">
        <f t="shared" si="92"/>
        <v>2003</v>
      </c>
      <c r="I1536">
        <f t="shared" si="93"/>
        <v>6</v>
      </c>
      <c r="J1536" t="str">
        <f t="shared" si="94"/>
        <v>Jun</v>
      </c>
      <c r="K1536" t="str">
        <f t="shared" si="95"/>
        <v>Fri</v>
      </c>
    </row>
    <row r="1537" spans="1:11" x14ac:dyDescent="0.35">
      <c r="A1537" s="1">
        <v>37795</v>
      </c>
      <c r="B1537">
        <v>1.7740000486373899</v>
      </c>
      <c r="C1537">
        <v>1.7929999828338601</v>
      </c>
      <c r="D1537">
        <v>1.7515000104904099</v>
      </c>
      <c r="E1537">
        <v>1.7790000438690099</v>
      </c>
      <c r="F1537">
        <v>1.7790000438690099</v>
      </c>
      <c r="G1537">
        <v>168146000</v>
      </c>
      <c r="H1537">
        <f t="shared" si="92"/>
        <v>2003</v>
      </c>
      <c r="I1537">
        <f t="shared" si="93"/>
        <v>6</v>
      </c>
      <c r="J1537" t="str">
        <f t="shared" si="94"/>
        <v>Jun</v>
      </c>
      <c r="K1537" t="str">
        <f t="shared" si="95"/>
        <v>Mon</v>
      </c>
    </row>
    <row r="1538" spans="1:11" x14ac:dyDescent="0.35">
      <c r="A1538" s="1">
        <v>37796</v>
      </c>
      <c r="B1538">
        <v>1.76849997043609</v>
      </c>
      <c r="C1538">
        <v>1.79100000858306</v>
      </c>
      <c r="D1538">
        <v>1.72699999809265</v>
      </c>
      <c r="E1538">
        <v>1.7699999809265099</v>
      </c>
      <c r="F1538">
        <v>1.7699999809265099</v>
      </c>
      <c r="G1538">
        <v>163544000</v>
      </c>
      <c r="H1538">
        <f t="shared" si="92"/>
        <v>2003</v>
      </c>
      <c r="I1538">
        <f t="shared" si="93"/>
        <v>6</v>
      </c>
      <c r="J1538" t="str">
        <f t="shared" si="94"/>
        <v>Jun</v>
      </c>
      <c r="K1538" t="str">
        <f t="shared" si="95"/>
        <v>Tue</v>
      </c>
    </row>
    <row r="1539" spans="1:11" x14ac:dyDescent="0.35">
      <c r="A1539" s="1">
        <v>37797</v>
      </c>
      <c r="B1539">
        <v>1.7649999856948799</v>
      </c>
      <c r="C1539">
        <v>1.8064999580383301</v>
      </c>
      <c r="D1539">
        <v>1.7575000524520801</v>
      </c>
      <c r="E1539">
        <v>1.7695000171661299</v>
      </c>
      <c r="F1539">
        <v>1.7695000171661299</v>
      </c>
      <c r="G1539">
        <v>133180000</v>
      </c>
      <c r="H1539">
        <f t="shared" si="92"/>
        <v>2003</v>
      </c>
      <c r="I1539">
        <f t="shared" si="93"/>
        <v>6</v>
      </c>
      <c r="J1539" t="str">
        <f t="shared" si="94"/>
        <v>Jun</v>
      </c>
      <c r="K1539" t="str">
        <f t="shared" si="95"/>
        <v>Wed</v>
      </c>
    </row>
    <row r="1540" spans="1:11" x14ac:dyDescent="0.35">
      <c r="A1540" s="1">
        <v>37798</v>
      </c>
      <c r="B1540">
        <v>1.7604999542236299</v>
      </c>
      <c r="C1540">
        <v>1.8420000076293901</v>
      </c>
      <c r="D1540">
        <v>1.7530000209808301</v>
      </c>
      <c r="E1540">
        <v>1.8359999656677199</v>
      </c>
      <c r="F1540">
        <v>1.8359999656677199</v>
      </c>
      <c r="G1540">
        <v>205848000</v>
      </c>
      <c r="H1540">
        <f t="shared" ref="H1540:H1603" si="96">YEAR($A1540)</f>
        <v>2003</v>
      </c>
      <c r="I1540">
        <f t="shared" ref="I1540:I1603" si="97">MONTH($A1540)</f>
        <v>6</v>
      </c>
      <c r="J1540" t="str">
        <f t="shared" ref="J1540:J1603" si="98">TEXT($A1540,"mmm")</f>
        <v>Jun</v>
      </c>
      <c r="K1540" t="str">
        <f t="shared" ref="K1540:K1603" si="99">TEXT($A1540,"ddd")</f>
        <v>Thu</v>
      </c>
    </row>
    <row r="1541" spans="1:11" x14ac:dyDescent="0.35">
      <c r="A1541" s="1">
        <v>37799</v>
      </c>
      <c r="B1541">
        <v>1.8344999551773</v>
      </c>
      <c r="C1541">
        <v>1.8545000553131099</v>
      </c>
      <c r="D1541">
        <v>1.80900001525878</v>
      </c>
      <c r="E1541">
        <v>1.8150000572204501</v>
      </c>
      <c r="F1541">
        <v>1.8150000572204501</v>
      </c>
      <c r="G1541">
        <v>135130000</v>
      </c>
      <c r="H1541">
        <f t="shared" si="96"/>
        <v>2003</v>
      </c>
      <c r="I1541">
        <f t="shared" si="97"/>
        <v>6</v>
      </c>
      <c r="J1541" t="str">
        <f t="shared" si="98"/>
        <v>Jun</v>
      </c>
      <c r="K1541" t="str">
        <f t="shared" si="99"/>
        <v>Fri</v>
      </c>
    </row>
    <row r="1542" spans="1:11" x14ac:dyDescent="0.35">
      <c r="A1542" s="1">
        <v>37802</v>
      </c>
      <c r="B1542">
        <v>1.8315000534057599</v>
      </c>
      <c r="C1542">
        <v>1.8409999608993499</v>
      </c>
      <c r="D1542">
        <v>1.8009999990463199</v>
      </c>
      <c r="E1542">
        <v>1.81599998474121</v>
      </c>
      <c r="F1542">
        <v>1.81599998474121</v>
      </c>
      <c r="G1542">
        <v>102878000</v>
      </c>
      <c r="H1542">
        <f t="shared" si="96"/>
        <v>2003</v>
      </c>
      <c r="I1542">
        <f t="shared" si="97"/>
        <v>6</v>
      </c>
      <c r="J1542" t="str">
        <f t="shared" si="98"/>
        <v>Jun</v>
      </c>
      <c r="K1542" t="str">
        <f t="shared" si="99"/>
        <v>Mon</v>
      </c>
    </row>
    <row r="1543" spans="1:11" x14ac:dyDescent="0.35">
      <c r="A1543" s="1">
        <v>37803</v>
      </c>
      <c r="B1543">
        <v>1.81649994850158</v>
      </c>
      <c r="C1543">
        <v>1.8645000457763601</v>
      </c>
      <c r="D1543">
        <v>1.78499996662139</v>
      </c>
      <c r="E1543">
        <v>1.86249995231628</v>
      </c>
      <c r="F1543">
        <v>1.86249995231628</v>
      </c>
      <c r="G1543">
        <v>144856000</v>
      </c>
      <c r="H1543">
        <f t="shared" si="96"/>
        <v>2003</v>
      </c>
      <c r="I1543">
        <f t="shared" si="97"/>
        <v>7</v>
      </c>
      <c r="J1543" t="str">
        <f t="shared" si="98"/>
        <v>Jul</v>
      </c>
      <c r="K1543" t="str">
        <f t="shared" si="99"/>
        <v>Tue</v>
      </c>
    </row>
    <row r="1544" spans="1:11" x14ac:dyDescent="0.35">
      <c r="A1544" s="1">
        <v>37804</v>
      </c>
      <c r="B1544">
        <v>1.87999999523162</v>
      </c>
      <c r="C1544">
        <v>1.8945000171661299</v>
      </c>
      <c r="D1544">
        <v>1.85699999332427</v>
      </c>
      <c r="E1544">
        <v>1.89250004291534</v>
      </c>
      <c r="F1544">
        <v>1.89250004291534</v>
      </c>
      <c r="G1544">
        <v>121722000</v>
      </c>
      <c r="H1544">
        <f t="shared" si="96"/>
        <v>2003</v>
      </c>
      <c r="I1544">
        <f t="shared" si="97"/>
        <v>7</v>
      </c>
      <c r="J1544" t="str">
        <f t="shared" si="98"/>
        <v>Jul</v>
      </c>
      <c r="K1544" t="str">
        <f t="shared" si="99"/>
        <v>Wed</v>
      </c>
    </row>
    <row r="1545" spans="1:11" x14ac:dyDescent="0.35">
      <c r="A1545" s="1">
        <v>37805</v>
      </c>
      <c r="B1545">
        <v>1.8509999513626001</v>
      </c>
      <c r="C1545">
        <v>1.9079999923705999</v>
      </c>
      <c r="D1545">
        <v>1.8509999513626001</v>
      </c>
      <c r="E1545">
        <v>1.8960000276565501</v>
      </c>
      <c r="F1545">
        <v>1.8960000276565501</v>
      </c>
      <c r="G1545">
        <v>76920000</v>
      </c>
      <c r="H1545">
        <f t="shared" si="96"/>
        <v>2003</v>
      </c>
      <c r="I1545">
        <f t="shared" si="97"/>
        <v>7</v>
      </c>
      <c r="J1545" t="str">
        <f t="shared" si="98"/>
        <v>Jul</v>
      </c>
      <c r="K1545" t="str">
        <f t="shared" si="99"/>
        <v>Thu</v>
      </c>
    </row>
    <row r="1546" spans="1:11" x14ac:dyDescent="0.35">
      <c r="A1546" s="1">
        <v>37809</v>
      </c>
      <c r="B1546">
        <v>1.91499996185302</v>
      </c>
      <c r="C1546">
        <v>1.95500004291534</v>
      </c>
      <c r="D1546">
        <v>1.89750003814697</v>
      </c>
      <c r="E1546">
        <v>1.9524999856948799</v>
      </c>
      <c r="F1546">
        <v>1.9524999856948799</v>
      </c>
      <c r="G1546">
        <v>133946000</v>
      </c>
      <c r="H1546">
        <f t="shared" si="96"/>
        <v>2003</v>
      </c>
      <c r="I1546">
        <f t="shared" si="97"/>
        <v>7</v>
      </c>
      <c r="J1546" t="str">
        <f t="shared" si="98"/>
        <v>Jul</v>
      </c>
      <c r="K1546" t="str">
        <f t="shared" si="99"/>
        <v>Mon</v>
      </c>
    </row>
    <row r="1547" spans="1:11" x14ac:dyDescent="0.35">
      <c r="A1547" s="1">
        <v>37810</v>
      </c>
      <c r="B1547">
        <v>1.93799996376037</v>
      </c>
      <c r="C1547">
        <v>2.0415000915527299</v>
      </c>
      <c r="D1547">
        <v>1.9375</v>
      </c>
      <c r="E1547">
        <v>2.0255000591278001</v>
      </c>
      <c r="F1547">
        <v>2.0255000591278001</v>
      </c>
      <c r="G1547">
        <v>242908000</v>
      </c>
      <c r="H1547">
        <f t="shared" si="96"/>
        <v>2003</v>
      </c>
      <c r="I1547">
        <f t="shared" si="97"/>
        <v>7</v>
      </c>
      <c r="J1547" t="str">
        <f t="shared" si="98"/>
        <v>Jul</v>
      </c>
      <c r="K1547" t="str">
        <f t="shared" si="99"/>
        <v>Tue</v>
      </c>
    </row>
    <row r="1548" spans="1:11" x14ac:dyDescent="0.35">
      <c r="A1548" s="1">
        <v>37811</v>
      </c>
      <c r="B1548">
        <v>2.0269999504089302</v>
      </c>
      <c r="C1548">
        <v>2.0364999771118102</v>
      </c>
      <c r="D1548">
        <v>1.9934999942779501</v>
      </c>
      <c r="E1548">
        <v>2.0250000953674299</v>
      </c>
      <c r="F1548">
        <v>2.0250000953674299</v>
      </c>
      <c r="G1548">
        <v>156644000</v>
      </c>
      <c r="H1548">
        <f t="shared" si="96"/>
        <v>2003</v>
      </c>
      <c r="I1548">
        <f t="shared" si="97"/>
        <v>7</v>
      </c>
      <c r="J1548" t="str">
        <f t="shared" si="98"/>
        <v>Jul</v>
      </c>
      <c r="K1548" t="str">
        <f t="shared" si="99"/>
        <v>Wed</v>
      </c>
    </row>
    <row r="1549" spans="1:11" x14ac:dyDescent="0.35">
      <c r="A1549" s="1">
        <v>37812</v>
      </c>
      <c r="B1549">
        <v>1.95599997043609</v>
      </c>
      <c r="C1549">
        <v>1.9750000238418499</v>
      </c>
      <c r="D1549">
        <v>1.90999996662139</v>
      </c>
      <c r="E1549">
        <v>1.9125000238418499</v>
      </c>
      <c r="F1549">
        <v>1.9125000238418499</v>
      </c>
      <c r="G1549">
        <v>176512000</v>
      </c>
      <c r="H1549">
        <f t="shared" si="96"/>
        <v>2003</v>
      </c>
      <c r="I1549">
        <f t="shared" si="97"/>
        <v>7</v>
      </c>
      <c r="J1549" t="str">
        <f t="shared" si="98"/>
        <v>Jul</v>
      </c>
      <c r="K1549" t="str">
        <f t="shared" si="99"/>
        <v>Thu</v>
      </c>
    </row>
    <row r="1550" spans="1:11" x14ac:dyDescent="0.35">
      <c r="A1550" s="1">
        <v>37813</v>
      </c>
      <c r="B1550">
        <v>1.91499996185302</v>
      </c>
      <c r="C1550">
        <v>1.91499996185302</v>
      </c>
      <c r="D1550">
        <v>1.8550000190734801</v>
      </c>
      <c r="E1550">
        <v>1.8825000524520801</v>
      </c>
      <c r="F1550">
        <v>1.8825000524520801</v>
      </c>
      <c r="G1550">
        <v>231198000</v>
      </c>
      <c r="H1550">
        <f t="shared" si="96"/>
        <v>2003</v>
      </c>
      <c r="I1550">
        <f t="shared" si="97"/>
        <v>7</v>
      </c>
      <c r="J1550" t="str">
        <f t="shared" si="98"/>
        <v>Jul</v>
      </c>
      <c r="K1550" t="str">
        <f t="shared" si="99"/>
        <v>Fri</v>
      </c>
    </row>
    <row r="1551" spans="1:11" x14ac:dyDescent="0.35">
      <c r="A1551" s="1">
        <v>37816</v>
      </c>
      <c r="B1551">
        <v>1.92499995231628</v>
      </c>
      <c r="C1551">
        <v>1.9804999828338601</v>
      </c>
      <c r="D1551">
        <v>1.9119999408721899</v>
      </c>
      <c r="E1551">
        <v>1.96350002288818</v>
      </c>
      <c r="F1551">
        <v>1.96350002288818</v>
      </c>
      <c r="G1551">
        <v>173806000</v>
      </c>
      <c r="H1551">
        <f t="shared" si="96"/>
        <v>2003</v>
      </c>
      <c r="I1551">
        <f t="shared" si="97"/>
        <v>7</v>
      </c>
      <c r="J1551" t="str">
        <f t="shared" si="98"/>
        <v>Jul</v>
      </c>
      <c r="K1551" t="str">
        <f t="shared" si="99"/>
        <v>Mon</v>
      </c>
    </row>
    <row r="1552" spans="1:11" x14ac:dyDescent="0.35">
      <c r="A1552" s="1">
        <v>37817</v>
      </c>
      <c r="B1552">
        <v>1.9804999828338601</v>
      </c>
      <c r="C1552">
        <v>1.9804999828338601</v>
      </c>
      <c r="D1552">
        <v>1.8810000419616699</v>
      </c>
      <c r="E1552">
        <v>1.9214999675750699</v>
      </c>
      <c r="F1552">
        <v>1.9214999675750699</v>
      </c>
      <c r="G1552">
        <v>117030000</v>
      </c>
      <c r="H1552">
        <f t="shared" si="96"/>
        <v>2003</v>
      </c>
      <c r="I1552">
        <f t="shared" si="97"/>
        <v>7</v>
      </c>
      <c r="J1552" t="str">
        <f t="shared" si="98"/>
        <v>Jul</v>
      </c>
      <c r="K1552" t="str">
        <f t="shared" si="99"/>
        <v>Tue</v>
      </c>
    </row>
    <row r="1553" spans="1:11" x14ac:dyDescent="0.35">
      <c r="A1553" s="1">
        <v>37818</v>
      </c>
      <c r="B1553">
        <v>1.9259999990463199</v>
      </c>
      <c r="C1553">
        <v>1.9259999990463199</v>
      </c>
      <c r="D1553">
        <v>1.86600005626678</v>
      </c>
      <c r="E1553">
        <v>1.88399994373321</v>
      </c>
      <c r="F1553">
        <v>1.88399994373321</v>
      </c>
      <c r="G1553">
        <v>112512000</v>
      </c>
      <c r="H1553">
        <f t="shared" si="96"/>
        <v>2003</v>
      </c>
      <c r="I1553">
        <f t="shared" si="97"/>
        <v>7</v>
      </c>
      <c r="J1553" t="str">
        <f t="shared" si="98"/>
        <v>Jul</v>
      </c>
      <c r="K1553" t="str">
        <f t="shared" si="99"/>
        <v>Wed</v>
      </c>
    </row>
    <row r="1554" spans="1:11" x14ac:dyDescent="0.35">
      <c r="A1554" s="1">
        <v>37819</v>
      </c>
      <c r="B1554">
        <v>1.85749995708465</v>
      </c>
      <c r="C1554">
        <v>1.8650000095367401</v>
      </c>
      <c r="D1554">
        <v>1.8020000457763601</v>
      </c>
      <c r="E1554">
        <v>1.81599998474121</v>
      </c>
      <c r="F1554">
        <v>1.81599998474121</v>
      </c>
      <c r="G1554">
        <v>152840000</v>
      </c>
      <c r="H1554">
        <f t="shared" si="96"/>
        <v>2003</v>
      </c>
      <c r="I1554">
        <f t="shared" si="97"/>
        <v>7</v>
      </c>
      <c r="J1554" t="str">
        <f t="shared" si="98"/>
        <v>Jul</v>
      </c>
      <c r="K1554" t="str">
        <f t="shared" si="99"/>
        <v>Thu</v>
      </c>
    </row>
    <row r="1555" spans="1:11" x14ac:dyDescent="0.35">
      <c r="A1555" s="1">
        <v>37820</v>
      </c>
      <c r="B1555">
        <v>1.81599998474121</v>
      </c>
      <c r="C1555">
        <v>1.8424999713897701</v>
      </c>
      <c r="D1555">
        <v>1.7395000457763601</v>
      </c>
      <c r="E1555">
        <v>1.7489999532699501</v>
      </c>
      <c r="F1555">
        <v>1.7489999532699501</v>
      </c>
      <c r="G1555">
        <v>268058000</v>
      </c>
      <c r="H1555">
        <f t="shared" si="96"/>
        <v>2003</v>
      </c>
      <c r="I1555">
        <f t="shared" si="97"/>
        <v>7</v>
      </c>
      <c r="J1555" t="str">
        <f t="shared" si="98"/>
        <v>Jul</v>
      </c>
      <c r="K1555" t="str">
        <f t="shared" si="99"/>
        <v>Fri</v>
      </c>
    </row>
    <row r="1556" spans="1:11" x14ac:dyDescent="0.35">
      <c r="A1556" s="1">
        <v>37823</v>
      </c>
      <c r="B1556">
        <v>1.7354999780654901</v>
      </c>
      <c r="C1556">
        <v>1.79999995231628</v>
      </c>
      <c r="D1556">
        <v>1.7300000190734801</v>
      </c>
      <c r="E1556">
        <v>1.7664999961853001</v>
      </c>
      <c r="F1556">
        <v>1.7664999961853001</v>
      </c>
      <c r="G1556">
        <v>196514000</v>
      </c>
      <c r="H1556">
        <f t="shared" si="96"/>
        <v>2003</v>
      </c>
      <c r="I1556">
        <f t="shared" si="97"/>
        <v>7</v>
      </c>
      <c r="J1556" t="str">
        <f t="shared" si="98"/>
        <v>Jul</v>
      </c>
      <c r="K1556" t="str">
        <f t="shared" si="99"/>
        <v>Mon</v>
      </c>
    </row>
    <row r="1557" spans="1:11" x14ac:dyDescent="0.35">
      <c r="A1557" s="1">
        <v>37824</v>
      </c>
      <c r="B1557">
        <v>1.78499996662139</v>
      </c>
      <c r="C1557">
        <v>1.79999995231628</v>
      </c>
      <c r="D1557">
        <v>1.70000004768371</v>
      </c>
      <c r="E1557">
        <v>1.7434999942779501</v>
      </c>
      <c r="F1557">
        <v>1.7434999942779501</v>
      </c>
      <c r="G1557">
        <v>317936000</v>
      </c>
      <c r="H1557">
        <f t="shared" si="96"/>
        <v>2003</v>
      </c>
      <c r="I1557">
        <f t="shared" si="97"/>
        <v>7</v>
      </c>
      <c r="J1557" t="str">
        <f t="shared" si="98"/>
        <v>Jul</v>
      </c>
      <c r="K1557" t="str">
        <f t="shared" si="99"/>
        <v>Tue</v>
      </c>
    </row>
    <row r="1558" spans="1:11" x14ac:dyDescent="0.35">
      <c r="A1558" s="1">
        <v>37825</v>
      </c>
      <c r="B1558">
        <v>1.88750004768371</v>
      </c>
      <c r="C1558">
        <v>2.01250004768371</v>
      </c>
      <c r="D1558">
        <v>1.8674999475479099</v>
      </c>
      <c r="E1558">
        <v>2.0055000782012899</v>
      </c>
      <c r="F1558">
        <v>2.0055000782012899</v>
      </c>
      <c r="G1558">
        <v>643562000</v>
      </c>
      <c r="H1558">
        <f t="shared" si="96"/>
        <v>2003</v>
      </c>
      <c r="I1558">
        <f t="shared" si="97"/>
        <v>7</v>
      </c>
      <c r="J1558" t="str">
        <f t="shared" si="98"/>
        <v>Jul</v>
      </c>
      <c r="K1558" t="str">
        <f t="shared" si="99"/>
        <v>Wed</v>
      </c>
    </row>
    <row r="1559" spans="1:11" x14ac:dyDescent="0.35">
      <c r="A1559" s="1">
        <v>37826</v>
      </c>
      <c r="B1559">
        <v>2.0525000095367401</v>
      </c>
      <c r="C1559">
        <v>2.1549999713897701</v>
      </c>
      <c r="D1559">
        <v>2.0290000438690101</v>
      </c>
      <c r="E1559">
        <v>2.0655000209808301</v>
      </c>
      <c r="F1559">
        <v>2.0655000209808301</v>
      </c>
      <c r="G1559">
        <v>476560000</v>
      </c>
      <c r="H1559">
        <f t="shared" si="96"/>
        <v>2003</v>
      </c>
      <c r="I1559">
        <f t="shared" si="97"/>
        <v>7</v>
      </c>
      <c r="J1559" t="str">
        <f t="shared" si="98"/>
        <v>Jul</v>
      </c>
      <c r="K1559" t="str">
        <f t="shared" si="99"/>
        <v>Thu</v>
      </c>
    </row>
    <row r="1560" spans="1:11" x14ac:dyDescent="0.35">
      <c r="A1560" s="1">
        <v>37827</v>
      </c>
      <c r="B1560">
        <v>2.0369999408721902</v>
      </c>
      <c r="C1560">
        <v>2.0824999809265101</v>
      </c>
      <c r="D1560">
        <v>1.98749995231628</v>
      </c>
      <c r="E1560">
        <v>2.0799999237060498</v>
      </c>
      <c r="F1560">
        <v>2.0799999237060498</v>
      </c>
      <c r="G1560">
        <v>212952000</v>
      </c>
      <c r="H1560">
        <f t="shared" si="96"/>
        <v>2003</v>
      </c>
      <c r="I1560">
        <f t="shared" si="97"/>
        <v>7</v>
      </c>
      <c r="J1560" t="str">
        <f t="shared" si="98"/>
        <v>Jul</v>
      </c>
      <c r="K1560" t="str">
        <f t="shared" si="99"/>
        <v>Fri</v>
      </c>
    </row>
    <row r="1561" spans="1:11" x14ac:dyDescent="0.35">
      <c r="A1561" s="1">
        <v>37830</v>
      </c>
      <c r="B1561">
        <v>2.0745000839233398</v>
      </c>
      <c r="C1561">
        <v>2.1089999675750701</v>
      </c>
      <c r="D1561">
        <v>2.0434999465942298</v>
      </c>
      <c r="E1561">
        <v>2.1040000915527299</v>
      </c>
      <c r="F1561">
        <v>2.1040000915527299</v>
      </c>
      <c r="G1561">
        <v>149064000</v>
      </c>
      <c r="H1561">
        <f t="shared" si="96"/>
        <v>2003</v>
      </c>
      <c r="I1561">
        <f t="shared" si="97"/>
        <v>7</v>
      </c>
      <c r="J1561" t="str">
        <f t="shared" si="98"/>
        <v>Jul</v>
      </c>
      <c r="K1561" t="str">
        <f t="shared" si="99"/>
        <v>Mon</v>
      </c>
    </row>
    <row r="1562" spans="1:11" x14ac:dyDescent="0.35">
      <c r="A1562" s="1">
        <v>37831</v>
      </c>
      <c r="B1562">
        <v>2.0994999408721902</v>
      </c>
      <c r="C1562">
        <v>2.125</v>
      </c>
      <c r="D1562">
        <v>2.0529999732971098</v>
      </c>
      <c r="E1562">
        <v>2.0694999694824201</v>
      </c>
      <c r="F1562">
        <v>2.0694999694824201</v>
      </c>
      <c r="G1562">
        <v>156510000</v>
      </c>
      <c r="H1562">
        <f t="shared" si="96"/>
        <v>2003</v>
      </c>
      <c r="I1562">
        <f t="shared" si="97"/>
        <v>7</v>
      </c>
      <c r="J1562" t="str">
        <f t="shared" si="98"/>
        <v>Jul</v>
      </c>
      <c r="K1562" t="str">
        <f t="shared" si="99"/>
        <v>Tue</v>
      </c>
    </row>
    <row r="1563" spans="1:11" x14ac:dyDescent="0.35">
      <c r="A1563" s="1">
        <v>37832</v>
      </c>
      <c r="B1563">
        <v>2.0574998855590798</v>
      </c>
      <c r="C1563">
        <v>2.0634999275207502</v>
      </c>
      <c r="D1563">
        <v>2.02250003814697</v>
      </c>
      <c r="E1563">
        <v>2.0329999923706001</v>
      </c>
      <c r="F1563">
        <v>2.0329999923706001</v>
      </c>
      <c r="G1563">
        <v>143326000</v>
      </c>
      <c r="H1563">
        <f t="shared" si="96"/>
        <v>2003</v>
      </c>
      <c r="I1563">
        <f t="shared" si="97"/>
        <v>7</v>
      </c>
      <c r="J1563" t="str">
        <f t="shared" si="98"/>
        <v>Jul</v>
      </c>
      <c r="K1563" t="str">
        <f t="shared" si="99"/>
        <v>Wed</v>
      </c>
    </row>
    <row r="1564" spans="1:11" x14ac:dyDescent="0.35">
      <c r="A1564" s="1">
        <v>37833</v>
      </c>
      <c r="B1564">
        <v>2.06750011444091</v>
      </c>
      <c r="C1564">
        <v>2.09850001335144</v>
      </c>
      <c r="D1564">
        <v>2.0334999561309801</v>
      </c>
      <c r="E1564">
        <v>2.0820000171661301</v>
      </c>
      <c r="F1564">
        <v>2.0820000171661301</v>
      </c>
      <c r="G1564">
        <v>179414000</v>
      </c>
      <c r="H1564">
        <f t="shared" si="96"/>
        <v>2003</v>
      </c>
      <c r="I1564">
        <f t="shared" si="97"/>
        <v>7</v>
      </c>
      <c r="J1564" t="str">
        <f t="shared" si="98"/>
        <v>Jul</v>
      </c>
      <c r="K1564" t="str">
        <f t="shared" si="99"/>
        <v>Thu</v>
      </c>
    </row>
    <row r="1565" spans="1:11" x14ac:dyDescent="0.35">
      <c r="A1565" s="1">
        <v>37834</v>
      </c>
      <c r="B1565">
        <v>2.0704998970031698</v>
      </c>
      <c r="C1565">
        <v>2.0815000534057599</v>
      </c>
      <c r="D1565">
        <v>1.9889999628067001</v>
      </c>
      <c r="E1565">
        <v>2.0014998912811199</v>
      </c>
      <c r="F1565">
        <v>2.0014998912811199</v>
      </c>
      <c r="G1565">
        <v>176104000</v>
      </c>
      <c r="H1565">
        <f t="shared" si="96"/>
        <v>2003</v>
      </c>
      <c r="I1565">
        <f t="shared" si="97"/>
        <v>8</v>
      </c>
      <c r="J1565" t="str">
        <f t="shared" si="98"/>
        <v>Aug</v>
      </c>
      <c r="K1565" t="str">
        <f t="shared" si="99"/>
        <v>Fri</v>
      </c>
    </row>
    <row r="1566" spans="1:11" x14ac:dyDescent="0.35">
      <c r="A1566" s="1">
        <v>37837</v>
      </c>
      <c r="B1566">
        <v>1.9850000143051101</v>
      </c>
      <c r="C1566">
        <v>2.01449990272521</v>
      </c>
      <c r="D1566">
        <v>1.94749999046325</v>
      </c>
      <c r="E1566">
        <v>1.98249995708465</v>
      </c>
      <c r="F1566">
        <v>1.98249995708465</v>
      </c>
      <c r="G1566">
        <v>141088000</v>
      </c>
      <c r="H1566">
        <f t="shared" si="96"/>
        <v>2003</v>
      </c>
      <c r="I1566">
        <f t="shared" si="97"/>
        <v>8</v>
      </c>
      <c r="J1566" t="str">
        <f t="shared" si="98"/>
        <v>Aug</v>
      </c>
      <c r="K1566" t="str">
        <f t="shared" si="99"/>
        <v>Mon</v>
      </c>
    </row>
    <row r="1567" spans="1:11" x14ac:dyDescent="0.35">
      <c r="A1567" s="1">
        <v>37838</v>
      </c>
      <c r="B1567">
        <v>1.9620000123977599</v>
      </c>
      <c r="C1567">
        <v>1.9924999475479099</v>
      </c>
      <c r="D1567">
        <v>1.9314999580383301</v>
      </c>
      <c r="E1567">
        <v>1.93350005149841</v>
      </c>
      <c r="F1567">
        <v>1.93350005149841</v>
      </c>
      <c r="G1567">
        <v>136324000</v>
      </c>
      <c r="H1567">
        <f t="shared" si="96"/>
        <v>2003</v>
      </c>
      <c r="I1567">
        <f t="shared" si="97"/>
        <v>8</v>
      </c>
      <c r="J1567" t="str">
        <f t="shared" si="98"/>
        <v>Aug</v>
      </c>
      <c r="K1567" t="str">
        <f t="shared" si="99"/>
        <v>Tue</v>
      </c>
    </row>
    <row r="1568" spans="1:11" x14ac:dyDescent="0.35">
      <c r="A1568" s="1">
        <v>37839</v>
      </c>
      <c r="B1568">
        <v>1.9309999942779501</v>
      </c>
      <c r="C1568">
        <v>1.9974999427795399</v>
      </c>
      <c r="D1568">
        <v>1.9140000343322701</v>
      </c>
      <c r="E1568">
        <v>1.94700002670288</v>
      </c>
      <c r="F1568">
        <v>1.94700002670288</v>
      </c>
      <c r="G1568">
        <v>183852000</v>
      </c>
      <c r="H1568">
        <f t="shared" si="96"/>
        <v>2003</v>
      </c>
      <c r="I1568">
        <f t="shared" si="97"/>
        <v>8</v>
      </c>
      <c r="J1568" t="str">
        <f t="shared" si="98"/>
        <v>Aug</v>
      </c>
      <c r="K1568" t="str">
        <f t="shared" si="99"/>
        <v>Wed</v>
      </c>
    </row>
    <row r="1569" spans="1:11" x14ac:dyDescent="0.35">
      <c r="A1569" s="1">
        <v>37840</v>
      </c>
      <c r="B1569">
        <v>1.95000004768371</v>
      </c>
      <c r="C1569">
        <v>1.9670000076293901</v>
      </c>
      <c r="D1569">
        <v>1.92949998378753</v>
      </c>
      <c r="E1569">
        <v>1.95050001144409</v>
      </c>
      <c r="F1569">
        <v>1.95050001144409</v>
      </c>
      <c r="G1569">
        <v>127910000</v>
      </c>
      <c r="H1569">
        <f t="shared" si="96"/>
        <v>2003</v>
      </c>
      <c r="I1569">
        <f t="shared" si="97"/>
        <v>8</v>
      </c>
      <c r="J1569" t="str">
        <f t="shared" si="98"/>
        <v>Aug</v>
      </c>
      <c r="K1569" t="str">
        <f t="shared" si="99"/>
        <v>Thu</v>
      </c>
    </row>
    <row r="1570" spans="1:11" x14ac:dyDescent="0.35">
      <c r="A1570" s="1">
        <v>37841</v>
      </c>
      <c r="B1570">
        <v>1.9565000534057599</v>
      </c>
      <c r="C1570">
        <v>1.9700000286102199</v>
      </c>
      <c r="D1570">
        <v>1.9314999580383301</v>
      </c>
      <c r="E1570">
        <v>1.9574999809265099</v>
      </c>
      <c r="F1570">
        <v>1.9574999809265099</v>
      </c>
      <c r="G1570">
        <v>96218000</v>
      </c>
      <c r="H1570">
        <f t="shared" si="96"/>
        <v>2003</v>
      </c>
      <c r="I1570">
        <f t="shared" si="97"/>
        <v>8</v>
      </c>
      <c r="J1570" t="str">
        <f t="shared" si="98"/>
        <v>Aug</v>
      </c>
      <c r="K1570" t="str">
        <f t="shared" si="99"/>
        <v>Fri</v>
      </c>
    </row>
    <row r="1571" spans="1:11" x14ac:dyDescent="0.35">
      <c r="A1571" s="1">
        <v>37844</v>
      </c>
      <c r="B1571">
        <v>1.9494999647140501</v>
      </c>
      <c r="C1571">
        <v>1.9520000219345</v>
      </c>
      <c r="D1571">
        <v>1.9175000190734801</v>
      </c>
      <c r="E1571">
        <v>1.94649994373321</v>
      </c>
      <c r="F1571">
        <v>1.94649994373321</v>
      </c>
      <c r="G1571">
        <v>104782000</v>
      </c>
      <c r="H1571">
        <f t="shared" si="96"/>
        <v>2003</v>
      </c>
      <c r="I1571">
        <f t="shared" si="97"/>
        <v>8</v>
      </c>
      <c r="J1571" t="str">
        <f t="shared" si="98"/>
        <v>Aug</v>
      </c>
      <c r="K1571" t="str">
        <f t="shared" si="99"/>
        <v>Mon</v>
      </c>
    </row>
    <row r="1572" spans="1:11" x14ac:dyDescent="0.35">
      <c r="A1572" s="1">
        <v>37845</v>
      </c>
      <c r="B1572">
        <v>1.94749999046325</v>
      </c>
      <c r="C1572">
        <v>1.9980000257492001</v>
      </c>
      <c r="D1572">
        <v>1.91550004482269</v>
      </c>
      <c r="E1572">
        <v>1.9924999475479099</v>
      </c>
      <c r="F1572">
        <v>1.9924999475479099</v>
      </c>
      <c r="G1572">
        <v>122570000</v>
      </c>
      <c r="H1572">
        <f t="shared" si="96"/>
        <v>2003</v>
      </c>
      <c r="I1572">
        <f t="shared" si="97"/>
        <v>8</v>
      </c>
      <c r="J1572" t="str">
        <f t="shared" si="98"/>
        <v>Aug</v>
      </c>
      <c r="K1572" t="str">
        <f t="shared" si="99"/>
        <v>Tue</v>
      </c>
    </row>
    <row r="1573" spans="1:11" x14ac:dyDescent="0.35">
      <c r="A1573" s="1">
        <v>37846</v>
      </c>
      <c r="B1573">
        <v>2.01250004768371</v>
      </c>
      <c r="C1573">
        <v>2.0234999656677202</v>
      </c>
      <c r="D1573">
        <v>1.9854999780654901</v>
      </c>
      <c r="E1573">
        <v>2.0104999542236301</v>
      </c>
      <c r="F1573">
        <v>2.0104999542236301</v>
      </c>
      <c r="G1573">
        <v>143090000</v>
      </c>
      <c r="H1573">
        <f t="shared" si="96"/>
        <v>2003</v>
      </c>
      <c r="I1573">
        <f t="shared" si="97"/>
        <v>8</v>
      </c>
      <c r="J1573" t="str">
        <f t="shared" si="98"/>
        <v>Aug</v>
      </c>
      <c r="K1573" t="str">
        <f t="shared" si="99"/>
        <v>Wed</v>
      </c>
    </row>
    <row r="1574" spans="1:11" x14ac:dyDescent="0.35">
      <c r="A1574" s="1">
        <v>37847</v>
      </c>
      <c r="B1574">
        <v>1.99600005149841</v>
      </c>
      <c r="C1574">
        <v>2.01850008964538</v>
      </c>
      <c r="D1574">
        <v>1.98249995708465</v>
      </c>
      <c r="E1574">
        <v>2.0150001049041699</v>
      </c>
      <c r="F1574">
        <v>2.0150001049041699</v>
      </c>
      <c r="G1574">
        <v>97006000</v>
      </c>
      <c r="H1574">
        <f t="shared" si="96"/>
        <v>2003</v>
      </c>
      <c r="I1574">
        <f t="shared" si="97"/>
        <v>8</v>
      </c>
      <c r="J1574" t="str">
        <f t="shared" si="98"/>
        <v>Aug</v>
      </c>
      <c r="K1574" t="str">
        <f t="shared" si="99"/>
        <v>Thu</v>
      </c>
    </row>
    <row r="1575" spans="1:11" x14ac:dyDescent="0.35">
      <c r="A1575" s="1">
        <v>37848</v>
      </c>
      <c r="B1575">
        <v>2.0114998817443799</v>
      </c>
      <c r="C1575">
        <v>2.0190000534057599</v>
      </c>
      <c r="D1575">
        <v>1.9984999895095801</v>
      </c>
      <c r="E1575">
        <v>2.00500011444091</v>
      </c>
      <c r="F1575">
        <v>2.00500011444091</v>
      </c>
      <c r="G1575">
        <v>49730000</v>
      </c>
      <c r="H1575">
        <f t="shared" si="96"/>
        <v>2003</v>
      </c>
      <c r="I1575">
        <f t="shared" si="97"/>
        <v>8</v>
      </c>
      <c r="J1575" t="str">
        <f t="shared" si="98"/>
        <v>Aug</v>
      </c>
      <c r="K1575" t="str">
        <f t="shared" si="99"/>
        <v>Fri</v>
      </c>
    </row>
    <row r="1576" spans="1:11" x14ac:dyDescent="0.35">
      <c r="A1576" s="1">
        <v>37851</v>
      </c>
      <c r="B1576">
        <v>2.0239999294281001</v>
      </c>
      <c r="C1576">
        <v>2.1619999408721902</v>
      </c>
      <c r="D1576">
        <v>2.0190000534057599</v>
      </c>
      <c r="E1576">
        <v>2.15100002288818</v>
      </c>
      <c r="F1576">
        <v>2.15100002288818</v>
      </c>
      <c r="G1576">
        <v>223484000</v>
      </c>
      <c r="H1576">
        <f t="shared" si="96"/>
        <v>2003</v>
      </c>
      <c r="I1576">
        <f t="shared" si="97"/>
        <v>8</v>
      </c>
      <c r="J1576" t="str">
        <f t="shared" si="98"/>
        <v>Aug</v>
      </c>
      <c r="K1576" t="str">
        <f t="shared" si="99"/>
        <v>Mon</v>
      </c>
    </row>
    <row r="1577" spans="1:11" x14ac:dyDescent="0.35">
      <c r="A1577" s="1">
        <v>37852</v>
      </c>
      <c r="B1577">
        <v>2.1724998950958199</v>
      </c>
      <c r="C1577">
        <v>2.20950007438659</v>
      </c>
      <c r="D1577">
        <v>2.1459999084472599</v>
      </c>
      <c r="E1577">
        <v>2.1784999370574898</v>
      </c>
      <c r="F1577">
        <v>2.1784999370574898</v>
      </c>
      <c r="G1577">
        <v>209786000</v>
      </c>
      <c r="H1577">
        <f t="shared" si="96"/>
        <v>2003</v>
      </c>
      <c r="I1577">
        <f t="shared" si="97"/>
        <v>8</v>
      </c>
      <c r="J1577" t="str">
        <f t="shared" si="98"/>
        <v>Aug</v>
      </c>
      <c r="K1577" t="str">
        <f t="shared" si="99"/>
        <v>Tue</v>
      </c>
    </row>
    <row r="1578" spans="1:11" x14ac:dyDescent="0.35">
      <c r="A1578" s="1">
        <v>37853</v>
      </c>
      <c r="B1578">
        <v>2.1530001163482599</v>
      </c>
      <c r="C1578">
        <v>2.19700002670288</v>
      </c>
      <c r="D1578">
        <v>2.1505000591278001</v>
      </c>
      <c r="E1578">
        <v>2.1879999637603702</v>
      </c>
      <c r="F1578">
        <v>2.1879999637603702</v>
      </c>
      <c r="G1578">
        <v>134494000</v>
      </c>
      <c r="H1578">
        <f t="shared" si="96"/>
        <v>2003</v>
      </c>
      <c r="I1578">
        <f t="shared" si="97"/>
        <v>8</v>
      </c>
      <c r="J1578" t="str">
        <f t="shared" si="98"/>
        <v>Aug</v>
      </c>
      <c r="K1578" t="str">
        <f t="shared" si="99"/>
        <v>Wed</v>
      </c>
    </row>
    <row r="1579" spans="1:11" x14ac:dyDescent="0.35">
      <c r="A1579" s="1">
        <v>37854</v>
      </c>
      <c r="B1579">
        <v>2.2109999656677202</v>
      </c>
      <c r="C1579">
        <v>2.29550004005432</v>
      </c>
      <c r="D1579">
        <v>2.1935000419616699</v>
      </c>
      <c r="E1579">
        <v>2.28500008583068</v>
      </c>
      <c r="F1579">
        <v>2.28500008583068</v>
      </c>
      <c r="G1579">
        <v>231850000</v>
      </c>
      <c r="H1579">
        <f t="shared" si="96"/>
        <v>2003</v>
      </c>
      <c r="I1579">
        <f t="shared" si="97"/>
        <v>8</v>
      </c>
      <c r="J1579" t="str">
        <f t="shared" si="98"/>
        <v>Aug</v>
      </c>
      <c r="K1579" t="str">
        <f t="shared" si="99"/>
        <v>Thu</v>
      </c>
    </row>
    <row r="1580" spans="1:11" x14ac:dyDescent="0.35">
      <c r="A1580" s="1">
        <v>37855</v>
      </c>
      <c r="B1580">
        <v>2.3180000782012899</v>
      </c>
      <c r="C1580">
        <v>2.34750008583068</v>
      </c>
      <c r="D1580">
        <v>2.2404999732971098</v>
      </c>
      <c r="E1580">
        <v>2.2609999179839999</v>
      </c>
      <c r="F1580">
        <v>2.2609999179839999</v>
      </c>
      <c r="G1580">
        <v>209466000</v>
      </c>
      <c r="H1580">
        <f t="shared" si="96"/>
        <v>2003</v>
      </c>
      <c r="I1580">
        <f t="shared" si="97"/>
        <v>8</v>
      </c>
      <c r="J1580" t="str">
        <f t="shared" si="98"/>
        <v>Aug</v>
      </c>
      <c r="K1580" t="str">
        <f t="shared" si="99"/>
        <v>Fri</v>
      </c>
    </row>
    <row r="1581" spans="1:11" x14ac:dyDescent="0.35">
      <c r="A1581" s="1">
        <v>37858</v>
      </c>
      <c r="B1581">
        <v>2.2425000667571999</v>
      </c>
      <c r="C1581">
        <v>2.30800008773803</v>
      </c>
      <c r="D1581">
        <v>2.2265000343322701</v>
      </c>
      <c r="E1581">
        <v>2.2925000190734801</v>
      </c>
      <c r="F1581">
        <v>2.2925000190734801</v>
      </c>
      <c r="G1581">
        <v>142070000</v>
      </c>
      <c r="H1581">
        <f t="shared" si="96"/>
        <v>2003</v>
      </c>
      <c r="I1581">
        <f t="shared" si="97"/>
        <v>8</v>
      </c>
      <c r="J1581" t="str">
        <f t="shared" si="98"/>
        <v>Aug</v>
      </c>
      <c r="K1581" t="str">
        <f t="shared" si="99"/>
        <v>Mon</v>
      </c>
    </row>
    <row r="1582" spans="1:11" x14ac:dyDescent="0.35">
      <c r="A1582" s="1">
        <v>37859</v>
      </c>
      <c r="B1582">
        <v>2.2825000286102202</v>
      </c>
      <c r="C1582">
        <v>2.3069999217986998</v>
      </c>
      <c r="D1582">
        <v>2.2555000782012899</v>
      </c>
      <c r="E1582">
        <v>2.2964999675750701</v>
      </c>
      <c r="F1582">
        <v>2.2964999675750701</v>
      </c>
      <c r="G1582">
        <v>130848000</v>
      </c>
      <c r="H1582">
        <f t="shared" si="96"/>
        <v>2003</v>
      </c>
      <c r="I1582">
        <f t="shared" si="97"/>
        <v>8</v>
      </c>
      <c r="J1582" t="str">
        <f t="shared" si="98"/>
        <v>Aug</v>
      </c>
      <c r="K1582" t="str">
        <f t="shared" si="99"/>
        <v>Tue</v>
      </c>
    </row>
    <row r="1583" spans="1:11" x14ac:dyDescent="0.35">
      <c r="A1583" s="1">
        <v>37860</v>
      </c>
      <c r="B1583">
        <v>2.2885000705718901</v>
      </c>
      <c r="C1583">
        <v>2.3034999370574898</v>
      </c>
      <c r="D1583">
        <v>2.26300001144409</v>
      </c>
      <c r="E1583">
        <v>2.2939999103546098</v>
      </c>
      <c r="F1583">
        <v>2.2939999103546098</v>
      </c>
      <c r="G1583">
        <v>90788000</v>
      </c>
      <c r="H1583">
        <f t="shared" si="96"/>
        <v>2003</v>
      </c>
      <c r="I1583">
        <f t="shared" si="97"/>
        <v>8</v>
      </c>
      <c r="J1583" t="str">
        <f t="shared" si="98"/>
        <v>Aug</v>
      </c>
      <c r="K1583" t="str">
        <f t="shared" si="99"/>
        <v>Wed</v>
      </c>
    </row>
    <row r="1584" spans="1:11" x14ac:dyDescent="0.35">
      <c r="A1584" s="1">
        <v>37861</v>
      </c>
      <c r="B1584">
        <v>2.2969999313354399</v>
      </c>
      <c r="C1584">
        <v>2.2999999523162802</v>
      </c>
      <c r="D1584">
        <v>2.2404999732971098</v>
      </c>
      <c r="E1584">
        <v>2.2969999313354399</v>
      </c>
      <c r="F1584">
        <v>2.2969999313354399</v>
      </c>
      <c r="G1584">
        <v>139750000</v>
      </c>
      <c r="H1584">
        <f t="shared" si="96"/>
        <v>2003</v>
      </c>
      <c r="I1584">
        <f t="shared" si="97"/>
        <v>8</v>
      </c>
      <c r="J1584" t="str">
        <f t="shared" si="98"/>
        <v>Aug</v>
      </c>
      <c r="K1584" t="str">
        <f t="shared" si="99"/>
        <v>Thu</v>
      </c>
    </row>
    <row r="1585" spans="1:11" x14ac:dyDescent="0.35">
      <c r="A1585" s="1">
        <v>37862</v>
      </c>
      <c r="B1585">
        <v>2.29099988937377</v>
      </c>
      <c r="C1585">
        <v>2.32200002670288</v>
      </c>
      <c r="D1585">
        <v>2.28600001335144</v>
      </c>
      <c r="E1585">
        <v>2.31599998474121</v>
      </c>
      <c r="F1585">
        <v>2.31599998474121</v>
      </c>
      <c r="G1585">
        <v>123168000</v>
      </c>
      <c r="H1585">
        <f t="shared" si="96"/>
        <v>2003</v>
      </c>
      <c r="I1585">
        <f t="shared" si="97"/>
        <v>8</v>
      </c>
      <c r="J1585" t="str">
        <f t="shared" si="98"/>
        <v>Aug</v>
      </c>
      <c r="K1585" t="str">
        <f t="shared" si="99"/>
        <v>Fri</v>
      </c>
    </row>
    <row r="1586" spans="1:11" x14ac:dyDescent="0.35">
      <c r="A1586" s="1">
        <v>37866</v>
      </c>
      <c r="B1586">
        <v>2.3259999752044598</v>
      </c>
      <c r="C1586">
        <v>2.3724999427795401</v>
      </c>
      <c r="D1586">
        <v>2.3004999160766602</v>
      </c>
      <c r="E1586">
        <v>2.3664999008178702</v>
      </c>
      <c r="F1586">
        <v>2.3664999008178702</v>
      </c>
      <c r="G1586">
        <v>189188000</v>
      </c>
      <c r="H1586">
        <f t="shared" si="96"/>
        <v>2003</v>
      </c>
      <c r="I1586">
        <f t="shared" si="97"/>
        <v>9</v>
      </c>
      <c r="J1586" t="str">
        <f t="shared" si="98"/>
        <v>Sep</v>
      </c>
      <c r="K1586" t="str">
        <f t="shared" si="99"/>
        <v>Tue</v>
      </c>
    </row>
    <row r="1587" spans="1:11" x14ac:dyDescent="0.35">
      <c r="A1587" s="1">
        <v>37867</v>
      </c>
      <c r="B1587">
        <v>2.3789999485015798</v>
      </c>
      <c r="C1587">
        <v>2.38750004768371</v>
      </c>
      <c r="D1587">
        <v>2.2929999828338601</v>
      </c>
      <c r="E1587">
        <v>2.3094999790191602</v>
      </c>
      <c r="F1587">
        <v>2.3094999790191602</v>
      </c>
      <c r="G1587">
        <v>213958000</v>
      </c>
      <c r="H1587">
        <f t="shared" si="96"/>
        <v>2003</v>
      </c>
      <c r="I1587">
        <f t="shared" si="97"/>
        <v>9</v>
      </c>
      <c r="J1587" t="str">
        <f t="shared" si="98"/>
        <v>Sep</v>
      </c>
      <c r="K1587" t="str">
        <f t="shared" si="99"/>
        <v>Wed</v>
      </c>
    </row>
    <row r="1588" spans="1:11" x14ac:dyDescent="0.35">
      <c r="A1588" s="1">
        <v>37868</v>
      </c>
      <c r="B1588">
        <v>2.3099999427795401</v>
      </c>
      <c r="C1588">
        <v>2.3694999217986998</v>
      </c>
      <c r="D1588">
        <v>2.3020000457763601</v>
      </c>
      <c r="E1588">
        <v>2.3645000457763601</v>
      </c>
      <c r="F1588">
        <v>2.3645000457763601</v>
      </c>
      <c r="G1588">
        <v>205100000</v>
      </c>
      <c r="H1588">
        <f t="shared" si="96"/>
        <v>2003</v>
      </c>
      <c r="I1588">
        <f t="shared" si="97"/>
        <v>9</v>
      </c>
      <c r="J1588" t="str">
        <f t="shared" si="98"/>
        <v>Sep</v>
      </c>
      <c r="K1588" t="str">
        <f t="shared" si="99"/>
        <v>Thu</v>
      </c>
    </row>
    <row r="1589" spans="1:11" x14ac:dyDescent="0.35">
      <c r="A1589" s="1">
        <v>37869</v>
      </c>
      <c r="B1589">
        <v>2.34750008583068</v>
      </c>
      <c r="C1589">
        <v>2.3740000724792401</v>
      </c>
      <c r="D1589">
        <v>2.3050000667571999</v>
      </c>
      <c r="E1589">
        <v>2.3259999752044598</v>
      </c>
      <c r="F1589">
        <v>2.3259999752044598</v>
      </c>
      <c r="G1589">
        <v>162058000</v>
      </c>
      <c r="H1589">
        <f t="shared" si="96"/>
        <v>2003</v>
      </c>
      <c r="I1589">
        <f t="shared" si="97"/>
        <v>9</v>
      </c>
      <c r="J1589" t="str">
        <f t="shared" si="98"/>
        <v>Sep</v>
      </c>
      <c r="K1589" t="str">
        <f t="shared" si="99"/>
        <v>Fri</v>
      </c>
    </row>
    <row r="1590" spans="1:11" x14ac:dyDescent="0.35">
      <c r="A1590" s="1">
        <v>37872</v>
      </c>
      <c r="B1590">
        <v>2.32500004768371</v>
      </c>
      <c r="C1590">
        <v>2.3675000667571999</v>
      </c>
      <c r="D1590">
        <v>2.3029999732971098</v>
      </c>
      <c r="E1590">
        <v>2.3640000820159899</v>
      </c>
      <c r="F1590">
        <v>2.3640000820159899</v>
      </c>
      <c r="G1590">
        <v>148164000</v>
      </c>
      <c r="H1590">
        <f t="shared" si="96"/>
        <v>2003</v>
      </c>
      <c r="I1590">
        <f t="shared" si="97"/>
        <v>9</v>
      </c>
      <c r="J1590" t="str">
        <f t="shared" si="98"/>
        <v>Sep</v>
      </c>
      <c r="K1590" t="str">
        <f t="shared" si="99"/>
        <v>Mon</v>
      </c>
    </row>
    <row r="1591" spans="1:11" x14ac:dyDescent="0.35">
      <c r="A1591" s="1">
        <v>37873</v>
      </c>
      <c r="B1591">
        <v>2.3550000190734801</v>
      </c>
      <c r="C1591">
        <v>2.3689999580383301</v>
      </c>
      <c r="D1591">
        <v>2.3150000572204501</v>
      </c>
      <c r="E1591">
        <v>2.3340001106262198</v>
      </c>
      <c r="F1591">
        <v>2.3340001106262198</v>
      </c>
      <c r="G1591">
        <v>162016000</v>
      </c>
      <c r="H1591">
        <f t="shared" si="96"/>
        <v>2003</v>
      </c>
      <c r="I1591">
        <f t="shared" si="97"/>
        <v>9</v>
      </c>
      <c r="J1591" t="str">
        <f t="shared" si="98"/>
        <v>Sep</v>
      </c>
      <c r="K1591" t="str">
        <f t="shared" si="99"/>
        <v>Tue</v>
      </c>
    </row>
    <row r="1592" spans="1:11" x14ac:dyDescent="0.35">
      <c r="A1592" s="1">
        <v>37874</v>
      </c>
      <c r="B1592">
        <v>2.3129999637603702</v>
      </c>
      <c r="C1592">
        <v>2.36150002479553</v>
      </c>
      <c r="D1592">
        <v>2.3029999732971098</v>
      </c>
      <c r="E1592">
        <v>2.3110001087188698</v>
      </c>
      <c r="F1592">
        <v>2.3110001087188698</v>
      </c>
      <c r="G1592">
        <v>160058000</v>
      </c>
      <c r="H1592">
        <f t="shared" si="96"/>
        <v>2003</v>
      </c>
      <c r="I1592">
        <f t="shared" si="97"/>
        <v>9</v>
      </c>
      <c r="J1592" t="str">
        <f t="shared" si="98"/>
        <v>Sep</v>
      </c>
      <c r="K1592" t="str">
        <f t="shared" si="99"/>
        <v>Wed</v>
      </c>
    </row>
    <row r="1593" spans="1:11" x14ac:dyDescent="0.35">
      <c r="A1593" s="1">
        <v>37875</v>
      </c>
      <c r="B1593">
        <v>2.3099999427795401</v>
      </c>
      <c r="C1593">
        <v>2.31750011444091</v>
      </c>
      <c r="D1593">
        <v>2.2385001182556099</v>
      </c>
      <c r="E1593">
        <v>2.25950002670288</v>
      </c>
      <c r="F1593">
        <v>2.25950002670288</v>
      </c>
      <c r="G1593">
        <v>232262000</v>
      </c>
      <c r="H1593">
        <f t="shared" si="96"/>
        <v>2003</v>
      </c>
      <c r="I1593">
        <f t="shared" si="97"/>
        <v>9</v>
      </c>
      <c r="J1593" t="str">
        <f t="shared" si="98"/>
        <v>Sep</v>
      </c>
      <c r="K1593" t="str">
        <f t="shared" si="99"/>
        <v>Thu</v>
      </c>
    </row>
    <row r="1594" spans="1:11" x14ac:dyDescent="0.35">
      <c r="A1594" s="1">
        <v>37876</v>
      </c>
      <c r="B1594">
        <v>2.2425000667571999</v>
      </c>
      <c r="C1594">
        <v>2.2890000343322701</v>
      </c>
      <c r="D1594">
        <v>2.23650002479553</v>
      </c>
      <c r="E1594">
        <v>2.2839999198913499</v>
      </c>
      <c r="F1594">
        <v>2.2839999198913499</v>
      </c>
      <c r="G1594">
        <v>135002000</v>
      </c>
      <c r="H1594">
        <f t="shared" si="96"/>
        <v>2003</v>
      </c>
      <c r="I1594">
        <f t="shared" si="97"/>
        <v>9</v>
      </c>
      <c r="J1594" t="str">
        <f t="shared" si="98"/>
        <v>Sep</v>
      </c>
      <c r="K1594" t="str">
        <f t="shared" si="99"/>
        <v>Fri</v>
      </c>
    </row>
    <row r="1595" spans="1:11" x14ac:dyDescent="0.35">
      <c r="A1595" s="1">
        <v>37879</v>
      </c>
      <c r="B1595">
        <v>2.2679998874664302</v>
      </c>
      <c r="C1595">
        <v>2.2885000705718901</v>
      </c>
      <c r="D1595">
        <v>2.2614998817443799</v>
      </c>
      <c r="E1595">
        <v>2.2755000591278001</v>
      </c>
      <c r="F1595">
        <v>2.2755000591278001</v>
      </c>
      <c r="G1595">
        <v>88540000</v>
      </c>
      <c r="H1595">
        <f t="shared" si="96"/>
        <v>2003</v>
      </c>
      <c r="I1595">
        <f t="shared" si="97"/>
        <v>9</v>
      </c>
      <c r="J1595" t="str">
        <f t="shared" si="98"/>
        <v>Sep</v>
      </c>
      <c r="K1595" t="str">
        <f t="shared" si="99"/>
        <v>Mon</v>
      </c>
    </row>
    <row r="1596" spans="1:11" x14ac:dyDescent="0.35">
      <c r="A1596" s="1">
        <v>37880</v>
      </c>
      <c r="B1596">
        <v>2.2699999809265101</v>
      </c>
      <c r="C1596">
        <v>2.3125</v>
      </c>
      <c r="D1596">
        <v>2.2525000572204501</v>
      </c>
      <c r="E1596">
        <v>2.31200003623962</v>
      </c>
      <c r="F1596">
        <v>2.31200003623962</v>
      </c>
      <c r="G1596">
        <v>155104000</v>
      </c>
      <c r="H1596">
        <f t="shared" si="96"/>
        <v>2003</v>
      </c>
      <c r="I1596">
        <f t="shared" si="97"/>
        <v>9</v>
      </c>
      <c r="J1596" t="str">
        <f t="shared" si="98"/>
        <v>Sep</v>
      </c>
      <c r="K1596" t="str">
        <f t="shared" si="99"/>
        <v>Tue</v>
      </c>
    </row>
    <row r="1597" spans="1:11" x14ac:dyDescent="0.35">
      <c r="A1597" s="1">
        <v>37881</v>
      </c>
      <c r="B1597">
        <v>2.3104999065399099</v>
      </c>
      <c r="C1597">
        <v>2.3429999351501398</v>
      </c>
      <c r="D1597">
        <v>2.2769999504089302</v>
      </c>
      <c r="E1597">
        <v>2.30800008773803</v>
      </c>
      <c r="F1597">
        <v>2.30800008773803</v>
      </c>
      <c r="G1597">
        <v>146682000</v>
      </c>
      <c r="H1597">
        <f t="shared" si="96"/>
        <v>2003</v>
      </c>
      <c r="I1597">
        <f t="shared" si="97"/>
        <v>9</v>
      </c>
      <c r="J1597" t="str">
        <f t="shared" si="98"/>
        <v>Sep</v>
      </c>
      <c r="K1597" t="str">
        <f t="shared" si="99"/>
        <v>Wed</v>
      </c>
    </row>
    <row r="1598" spans="1:11" x14ac:dyDescent="0.35">
      <c r="A1598" s="1">
        <v>37882</v>
      </c>
      <c r="B1598">
        <v>2.30800008773803</v>
      </c>
      <c r="C1598">
        <v>2.4119999408721902</v>
      </c>
      <c r="D1598">
        <v>2.2969999313354399</v>
      </c>
      <c r="E1598">
        <v>2.3945000171661301</v>
      </c>
      <c r="F1598">
        <v>2.3945000171661301</v>
      </c>
      <c r="G1598">
        <v>180770000</v>
      </c>
      <c r="H1598">
        <f t="shared" si="96"/>
        <v>2003</v>
      </c>
      <c r="I1598">
        <f t="shared" si="97"/>
        <v>9</v>
      </c>
      <c r="J1598" t="str">
        <f t="shared" si="98"/>
        <v>Sep</v>
      </c>
      <c r="K1598" t="str">
        <f t="shared" si="99"/>
        <v>Thu</v>
      </c>
    </row>
    <row r="1599" spans="1:11" x14ac:dyDescent="0.35">
      <c r="A1599" s="1">
        <v>37883</v>
      </c>
      <c r="B1599">
        <v>2.39350008964538</v>
      </c>
      <c r="C1599">
        <v>2.3984999656677202</v>
      </c>
      <c r="D1599">
        <v>2.3675000667571999</v>
      </c>
      <c r="E1599">
        <v>2.3789999485015798</v>
      </c>
      <c r="F1599">
        <v>2.3789999485015798</v>
      </c>
      <c r="G1599">
        <v>124990000</v>
      </c>
      <c r="H1599">
        <f t="shared" si="96"/>
        <v>2003</v>
      </c>
      <c r="I1599">
        <f t="shared" si="97"/>
        <v>9</v>
      </c>
      <c r="J1599" t="str">
        <f t="shared" si="98"/>
        <v>Sep</v>
      </c>
      <c r="K1599" t="str">
        <f t="shared" si="99"/>
        <v>Fri</v>
      </c>
    </row>
    <row r="1600" spans="1:11" x14ac:dyDescent="0.35">
      <c r="A1600" s="1">
        <v>37886</v>
      </c>
      <c r="B1600">
        <v>2.3280000686645499</v>
      </c>
      <c r="C1600">
        <v>2.3764998912811199</v>
      </c>
      <c r="D1600">
        <v>2.3099999427795401</v>
      </c>
      <c r="E1600">
        <v>2.3735001087188698</v>
      </c>
      <c r="F1600">
        <v>2.3735001087188698</v>
      </c>
      <c r="G1600">
        <v>184800000</v>
      </c>
      <c r="H1600">
        <f t="shared" si="96"/>
        <v>2003</v>
      </c>
      <c r="I1600">
        <f t="shared" si="97"/>
        <v>9</v>
      </c>
      <c r="J1600" t="str">
        <f t="shared" si="98"/>
        <v>Sep</v>
      </c>
      <c r="K1600" t="str">
        <f t="shared" si="99"/>
        <v>Mon</v>
      </c>
    </row>
    <row r="1601" spans="1:11" x14ac:dyDescent="0.35">
      <c r="A1601" s="1">
        <v>37887</v>
      </c>
      <c r="B1601">
        <v>2.37050008773803</v>
      </c>
      <c r="C1601">
        <v>2.5460000038146902</v>
      </c>
      <c r="D1601">
        <v>2.3675000667571999</v>
      </c>
      <c r="E1601">
        <v>2.52200007438659</v>
      </c>
      <c r="F1601">
        <v>2.52200007438659</v>
      </c>
      <c r="G1601">
        <v>405918000</v>
      </c>
      <c r="H1601">
        <f t="shared" si="96"/>
        <v>2003</v>
      </c>
      <c r="I1601">
        <f t="shared" si="97"/>
        <v>9</v>
      </c>
      <c r="J1601" t="str">
        <f t="shared" si="98"/>
        <v>Sep</v>
      </c>
      <c r="K1601" t="str">
        <f t="shared" si="99"/>
        <v>Tue</v>
      </c>
    </row>
    <row r="1602" spans="1:11" x14ac:dyDescent="0.35">
      <c r="A1602" s="1">
        <v>37888</v>
      </c>
      <c r="B1602">
        <v>2.5174999237060498</v>
      </c>
      <c r="C1602">
        <v>2.5650000572204501</v>
      </c>
      <c r="D1602">
        <v>2.4800000190734801</v>
      </c>
      <c r="E1602">
        <v>2.4804999828338601</v>
      </c>
      <c r="F1602">
        <v>2.4804999828338601</v>
      </c>
      <c r="G1602">
        <v>306604000</v>
      </c>
      <c r="H1602">
        <f t="shared" si="96"/>
        <v>2003</v>
      </c>
      <c r="I1602">
        <f t="shared" si="97"/>
        <v>9</v>
      </c>
      <c r="J1602" t="str">
        <f t="shared" si="98"/>
        <v>Sep</v>
      </c>
      <c r="K1602" t="str">
        <f t="shared" si="99"/>
        <v>Wed</v>
      </c>
    </row>
    <row r="1603" spans="1:11" x14ac:dyDescent="0.35">
      <c r="A1603" s="1">
        <v>37889</v>
      </c>
      <c r="B1603">
        <v>2.48300004005432</v>
      </c>
      <c r="C1603">
        <v>2.5474998950958199</v>
      </c>
      <c r="D1603">
        <v>2.4639999866485498</v>
      </c>
      <c r="E1603">
        <v>2.5025000572204501</v>
      </c>
      <c r="F1603">
        <v>2.5025000572204501</v>
      </c>
      <c r="G1603">
        <v>220666000</v>
      </c>
      <c r="H1603">
        <f t="shared" si="96"/>
        <v>2003</v>
      </c>
      <c r="I1603">
        <f t="shared" si="97"/>
        <v>9</v>
      </c>
      <c r="J1603" t="str">
        <f t="shared" si="98"/>
        <v>Sep</v>
      </c>
      <c r="K1603" t="str">
        <f t="shared" si="99"/>
        <v>Thu</v>
      </c>
    </row>
    <row r="1604" spans="1:11" x14ac:dyDescent="0.35">
      <c r="A1604" s="1">
        <v>37890</v>
      </c>
      <c r="B1604">
        <v>2.4949998855590798</v>
      </c>
      <c r="C1604">
        <v>2.5230000019073402</v>
      </c>
      <c r="D1604">
        <v>2.4149999618530198</v>
      </c>
      <c r="E1604">
        <v>2.4279999732971098</v>
      </c>
      <c r="F1604">
        <v>2.4279999732971098</v>
      </c>
      <c r="G1604">
        <v>268770000</v>
      </c>
      <c r="H1604">
        <f t="shared" ref="H1604:H1667" si="100">YEAR($A1604)</f>
        <v>2003</v>
      </c>
      <c r="I1604">
        <f t="shared" ref="I1604:I1667" si="101">MONTH($A1604)</f>
        <v>9</v>
      </c>
      <c r="J1604" t="str">
        <f t="shared" ref="J1604:J1667" si="102">TEXT($A1604,"mmm")</f>
        <v>Sep</v>
      </c>
      <c r="K1604" t="str">
        <f t="shared" ref="K1604:K1667" si="103">TEXT($A1604,"ddd")</f>
        <v>Fri</v>
      </c>
    </row>
    <row r="1605" spans="1:11" x14ac:dyDescent="0.35">
      <c r="A1605" s="1">
        <v>37893</v>
      </c>
      <c r="B1605">
        <v>2.4440000057220401</v>
      </c>
      <c r="C1605">
        <v>2.4985001087188698</v>
      </c>
      <c r="D1605">
        <v>2.42000007629394</v>
      </c>
      <c r="E1605">
        <v>2.4930000305175701</v>
      </c>
      <c r="F1605">
        <v>2.4930000305175701</v>
      </c>
      <c r="G1605">
        <v>180786000</v>
      </c>
      <c r="H1605">
        <f t="shared" si="100"/>
        <v>2003</v>
      </c>
      <c r="I1605">
        <f t="shared" si="101"/>
        <v>9</v>
      </c>
      <c r="J1605" t="str">
        <f t="shared" si="102"/>
        <v>Sep</v>
      </c>
      <c r="K1605" t="str">
        <f t="shared" si="103"/>
        <v>Mon</v>
      </c>
    </row>
    <row r="1606" spans="1:11" x14ac:dyDescent="0.35">
      <c r="A1606" s="1">
        <v>37894</v>
      </c>
      <c r="B1606">
        <v>2.48250007629394</v>
      </c>
      <c r="C1606">
        <v>2.4879999160766602</v>
      </c>
      <c r="D1606">
        <v>2.4175000190734801</v>
      </c>
      <c r="E1606">
        <v>2.4214999675750701</v>
      </c>
      <c r="F1606">
        <v>2.4214999675750701</v>
      </c>
      <c r="G1606">
        <v>185292000</v>
      </c>
      <c r="H1606">
        <f t="shared" si="100"/>
        <v>2003</v>
      </c>
      <c r="I1606">
        <f t="shared" si="101"/>
        <v>9</v>
      </c>
      <c r="J1606" t="str">
        <f t="shared" si="102"/>
        <v>Sep</v>
      </c>
      <c r="K1606" t="str">
        <f t="shared" si="103"/>
        <v>Tue</v>
      </c>
    </row>
    <row r="1607" spans="1:11" x14ac:dyDescent="0.35">
      <c r="A1607" s="1">
        <v>37895</v>
      </c>
      <c r="B1607">
        <v>2.4184999465942298</v>
      </c>
      <c r="C1607">
        <v>2.4639999866485498</v>
      </c>
      <c r="D1607">
        <v>2.3754999637603702</v>
      </c>
      <c r="E1607">
        <v>2.45600008964538</v>
      </c>
      <c r="F1607">
        <v>2.45600008964538</v>
      </c>
      <c r="G1607">
        <v>251276000</v>
      </c>
      <c r="H1607">
        <f t="shared" si="100"/>
        <v>2003</v>
      </c>
      <c r="I1607">
        <f t="shared" si="101"/>
        <v>10</v>
      </c>
      <c r="J1607" t="str">
        <f t="shared" si="102"/>
        <v>Oct</v>
      </c>
      <c r="K1607" t="str">
        <f t="shared" si="103"/>
        <v>Wed</v>
      </c>
    </row>
    <row r="1608" spans="1:11" x14ac:dyDescent="0.35">
      <c r="A1608" s="1">
        <v>37896</v>
      </c>
      <c r="B1608">
        <v>2.44700002670288</v>
      </c>
      <c r="C1608">
        <v>2.5099999904632502</v>
      </c>
      <c r="D1608">
        <v>2.4340000152587802</v>
      </c>
      <c r="E1608">
        <v>2.5044999122619598</v>
      </c>
      <c r="F1608">
        <v>2.5044999122619598</v>
      </c>
      <c r="G1608">
        <v>164398000</v>
      </c>
      <c r="H1608">
        <f t="shared" si="100"/>
        <v>2003</v>
      </c>
      <c r="I1608">
        <f t="shared" si="101"/>
        <v>10</v>
      </c>
      <c r="J1608" t="str">
        <f t="shared" si="102"/>
        <v>Oct</v>
      </c>
      <c r="K1608" t="str">
        <f t="shared" si="103"/>
        <v>Thu</v>
      </c>
    </row>
    <row r="1609" spans="1:11" x14ac:dyDescent="0.35">
      <c r="A1609" s="1">
        <v>37897</v>
      </c>
      <c r="B1609">
        <v>2.5564999580383301</v>
      </c>
      <c r="C1609">
        <v>2.66100001335144</v>
      </c>
      <c r="D1609">
        <v>2.5515000820159899</v>
      </c>
      <c r="E1609">
        <v>2.6445000171661301</v>
      </c>
      <c r="F1609">
        <v>2.6445000171661301</v>
      </c>
      <c r="G1609">
        <v>283512000</v>
      </c>
      <c r="H1609">
        <f t="shared" si="100"/>
        <v>2003</v>
      </c>
      <c r="I1609">
        <f t="shared" si="101"/>
        <v>10</v>
      </c>
      <c r="J1609" t="str">
        <f t="shared" si="102"/>
        <v>Oct</v>
      </c>
      <c r="K1609" t="str">
        <f t="shared" si="103"/>
        <v>Fri</v>
      </c>
    </row>
    <row r="1610" spans="1:11" x14ac:dyDescent="0.35">
      <c r="A1610" s="1">
        <v>37900</v>
      </c>
      <c r="B1610">
        <v>2.6445000171661301</v>
      </c>
      <c r="C1610">
        <v>2.7119998931884699</v>
      </c>
      <c r="D1610">
        <v>2.6294999122619598</v>
      </c>
      <c r="E1610">
        <v>2.7074999809265101</v>
      </c>
      <c r="F1610">
        <v>2.7074999809265101</v>
      </c>
      <c r="G1610">
        <v>155462000</v>
      </c>
      <c r="H1610">
        <f t="shared" si="100"/>
        <v>2003</v>
      </c>
      <c r="I1610">
        <f t="shared" si="101"/>
        <v>10</v>
      </c>
      <c r="J1610" t="str">
        <f t="shared" si="102"/>
        <v>Oct</v>
      </c>
      <c r="K1610" t="str">
        <f t="shared" si="103"/>
        <v>Mon</v>
      </c>
    </row>
    <row r="1611" spans="1:11" x14ac:dyDescent="0.35">
      <c r="A1611" s="1">
        <v>37901</v>
      </c>
      <c r="B1611">
        <v>2.70000004768371</v>
      </c>
      <c r="C1611">
        <v>2.8125</v>
      </c>
      <c r="D1611">
        <v>2.6974999904632502</v>
      </c>
      <c r="E1611">
        <v>2.74550008773803</v>
      </c>
      <c r="F1611">
        <v>2.74550008773803</v>
      </c>
      <c r="G1611">
        <v>405998000</v>
      </c>
      <c r="H1611">
        <f t="shared" si="100"/>
        <v>2003</v>
      </c>
      <c r="I1611">
        <f t="shared" si="101"/>
        <v>10</v>
      </c>
      <c r="J1611" t="str">
        <f t="shared" si="102"/>
        <v>Oct</v>
      </c>
      <c r="K1611" t="str">
        <f t="shared" si="103"/>
        <v>Tue</v>
      </c>
    </row>
    <row r="1612" spans="1:11" x14ac:dyDescent="0.35">
      <c r="A1612" s="1">
        <v>37902</v>
      </c>
      <c r="B1612">
        <v>2.77200007438659</v>
      </c>
      <c r="C1612">
        <v>2.8139998912811199</v>
      </c>
      <c r="D1612">
        <v>2.7560000419616699</v>
      </c>
      <c r="E1612">
        <v>2.78500008583068</v>
      </c>
      <c r="F1612">
        <v>2.78500008583068</v>
      </c>
      <c r="G1612">
        <v>271160000</v>
      </c>
      <c r="H1612">
        <f t="shared" si="100"/>
        <v>2003</v>
      </c>
      <c r="I1612">
        <f t="shared" si="101"/>
        <v>10</v>
      </c>
      <c r="J1612" t="str">
        <f t="shared" si="102"/>
        <v>Oct</v>
      </c>
      <c r="K1612" t="str">
        <f t="shared" si="103"/>
        <v>Wed</v>
      </c>
    </row>
    <row r="1613" spans="1:11" x14ac:dyDescent="0.35">
      <c r="A1613" s="1">
        <v>37903</v>
      </c>
      <c r="B1613">
        <v>2.87050008773803</v>
      </c>
      <c r="C1613">
        <v>2.9549999237060498</v>
      </c>
      <c r="D1613">
        <v>2.8699998855590798</v>
      </c>
      <c r="E1613">
        <v>2.8929998874664302</v>
      </c>
      <c r="F1613">
        <v>2.8929998874664302</v>
      </c>
      <c r="G1613">
        <v>432138000</v>
      </c>
      <c r="H1613">
        <f t="shared" si="100"/>
        <v>2003</v>
      </c>
      <c r="I1613">
        <f t="shared" si="101"/>
        <v>10</v>
      </c>
      <c r="J1613" t="str">
        <f t="shared" si="102"/>
        <v>Oct</v>
      </c>
      <c r="K1613" t="str">
        <f t="shared" si="103"/>
        <v>Thu</v>
      </c>
    </row>
    <row r="1614" spans="1:11" x14ac:dyDescent="0.35">
      <c r="A1614" s="1">
        <v>37904</v>
      </c>
      <c r="B1614">
        <v>2.8849999904632502</v>
      </c>
      <c r="C1614">
        <v>2.9165000915527299</v>
      </c>
      <c r="D1614">
        <v>2.8719999790191602</v>
      </c>
      <c r="E1614">
        <v>2.9030001163482599</v>
      </c>
      <c r="F1614">
        <v>2.9030001163482599</v>
      </c>
      <c r="G1614">
        <v>228708000</v>
      </c>
      <c r="H1614">
        <f t="shared" si="100"/>
        <v>2003</v>
      </c>
      <c r="I1614">
        <f t="shared" si="101"/>
        <v>10</v>
      </c>
      <c r="J1614" t="str">
        <f t="shared" si="102"/>
        <v>Oct</v>
      </c>
      <c r="K1614" t="str">
        <f t="shared" si="103"/>
        <v>Fri</v>
      </c>
    </row>
    <row r="1615" spans="1:11" x14ac:dyDescent="0.35">
      <c r="A1615" s="1">
        <v>37907</v>
      </c>
      <c r="B1615">
        <v>2.89700007438659</v>
      </c>
      <c r="C1615">
        <v>2.9344999790191602</v>
      </c>
      <c r="D1615">
        <v>2.8719999790191602</v>
      </c>
      <c r="E1615">
        <v>2.9149999618530198</v>
      </c>
      <c r="F1615">
        <v>2.9149999618530198</v>
      </c>
      <c r="G1615">
        <v>166580000</v>
      </c>
      <c r="H1615">
        <f t="shared" si="100"/>
        <v>2003</v>
      </c>
      <c r="I1615">
        <f t="shared" si="101"/>
        <v>10</v>
      </c>
      <c r="J1615" t="str">
        <f t="shared" si="102"/>
        <v>Oct</v>
      </c>
      <c r="K1615" t="str">
        <f t="shared" si="103"/>
        <v>Mon</v>
      </c>
    </row>
    <row r="1616" spans="1:11" x14ac:dyDescent="0.35">
      <c r="A1616" s="1">
        <v>37908</v>
      </c>
      <c r="B1616">
        <v>2.9049999713897701</v>
      </c>
      <c r="C1616">
        <v>2.9990000724792401</v>
      </c>
      <c r="D1616">
        <v>2.8900001049041699</v>
      </c>
      <c r="E1616">
        <v>2.99550008773803</v>
      </c>
      <c r="F1616">
        <v>2.99550008773803</v>
      </c>
      <c r="G1616">
        <v>199732000</v>
      </c>
      <c r="H1616">
        <f t="shared" si="100"/>
        <v>2003</v>
      </c>
      <c r="I1616">
        <f t="shared" si="101"/>
        <v>10</v>
      </c>
      <c r="J1616" t="str">
        <f t="shared" si="102"/>
        <v>Oct</v>
      </c>
      <c r="K1616" t="str">
        <f t="shared" si="103"/>
        <v>Tue</v>
      </c>
    </row>
    <row r="1617" spans="1:11" x14ac:dyDescent="0.35">
      <c r="A1617" s="1">
        <v>37909</v>
      </c>
      <c r="B1617">
        <v>3.0195000171661301</v>
      </c>
      <c r="C1617">
        <v>3.0204999446868799</v>
      </c>
      <c r="D1617">
        <v>2.9214999675750701</v>
      </c>
      <c r="E1617">
        <v>2.9275000095367401</v>
      </c>
      <c r="F1617">
        <v>2.9275000095367401</v>
      </c>
      <c r="G1617">
        <v>204578000</v>
      </c>
      <c r="H1617">
        <f t="shared" si="100"/>
        <v>2003</v>
      </c>
      <c r="I1617">
        <f t="shared" si="101"/>
        <v>10</v>
      </c>
      <c r="J1617" t="str">
        <f t="shared" si="102"/>
        <v>Oct</v>
      </c>
      <c r="K1617" t="str">
        <f t="shared" si="103"/>
        <v>Wed</v>
      </c>
    </row>
    <row r="1618" spans="1:11" x14ac:dyDescent="0.35">
      <c r="A1618" s="1">
        <v>37910</v>
      </c>
      <c r="B1618">
        <v>2.9079999923706001</v>
      </c>
      <c r="C1618">
        <v>2.99550008773803</v>
      </c>
      <c r="D1618">
        <v>2.9045000076293901</v>
      </c>
      <c r="E1618">
        <v>2.99550008773803</v>
      </c>
      <c r="F1618">
        <v>2.99550008773803</v>
      </c>
      <c r="G1618">
        <v>204222000</v>
      </c>
      <c r="H1618">
        <f t="shared" si="100"/>
        <v>2003</v>
      </c>
      <c r="I1618">
        <f t="shared" si="101"/>
        <v>10</v>
      </c>
      <c r="J1618" t="str">
        <f t="shared" si="102"/>
        <v>Oct</v>
      </c>
      <c r="K1618" t="str">
        <f t="shared" si="103"/>
        <v>Thu</v>
      </c>
    </row>
    <row r="1619" spans="1:11" x14ac:dyDescent="0.35">
      <c r="A1619" s="1">
        <v>37911</v>
      </c>
      <c r="B1619">
        <v>2.9649999141693102</v>
      </c>
      <c r="C1619">
        <v>2.9949998855590798</v>
      </c>
      <c r="D1619">
        <v>2.9324998855590798</v>
      </c>
      <c r="E1619">
        <v>2.9844999313354399</v>
      </c>
      <c r="F1619">
        <v>2.9844999313354399</v>
      </c>
      <c r="G1619">
        <v>238658000</v>
      </c>
      <c r="H1619">
        <f t="shared" si="100"/>
        <v>2003</v>
      </c>
      <c r="I1619">
        <f t="shared" si="101"/>
        <v>10</v>
      </c>
      <c r="J1619" t="str">
        <f t="shared" si="102"/>
        <v>Oct</v>
      </c>
      <c r="K1619" t="str">
        <f t="shared" si="103"/>
        <v>Fri</v>
      </c>
    </row>
    <row r="1620" spans="1:11" x14ac:dyDescent="0.35">
      <c r="A1620" s="1">
        <v>37914</v>
      </c>
      <c r="B1620">
        <v>2.9779999256134002</v>
      </c>
      <c r="C1620">
        <v>3.0120000839233398</v>
      </c>
      <c r="D1620">
        <v>2.94600009918212</v>
      </c>
      <c r="E1620">
        <v>2.9795000553131099</v>
      </c>
      <c r="F1620">
        <v>2.9795000553131099</v>
      </c>
      <c r="G1620">
        <v>221722000</v>
      </c>
      <c r="H1620">
        <f t="shared" si="100"/>
        <v>2003</v>
      </c>
      <c r="I1620">
        <f t="shared" si="101"/>
        <v>10</v>
      </c>
      <c r="J1620" t="str">
        <f t="shared" si="102"/>
        <v>Oct</v>
      </c>
      <c r="K1620" t="str">
        <f t="shared" si="103"/>
        <v>Mon</v>
      </c>
    </row>
    <row r="1621" spans="1:11" x14ac:dyDescent="0.35">
      <c r="A1621" s="1">
        <v>37915</v>
      </c>
      <c r="B1621">
        <v>2.98650002479553</v>
      </c>
      <c r="C1621">
        <v>3.0574998855590798</v>
      </c>
      <c r="D1621">
        <v>2.95050001144409</v>
      </c>
      <c r="E1621">
        <v>2.9674999713897701</v>
      </c>
      <c r="F1621">
        <v>2.9674999713897701</v>
      </c>
      <c r="G1621">
        <v>342298000</v>
      </c>
      <c r="H1621">
        <f t="shared" si="100"/>
        <v>2003</v>
      </c>
      <c r="I1621">
        <f t="shared" si="101"/>
        <v>10</v>
      </c>
      <c r="J1621" t="str">
        <f t="shared" si="102"/>
        <v>Oct</v>
      </c>
      <c r="K1621" t="str">
        <f t="shared" si="103"/>
        <v>Tue</v>
      </c>
    </row>
    <row r="1622" spans="1:11" x14ac:dyDescent="0.35">
      <c r="A1622" s="1">
        <v>37916</v>
      </c>
      <c r="B1622">
        <v>2.8025000095367401</v>
      </c>
      <c r="C1622">
        <v>2.8074998855590798</v>
      </c>
      <c r="D1622">
        <v>2.6865000724792401</v>
      </c>
      <c r="E1622">
        <v>2.7014999389648402</v>
      </c>
      <c r="F1622">
        <v>2.7014999389648402</v>
      </c>
      <c r="G1622">
        <v>654038000</v>
      </c>
      <c r="H1622">
        <f t="shared" si="100"/>
        <v>2003</v>
      </c>
      <c r="I1622">
        <f t="shared" si="101"/>
        <v>10</v>
      </c>
      <c r="J1622" t="str">
        <f t="shared" si="102"/>
        <v>Oct</v>
      </c>
      <c r="K1622" t="str">
        <f t="shared" si="103"/>
        <v>Wed</v>
      </c>
    </row>
    <row r="1623" spans="1:11" x14ac:dyDescent="0.35">
      <c r="A1623" s="1">
        <v>37917</v>
      </c>
      <c r="B1623">
        <v>2.6489999294281001</v>
      </c>
      <c r="C1623">
        <v>2.7260000705718901</v>
      </c>
      <c r="D1623">
        <v>2.6454999446868799</v>
      </c>
      <c r="E1623">
        <v>2.7160000801086399</v>
      </c>
      <c r="F1623">
        <v>2.7160000801086399</v>
      </c>
      <c r="G1623">
        <v>292234000</v>
      </c>
      <c r="H1623">
        <f t="shared" si="100"/>
        <v>2003</v>
      </c>
      <c r="I1623">
        <f t="shared" si="101"/>
        <v>10</v>
      </c>
      <c r="J1623" t="str">
        <f t="shared" si="102"/>
        <v>Oct</v>
      </c>
      <c r="K1623" t="str">
        <f t="shared" si="103"/>
        <v>Thu</v>
      </c>
    </row>
    <row r="1624" spans="1:11" x14ac:dyDescent="0.35">
      <c r="A1624" s="1">
        <v>37918</v>
      </c>
      <c r="B1624">
        <v>2.7274999618530198</v>
      </c>
      <c r="C1624">
        <v>2.7469999790191602</v>
      </c>
      <c r="D1624">
        <v>2.6500000953674299</v>
      </c>
      <c r="E1624">
        <v>2.7255001068115199</v>
      </c>
      <c r="F1624">
        <v>2.7255001068115199</v>
      </c>
      <c r="G1624">
        <v>208764000</v>
      </c>
      <c r="H1624">
        <f t="shared" si="100"/>
        <v>2003</v>
      </c>
      <c r="I1624">
        <f t="shared" si="101"/>
        <v>10</v>
      </c>
      <c r="J1624" t="str">
        <f t="shared" si="102"/>
        <v>Oct</v>
      </c>
      <c r="K1624" t="str">
        <f t="shared" si="103"/>
        <v>Fri</v>
      </c>
    </row>
    <row r="1625" spans="1:11" x14ac:dyDescent="0.35">
      <c r="A1625" s="1">
        <v>37921</v>
      </c>
      <c r="B1625">
        <v>2.7449998855590798</v>
      </c>
      <c r="C1625">
        <v>2.76250004768371</v>
      </c>
      <c r="D1625">
        <v>2.7249999046325599</v>
      </c>
      <c r="E1625">
        <v>2.7409999370574898</v>
      </c>
      <c r="F1625">
        <v>2.7409999370574898</v>
      </c>
      <c r="G1625">
        <v>127838000</v>
      </c>
      <c r="H1625">
        <f t="shared" si="100"/>
        <v>2003</v>
      </c>
      <c r="I1625">
        <f t="shared" si="101"/>
        <v>10</v>
      </c>
      <c r="J1625" t="str">
        <f t="shared" si="102"/>
        <v>Oct</v>
      </c>
      <c r="K1625" t="str">
        <f t="shared" si="103"/>
        <v>Mon</v>
      </c>
    </row>
    <row r="1626" spans="1:11" x14ac:dyDescent="0.35">
      <c r="A1626" s="1">
        <v>37922</v>
      </c>
      <c r="B1626">
        <v>2.75950002670288</v>
      </c>
      <c r="C1626">
        <v>2.8450000286102202</v>
      </c>
      <c r="D1626">
        <v>2.7274999618530198</v>
      </c>
      <c r="E1626">
        <v>2.8364999294281001</v>
      </c>
      <c r="F1626">
        <v>2.8364999294281001</v>
      </c>
      <c r="G1626">
        <v>184618000</v>
      </c>
      <c r="H1626">
        <f t="shared" si="100"/>
        <v>2003</v>
      </c>
      <c r="I1626">
        <f t="shared" si="101"/>
        <v>10</v>
      </c>
      <c r="J1626" t="str">
        <f t="shared" si="102"/>
        <v>Oct</v>
      </c>
      <c r="K1626" t="str">
        <f t="shared" si="103"/>
        <v>Tue</v>
      </c>
    </row>
    <row r="1627" spans="1:11" x14ac:dyDescent="0.35">
      <c r="A1627" s="1">
        <v>37923</v>
      </c>
      <c r="B1627">
        <v>2.8324999809265101</v>
      </c>
      <c r="C1627">
        <v>2.85750007629394</v>
      </c>
      <c r="D1627">
        <v>2.7999999523162802</v>
      </c>
      <c r="E1627">
        <v>2.83450007438659</v>
      </c>
      <c r="F1627">
        <v>2.83450007438659</v>
      </c>
      <c r="G1627">
        <v>175530000</v>
      </c>
      <c r="H1627">
        <f t="shared" si="100"/>
        <v>2003</v>
      </c>
      <c r="I1627">
        <f t="shared" si="101"/>
        <v>10</v>
      </c>
      <c r="J1627" t="str">
        <f t="shared" si="102"/>
        <v>Oct</v>
      </c>
      <c r="K1627" t="str">
        <f t="shared" si="103"/>
        <v>Wed</v>
      </c>
    </row>
    <row r="1628" spans="1:11" x14ac:dyDescent="0.35">
      <c r="A1628" s="1">
        <v>37924</v>
      </c>
      <c r="B1628">
        <v>2.8699998855590798</v>
      </c>
      <c r="C1628">
        <v>2.8759999275207502</v>
      </c>
      <c r="D1628">
        <v>2.7785000801086399</v>
      </c>
      <c r="E1628">
        <v>2.7915000915527299</v>
      </c>
      <c r="F1628">
        <v>2.7915000915527299</v>
      </c>
      <c r="G1628">
        <v>196508000</v>
      </c>
      <c r="H1628">
        <f t="shared" si="100"/>
        <v>2003</v>
      </c>
      <c r="I1628">
        <f t="shared" si="101"/>
        <v>10</v>
      </c>
      <c r="J1628" t="str">
        <f t="shared" si="102"/>
        <v>Oct</v>
      </c>
      <c r="K1628" t="str">
        <f t="shared" si="103"/>
        <v>Thu</v>
      </c>
    </row>
    <row r="1629" spans="1:11" x14ac:dyDescent="0.35">
      <c r="A1629" s="1">
        <v>37925</v>
      </c>
      <c r="B1629">
        <v>2.79500007629394</v>
      </c>
      <c r="C1629">
        <v>2.8064999580383301</v>
      </c>
      <c r="D1629">
        <v>2.71900010108947</v>
      </c>
      <c r="E1629">
        <v>2.7214999198913499</v>
      </c>
      <c r="F1629">
        <v>2.7214999198913499</v>
      </c>
      <c r="G1629">
        <v>154534000</v>
      </c>
      <c r="H1629">
        <f t="shared" si="100"/>
        <v>2003</v>
      </c>
      <c r="I1629">
        <f t="shared" si="101"/>
        <v>10</v>
      </c>
      <c r="J1629" t="str">
        <f t="shared" si="102"/>
        <v>Oct</v>
      </c>
      <c r="K1629" t="str">
        <f t="shared" si="103"/>
        <v>Fri</v>
      </c>
    </row>
    <row r="1630" spans="1:11" x14ac:dyDescent="0.35">
      <c r="A1630" s="1">
        <v>37928</v>
      </c>
      <c r="B1630">
        <v>2.7400000095367401</v>
      </c>
      <c r="C1630">
        <v>2.8399999141693102</v>
      </c>
      <c r="D1630">
        <v>2.7155001163482599</v>
      </c>
      <c r="E1630">
        <v>2.8369998931884699</v>
      </c>
      <c r="F1630">
        <v>2.8369998931884699</v>
      </c>
      <c r="G1630">
        <v>182622000</v>
      </c>
      <c r="H1630">
        <f t="shared" si="100"/>
        <v>2003</v>
      </c>
      <c r="I1630">
        <f t="shared" si="101"/>
        <v>11</v>
      </c>
      <c r="J1630" t="str">
        <f t="shared" si="102"/>
        <v>Nov</v>
      </c>
      <c r="K1630" t="str">
        <f t="shared" si="103"/>
        <v>Mon</v>
      </c>
    </row>
    <row r="1631" spans="1:11" x14ac:dyDescent="0.35">
      <c r="A1631" s="1">
        <v>37929</v>
      </c>
      <c r="B1631">
        <v>2.83500003814697</v>
      </c>
      <c r="C1631">
        <v>2.87450003623962</v>
      </c>
      <c r="D1631">
        <v>2.8029999732971098</v>
      </c>
      <c r="E1631">
        <v>2.8429999351501398</v>
      </c>
      <c r="F1631">
        <v>2.8429999351501398</v>
      </c>
      <c r="G1631">
        <v>140190000</v>
      </c>
      <c r="H1631">
        <f t="shared" si="100"/>
        <v>2003</v>
      </c>
      <c r="I1631">
        <f t="shared" si="101"/>
        <v>11</v>
      </c>
      <c r="J1631" t="str">
        <f t="shared" si="102"/>
        <v>Nov</v>
      </c>
      <c r="K1631" t="str">
        <f t="shared" si="103"/>
        <v>Tue</v>
      </c>
    </row>
    <row r="1632" spans="1:11" x14ac:dyDescent="0.35">
      <c r="A1632" s="1">
        <v>37930</v>
      </c>
      <c r="B1632">
        <v>2.8064999580383301</v>
      </c>
      <c r="C1632">
        <v>2.8494999408721902</v>
      </c>
      <c r="D1632">
        <v>2.8039999008178702</v>
      </c>
      <c r="E1632">
        <v>2.8369998931884699</v>
      </c>
      <c r="F1632">
        <v>2.8369998931884699</v>
      </c>
      <c r="G1632">
        <v>106148000</v>
      </c>
      <c r="H1632">
        <f t="shared" si="100"/>
        <v>2003</v>
      </c>
      <c r="I1632">
        <f t="shared" si="101"/>
        <v>11</v>
      </c>
      <c r="J1632" t="str">
        <f t="shared" si="102"/>
        <v>Nov</v>
      </c>
      <c r="K1632" t="str">
        <f t="shared" si="103"/>
        <v>Wed</v>
      </c>
    </row>
    <row r="1633" spans="1:11" x14ac:dyDescent="0.35">
      <c r="A1633" s="1">
        <v>37931</v>
      </c>
      <c r="B1633">
        <v>2.8405001163482599</v>
      </c>
      <c r="C1633">
        <v>2.8434998989105198</v>
      </c>
      <c r="D1633">
        <v>2.7374999523162802</v>
      </c>
      <c r="E1633">
        <v>2.74950003623962</v>
      </c>
      <c r="F1633">
        <v>2.74950003623962</v>
      </c>
      <c r="G1633">
        <v>175836000</v>
      </c>
      <c r="H1633">
        <f t="shared" si="100"/>
        <v>2003</v>
      </c>
      <c r="I1633">
        <f t="shared" si="101"/>
        <v>11</v>
      </c>
      <c r="J1633" t="str">
        <f t="shared" si="102"/>
        <v>Nov</v>
      </c>
      <c r="K1633" t="str">
        <f t="shared" si="103"/>
        <v>Thu</v>
      </c>
    </row>
    <row r="1634" spans="1:11" x14ac:dyDescent="0.35">
      <c r="A1634" s="1">
        <v>37932</v>
      </c>
      <c r="B1634">
        <v>2.7804999351501398</v>
      </c>
      <c r="C1634">
        <v>2.78500008583068</v>
      </c>
      <c r="D1634">
        <v>2.70000004768371</v>
      </c>
      <c r="E1634">
        <v>2.7155001163482599</v>
      </c>
      <c r="F1634">
        <v>2.7155001163482599</v>
      </c>
      <c r="G1634">
        <v>170008000</v>
      </c>
      <c r="H1634">
        <f t="shared" si="100"/>
        <v>2003</v>
      </c>
      <c r="I1634">
        <f t="shared" si="101"/>
        <v>11</v>
      </c>
      <c r="J1634" t="str">
        <f t="shared" si="102"/>
        <v>Nov</v>
      </c>
      <c r="K1634" t="str">
        <f t="shared" si="103"/>
        <v>Fri</v>
      </c>
    </row>
    <row r="1635" spans="1:11" x14ac:dyDescent="0.35">
      <c r="A1635" s="1">
        <v>37935</v>
      </c>
      <c r="B1635">
        <v>2.6974999904632502</v>
      </c>
      <c r="C1635">
        <v>2.70000004768371</v>
      </c>
      <c r="D1635">
        <v>2.5869998931884699</v>
      </c>
      <c r="E1635">
        <v>2.5989999771118102</v>
      </c>
      <c r="F1635">
        <v>2.5989999771118102</v>
      </c>
      <c r="G1635">
        <v>182410000</v>
      </c>
      <c r="H1635">
        <f t="shared" si="100"/>
        <v>2003</v>
      </c>
      <c r="I1635">
        <f t="shared" si="101"/>
        <v>11</v>
      </c>
      <c r="J1635" t="str">
        <f t="shared" si="102"/>
        <v>Nov</v>
      </c>
      <c r="K1635" t="str">
        <f t="shared" si="103"/>
        <v>Mon</v>
      </c>
    </row>
    <row r="1636" spans="1:11" x14ac:dyDescent="0.35">
      <c r="A1636" s="1">
        <v>37936</v>
      </c>
      <c r="B1636">
        <v>2.5920000076293901</v>
      </c>
      <c r="C1636">
        <v>2.63750004768371</v>
      </c>
      <c r="D1636">
        <v>2.5380001068115199</v>
      </c>
      <c r="E1636">
        <v>2.61150002479553</v>
      </c>
      <c r="F1636">
        <v>2.61150002479553</v>
      </c>
      <c r="G1636">
        <v>218402000</v>
      </c>
      <c r="H1636">
        <f t="shared" si="100"/>
        <v>2003</v>
      </c>
      <c r="I1636">
        <f t="shared" si="101"/>
        <v>11</v>
      </c>
      <c r="J1636" t="str">
        <f t="shared" si="102"/>
        <v>Nov</v>
      </c>
      <c r="K1636" t="str">
        <f t="shared" si="103"/>
        <v>Tue</v>
      </c>
    </row>
    <row r="1637" spans="1:11" x14ac:dyDescent="0.35">
      <c r="A1637" s="1">
        <v>37937</v>
      </c>
      <c r="B1637">
        <v>2.62849998474121</v>
      </c>
      <c r="C1637">
        <v>2.7144999504089302</v>
      </c>
      <c r="D1637">
        <v>2.6054999828338601</v>
      </c>
      <c r="E1637">
        <v>2.7065000534057599</v>
      </c>
      <c r="F1637">
        <v>2.7065000534057599</v>
      </c>
      <c r="G1637">
        <v>185186000</v>
      </c>
      <c r="H1637">
        <f t="shared" si="100"/>
        <v>2003</v>
      </c>
      <c r="I1637">
        <f t="shared" si="101"/>
        <v>11</v>
      </c>
      <c r="J1637" t="str">
        <f t="shared" si="102"/>
        <v>Nov</v>
      </c>
      <c r="K1637" t="str">
        <f t="shared" si="103"/>
        <v>Wed</v>
      </c>
    </row>
    <row r="1638" spans="1:11" x14ac:dyDescent="0.35">
      <c r="A1638" s="1">
        <v>37938</v>
      </c>
      <c r="B1638">
        <v>2.70199990272521</v>
      </c>
      <c r="C1638">
        <v>2.7565000057220401</v>
      </c>
      <c r="D1638">
        <v>2.6784999370574898</v>
      </c>
      <c r="E1638">
        <v>2.7400000095367401</v>
      </c>
      <c r="F1638">
        <v>2.7400000095367401</v>
      </c>
      <c r="G1638">
        <v>141460000</v>
      </c>
      <c r="H1638">
        <f t="shared" si="100"/>
        <v>2003</v>
      </c>
      <c r="I1638">
        <f t="shared" si="101"/>
        <v>11</v>
      </c>
      <c r="J1638" t="str">
        <f t="shared" si="102"/>
        <v>Nov</v>
      </c>
      <c r="K1638" t="str">
        <f t="shared" si="103"/>
        <v>Thu</v>
      </c>
    </row>
    <row r="1639" spans="1:11" x14ac:dyDescent="0.35">
      <c r="A1639" s="1">
        <v>37939</v>
      </c>
      <c r="B1639">
        <v>2.7214999198913499</v>
      </c>
      <c r="C1639">
        <v>2.7390000820159899</v>
      </c>
      <c r="D1639">
        <v>2.6105000972747798</v>
      </c>
      <c r="E1639">
        <v>2.6224999427795401</v>
      </c>
      <c r="F1639">
        <v>2.6224999427795401</v>
      </c>
      <c r="G1639">
        <v>167306000</v>
      </c>
      <c r="H1639">
        <f t="shared" si="100"/>
        <v>2003</v>
      </c>
      <c r="I1639">
        <f t="shared" si="101"/>
        <v>11</v>
      </c>
      <c r="J1639" t="str">
        <f t="shared" si="102"/>
        <v>Nov</v>
      </c>
      <c r="K1639" t="str">
        <f t="shared" si="103"/>
        <v>Fri</v>
      </c>
    </row>
    <row r="1640" spans="1:11" x14ac:dyDescent="0.35">
      <c r="A1640" s="1">
        <v>37942</v>
      </c>
      <c r="B1640">
        <v>2.5959999561309801</v>
      </c>
      <c r="C1640">
        <v>2.6094999313354399</v>
      </c>
      <c r="D1640">
        <v>2.4790000915527299</v>
      </c>
      <c r="E1640">
        <v>2.5179998874664302</v>
      </c>
      <c r="F1640">
        <v>2.5179998874664302</v>
      </c>
      <c r="G1640">
        <v>259938000</v>
      </c>
      <c r="H1640">
        <f t="shared" si="100"/>
        <v>2003</v>
      </c>
      <c r="I1640">
        <f t="shared" si="101"/>
        <v>11</v>
      </c>
      <c r="J1640" t="str">
        <f t="shared" si="102"/>
        <v>Nov</v>
      </c>
      <c r="K1640" t="str">
        <f t="shared" si="103"/>
        <v>Mon</v>
      </c>
    </row>
    <row r="1641" spans="1:11" x14ac:dyDescent="0.35">
      <c r="A1641" s="1">
        <v>37943</v>
      </c>
      <c r="B1641">
        <v>2.5364999771118102</v>
      </c>
      <c r="C1641">
        <v>2.54900002479553</v>
      </c>
      <c r="D1641">
        <v>2.4224998950958199</v>
      </c>
      <c r="E1641">
        <v>2.4249999523162802</v>
      </c>
      <c r="F1641">
        <v>2.4249999523162802</v>
      </c>
      <c r="G1641">
        <v>252004000</v>
      </c>
      <c r="H1641">
        <f t="shared" si="100"/>
        <v>2003</v>
      </c>
      <c r="I1641">
        <f t="shared" si="101"/>
        <v>11</v>
      </c>
      <c r="J1641" t="str">
        <f t="shared" si="102"/>
        <v>Nov</v>
      </c>
      <c r="K1641" t="str">
        <f t="shared" si="103"/>
        <v>Tue</v>
      </c>
    </row>
    <row r="1642" spans="1:11" x14ac:dyDescent="0.35">
      <c r="A1642" s="1">
        <v>37944</v>
      </c>
      <c r="B1642">
        <v>2.4354999065399099</v>
      </c>
      <c r="C1642">
        <v>2.4925000667571999</v>
      </c>
      <c r="D1642">
        <v>2.38350009918212</v>
      </c>
      <c r="E1642">
        <v>2.4765000343322701</v>
      </c>
      <c r="F1642">
        <v>2.4765000343322701</v>
      </c>
      <c r="G1642">
        <v>281580000</v>
      </c>
      <c r="H1642">
        <f t="shared" si="100"/>
        <v>2003</v>
      </c>
      <c r="I1642">
        <f t="shared" si="101"/>
        <v>11</v>
      </c>
      <c r="J1642" t="str">
        <f t="shared" si="102"/>
        <v>Nov</v>
      </c>
      <c r="K1642" t="str">
        <f t="shared" si="103"/>
        <v>Wed</v>
      </c>
    </row>
    <row r="1643" spans="1:11" x14ac:dyDescent="0.35">
      <c r="A1643" s="1">
        <v>37945</v>
      </c>
      <c r="B1643">
        <v>2.4549999237060498</v>
      </c>
      <c r="C1643">
        <v>2.5230000019073402</v>
      </c>
      <c r="D1643">
        <v>2.4170000553131099</v>
      </c>
      <c r="E1643">
        <v>2.44250011444091</v>
      </c>
      <c r="F1643">
        <v>2.44250011444091</v>
      </c>
      <c r="G1643">
        <v>246752000</v>
      </c>
      <c r="H1643">
        <f t="shared" si="100"/>
        <v>2003</v>
      </c>
      <c r="I1643">
        <f t="shared" si="101"/>
        <v>11</v>
      </c>
      <c r="J1643" t="str">
        <f t="shared" si="102"/>
        <v>Nov</v>
      </c>
      <c r="K1643" t="str">
        <f t="shared" si="103"/>
        <v>Thu</v>
      </c>
    </row>
    <row r="1644" spans="1:11" x14ac:dyDescent="0.35">
      <c r="A1644" s="1">
        <v>37946</v>
      </c>
      <c r="B1644">
        <v>2.45000004768371</v>
      </c>
      <c r="C1644">
        <v>2.46000003814697</v>
      </c>
      <c r="D1644">
        <v>2.38800001144409</v>
      </c>
      <c r="E1644">
        <v>2.4289999008178702</v>
      </c>
      <c r="F1644">
        <v>2.4289999008178702</v>
      </c>
      <c r="G1644">
        <v>183868000</v>
      </c>
      <c r="H1644">
        <f t="shared" si="100"/>
        <v>2003</v>
      </c>
      <c r="I1644">
        <f t="shared" si="101"/>
        <v>11</v>
      </c>
      <c r="J1644" t="str">
        <f t="shared" si="102"/>
        <v>Nov</v>
      </c>
      <c r="K1644" t="str">
        <f t="shared" si="103"/>
        <v>Fri</v>
      </c>
    </row>
    <row r="1645" spans="1:11" x14ac:dyDescent="0.35">
      <c r="A1645" s="1">
        <v>37949</v>
      </c>
      <c r="B1645">
        <v>2.4639999866485498</v>
      </c>
      <c r="C1645">
        <v>2.5724999904632502</v>
      </c>
      <c r="D1645">
        <v>2.4324998855590798</v>
      </c>
      <c r="E1645">
        <v>2.5664999485015798</v>
      </c>
      <c r="F1645">
        <v>2.5664999485015798</v>
      </c>
      <c r="G1645">
        <v>212630000</v>
      </c>
      <c r="H1645">
        <f t="shared" si="100"/>
        <v>2003</v>
      </c>
      <c r="I1645">
        <f t="shared" si="101"/>
        <v>11</v>
      </c>
      <c r="J1645" t="str">
        <f t="shared" si="102"/>
        <v>Nov</v>
      </c>
      <c r="K1645" t="str">
        <f t="shared" si="103"/>
        <v>Mon</v>
      </c>
    </row>
    <row r="1646" spans="1:11" x14ac:dyDescent="0.35">
      <c r="A1646" s="1">
        <v>37950</v>
      </c>
      <c r="B1646">
        <v>2.56750011444091</v>
      </c>
      <c r="C1646">
        <v>2.6649999618530198</v>
      </c>
      <c r="D1646">
        <v>2.5625</v>
      </c>
      <c r="E1646">
        <v>2.6235001087188698</v>
      </c>
      <c r="F1646">
        <v>2.6235001087188698</v>
      </c>
      <c r="G1646">
        <v>275426000</v>
      </c>
      <c r="H1646">
        <f t="shared" si="100"/>
        <v>2003</v>
      </c>
      <c r="I1646">
        <f t="shared" si="101"/>
        <v>11</v>
      </c>
      <c r="J1646" t="str">
        <f t="shared" si="102"/>
        <v>Nov</v>
      </c>
      <c r="K1646" t="str">
        <f t="shared" si="103"/>
        <v>Tue</v>
      </c>
    </row>
    <row r="1647" spans="1:11" x14ac:dyDescent="0.35">
      <c r="A1647" s="1">
        <v>37951</v>
      </c>
      <c r="B1647">
        <v>2.6414999961853001</v>
      </c>
      <c r="C1647">
        <v>2.6770000457763601</v>
      </c>
      <c r="D1647">
        <v>2.5934998989105198</v>
      </c>
      <c r="E1647">
        <v>2.6480000019073402</v>
      </c>
      <c r="F1647">
        <v>2.6480000019073402</v>
      </c>
      <c r="G1647">
        <v>178154000</v>
      </c>
      <c r="H1647">
        <f t="shared" si="100"/>
        <v>2003</v>
      </c>
      <c r="I1647">
        <f t="shared" si="101"/>
        <v>11</v>
      </c>
      <c r="J1647" t="str">
        <f t="shared" si="102"/>
        <v>Nov</v>
      </c>
      <c r="K1647" t="str">
        <f t="shared" si="103"/>
        <v>Wed</v>
      </c>
    </row>
    <row r="1648" spans="1:11" x14ac:dyDescent="0.35">
      <c r="A1648" s="1">
        <v>37953</v>
      </c>
      <c r="B1648">
        <v>2.6419999599456698</v>
      </c>
      <c r="C1648">
        <v>2.7030000686645499</v>
      </c>
      <c r="D1648">
        <v>2.6414999961853001</v>
      </c>
      <c r="E1648">
        <v>2.6984999179839999</v>
      </c>
      <c r="F1648">
        <v>2.6984999179839999</v>
      </c>
      <c r="G1648">
        <v>79660000</v>
      </c>
      <c r="H1648">
        <f t="shared" si="100"/>
        <v>2003</v>
      </c>
      <c r="I1648">
        <f t="shared" si="101"/>
        <v>11</v>
      </c>
      <c r="J1648" t="str">
        <f t="shared" si="102"/>
        <v>Nov</v>
      </c>
      <c r="K1648" t="str">
        <f t="shared" si="103"/>
        <v>Fri</v>
      </c>
    </row>
    <row r="1649" spans="1:11" x14ac:dyDescent="0.35">
      <c r="A1649" s="1">
        <v>37956</v>
      </c>
      <c r="B1649">
        <v>2.7200000286102202</v>
      </c>
      <c r="C1649">
        <v>2.7374999523162802</v>
      </c>
      <c r="D1649">
        <v>2.6524999141693102</v>
      </c>
      <c r="E1649">
        <v>2.73250007629394</v>
      </c>
      <c r="F1649">
        <v>2.73250007629394</v>
      </c>
      <c r="G1649">
        <v>230456000</v>
      </c>
      <c r="H1649">
        <f t="shared" si="100"/>
        <v>2003</v>
      </c>
      <c r="I1649">
        <f t="shared" si="101"/>
        <v>12</v>
      </c>
      <c r="J1649" t="str">
        <f t="shared" si="102"/>
        <v>Dec</v>
      </c>
      <c r="K1649" t="str">
        <f t="shared" si="103"/>
        <v>Mon</v>
      </c>
    </row>
    <row r="1650" spans="1:11" x14ac:dyDescent="0.35">
      <c r="A1650" s="1">
        <v>37957</v>
      </c>
      <c r="B1650">
        <v>2.7249999046325599</v>
      </c>
      <c r="C1650">
        <v>2.7374999523162802</v>
      </c>
      <c r="D1650">
        <v>2.69250011444091</v>
      </c>
      <c r="E1650">
        <v>2.6965000629425</v>
      </c>
      <c r="F1650">
        <v>2.6965000629425</v>
      </c>
      <c r="G1650">
        <v>124758000</v>
      </c>
      <c r="H1650">
        <f t="shared" si="100"/>
        <v>2003</v>
      </c>
      <c r="I1650">
        <f t="shared" si="101"/>
        <v>12</v>
      </c>
      <c r="J1650" t="str">
        <f t="shared" si="102"/>
        <v>Dec</v>
      </c>
      <c r="K1650" t="str">
        <f t="shared" si="103"/>
        <v>Tue</v>
      </c>
    </row>
    <row r="1651" spans="1:11" x14ac:dyDescent="0.35">
      <c r="A1651" s="1">
        <v>37958</v>
      </c>
      <c r="B1651">
        <v>2.7049999237060498</v>
      </c>
      <c r="C1651">
        <v>2.7125000953674299</v>
      </c>
      <c r="D1651">
        <v>2.5680000782012899</v>
      </c>
      <c r="E1651">
        <v>2.57550001144409</v>
      </c>
      <c r="F1651">
        <v>2.57550001144409</v>
      </c>
      <c r="G1651">
        <v>231416000</v>
      </c>
      <c r="H1651">
        <f t="shared" si="100"/>
        <v>2003</v>
      </c>
      <c r="I1651">
        <f t="shared" si="101"/>
        <v>12</v>
      </c>
      <c r="J1651" t="str">
        <f t="shared" si="102"/>
        <v>Dec</v>
      </c>
      <c r="K1651" t="str">
        <f t="shared" si="103"/>
        <v>Wed</v>
      </c>
    </row>
    <row r="1652" spans="1:11" x14ac:dyDescent="0.35">
      <c r="A1652" s="1">
        <v>37959</v>
      </c>
      <c r="B1652">
        <v>2.5724999904632502</v>
      </c>
      <c r="C1652">
        <v>2.6215000152587802</v>
      </c>
      <c r="D1652">
        <v>2.5374999046325599</v>
      </c>
      <c r="E1652">
        <v>2.5899999141693102</v>
      </c>
      <c r="F1652">
        <v>2.5899999141693102</v>
      </c>
      <c r="G1652">
        <v>204324000</v>
      </c>
      <c r="H1652">
        <f t="shared" si="100"/>
        <v>2003</v>
      </c>
      <c r="I1652">
        <f t="shared" si="101"/>
        <v>12</v>
      </c>
      <c r="J1652" t="str">
        <f t="shared" si="102"/>
        <v>Dec</v>
      </c>
      <c r="K1652" t="str">
        <f t="shared" si="103"/>
        <v>Thu</v>
      </c>
    </row>
    <row r="1653" spans="1:11" x14ac:dyDescent="0.35">
      <c r="A1653" s="1">
        <v>37960</v>
      </c>
      <c r="B1653">
        <v>2.5599999427795401</v>
      </c>
      <c r="C1653">
        <v>2.6349999904632502</v>
      </c>
      <c r="D1653">
        <v>2.5599999427795401</v>
      </c>
      <c r="E1653">
        <v>2.5780000686645499</v>
      </c>
      <c r="F1653">
        <v>2.5780000686645499</v>
      </c>
      <c r="G1653">
        <v>150030000</v>
      </c>
      <c r="H1653">
        <f t="shared" si="100"/>
        <v>2003</v>
      </c>
      <c r="I1653">
        <f t="shared" si="101"/>
        <v>12</v>
      </c>
      <c r="J1653" t="str">
        <f t="shared" si="102"/>
        <v>Dec</v>
      </c>
      <c r="K1653" t="str">
        <f t="shared" si="103"/>
        <v>Fri</v>
      </c>
    </row>
    <row r="1654" spans="1:11" x14ac:dyDescent="0.35">
      <c r="A1654" s="1">
        <v>37963</v>
      </c>
      <c r="B1654">
        <v>2.5775001049041699</v>
      </c>
      <c r="C1654">
        <v>2.6099998950958199</v>
      </c>
      <c r="D1654">
        <v>2.5060000419616699</v>
      </c>
      <c r="E1654">
        <v>2.5539999008178702</v>
      </c>
      <c r="F1654">
        <v>2.5539999008178702</v>
      </c>
      <c r="G1654">
        <v>167528000</v>
      </c>
      <c r="H1654">
        <f t="shared" si="100"/>
        <v>2003</v>
      </c>
      <c r="I1654">
        <f t="shared" si="101"/>
        <v>12</v>
      </c>
      <c r="J1654" t="str">
        <f t="shared" si="102"/>
        <v>Dec</v>
      </c>
      <c r="K1654" t="str">
        <f t="shared" si="103"/>
        <v>Mon</v>
      </c>
    </row>
    <row r="1655" spans="1:11" x14ac:dyDescent="0.35">
      <c r="A1655" s="1">
        <v>37964</v>
      </c>
      <c r="B1655">
        <v>2.55850005149841</v>
      </c>
      <c r="C1655">
        <v>2.5824999809265101</v>
      </c>
      <c r="D1655">
        <v>2.4649999141693102</v>
      </c>
      <c r="E1655">
        <v>2.4670000076293901</v>
      </c>
      <c r="F1655">
        <v>2.4670000076293901</v>
      </c>
      <c r="G1655">
        <v>209210000</v>
      </c>
      <c r="H1655">
        <f t="shared" si="100"/>
        <v>2003</v>
      </c>
      <c r="I1655">
        <f t="shared" si="101"/>
        <v>12</v>
      </c>
      <c r="J1655" t="str">
        <f t="shared" si="102"/>
        <v>Dec</v>
      </c>
      <c r="K1655" t="str">
        <f t="shared" si="103"/>
        <v>Tue</v>
      </c>
    </row>
    <row r="1656" spans="1:11" x14ac:dyDescent="0.35">
      <c r="A1656" s="1">
        <v>37965</v>
      </c>
      <c r="B1656">
        <v>2.47250008583068</v>
      </c>
      <c r="C1656">
        <v>2.50850009918212</v>
      </c>
      <c r="D1656">
        <v>2.4154999256134002</v>
      </c>
      <c r="E1656">
        <v>2.46000003814697</v>
      </c>
      <c r="F1656">
        <v>2.46000003814697</v>
      </c>
      <c r="G1656">
        <v>185092000</v>
      </c>
      <c r="H1656">
        <f t="shared" si="100"/>
        <v>2003</v>
      </c>
      <c r="I1656">
        <f t="shared" si="101"/>
        <v>12</v>
      </c>
      <c r="J1656" t="str">
        <f t="shared" si="102"/>
        <v>Dec</v>
      </c>
      <c r="K1656" t="str">
        <f t="shared" si="103"/>
        <v>Wed</v>
      </c>
    </row>
    <row r="1657" spans="1:11" x14ac:dyDescent="0.35">
      <c r="A1657" s="1">
        <v>37966</v>
      </c>
      <c r="B1657">
        <v>2.4630000591278001</v>
      </c>
      <c r="C1657">
        <v>2.5574998855590798</v>
      </c>
      <c r="D1657">
        <v>2.45950007438659</v>
      </c>
      <c r="E1657">
        <v>2.5399999618530198</v>
      </c>
      <c r="F1657">
        <v>2.5399999618530198</v>
      </c>
      <c r="G1657">
        <v>188110000</v>
      </c>
      <c r="H1657">
        <f t="shared" si="100"/>
        <v>2003</v>
      </c>
      <c r="I1657">
        <f t="shared" si="101"/>
        <v>12</v>
      </c>
      <c r="J1657" t="str">
        <f t="shared" si="102"/>
        <v>Dec</v>
      </c>
      <c r="K1657" t="str">
        <f t="shared" si="103"/>
        <v>Thu</v>
      </c>
    </row>
    <row r="1658" spans="1:11" x14ac:dyDescent="0.35">
      <c r="A1658" s="1">
        <v>37967</v>
      </c>
      <c r="B1658">
        <v>2.5494999885559002</v>
      </c>
      <c r="C1658">
        <v>2.5655000209808301</v>
      </c>
      <c r="D1658">
        <v>2.49600005149841</v>
      </c>
      <c r="E1658">
        <v>2.5494999885559002</v>
      </c>
      <c r="F1658">
        <v>2.5494999885559002</v>
      </c>
      <c r="G1658">
        <v>123812000</v>
      </c>
      <c r="H1658">
        <f t="shared" si="100"/>
        <v>2003</v>
      </c>
      <c r="I1658">
        <f t="shared" si="101"/>
        <v>12</v>
      </c>
      <c r="J1658" t="str">
        <f t="shared" si="102"/>
        <v>Dec</v>
      </c>
      <c r="K1658" t="str">
        <f t="shared" si="103"/>
        <v>Fri</v>
      </c>
    </row>
    <row r="1659" spans="1:11" x14ac:dyDescent="0.35">
      <c r="A1659" s="1">
        <v>37970</v>
      </c>
      <c r="B1659">
        <v>2.6024999618530198</v>
      </c>
      <c r="C1659">
        <v>2.6124999523162802</v>
      </c>
      <c r="D1659">
        <v>2.5025000572204501</v>
      </c>
      <c r="E1659">
        <v>2.5204999446868799</v>
      </c>
      <c r="F1659">
        <v>2.5204999446868799</v>
      </c>
      <c r="G1659">
        <v>193536000</v>
      </c>
      <c r="H1659">
        <f t="shared" si="100"/>
        <v>2003</v>
      </c>
      <c r="I1659">
        <f t="shared" si="101"/>
        <v>12</v>
      </c>
      <c r="J1659" t="str">
        <f t="shared" si="102"/>
        <v>Dec</v>
      </c>
      <c r="K1659" t="str">
        <f t="shared" si="103"/>
        <v>Mon</v>
      </c>
    </row>
    <row r="1660" spans="1:11" x14ac:dyDescent="0.35">
      <c r="A1660" s="1">
        <v>37971</v>
      </c>
      <c r="B1660">
        <v>2.4800000190734801</v>
      </c>
      <c r="C1660">
        <v>2.4900000095367401</v>
      </c>
      <c r="D1660">
        <v>2.4314999580383301</v>
      </c>
      <c r="E1660">
        <v>2.4749999046325599</v>
      </c>
      <c r="F1660">
        <v>2.4749999046325599</v>
      </c>
      <c r="G1660">
        <v>210996000</v>
      </c>
      <c r="H1660">
        <f t="shared" si="100"/>
        <v>2003</v>
      </c>
      <c r="I1660">
        <f t="shared" si="101"/>
        <v>12</v>
      </c>
      <c r="J1660" t="str">
        <f t="shared" si="102"/>
        <v>Dec</v>
      </c>
      <c r="K1660" t="str">
        <f t="shared" si="103"/>
        <v>Tue</v>
      </c>
    </row>
    <row r="1661" spans="1:11" x14ac:dyDescent="0.35">
      <c r="A1661" s="1">
        <v>37972</v>
      </c>
      <c r="B1661">
        <v>2.47350001335144</v>
      </c>
      <c r="C1661">
        <v>2.4804999828338601</v>
      </c>
      <c r="D1661">
        <v>2.3499999046325599</v>
      </c>
      <c r="E1661">
        <v>2.3789999485015798</v>
      </c>
      <c r="F1661">
        <v>2.3789999485015798</v>
      </c>
      <c r="G1661">
        <v>277136000</v>
      </c>
      <c r="H1661">
        <f t="shared" si="100"/>
        <v>2003</v>
      </c>
      <c r="I1661">
        <f t="shared" si="101"/>
        <v>12</v>
      </c>
      <c r="J1661" t="str">
        <f t="shared" si="102"/>
        <v>Dec</v>
      </c>
      <c r="K1661" t="str">
        <f t="shared" si="103"/>
        <v>Wed</v>
      </c>
    </row>
    <row r="1662" spans="1:11" x14ac:dyDescent="0.35">
      <c r="A1662" s="1">
        <v>37973</v>
      </c>
      <c r="B1662">
        <v>2.3805000782012899</v>
      </c>
      <c r="C1662">
        <v>2.4444999694824201</v>
      </c>
      <c r="D1662">
        <v>2.3724999427795401</v>
      </c>
      <c r="E1662">
        <v>2.4375</v>
      </c>
      <c r="F1662">
        <v>2.4375</v>
      </c>
      <c r="G1662">
        <v>215014000</v>
      </c>
      <c r="H1662">
        <f t="shared" si="100"/>
        <v>2003</v>
      </c>
      <c r="I1662">
        <f t="shared" si="101"/>
        <v>12</v>
      </c>
      <c r="J1662" t="str">
        <f t="shared" si="102"/>
        <v>Dec</v>
      </c>
      <c r="K1662" t="str">
        <f t="shared" si="103"/>
        <v>Thu</v>
      </c>
    </row>
    <row r="1663" spans="1:11" x14ac:dyDescent="0.35">
      <c r="A1663" s="1">
        <v>37974</v>
      </c>
      <c r="B1663">
        <v>2.4400000572204501</v>
      </c>
      <c r="C1663">
        <v>2.4704999923706001</v>
      </c>
      <c r="D1663">
        <v>2.4130001068115199</v>
      </c>
      <c r="E1663">
        <v>2.4619998931884699</v>
      </c>
      <c r="F1663">
        <v>2.4619998931884699</v>
      </c>
      <c r="G1663">
        <v>160918000</v>
      </c>
      <c r="H1663">
        <f t="shared" si="100"/>
        <v>2003</v>
      </c>
      <c r="I1663">
        <f t="shared" si="101"/>
        <v>12</v>
      </c>
      <c r="J1663" t="str">
        <f t="shared" si="102"/>
        <v>Dec</v>
      </c>
      <c r="K1663" t="str">
        <f t="shared" si="103"/>
        <v>Fri</v>
      </c>
    </row>
    <row r="1664" spans="1:11" x14ac:dyDescent="0.35">
      <c r="A1664" s="1">
        <v>37977</v>
      </c>
      <c r="B1664">
        <v>2.4489998817443799</v>
      </c>
      <c r="C1664">
        <v>2.50500011444091</v>
      </c>
      <c r="D1664">
        <v>2.4349999427795401</v>
      </c>
      <c r="E1664">
        <v>2.4944999217986998</v>
      </c>
      <c r="F1664">
        <v>2.4944999217986998</v>
      </c>
      <c r="G1664">
        <v>155994000</v>
      </c>
      <c r="H1664">
        <f t="shared" si="100"/>
        <v>2003</v>
      </c>
      <c r="I1664">
        <f t="shared" si="101"/>
        <v>12</v>
      </c>
      <c r="J1664" t="str">
        <f t="shared" si="102"/>
        <v>Dec</v>
      </c>
      <c r="K1664" t="str">
        <f t="shared" si="103"/>
        <v>Mon</v>
      </c>
    </row>
    <row r="1665" spans="1:11" x14ac:dyDescent="0.35">
      <c r="A1665" s="1">
        <v>37978</v>
      </c>
      <c r="B1665">
        <v>2.5009999275207502</v>
      </c>
      <c r="C1665">
        <v>2.6310000419616699</v>
      </c>
      <c r="D1665">
        <v>2.4885001182556099</v>
      </c>
      <c r="E1665">
        <v>2.6240000724792401</v>
      </c>
      <c r="F1665">
        <v>2.6240000724792401</v>
      </c>
      <c r="G1665">
        <v>220080000</v>
      </c>
      <c r="H1665">
        <f t="shared" si="100"/>
        <v>2003</v>
      </c>
      <c r="I1665">
        <f t="shared" si="101"/>
        <v>12</v>
      </c>
      <c r="J1665" t="str">
        <f t="shared" si="102"/>
        <v>Dec</v>
      </c>
      <c r="K1665" t="str">
        <f t="shared" si="103"/>
        <v>Tue</v>
      </c>
    </row>
    <row r="1666" spans="1:11" x14ac:dyDescent="0.35">
      <c r="A1666" s="1">
        <v>37979</v>
      </c>
      <c r="B1666">
        <v>2.6150000095367401</v>
      </c>
      <c r="C1666">
        <v>2.6940000057220401</v>
      </c>
      <c r="D1666">
        <v>2.60750007629394</v>
      </c>
      <c r="E1666">
        <v>2.66599988937377</v>
      </c>
      <c r="F1666">
        <v>2.66599988937377</v>
      </c>
      <c r="G1666">
        <v>113196000</v>
      </c>
      <c r="H1666">
        <f t="shared" si="100"/>
        <v>2003</v>
      </c>
      <c r="I1666">
        <f t="shared" si="101"/>
        <v>12</v>
      </c>
      <c r="J1666" t="str">
        <f t="shared" si="102"/>
        <v>Dec</v>
      </c>
      <c r="K1666" t="str">
        <f t="shared" si="103"/>
        <v>Wed</v>
      </c>
    </row>
    <row r="1667" spans="1:11" x14ac:dyDescent="0.35">
      <c r="A1667" s="1">
        <v>37981</v>
      </c>
      <c r="B1667">
        <v>2.7070000171661301</v>
      </c>
      <c r="C1667">
        <v>2.7469999790191602</v>
      </c>
      <c r="D1667">
        <v>2.65700006484985</v>
      </c>
      <c r="E1667">
        <v>2.67350006103515</v>
      </c>
      <c r="F1667">
        <v>2.67350006103515</v>
      </c>
      <c r="G1667">
        <v>141568000</v>
      </c>
      <c r="H1667">
        <f t="shared" si="100"/>
        <v>2003</v>
      </c>
      <c r="I1667">
        <f t="shared" si="101"/>
        <v>12</v>
      </c>
      <c r="J1667" t="str">
        <f t="shared" si="102"/>
        <v>Dec</v>
      </c>
      <c r="K1667" t="str">
        <f t="shared" si="103"/>
        <v>Fri</v>
      </c>
    </row>
    <row r="1668" spans="1:11" x14ac:dyDescent="0.35">
      <c r="A1668" s="1">
        <v>37984</v>
      </c>
      <c r="B1668">
        <v>2.6895000934600799</v>
      </c>
      <c r="C1668">
        <v>2.6919999122619598</v>
      </c>
      <c r="D1668">
        <v>2.6064999103546098</v>
      </c>
      <c r="E1668">
        <v>2.67350006103515</v>
      </c>
      <c r="F1668">
        <v>2.67350006103515</v>
      </c>
      <c r="G1668">
        <v>161138000</v>
      </c>
      <c r="H1668">
        <f t="shared" ref="H1668:H1731" si="104">YEAR($A1668)</f>
        <v>2003</v>
      </c>
      <c r="I1668">
        <f t="shared" ref="I1668:I1731" si="105">MONTH($A1668)</f>
        <v>12</v>
      </c>
      <c r="J1668" t="str">
        <f t="shared" ref="J1668:J1731" si="106">TEXT($A1668,"mmm")</f>
        <v>Dec</v>
      </c>
      <c r="K1668" t="str">
        <f t="shared" ref="K1668:K1731" si="107">TEXT($A1668,"ddd")</f>
        <v>Mon</v>
      </c>
    </row>
    <row r="1669" spans="1:11" x14ac:dyDescent="0.35">
      <c r="A1669" s="1">
        <v>37985</v>
      </c>
      <c r="B1669">
        <v>2.6589999198913499</v>
      </c>
      <c r="C1669">
        <v>2.6749999523162802</v>
      </c>
      <c r="D1669">
        <v>2.63000011444091</v>
      </c>
      <c r="E1669">
        <v>2.6414999961853001</v>
      </c>
      <c r="F1669">
        <v>2.6414999961853001</v>
      </c>
      <c r="G1669">
        <v>103048000</v>
      </c>
      <c r="H1669">
        <f t="shared" si="104"/>
        <v>2003</v>
      </c>
      <c r="I1669">
        <f t="shared" si="105"/>
        <v>12</v>
      </c>
      <c r="J1669" t="str">
        <f t="shared" si="106"/>
        <v>Dec</v>
      </c>
      <c r="K1669" t="str">
        <f t="shared" si="107"/>
        <v>Tue</v>
      </c>
    </row>
    <row r="1670" spans="1:11" x14ac:dyDescent="0.35">
      <c r="A1670" s="1">
        <v>37986</v>
      </c>
      <c r="B1670">
        <v>2.6410000324249201</v>
      </c>
      <c r="C1670">
        <v>2.67400002479553</v>
      </c>
      <c r="D1670">
        <v>2.6199998855590798</v>
      </c>
      <c r="E1670">
        <v>2.6310000419616699</v>
      </c>
      <c r="F1670">
        <v>2.6310000419616699</v>
      </c>
      <c r="G1670">
        <v>106144000</v>
      </c>
      <c r="H1670">
        <f t="shared" si="104"/>
        <v>2003</v>
      </c>
      <c r="I1670">
        <f t="shared" si="105"/>
        <v>12</v>
      </c>
      <c r="J1670" t="str">
        <f t="shared" si="106"/>
        <v>Dec</v>
      </c>
      <c r="K1670" t="str">
        <f t="shared" si="107"/>
        <v>Wed</v>
      </c>
    </row>
    <row r="1671" spans="1:11" x14ac:dyDescent="0.35">
      <c r="A1671" s="1">
        <v>37988</v>
      </c>
      <c r="B1671">
        <v>2.63800001144409</v>
      </c>
      <c r="C1671">
        <v>2.65650010108947</v>
      </c>
      <c r="D1671">
        <v>2.5715000629425</v>
      </c>
      <c r="E1671">
        <v>2.5950000286102202</v>
      </c>
      <c r="F1671">
        <v>2.5950000286102202</v>
      </c>
      <c r="G1671">
        <v>132798000</v>
      </c>
      <c r="H1671">
        <f t="shared" si="104"/>
        <v>2004</v>
      </c>
      <c r="I1671">
        <f t="shared" si="105"/>
        <v>1</v>
      </c>
      <c r="J1671" t="str">
        <f t="shared" si="106"/>
        <v>Jan</v>
      </c>
      <c r="K1671" t="str">
        <f t="shared" si="107"/>
        <v>Fri</v>
      </c>
    </row>
    <row r="1672" spans="1:11" x14ac:dyDescent="0.35">
      <c r="A1672" s="1">
        <v>37991</v>
      </c>
      <c r="B1672">
        <v>2.5999999046325599</v>
      </c>
      <c r="C1672">
        <v>2.6800000667571999</v>
      </c>
      <c r="D1672">
        <v>2.5685000419616699</v>
      </c>
      <c r="E1672">
        <v>2.6635000705718901</v>
      </c>
      <c r="F1672">
        <v>2.6635000705718901</v>
      </c>
      <c r="G1672">
        <v>225682000</v>
      </c>
      <c r="H1672">
        <f t="shared" si="104"/>
        <v>2004</v>
      </c>
      <c r="I1672">
        <f t="shared" si="105"/>
        <v>1</v>
      </c>
      <c r="J1672" t="str">
        <f t="shared" si="106"/>
        <v>Jan</v>
      </c>
      <c r="K1672" t="str">
        <f t="shared" si="107"/>
        <v>Mon</v>
      </c>
    </row>
    <row r="1673" spans="1:11" x14ac:dyDescent="0.35">
      <c r="A1673" s="1">
        <v>37992</v>
      </c>
      <c r="B1673">
        <v>2.6554999351501398</v>
      </c>
      <c r="C1673">
        <v>2.6749999523162802</v>
      </c>
      <c r="D1673">
        <v>2.6370000839233398</v>
      </c>
      <c r="E1673">
        <v>2.6514999866485498</v>
      </c>
      <c r="F1673">
        <v>2.6514999866485498</v>
      </c>
      <c r="G1673">
        <v>119710000</v>
      </c>
      <c r="H1673">
        <f t="shared" si="104"/>
        <v>2004</v>
      </c>
      <c r="I1673">
        <f t="shared" si="105"/>
        <v>1</v>
      </c>
      <c r="J1673" t="str">
        <f t="shared" si="106"/>
        <v>Jan</v>
      </c>
      <c r="K1673" t="str">
        <f t="shared" si="107"/>
        <v>Tue</v>
      </c>
    </row>
    <row r="1674" spans="1:11" x14ac:dyDescent="0.35">
      <c r="A1674" s="1">
        <v>37993</v>
      </c>
      <c r="B1674">
        <v>2.6089999675750701</v>
      </c>
      <c r="C1674">
        <v>2.6329998970031698</v>
      </c>
      <c r="D1674">
        <v>2.5469999313354399</v>
      </c>
      <c r="E1674">
        <v>2.5950000286102202</v>
      </c>
      <c r="F1674">
        <v>2.5950000286102202</v>
      </c>
      <c r="G1674">
        <v>184854000</v>
      </c>
      <c r="H1674">
        <f t="shared" si="104"/>
        <v>2004</v>
      </c>
      <c r="I1674">
        <f t="shared" si="105"/>
        <v>1</v>
      </c>
      <c r="J1674" t="str">
        <f t="shared" si="106"/>
        <v>Jan</v>
      </c>
      <c r="K1674" t="str">
        <f t="shared" si="107"/>
        <v>Wed</v>
      </c>
    </row>
    <row r="1675" spans="1:11" x14ac:dyDescent="0.35">
      <c r="A1675" s="1">
        <v>37994</v>
      </c>
      <c r="B1675">
        <v>2.6045000553131099</v>
      </c>
      <c r="C1675">
        <v>2.6050000190734801</v>
      </c>
      <c r="D1675">
        <v>2.5014998912811199</v>
      </c>
      <c r="E1675">
        <v>2.5120000839233398</v>
      </c>
      <c r="F1675">
        <v>2.5120000839233398</v>
      </c>
      <c r="G1675">
        <v>206406000</v>
      </c>
      <c r="H1675">
        <f t="shared" si="104"/>
        <v>2004</v>
      </c>
      <c r="I1675">
        <f t="shared" si="105"/>
        <v>1</v>
      </c>
      <c r="J1675" t="str">
        <f t="shared" si="106"/>
        <v>Jan</v>
      </c>
      <c r="K1675" t="str">
        <f t="shared" si="107"/>
        <v>Thu</v>
      </c>
    </row>
    <row r="1676" spans="1:11" x14ac:dyDescent="0.35">
      <c r="A1676" s="1">
        <v>37995</v>
      </c>
      <c r="B1676">
        <v>2.4885001182556099</v>
      </c>
      <c r="C1676">
        <v>2.60750007629394</v>
      </c>
      <c r="D1676">
        <v>2.4549999237060498</v>
      </c>
      <c r="E1676">
        <v>2.5794999599456698</v>
      </c>
      <c r="F1676">
        <v>2.5794999599456698</v>
      </c>
      <c r="G1676">
        <v>255584000</v>
      </c>
      <c r="H1676">
        <f t="shared" si="104"/>
        <v>2004</v>
      </c>
      <c r="I1676">
        <f t="shared" si="105"/>
        <v>1</v>
      </c>
      <c r="J1676" t="str">
        <f t="shared" si="106"/>
        <v>Jan</v>
      </c>
      <c r="K1676" t="str">
        <f t="shared" si="107"/>
        <v>Fri</v>
      </c>
    </row>
    <row r="1677" spans="1:11" x14ac:dyDescent="0.35">
      <c r="A1677" s="1">
        <v>37998</v>
      </c>
      <c r="B1677">
        <v>2.5804998874664302</v>
      </c>
      <c r="C1677">
        <v>2.6514999866485498</v>
      </c>
      <c r="D1677">
        <v>2.5399999618530198</v>
      </c>
      <c r="E1677">
        <v>2.64750003814697</v>
      </c>
      <c r="F1677">
        <v>2.64750003814697</v>
      </c>
      <c r="G1677">
        <v>189018000</v>
      </c>
      <c r="H1677">
        <f t="shared" si="104"/>
        <v>2004</v>
      </c>
      <c r="I1677">
        <f t="shared" si="105"/>
        <v>1</v>
      </c>
      <c r="J1677" t="str">
        <f t="shared" si="106"/>
        <v>Jan</v>
      </c>
      <c r="K1677" t="str">
        <f t="shared" si="107"/>
        <v>Mon</v>
      </c>
    </row>
    <row r="1678" spans="1:11" x14ac:dyDescent="0.35">
      <c r="A1678" s="1">
        <v>37999</v>
      </c>
      <c r="B1678">
        <v>2.63350009918212</v>
      </c>
      <c r="C1678">
        <v>2.74950003623962</v>
      </c>
      <c r="D1678">
        <v>2.62050008773803</v>
      </c>
      <c r="E1678">
        <v>2.74550008773803</v>
      </c>
      <c r="F1678">
        <v>2.74550008773803</v>
      </c>
      <c r="G1678">
        <v>290446000</v>
      </c>
      <c r="H1678">
        <f t="shared" si="104"/>
        <v>2004</v>
      </c>
      <c r="I1678">
        <f t="shared" si="105"/>
        <v>1</v>
      </c>
      <c r="J1678" t="str">
        <f t="shared" si="106"/>
        <v>Jan</v>
      </c>
      <c r="K1678" t="str">
        <f t="shared" si="107"/>
        <v>Tue</v>
      </c>
    </row>
    <row r="1679" spans="1:11" x14ac:dyDescent="0.35">
      <c r="A1679" s="1">
        <v>38000</v>
      </c>
      <c r="B1679">
        <v>2.7309999465942298</v>
      </c>
      <c r="C1679">
        <v>2.7994999885559002</v>
      </c>
      <c r="D1679">
        <v>2.7074999809265101</v>
      </c>
      <c r="E1679">
        <v>2.7899999618530198</v>
      </c>
      <c r="F1679">
        <v>2.7899999618530198</v>
      </c>
      <c r="G1679">
        <v>222682000</v>
      </c>
      <c r="H1679">
        <f t="shared" si="104"/>
        <v>2004</v>
      </c>
      <c r="I1679">
        <f t="shared" si="105"/>
        <v>1</v>
      </c>
      <c r="J1679" t="str">
        <f t="shared" si="106"/>
        <v>Jan</v>
      </c>
      <c r="K1679" t="str">
        <f t="shared" si="107"/>
        <v>Wed</v>
      </c>
    </row>
    <row r="1680" spans="1:11" x14ac:dyDescent="0.35">
      <c r="A1680" s="1">
        <v>38001</v>
      </c>
      <c r="B1680">
        <v>2.73650002479553</v>
      </c>
      <c r="C1680">
        <v>2.8389999866485498</v>
      </c>
      <c r="D1680">
        <v>2.7309999465942298</v>
      </c>
      <c r="E1680">
        <v>2.8090000152587802</v>
      </c>
      <c r="F1680">
        <v>2.8090000152587802</v>
      </c>
      <c r="G1680">
        <v>244346000</v>
      </c>
      <c r="H1680">
        <f t="shared" si="104"/>
        <v>2004</v>
      </c>
      <c r="I1680">
        <f t="shared" si="105"/>
        <v>1</v>
      </c>
      <c r="J1680" t="str">
        <f t="shared" si="106"/>
        <v>Jan</v>
      </c>
      <c r="K1680" t="str">
        <f t="shared" si="107"/>
        <v>Thu</v>
      </c>
    </row>
    <row r="1681" spans="1:11" x14ac:dyDescent="0.35">
      <c r="A1681" s="1">
        <v>38002</v>
      </c>
      <c r="B1681">
        <v>2.8134999275207502</v>
      </c>
      <c r="C1681">
        <v>2.8185000419616699</v>
      </c>
      <c r="D1681">
        <v>2.7634999752044598</v>
      </c>
      <c r="E1681">
        <v>2.78600001335144</v>
      </c>
      <c r="F1681">
        <v>2.78600001335144</v>
      </c>
      <c r="G1681">
        <v>182284000</v>
      </c>
      <c r="H1681">
        <f t="shared" si="104"/>
        <v>2004</v>
      </c>
      <c r="I1681">
        <f t="shared" si="105"/>
        <v>1</v>
      </c>
      <c r="J1681" t="str">
        <f t="shared" si="106"/>
        <v>Jan</v>
      </c>
      <c r="K1681" t="str">
        <f t="shared" si="107"/>
        <v>Fri</v>
      </c>
    </row>
    <row r="1682" spans="1:11" x14ac:dyDescent="0.35">
      <c r="A1682" s="1">
        <v>38006</v>
      </c>
      <c r="B1682">
        <v>2.7785000801086399</v>
      </c>
      <c r="C1682">
        <v>2.8420000076293901</v>
      </c>
      <c r="D1682">
        <v>2.7704999446868799</v>
      </c>
      <c r="E1682">
        <v>2.8304998874664302</v>
      </c>
      <c r="F1682">
        <v>2.8304998874664302</v>
      </c>
      <c r="G1682">
        <v>154968000</v>
      </c>
      <c r="H1682">
        <f t="shared" si="104"/>
        <v>2004</v>
      </c>
      <c r="I1682">
        <f t="shared" si="105"/>
        <v>1</v>
      </c>
      <c r="J1682" t="str">
        <f t="shared" si="106"/>
        <v>Jan</v>
      </c>
      <c r="K1682" t="str">
        <f t="shared" si="107"/>
        <v>Tue</v>
      </c>
    </row>
    <row r="1683" spans="1:11" x14ac:dyDescent="0.35">
      <c r="A1683" s="1">
        <v>38007</v>
      </c>
      <c r="B1683">
        <v>2.80800008773803</v>
      </c>
      <c r="C1683">
        <v>2.8469998836517298</v>
      </c>
      <c r="D1683">
        <v>2.78200006484985</v>
      </c>
      <c r="E1683">
        <v>2.8099999427795401</v>
      </c>
      <c r="F1683">
        <v>2.8099999427795401</v>
      </c>
      <c r="G1683">
        <v>135672000</v>
      </c>
      <c r="H1683">
        <f t="shared" si="104"/>
        <v>2004</v>
      </c>
      <c r="I1683">
        <f t="shared" si="105"/>
        <v>1</v>
      </c>
      <c r="J1683" t="str">
        <f t="shared" si="106"/>
        <v>Jan</v>
      </c>
      <c r="K1683" t="str">
        <f t="shared" si="107"/>
        <v>Wed</v>
      </c>
    </row>
    <row r="1684" spans="1:11" x14ac:dyDescent="0.35">
      <c r="A1684" s="1">
        <v>38008</v>
      </c>
      <c r="B1684">
        <v>2.8405001163482599</v>
      </c>
      <c r="C1684">
        <v>2.8910000324249201</v>
      </c>
      <c r="D1684">
        <v>2.81200003623962</v>
      </c>
      <c r="E1684">
        <v>2.8589999675750701</v>
      </c>
      <c r="F1684">
        <v>2.8589999675750701</v>
      </c>
      <c r="G1684">
        <v>213444000</v>
      </c>
      <c r="H1684">
        <f t="shared" si="104"/>
        <v>2004</v>
      </c>
      <c r="I1684">
        <f t="shared" si="105"/>
        <v>1</v>
      </c>
      <c r="J1684" t="str">
        <f t="shared" si="106"/>
        <v>Jan</v>
      </c>
      <c r="K1684" t="str">
        <f t="shared" si="107"/>
        <v>Thu</v>
      </c>
    </row>
    <row r="1685" spans="1:11" x14ac:dyDescent="0.35">
      <c r="A1685" s="1">
        <v>38009</v>
      </c>
      <c r="B1685">
        <v>2.8550000190734801</v>
      </c>
      <c r="C1685">
        <v>2.8805000782012899</v>
      </c>
      <c r="D1685">
        <v>2.83100008964538</v>
      </c>
      <c r="E1685">
        <v>2.8554999828338601</v>
      </c>
      <c r="F1685">
        <v>2.8554999828338601</v>
      </c>
      <c r="G1685">
        <v>120780000</v>
      </c>
      <c r="H1685">
        <f t="shared" si="104"/>
        <v>2004</v>
      </c>
      <c r="I1685">
        <f t="shared" si="105"/>
        <v>1</v>
      </c>
      <c r="J1685" t="str">
        <f t="shared" si="106"/>
        <v>Jan</v>
      </c>
      <c r="K1685" t="str">
        <f t="shared" si="107"/>
        <v>Fri</v>
      </c>
    </row>
    <row r="1686" spans="1:11" x14ac:dyDescent="0.35">
      <c r="A1686" s="1">
        <v>38012</v>
      </c>
      <c r="B1686">
        <v>2.8399999141693102</v>
      </c>
      <c r="C1686">
        <v>2.8599998950958199</v>
      </c>
      <c r="D1686">
        <v>2.8150000572204501</v>
      </c>
      <c r="E1686">
        <v>2.8515000343322701</v>
      </c>
      <c r="F1686">
        <v>2.8515000343322701</v>
      </c>
      <c r="G1686">
        <v>111320000</v>
      </c>
      <c r="H1686">
        <f t="shared" si="104"/>
        <v>2004</v>
      </c>
      <c r="I1686">
        <f t="shared" si="105"/>
        <v>1</v>
      </c>
      <c r="J1686" t="str">
        <f t="shared" si="106"/>
        <v>Jan</v>
      </c>
      <c r="K1686" t="str">
        <f t="shared" si="107"/>
        <v>Mon</v>
      </c>
    </row>
    <row r="1687" spans="1:11" x14ac:dyDescent="0.35">
      <c r="A1687" s="1">
        <v>38013</v>
      </c>
      <c r="B1687">
        <v>2.8364999294281001</v>
      </c>
      <c r="C1687">
        <v>2.8870000839233398</v>
      </c>
      <c r="D1687">
        <v>2.7829999923706001</v>
      </c>
      <c r="E1687">
        <v>2.7869999408721902</v>
      </c>
      <c r="F1687">
        <v>2.7869999408721902</v>
      </c>
      <c r="G1687">
        <v>259282000</v>
      </c>
      <c r="H1687">
        <f t="shared" si="104"/>
        <v>2004</v>
      </c>
      <c r="I1687">
        <f t="shared" si="105"/>
        <v>1</v>
      </c>
      <c r="J1687" t="str">
        <f t="shared" si="106"/>
        <v>Jan</v>
      </c>
      <c r="K1687" t="str">
        <f t="shared" si="107"/>
        <v>Tue</v>
      </c>
    </row>
    <row r="1688" spans="1:11" x14ac:dyDescent="0.35">
      <c r="A1688" s="1">
        <v>38014</v>
      </c>
      <c r="B1688">
        <v>2.6819999217986998</v>
      </c>
      <c r="C1688">
        <v>2.72250008583068</v>
      </c>
      <c r="D1688">
        <v>2.58100008964538</v>
      </c>
      <c r="E1688">
        <v>2.59800004959106</v>
      </c>
      <c r="F1688">
        <v>2.59800004959106</v>
      </c>
      <c r="G1688">
        <v>431626000</v>
      </c>
      <c r="H1688">
        <f t="shared" si="104"/>
        <v>2004</v>
      </c>
      <c r="I1688">
        <f t="shared" si="105"/>
        <v>1</v>
      </c>
      <c r="J1688" t="str">
        <f t="shared" si="106"/>
        <v>Jan</v>
      </c>
      <c r="K1688" t="str">
        <f t="shared" si="107"/>
        <v>Wed</v>
      </c>
    </row>
    <row r="1689" spans="1:11" x14ac:dyDescent="0.35">
      <c r="A1689" s="1">
        <v>38015</v>
      </c>
      <c r="B1689">
        <v>2.60199999809265</v>
      </c>
      <c r="C1689">
        <v>2.6029999256134002</v>
      </c>
      <c r="D1689">
        <v>2.4300000667571999</v>
      </c>
      <c r="E1689">
        <v>2.4609999656677202</v>
      </c>
      <c r="F1689">
        <v>2.4609999656677202</v>
      </c>
      <c r="G1689">
        <v>449702000</v>
      </c>
      <c r="H1689">
        <f t="shared" si="104"/>
        <v>2004</v>
      </c>
      <c r="I1689">
        <f t="shared" si="105"/>
        <v>1</v>
      </c>
      <c r="J1689" t="str">
        <f t="shared" si="106"/>
        <v>Jan</v>
      </c>
      <c r="K1689" t="str">
        <f t="shared" si="107"/>
        <v>Thu</v>
      </c>
    </row>
    <row r="1690" spans="1:11" x14ac:dyDescent="0.35">
      <c r="A1690" s="1">
        <v>38016</v>
      </c>
      <c r="B1690">
        <v>2.4744999408721902</v>
      </c>
      <c r="C1690">
        <v>2.5685000419616699</v>
      </c>
      <c r="D1690">
        <v>2.4649999141693102</v>
      </c>
      <c r="E1690">
        <v>2.5199999809265101</v>
      </c>
      <c r="F1690">
        <v>2.5199999809265101</v>
      </c>
      <c r="G1690">
        <v>228090000</v>
      </c>
      <c r="H1690">
        <f t="shared" si="104"/>
        <v>2004</v>
      </c>
      <c r="I1690">
        <f t="shared" si="105"/>
        <v>1</v>
      </c>
      <c r="J1690" t="str">
        <f t="shared" si="106"/>
        <v>Jan</v>
      </c>
      <c r="K1690" t="str">
        <f t="shared" si="107"/>
        <v>Fri</v>
      </c>
    </row>
    <row r="1691" spans="1:11" x14ac:dyDescent="0.35">
      <c r="A1691" s="1">
        <v>38019</v>
      </c>
      <c r="B1691">
        <v>2.5325000286102202</v>
      </c>
      <c r="C1691">
        <v>2.5325000286102202</v>
      </c>
      <c r="D1691">
        <v>2.39750003814697</v>
      </c>
      <c r="E1691">
        <v>2.4135000705718901</v>
      </c>
      <c r="F1691">
        <v>2.4135000705718901</v>
      </c>
      <c r="G1691">
        <v>231778000</v>
      </c>
      <c r="H1691">
        <f t="shared" si="104"/>
        <v>2004</v>
      </c>
      <c r="I1691">
        <f t="shared" si="105"/>
        <v>2</v>
      </c>
      <c r="J1691" t="str">
        <f t="shared" si="106"/>
        <v>Feb</v>
      </c>
      <c r="K1691" t="str">
        <f t="shared" si="107"/>
        <v>Mon</v>
      </c>
    </row>
    <row r="1692" spans="1:11" x14ac:dyDescent="0.35">
      <c r="A1692" s="1">
        <v>38020</v>
      </c>
      <c r="B1692">
        <v>2.4094998836517298</v>
      </c>
      <c r="C1692">
        <v>2.4140000343322701</v>
      </c>
      <c r="D1692">
        <v>2.2260000705718901</v>
      </c>
      <c r="E1692">
        <v>2.2469999790191602</v>
      </c>
      <c r="F1692">
        <v>2.2469999790191602</v>
      </c>
      <c r="G1692">
        <v>541428000</v>
      </c>
      <c r="H1692">
        <f t="shared" si="104"/>
        <v>2004</v>
      </c>
      <c r="I1692">
        <f t="shared" si="105"/>
        <v>2</v>
      </c>
      <c r="J1692" t="str">
        <f t="shared" si="106"/>
        <v>Feb</v>
      </c>
      <c r="K1692" t="str">
        <f t="shared" si="107"/>
        <v>Tue</v>
      </c>
    </row>
    <row r="1693" spans="1:11" x14ac:dyDescent="0.35">
      <c r="A1693" s="1">
        <v>38021</v>
      </c>
      <c r="B1693">
        <v>2.2404999732971098</v>
      </c>
      <c r="C1693">
        <v>2.29550004005432</v>
      </c>
      <c r="D1693">
        <v>2.2149999141693102</v>
      </c>
      <c r="E1693">
        <v>2.2695000171661301</v>
      </c>
      <c r="F1693">
        <v>2.2695000171661301</v>
      </c>
      <c r="G1693">
        <v>432014000</v>
      </c>
      <c r="H1693">
        <f t="shared" si="104"/>
        <v>2004</v>
      </c>
      <c r="I1693">
        <f t="shared" si="105"/>
        <v>2</v>
      </c>
      <c r="J1693" t="str">
        <f t="shared" si="106"/>
        <v>Feb</v>
      </c>
      <c r="K1693" t="str">
        <f t="shared" si="107"/>
        <v>Wed</v>
      </c>
    </row>
    <row r="1694" spans="1:11" x14ac:dyDescent="0.35">
      <c r="A1694" s="1">
        <v>38022</v>
      </c>
      <c r="B1694">
        <v>2.3015000820159899</v>
      </c>
      <c r="C1694">
        <v>2.3545000553131099</v>
      </c>
      <c r="D1694">
        <v>2.29500007629394</v>
      </c>
      <c r="E1694">
        <v>2.3020000457763601</v>
      </c>
      <c r="F1694">
        <v>2.3020000457763601</v>
      </c>
      <c r="G1694">
        <v>263790000</v>
      </c>
      <c r="H1694">
        <f t="shared" si="104"/>
        <v>2004</v>
      </c>
      <c r="I1694">
        <f t="shared" si="105"/>
        <v>2</v>
      </c>
      <c r="J1694" t="str">
        <f t="shared" si="106"/>
        <v>Feb</v>
      </c>
      <c r="K1694" t="str">
        <f t="shared" si="107"/>
        <v>Thu</v>
      </c>
    </row>
    <row r="1695" spans="1:11" x14ac:dyDescent="0.35">
      <c r="A1695" s="1">
        <v>38023</v>
      </c>
      <c r="B1695">
        <v>2.3055000305175701</v>
      </c>
      <c r="C1695">
        <v>2.3364999294281001</v>
      </c>
      <c r="D1695">
        <v>2.2755000591278001</v>
      </c>
      <c r="E1695">
        <v>2.31750011444091</v>
      </c>
      <c r="F1695">
        <v>2.31750011444091</v>
      </c>
      <c r="G1695">
        <v>130162000</v>
      </c>
      <c r="H1695">
        <f t="shared" si="104"/>
        <v>2004</v>
      </c>
      <c r="I1695">
        <f t="shared" si="105"/>
        <v>2</v>
      </c>
      <c r="J1695" t="str">
        <f t="shared" si="106"/>
        <v>Feb</v>
      </c>
      <c r="K1695" t="str">
        <f t="shared" si="107"/>
        <v>Fri</v>
      </c>
    </row>
    <row r="1696" spans="1:11" x14ac:dyDescent="0.35">
      <c r="A1696" s="1">
        <v>38026</v>
      </c>
      <c r="B1696">
        <v>2.3375000953674299</v>
      </c>
      <c r="C1696">
        <v>2.3399999141693102</v>
      </c>
      <c r="D1696">
        <v>2.28500008583068</v>
      </c>
      <c r="E1696">
        <v>2.2929999828338601</v>
      </c>
      <c r="F1696">
        <v>2.2929999828338601</v>
      </c>
      <c r="G1696">
        <v>122922000</v>
      </c>
      <c r="H1696">
        <f t="shared" si="104"/>
        <v>2004</v>
      </c>
      <c r="I1696">
        <f t="shared" si="105"/>
        <v>2</v>
      </c>
      <c r="J1696" t="str">
        <f t="shared" si="106"/>
        <v>Feb</v>
      </c>
      <c r="K1696" t="str">
        <f t="shared" si="107"/>
        <v>Mon</v>
      </c>
    </row>
    <row r="1697" spans="1:11" x14ac:dyDescent="0.35">
      <c r="A1697" s="1">
        <v>38027</v>
      </c>
      <c r="B1697">
        <v>2.2925000190734801</v>
      </c>
      <c r="C1697">
        <v>2.3125</v>
      </c>
      <c r="D1697">
        <v>2.2755000591278001</v>
      </c>
      <c r="E1697">
        <v>2.2795000076293901</v>
      </c>
      <c r="F1697">
        <v>2.2795000076293901</v>
      </c>
      <c r="G1697">
        <v>98980000</v>
      </c>
      <c r="H1697">
        <f t="shared" si="104"/>
        <v>2004</v>
      </c>
      <c r="I1697">
        <f t="shared" si="105"/>
        <v>2</v>
      </c>
      <c r="J1697" t="str">
        <f t="shared" si="106"/>
        <v>Feb</v>
      </c>
      <c r="K1697" t="str">
        <f t="shared" si="107"/>
        <v>Tue</v>
      </c>
    </row>
    <row r="1698" spans="1:11" x14ac:dyDescent="0.35">
      <c r="A1698" s="1">
        <v>38028</v>
      </c>
      <c r="B1698">
        <v>2.2929999828338601</v>
      </c>
      <c r="C1698">
        <v>2.3680000305175701</v>
      </c>
      <c r="D1698">
        <v>2.2769999504089302</v>
      </c>
      <c r="E1698">
        <v>2.35700011253356</v>
      </c>
      <c r="F1698">
        <v>2.35700011253356</v>
      </c>
      <c r="G1698">
        <v>157634000</v>
      </c>
      <c r="H1698">
        <f t="shared" si="104"/>
        <v>2004</v>
      </c>
      <c r="I1698">
        <f t="shared" si="105"/>
        <v>2</v>
      </c>
      <c r="J1698" t="str">
        <f t="shared" si="106"/>
        <v>Feb</v>
      </c>
      <c r="K1698" t="str">
        <f t="shared" si="107"/>
        <v>Wed</v>
      </c>
    </row>
    <row r="1699" spans="1:11" x14ac:dyDescent="0.35">
      <c r="A1699" s="1">
        <v>38029</v>
      </c>
      <c r="B1699">
        <v>2.3464999198913499</v>
      </c>
      <c r="C1699">
        <v>2.4049999713897701</v>
      </c>
      <c r="D1699">
        <v>2.3355000019073402</v>
      </c>
      <c r="E1699">
        <v>2.3529999256134002</v>
      </c>
      <c r="F1699">
        <v>2.3529999256134002</v>
      </c>
      <c r="G1699">
        <v>135144000</v>
      </c>
      <c r="H1699">
        <f t="shared" si="104"/>
        <v>2004</v>
      </c>
      <c r="I1699">
        <f t="shared" si="105"/>
        <v>2</v>
      </c>
      <c r="J1699" t="str">
        <f t="shared" si="106"/>
        <v>Feb</v>
      </c>
      <c r="K1699" t="str">
        <f t="shared" si="107"/>
        <v>Thu</v>
      </c>
    </row>
    <row r="1700" spans="1:11" x14ac:dyDescent="0.35">
      <c r="A1700" s="1">
        <v>38030</v>
      </c>
      <c r="B1700">
        <v>2.3645000457763601</v>
      </c>
      <c r="C1700">
        <v>2.3849999904632502</v>
      </c>
      <c r="D1700">
        <v>2.31200003623962</v>
      </c>
      <c r="E1700">
        <v>2.3190000057220401</v>
      </c>
      <c r="F1700">
        <v>2.3190000057220401</v>
      </c>
      <c r="G1700">
        <v>108634000</v>
      </c>
      <c r="H1700">
        <f t="shared" si="104"/>
        <v>2004</v>
      </c>
      <c r="I1700">
        <f t="shared" si="105"/>
        <v>2</v>
      </c>
      <c r="J1700" t="str">
        <f t="shared" si="106"/>
        <v>Feb</v>
      </c>
      <c r="K1700" t="str">
        <f t="shared" si="107"/>
        <v>Fri</v>
      </c>
    </row>
    <row r="1701" spans="1:11" x14ac:dyDescent="0.35">
      <c r="A1701" s="1">
        <v>38034</v>
      </c>
      <c r="B1701">
        <v>2.3069999217986998</v>
      </c>
      <c r="C1701">
        <v>2.3224999904632502</v>
      </c>
      <c r="D1701">
        <v>2.2400000095367401</v>
      </c>
      <c r="E1701">
        <v>2.2764999866485498</v>
      </c>
      <c r="F1701">
        <v>2.2764999866485498</v>
      </c>
      <c r="G1701">
        <v>220764000</v>
      </c>
      <c r="H1701">
        <f t="shared" si="104"/>
        <v>2004</v>
      </c>
      <c r="I1701">
        <f t="shared" si="105"/>
        <v>2</v>
      </c>
      <c r="J1701" t="str">
        <f t="shared" si="106"/>
        <v>Feb</v>
      </c>
      <c r="K1701" t="str">
        <f t="shared" si="107"/>
        <v>Tue</v>
      </c>
    </row>
    <row r="1702" spans="1:11" x14ac:dyDescent="0.35">
      <c r="A1702" s="1">
        <v>38035</v>
      </c>
      <c r="B1702">
        <v>2.2679998874664302</v>
      </c>
      <c r="C1702">
        <v>2.26850008964538</v>
      </c>
      <c r="D1702">
        <v>2.23200011253356</v>
      </c>
      <c r="E1702">
        <v>2.2434999942779501</v>
      </c>
      <c r="F1702">
        <v>2.2434999942779501</v>
      </c>
      <c r="G1702">
        <v>159070000</v>
      </c>
      <c r="H1702">
        <f t="shared" si="104"/>
        <v>2004</v>
      </c>
      <c r="I1702">
        <f t="shared" si="105"/>
        <v>2</v>
      </c>
      <c r="J1702" t="str">
        <f t="shared" si="106"/>
        <v>Feb</v>
      </c>
      <c r="K1702" t="str">
        <f t="shared" si="107"/>
        <v>Wed</v>
      </c>
    </row>
    <row r="1703" spans="1:11" x14ac:dyDescent="0.35">
      <c r="A1703" s="1">
        <v>38036</v>
      </c>
      <c r="B1703">
        <v>2.2574999332427899</v>
      </c>
      <c r="C1703">
        <v>2.30800008773803</v>
      </c>
      <c r="D1703">
        <v>2.23250007629394</v>
      </c>
      <c r="E1703">
        <v>2.23250007629394</v>
      </c>
      <c r="F1703">
        <v>2.23250007629394</v>
      </c>
      <c r="G1703">
        <v>148850000</v>
      </c>
      <c r="H1703">
        <f t="shared" si="104"/>
        <v>2004</v>
      </c>
      <c r="I1703">
        <f t="shared" si="105"/>
        <v>2</v>
      </c>
      <c r="J1703" t="str">
        <f t="shared" si="106"/>
        <v>Feb</v>
      </c>
      <c r="K1703" t="str">
        <f t="shared" si="107"/>
        <v>Thu</v>
      </c>
    </row>
    <row r="1704" spans="1:11" x14ac:dyDescent="0.35">
      <c r="A1704" s="1">
        <v>38037</v>
      </c>
      <c r="B1704">
        <v>2.2400000095367401</v>
      </c>
      <c r="C1704">
        <v>2.2690000534057599</v>
      </c>
      <c r="D1704">
        <v>2.23650002479553</v>
      </c>
      <c r="E1704">
        <v>2.25850009918212</v>
      </c>
      <c r="F1704">
        <v>2.25850009918212</v>
      </c>
      <c r="G1704">
        <v>149506000</v>
      </c>
      <c r="H1704">
        <f t="shared" si="104"/>
        <v>2004</v>
      </c>
      <c r="I1704">
        <f t="shared" si="105"/>
        <v>2</v>
      </c>
      <c r="J1704" t="str">
        <f t="shared" si="106"/>
        <v>Feb</v>
      </c>
      <c r="K1704" t="str">
        <f t="shared" si="107"/>
        <v>Fri</v>
      </c>
    </row>
    <row r="1705" spans="1:11" x14ac:dyDescent="0.35">
      <c r="A1705" s="1">
        <v>38040</v>
      </c>
      <c r="B1705">
        <v>2.2590000629425</v>
      </c>
      <c r="C1705">
        <v>2.26250004768371</v>
      </c>
      <c r="D1705">
        <v>2.1675000190734801</v>
      </c>
      <c r="E1705">
        <v>2.1984999179839999</v>
      </c>
      <c r="F1705">
        <v>2.1984999179839999</v>
      </c>
      <c r="G1705">
        <v>186838000</v>
      </c>
      <c r="H1705">
        <f t="shared" si="104"/>
        <v>2004</v>
      </c>
      <c r="I1705">
        <f t="shared" si="105"/>
        <v>2</v>
      </c>
      <c r="J1705" t="str">
        <f t="shared" si="106"/>
        <v>Feb</v>
      </c>
      <c r="K1705" t="str">
        <f t="shared" si="107"/>
        <v>Mon</v>
      </c>
    </row>
    <row r="1706" spans="1:11" x14ac:dyDescent="0.35">
      <c r="A1706" s="1">
        <v>38041</v>
      </c>
      <c r="B1706">
        <v>2.19600009918212</v>
      </c>
      <c r="C1706">
        <v>2.19700002670288</v>
      </c>
      <c r="D1706">
        <v>2.11150002479553</v>
      </c>
      <c r="E1706">
        <v>2.1159999370574898</v>
      </c>
      <c r="F1706">
        <v>2.1159999370574898</v>
      </c>
      <c r="G1706">
        <v>221906000</v>
      </c>
      <c r="H1706">
        <f t="shared" si="104"/>
        <v>2004</v>
      </c>
      <c r="I1706">
        <f t="shared" si="105"/>
        <v>2</v>
      </c>
      <c r="J1706" t="str">
        <f t="shared" si="106"/>
        <v>Feb</v>
      </c>
      <c r="K1706" t="str">
        <f t="shared" si="107"/>
        <v>Tue</v>
      </c>
    </row>
    <row r="1707" spans="1:11" x14ac:dyDescent="0.35">
      <c r="A1707" s="1">
        <v>38042</v>
      </c>
      <c r="B1707">
        <v>2.125</v>
      </c>
      <c r="C1707">
        <v>2.16449999809265</v>
      </c>
      <c r="D1707">
        <v>2.125</v>
      </c>
      <c r="E1707">
        <v>2.14700007438659</v>
      </c>
      <c r="F1707">
        <v>2.14700007438659</v>
      </c>
      <c r="G1707">
        <v>143056000</v>
      </c>
      <c r="H1707">
        <f t="shared" si="104"/>
        <v>2004</v>
      </c>
      <c r="I1707">
        <f t="shared" si="105"/>
        <v>2</v>
      </c>
      <c r="J1707" t="str">
        <f t="shared" si="106"/>
        <v>Feb</v>
      </c>
      <c r="K1707" t="str">
        <f t="shared" si="107"/>
        <v>Wed</v>
      </c>
    </row>
    <row r="1708" spans="1:11" x14ac:dyDescent="0.35">
      <c r="A1708" s="1">
        <v>38043</v>
      </c>
      <c r="B1708">
        <v>2.16000008583068</v>
      </c>
      <c r="C1708">
        <v>2.19250011444091</v>
      </c>
      <c r="D1708">
        <v>2.1500000953674299</v>
      </c>
      <c r="E1708">
        <v>2.1824998855590798</v>
      </c>
      <c r="F1708">
        <v>2.1824998855590798</v>
      </c>
      <c r="G1708">
        <v>119206000</v>
      </c>
      <c r="H1708">
        <f t="shared" si="104"/>
        <v>2004</v>
      </c>
      <c r="I1708">
        <f t="shared" si="105"/>
        <v>2</v>
      </c>
      <c r="J1708" t="str">
        <f t="shared" si="106"/>
        <v>Feb</v>
      </c>
      <c r="K1708" t="str">
        <f t="shared" si="107"/>
        <v>Thu</v>
      </c>
    </row>
    <row r="1709" spans="1:11" x14ac:dyDescent="0.35">
      <c r="A1709" s="1">
        <v>38044</v>
      </c>
      <c r="B1709">
        <v>2.1784999370574898</v>
      </c>
      <c r="C1709">
        <v>2.1800000667571999</v>
      </c>
      <c r="D1709">
        <v>2.1259999275207502</v>
      </c>
      <c r="E1709">
        <v>2.1505000591278001</v>
      </c>
      <c r="F1709">
        <v>2.1505000591278001</v>
      </c>
      <c r="G1709">
        <v>143272000</v>
      </c>
      <c r="H1709">
        <f t="shared" si="104"/>
        <v>2004</v>
      </c>
      <c r="I1709">
        <f t="shared" si="105"/>
        <v>2</v>
      </c>
      <c r="J1709" t="str">
        <f t="shared" si="106"/>
        <v>Feb</v>
      </c>
      <c r="K1709" t="str">
        <f t="shared" si="107"/>
        <v>Fri</v>
      </c>
    </row>
    <row r="1710" spans="1:11" x14ac:dyDescent="0.35">
      <c r="A1710" s="1">
        <v>38047</v>
      </c>
      <c r="B1710">
        <v>2.15100002288818</v>
      </c>
      <c r="C1710">
        <v>2.17400002479553</v>
      </c>
      <c r="D1710">
        <v>2.1289999485015798</v>
      </c>
      <c r="E1710">
        <v>2.1484999656677202</v>
      </c>
      <c r="F1710">
        <v>2.1484999656677202</v>
      </c>
      <c r="G1710">
        <v>99190000</v>
      </c>
      <c r="H1710">
        <f t="shared" si="104"/>
        <v>2004</v>
      </c>
      <c r="I1710">
        <f t="shared" si="105"/>
        <v>3</v>
      </c>
      <c r="J1710" t="str">
        <f t="shared" si="106"/>
        <v>Mar</v>
      </c>
      <c r="K1710" t="str">
        <f t="shared" si="107"/>
        <v>Mon</v>
      </c>
    </row>
    <row r="1711" spans="1:11" x14ac:dyDescent="0.35">
      <c r="A1711" s="1">
        <v>38048</v>
      </c>
      <c r="B1711">
        <v>2.1364998817443799</v>
      </c>
      <c r="C1711">
        <v>2.1744999885559002</v>
      </c>
      <c r="D1711">
        <v>2.0929999351501398</v>
      </c>
      <c r="E1711">
        <v>2.1005001068115199</v>
      </c>
      <c r="F1711">
        <v>2.1005001068115199</v>
      </c>
      <c r="G1711">
        <v>139332000</v>
      </c>
      <c r="H1711">
        <f t="shared" si="104"/>
        <v>2004</v>
      </c>
      <c r="I1711">
        <f t="shared" si="105"/>
        <v>3</v>
      </c>
      <c r="J1711" t="str">
        <f t="shared" si="106"/>
        <v>Mar</v>
      </c>
      <c r="K1711" t="str">
        <f t="shared" si="107"/>
        <v>Tue</v>
      </c>
    </row>
    <row r="1712" spans="1:11" x14ac:dyDescent="0.35">
      <c r="A1712" s="1">
        <v>38049</v>
      </c>
      <c r="B1712">
        <v>2.0929999351501398</v>
      </c>
      <c r="C1712">
        <v>2.1689999103546098</v>
      </c>
      <c r="D1712">
        <v>2.0824999809265101</v>
      </c>
      <c r="E1712">
        <v>2.1584999561309801</v>
      </c>
      <c r="F1712">
        <v>2.1584999561309801</v>
      </c>
      <c r="G1712">
        <v>192032000</v>
      </c>
      <c r="H1712">
        <f t="shared" si="104"/>
        <v>2004</v>
      </c>
      <c r="I1712">
        <f t="shared" si="105"/>
        <v>3</v>
      </c>
      <c r="J1712" t="str">
        <f t="shared" si="106"/>
        <v>Mar</v>
      </c>
      <c r="K1712" t="str">
        <f t="shared" si="107"/>
        <v>Wed</v>
      </c>
    </row>
    <row r="1713" spans="1:11" x14ac:dyDescent="0.35">
      <c r="A1713" s="1">
        <v>38050</v>
      </c>
      <c r="B1713">
        <v>2.1559998989105198</v>
      </c>
      <c r="C1713">
        <v>2.22350001335144</v>
      </c>
      <c r="D1713">
        <v>2.1549999713897701</v>
      </c>
      <c r="E1713">
        <v>2.21950006484985</v>
      </c>
      <c r="F1713">
        <v>2.21950006484985</v>
      </c>
      <c r="G1713">
        <v>147602000</v>
      </c>
      <c r="H1713">
        <f t="shared" si="104"/>
        <v>2004</v>
      </c>
      <c r="I1713">
        <f t="shared" si="105"/>
        <v>3</v>
      </c>
      <c r="J1713" t="str">
        <f t="shared" si="106"/>
        <v>Mar</v>
      </c>
      <c r="K1713" t="str">
        <f t="shared" si="107"/>
        <v>Thu</v>
      </c>
    </row>
    <row r="1714" spans="1:11" x14ac:dyDescent="0.35">
      <c r="A1714" s="1">
        <v>38051</v>
      </c>
      <c r="B1714">
        <v>2.1895000934600799</v>
      </c>
      <c r="C1714">
        <v>2.2414999008178702</v>
      </c>
      <c r="D1714">
        <v>2.1765000820159899</v>
      </c>
      <c r="E1714">
        <v>2.2044999599456698</v>
      </c>
      <c r="F1714">
        <v>2.2044999599456698</v>
      </c>
      <c r="G1714">
        <v>128530000</v>
      </c>
      <c r="H1714">
        <f t="shared" si="104"/>
        <v>2004</v>
      </c>
      <c r="I1714">
        <f t="shared" si="105"/>
        <v>3</v>
      </c>
      <c r="J1714" t="str">
        <f t="shared" si="106"/>
        <v>Mar</v>
      </c>
      <c r="K1714" t="str">
        <f t="shared" si="107"/>
        <v>Fri</v>
      </c>
    </row>
    <row r="1715" spans="1:11" x14ac:dyDescent="0.35">
      <c r="A1715" s="1">
        <v>38054</v>
      </c>
      <c r="B1715">
        <v>2.1979999542236301</v>
      </c>
      <c r="C1715">
        <v>2.2530000209808301</v>
      </c>
      <c r="D1715">
        <v>2.15650010108947</v>
      </c>
      <c r="E1715">
        <v>2.1749999523162802</v>
      </c>
      <c r="F1715">
        <v>2.1749999523162802</v>
      </c>
      <c r="G1715">
        <v>132170000</v>
      </c>
      <c r="H1715">
        <f t="shared" si="104"/>
        <v>2004</v>
      </c>
      <c r="I1715">
        <f t="shared" si="105"/>
        <v>3</v>
      </c>
      <c r="J1715" t="str">
        <f t="shared" si="106"/>
        <v>Mar</v>
      </c>
      <c r="K1715" t="str">
        <f t="shared" si="107"/>
        <v>Mon</v>
      </c>
    </row>
    <row r="1716" spans="1:11" x14ac:dyDescent="0.35">
      <c r="A1716" s="1">
        <v>38055</v>
      </c>
      <c r="B1716">
        <v>2.1710000038146902</v>
      </c>
      <c r="C1716">
        <v>2.1944999694824201</v>
      </c>
      <c r="D1716">
        <v>2.1135001182556099</v>
      </c>
      <c r="E1716">
        <v>2.1354999542236301</v>
      </c>
      <c r="F1716">
        <v>2.1354999542236301</v>
      </c>
      <c r="G1716">
        <v>131862000</v>
      </c>
      <c r="H1716">
        <f t="shared" si="104"/>
        <v>2004</v>
      </c>
      <c r="I1716">
        <f t="shared" si="105"/>
        <v>3</v>
      </c>
      <c r="J1716" t="str">
        <f t="shared" si="106"/>
        <v>Mar</v>
      </c>
      <c r="K1716" t="str">
        <f t="shared" si="107"/>
        <v>Tue</v>
      </c>
    </row>
    <row r="1717" spans="1:11" x14ac:dyDescent="0.35">
      <c r="A1717" s="1">
        <v>38056</v>
      </c>
      <c r="B1717">
        <v>2.1359999179839999</v>
      </c>
      <c r="C1717">
        <v>2.16000008583068</v>
      </c>
      <c r="D1717">
        <v>2.0729999542236301</v>
      </c>
      <c r="E1717">
        <v>2.0775001049041699</v>
      </c>
      <c r="F1717">
        <v>2.0775001049041699</v>
      </c>
      <c r="G1717">
        <v>138654000</v>
      </c>
      <c r="H1717">
        <f t="shared" si="104"/>
        <v>2004</v>
      </c>
      <c r="I1717">
        <f t="shared" si="105"/>
        <v>3</v>
      </c>
      <c r="J1717" t="str">
        <f t="shared" si="106"/>
        <v>Mar</v>
      </c>
      <c r="K1717" t="str">
        <f t="shared" si="107"/>
        <v>Wed</v>
      </c>
    </row>
    <row r="1718" spans="1:11" x14ac:dyDescent="0.35">
      <c r="A1718" s="1">
        <v>38057</v>
      </c>
      <c r="B1718">
        <v>2.05450010299682</v>
      </c>
      <c r="C1718">
        <v>2.1184999942779501</v>
      </c>
      <c r="D1718">
        <v>2.0520000457763601</v>
      </c>
      <c r="E1718">
        <v>2.0639998912811199</v>
      </c>
      <c r="F1718">
        <v>2.0639998912811199</v>
      </c>
      <c r="G1718">
        <v>140852000</v>
      </c>
      <c r="H1718">
        <f t="shared" si="104"/>
        <v>2004</v>
      </c>
      <c r="I1718">
        <f t="shared" si="105"/>
        <v>3</v>
      </c>
      <c r="J1718" t="str">
        <f t="shared" si="106"/>
        <v>Mar</v>
      </c>
      <c r="K1718" t="str">
        <f t="shared" si="107"/>
        <v>Thu</v>
      </c>
    </row>
    <row r="1719" spans="1:11" x14ac:dyDescent="0.35">
      <c r="A1719" s="1">
        <v>38058</v>
      </c>
      <c r="B1719">
        <v>2.06750011444091</v>
      </c>
      <c r="C1719">
        <v>2.1305000782012899</v>
      </c>
      <c r="D1719">
        <v>2.0650000572204501</v>
      </c>
      <c r="E1719">
        <v>2.1219999790191602</v>
      </c>
      <c r="F1719">
        <v>2.1219999790191602</v>
      </c>
      <c r="G1719">
        <v>124476000</v>
      </c>
      <c r="H1719">
        <f t="shared" si="104"/>
        <v>2004</v>
      </c>
      <c r="I1719">
        <f t="shared" si="105"/>
        <v>3</v>
      </c>
      <c r="J1719" t="str">
        <f t="shared" si="106"/>
        <v>Mar</v>
      </c>
      <c r="K1719" t="str">
        <f t="shared" si="107"/>
        <v>Fri</v>
      </c>
    </row>
    <row r="1720" spans="1:11" x14ac:dyDescent="0.35">
      <c r="A1720" s="1">
        <v>38061</v>
      </c>
      <c r="B1720">
        <v>2.1129999160766602</v>
      </c>
      <c r="C1720">
        <v>2.1400001049041699</v>
      </c>
      <c r="D1720">
        <v>2.0460000038146902</v>
      </c>
      <c r="E1720">
        <v>2.0539999008178702</v>
      </c>
      <c r="F1720">
        <v>2.0539999008178702</v>
      </c>
      <c r="G1720">
        <v>132244000</v>
      </c>
      <c r="H1720">
        <f t="shared" si="104"/>
        <v>2004</v>
      </c>
      <c r="I1720">
        <f t="shared" si="105"/>
        <v>3</v>
      </c>
      <c r="J1720" t="str">
        <f t="shared" si="106"/>
        <v>Mar</v>
      </c>
      <c r="K1720" t="str">
        <f t="shared" si="107"/>
        <v>Mon</v>
      </c>
    </row>
    <row r="1721" spans="1:11" x14ac:dyDescent="0.35">
      <c r="A1721" s="1">
        <v>38062</v>
      </c>
      <c r="B1721">
        <v>2.0645000934600799</v>
      </c>
      <c r="C1721">
        <v>2.1180000305175701</v>
      </c>
      <c r="D1721">
        <v>2.0629999637603702</v>
      </c>
      <c r="E1721">
        <v>2.1064999103546098</v>
      </c>
      <c r="F1721">
        <v>2.1064999103546098</v>
      </c>
      <c r="G1721">
        <v>124364000</v>
      </c>
      <c r="H1721">
        <f t="shared" si="104"/>
        <v>2004</v>
      </c>
      <c r="I1721">
        <f t="shared" si="105"/>
        <v>3</v>
      </c>
      <c r="J1721" t="str">
        <f t="shared" si="106"/>
        <v>Mar</v>
      </c>
      <c r="K1721" t="str">
        <f t="shared" si="107"/>
        <v>Tue</v>
      </c>
    </row>
    <row r="1722" spans="1:11" x14ac:dyDescent="0.35">
      <c r="A1722" s="1">
        <v>38063</v>
      </c>
      <c r="B1722">
        <v>2.1519999504089302</v>
      </c>
      <c r="C1722">
        <v>2.1724998950958199</v>
      </c>
      <c r="D1722">
        <v>2.1294999122619598</v>
      </c>
      <c r="E1722">
        <v>2.1400001049041699</v>
      </c>
      <c r="F1722">
        <v>2.1400001049041699</v>
      </c>
      <c r="G1722">
        <v>102146000</v>
      </c>
      <c r="H1722">
        <f t="shared" si="104"/>
        <v>2004</v>
      </c>
      <c r="I1722">
        <f t="shared" si="105"/>
        <v>3</v>
      </c>
      <c r="J1722" t="str">
        <f t="shared" si="106"/>
        <v>Mar</v>
      </c>
      <c r="K1722" t="str">
        <f t="shared" si="107"/>
        <v>Wed</v>
      </c>
    </row>
    <row r="1723" spans="1:11" x14ac:dyDescent="0.35">
      <c r="A1723" s="1">
        <v>38064</v>
      </c>
      <c r="B1723">
        <v>2.1264998912811199</v>
      </c>
      <c r="C1723">
        <v>2.16000008583068</v>
      </c>
      <c r="D1723">
        <v>2.1105000972747798</v>
      </c>
      <c r="E1723">
        <v>2.1505000591278001</v>
      </c>
      <c r="F1723">
        <v>2.1505000591278001</v>
      </c>
      <c r="G1723">
        <v>114486000</v>
      </c>
      <c r="H1723">
        <f t="shared" si="104"/>
        <v>2004</v>
      </c>
      <c r="I1723">
        <f t="shared" si="105"/>
        <v>3</v>
      </c>
      <c r="J1723" t="str">
        <f t="shared" si="106"/>
        <v>Mar</v>
      </c>
      <c r="K1723" t="str">
        <f t="shared" si="107"/>
        <v>Thu</v>
      </c>
    </row>
    <row r="1724" spans="1:11" x14ac:dyDescent="0.35">
      <c r="A1724" s="1">
        <v>38065</v>
      </c>
      <c r="B1724">
        <v>2.1514999866485498</v>
      </c>
      <c r="C1724">
        <v>2.1875</v>
      </c>
      <c r="D1724">
        <v>2.1315000057220401</v>
      </c>
      <c r="E1724">
        <v>2.1400001049041699</v>
      </c>
      <c r="F1724">
        <v>2.1400001049041699</v>
      </c>
      <c r="G1724">
        <v>115098000</v>
      </c>
      <c r="H1724">
        <f t="shared" si="104"/>
        <v>2004</v>
      </c>
      <c r="I1724">
        <f t="shared" si="105"/>
        <v>3</v>
      </c>
      <c r="J1724" t="str">
        <f t="shared" si="106"/>
        <v>Mar</v>
      </c>
      <c r="K1724" t="str">
        <f t="shared" si="107"/>
        <v>Fri</v>
      </c>
    </row>
    <row r="1725" spans="1:11" x14ac:dyDescent="0.35">
      <c r="A1725" s="1">
        <v>38068</v>
      </c>
      <c r="B1725">
        <v>2.0875000953674299</v>
      </c>
      <c r="C1725">
        <v>2.0924999713897701</v>
      </c>
      <c r="D1725">
        <v>2.0255000591278001</v>
      </c>
      <c r="E1725">
        <v>2.0425000190734801</v>
      </c>
      <c r="F1725">
        <v>2.0425000190734801</v>
      </c>
      <c r="G1725">
        <v>179502000</v>
      </c>
      <c r="H1725">
        <f t="shared" si="104"/>
        <v>2004</v>
      </c>
      <c r="I1725">
        <f t="shared" si="105"/>
        <v>3</v>
      </c>
      <c r="J1725" t="str">
        <f t="shared" si="106"/>
        <v>Mar</v>
      </c>
      <c r="K1725" t="str">
        <f t="shared" si="107"/>
        <v>Mon</v>
      </c>
    </row>
    <row r="1726" spans="1:11" x14ac:dyDescent="0.35">
      <c r="A1726" s="1">
        <v>38069</v>
      </c>
      <c r="B1726">
        <v>2.06599998474121</v>
      </c>
      <c r="C1726">
        <v>2.0869998931884699</v>
      </c>
      <c r="D1726">
        <v>1.9924999475479099</v>
      </c>
      <c r="E1726">
        <v>2.0114998817443799</v>
      </c>
      <c r="F1726">
        <v>2.0114998817443799</v>
      </c>
      <c r="G1726">
        <v>224514000</v>
      </c>
      <c r="H1726">
        <f t="shared" si="104"/>
        <v>2004</v>
      </c>
      <c r="I1726">
        <f t="shared" si="105"/>
        <v>3</v>
      </c>
      <c r="J1726" t="str">
        <f t="shared" si="106"/>
        <v>Mar</v>
      </c>
      <c r="K1726" t="str">
        <f t="shared" si="107"/>
        <v>Tue</v>
      </c>
    </row>
    <row r="1727" spans="1:11" x14ac:dyDescent="0.35">
      <c r="A1727" s="1">
        <v>38070</v>
      </c>
      <c r="B1727">
        <v>2.0155000686645499</v>
      </c>
      <c r="C1727">
        <v>2.0190000534057599</v>
      </c>
      <c r="D1727">
        <v>1.9574999809265099</v>
      </c>
      <c r="E1727">
        <v>1.9815000295639</v>
      </c>
      <c r="F1727">
        <v>1.9815000295639</v>
      </c>
      <c r="G1727">
        <v>157518000</v>
      </c>
      <c r="H1727">
        <f t="shared" si="104"/>
        <v>2004</v>
      </c>
      <c r="I1727">
        <f t="shared" si="105"/>
        <v>3</v>
      </c>
      <c r="J1727" t="str">
        <f t="shared" si="106"/>
        <v>Mar</v>
      </c>
      <c r="K1727" t="str">
        <f t="shared" si="107"/>
        <v>Wed</v>
      </c>
    </row>
    <row r="1728" spans="1:11" x14ac:dyDescent="0.35">
      <c r="A1728" s="1">
        <v>38071</v>
      </c>
      <c r="B1728">
        <v>2</v>
      </c>
      <c r="C1728">
        <v>2.1099998950958199</v>
      </c>
      <c r="D1728">
        <v>2</v>
      </c>
      <c r="E1728">
        <v>2.0994999408721902</v>
      </c>
      <c r="F1728">
        <v>2.0994999408721902</v>
      </c>
      <c r="G1728">
        <v>142254000</v>
      </c>
      <c r="H1728">
        <f t="shared" si="104"/>
        <v>2004</v>
      </c>
      <c r="I1728">
        <f t="shared" si="105"/>
        <v>3</v>
      </c>
      <c r="J1728" t="str">
        <f t="shared" si="106"/>
        <v>Mar</v>
      </c>
      <c r="K1728" t="str">
        <f t="shared" si="107"/>
        <v>Thu</v>
      </c>
    </row>
    <row r="1729" spans="1:11" x14ac:dyDescent="0.35">
      <c r="A1729" s="1">
        <v>38072</v>
      </c>
      <c r="B1729">
        <v>2.1005001068115199</v>
      </c>
      <c r="C1729">
        <v>2.12450003623962</v>
      </c>
      <c r="D1729">
        <v>2.0645000934600799</v>
      </c>
      <c r="E1729">
        <v>2.08500003814697</v>
      </c>
      <c r="F1729">
        <v>2.08500003814697</v>
      </c>
      <c r="G1729">
        <v>114808000</v>
      </c>
      <c r="H1729">
        <f t="shared" si="104"/>
        <v>2004</v>
      </c>
      <c r="I1729">
        <f t="shared" si="105"/>
        <v>3</v>
      </c>
      <c r="J1729" t="str">
        <f t="shared" si="106"/>
        <v>Mar</v>
      </c>
      <c r="K1729" t="str">
        <f t="shared" si="107"/>
        <v>Fri</v>
      </c>
    </row>
    <row r="1730" spans="1:11" x14ac:dyDescent="0.35">
      <c r="A1730" s="1">
        <v>38075</v>
      </c>
      <c r="B1730">
        <v>2.09850001335144</v>
      </c>
      <c r="C1730">
        <v>2.1400001049041699</v>
      </c>
      <c r="D1730">
        <v>2.09850001335144</v>
      </c>
      <c r="E1730">
        <v>2.13800001144409</v>
      </c>
      <c r="F1730">
        <v>2.13800001144409</v>
      </c>
      <c r="G1730">
        <v>111220000</v>
      </c>
      <c r="H1730">
        <f t="shared" si="104"/>
        <v>2004</v>
      </c>
      <c r="I1730">
        <f t="shared" si="105"/>
        <v>3</v>
      </c>
      <c r="J1730" t="str">
        <f t="shared" si="106"/>
        <v>Mar</v>
      </c>
      <c r="K1730" t="str">
        <f t="shared" si="107"/>
        <v>Mon</v>
      </c>
    </row>
    <row r="1731" spans="1:11" x14ac:dyDescent="0.35">
      <c r="A1731" s="1">
        <v>38076</v>
      </c>
      <c r="B1731">
        <v>2.1354999542236301</v>
      </c>
      <c r="C1731">
        <v>2.1965000629425</v>
      </c>
      <c r="D1731">
        <v>2.1280000209808301</v>
      </c>
      <c r="E1731">
        <v>2.1900000572204501</v>
      </c>
      <c r="F1731">
        <v>2.1900000572204501</v>
      </c>
      <c r="G1731">
        <v>109058000</v>
      </c>
      <c r="H1731">
        <f t="shared" si="104"/>
        <v>2004</v>
      </c>
      <c r="I1731">
        <f t="shared" si="105"/>
        <v>3</v>
      </c>
      <c r="J1731" t="str">
        <f t="shared" si="106"/>
        <v>Mar</v>
      </c>
      <c r="K1731" t="str">
        <f t="shared" si="107"/>
        <v>Tue</v>
      </c>
    </row>
    <row r="1732" spans="1:11" x14ac:dyDescent="0.35">
      <c r="A1732" s="1">
        <v>38077</v>
      </c>
      <c r="B1732">
        <v>2.19250011444091</v>
      </c>
      <c r="C1732">
        <v>2.20000004768371</v>
      </c>
      <c r="D1732">
        <v>2.14750003814697</v>
      </c>
      <c r="E1732">
        <v>2.1640000343322701</v>
      </c>
      <c r="F1732">
        <v>2.1640000343322701</v>
      </c>
      <c r="G1732">
        <v>93498000</v>
      </c>
      <c r="H1732">
        <f t="shared" ref="H1732:H1795" si="108">YEAR($A1732)</f>
        <v>2004</v>
      </c>
      <c r="I1732">
        <f t="shared" ref="I1732:I1795" si="109">MONTH($A1732)</f>
        <v>3</v>
      </c>
      <c r="J1732" t="str">
        <f t="shared" ref="J1732:J1795" si="110">TEXT($A1732,"mmm")</f>
        <v>Mar</v>
      </c>
      <c r="K1732" t="str">
        <f t="shared" ref="K1732:K1795" si="111">TEXT($A1732,"ddd")</f>
        <v>Wed</v>
      </c>
    </row>
    <row r="1733" spans="1:11" x14ac:dyDescent="0.35">
      <c r="A1733" s="1">
        <v>38078</v>
      </c>
      <c r="B1733">
        <v>2.1724998950958199</v>
      </c>
      <c r="C1733">
        <v>2.24200010299682</v>
      </c>
      <c r="D1733">
        <v>2.1649999618530198</v>
      </c>
      <c r="E1733">
        <v>2.2369999885559002</v>
      </c>
      <c r="F1733">
        <v>2.2369999885559002</v>
      </c>
      <c r="G1733">
        <v>130170000</v>
      </c>
      <c r="H1733">
        <f t="shared" si="108"/>
        <v>2004</v>
      </c>
      <c r="I1733">
        <f t="shared" si="109"/>
        <v>4</v>
      </c>
      <c r="J1733" t="str">
        <f t="shared" si="110"/>
        <v>Apr</v>
      </c>
      <c r="K1733" t="str">
        <f t="shared" si="111"/>
        <v>Thu</v>
      </c>
    </row>
    <row r="1734" spans="1:11" x14ac:dyDescent="0.35">
      <c r="A1734" s="1">
        <v>38079</v>
      </c>
      <c r="B1734">
        <v>2.2999999523162802</v>
      </c>
      <c r="C1734">
        <v>2.3125</v>
      </c>
      <c r="D1734">
        <v>2.26250004768371</v>
      </c>
      <c r="E1734">
        <v>2.30450010299682</v>
      </c>
      <c r="F1734">
        <v>2.30450010299682</v>
      </c>
      <c r="G1734">
        <v>162962000</v>
      </c>
      <c r="H1734">
        <f t="shared" si="108"/>
        <v>2004</v>
      </c>
      <c r="I1734">
        <f t="shared" si="109"/>
        <v>4</v>
      </c>
      <c r="J1734" t="str">
        <f t="shared" si="110"/>
        <v>Apr</v>
      </c>
      <c r="K1734" t="str">
        <f t="shared" si="111"/>
        <v>Fri</v>
      </c>
    </row>
    <row r="1735" spans="1:11" x14ac:dyDescent="0.35">
      <c r="A1735" s="1">
        <v>38082</v>
      </c>
      <c r="B1735">
        <v>2.2834999561309801</v>
      </c>
      <c r="C1735">
        <v>2.3545000553131099</v>
      </c>
      <c r="D1735">
        <v>2.2795000076293901</v>
      </c>
      <c r="E1735">
        <v>2.34800004959106</v>
      </c>
      <c r="F1735">
        <v>2.34800004959106</v>
      </c>
      <c r="G1735">
        <v>118782000</v>
      </c>
      <c r="H1735">
        <f t="shared" si="108"/>
        <v>2004</v>
      </c>
      <c r="I1735">
        <f t="shared" si="109"/>
        <v>4</v>
      </c>
      <c r="J1735" t="str">
        <f t="shared" si="110"/>
        <v>Apr</v>
      </c>
      <c r="K1735" t="str">
        <f t="shared" si="111"/>
        <v>Mon</v>
      </c>
    </row>
    <row r="1736" spans="1:11" x14ac:dyDescent="0.35">
      <c r="A1736" s="1">
        <v>38083</v>
      </c>
      <c r="B1736">
        <v>2.3155000209808301</v>
      </c>
      <c r="C1736">
        <v>2.34850001335144</v>
      </c>
      <c r="D1736">
        <v>2.2874999046325599</v>
      </c>
      <c r="E1736">
        <v>2.32200002670288</v>
      </c>
      <c r="F1736">
        <v>2.32200002670288</v>
      </c>
      <c r="G1736">
        <v>118326000</v>
      </c>
      <c r="H1736">
        <f t="shared" si="108"/>
        <v>2004</v>
      </c>
      <c r="I1736">
        <f t="shared" si="109"/>
        <v>4</v>
      </c>
      <c r="J1736" t="str">
        <f t="shared" si="110"/>
        <v>Apr</v>
      </c>
      <c r="K1736" t="str">
        <f t="shared" si="111"/>
        <v>Tue</v>
      </c>
    </row>
    <row r="1737" spans="1:11" x14ac:dyDescent="0.35">
      <c r="A1737" s="1">
        <v>38084</v>
      </c>
      <c r="B1737">
        <v>2.3099999427795401</v>
      </c>
      <c r="C1737">
        <v>2.3399999141693102</v>
      </c>
      <c r="D1737">
        <v>2.2695000171661301</v>
      </c>
      <c r="E1737">
        <v>2.2925000190734801</v>
      </c>
      <c r="F1737">
        <v>2.2925000190734801</v>
      </c>
      <c r="G1737">
        <v>91012000</v>
      </c>
      <c r="H1737">
        <f t="shared" si="108"/>
        <v>2004</v>
      </c>
      <c r="I1737">
        <f t="shared" si="109"/>
        <v>4</v>
      </c>
      <c r="J1737" t="str">
        <f t="shared" si="110"/>
        <v>Apr</v>
      </c>
      <c r="K1737" t="str">
        <f t="shared" si="111"/>
        <v>Wed</v>
      </c>
    </row>
    <row r="1738" spans="1:11" x14ac:dyDescent="0.35">
      <c r="A1738" s="1">
        <v>38085</v>
      </c>
      <c r="B1738">
        <v>2.3919999599456698</v>
      </c>
      <c r="C1738">
        <v>2.4075000286102202</v>
      </c>
      <c r="D1738">
        <v>2.3499999046325599</v>
      </c>
      <c r="E1738">
        <v>2.4049999713897701</v>
      </c>
      <c r="F1738">
        <v>2.4049999713897701</v>
      </c>
      <c r="G1738">
        <v>177594000</v>
      </c>
      <c r="H1738">
        <f t="shared" si="108"/>
        <v>2004</v>
      </c>
      <c r="I1738">
        <f t="shared" si="109"/>
        <v>4</v>
      </c>
      <c r="J1738" t="str">
        <f t="shared" si="110"/>
        <v>Apr</v>
      </c>
      <c r="K1738" t="str">
        <f t="shared" si="111"/>
        <v>Thu</v>
      </c>
    </row>
    <row r="1739" spans="1:11" x14ac:dyDescent="0.35">
      <c r="A1739" s="1">
        <v>38089</v>
      </c>
      <c r="B1739">
        <v>2.4079999923706001</v>
      </c>
      <c r="C1739">
        <v>2.4184999465942298</v>
      </c>
      <c r="D1739">
        <v>2.37849998474121</v>
      </c>
      <c r="E1739">
        <v>2.3980000019073402</v>
      </c>
      <c r="F1739">
        <v>2.3980000019073402</v>
      </c>
      <c r="G1739">
        <v>86918000</v>
      </c>
      <c r="H1739">
        <f t="shared" si="108"/>
        <v>2004</v>
      </c>
      <c r="I1739">
        <f t="shared" si="109"/>
        <v>4</v>
      </c>
      <c r="J1739" t="str">
        <f t="shared" si="110"/>
        <v>Apr</v>
      </c>
      <c r="K1739" t="str">
        <f t="shared" si="111"/>
        <v>Mon</v>
      </c>
    </row>
    <row r="1740" spans="1:11" x14ac:dyDescent="0.35">
      <c r="A1740" s="1">
        <v>38090</v>
      </c>
      <c r="B1740">
        <v>2.3994998931884699</v>
      </c>
      <c r="C1740">
        <v>2.4170000553131099</v>
      </c>
      <c r="D1740">
        <v>2.3180000782012899</v>
      </c>
      <c r="E1740">
        <v>2.3289999961853001</v>
      </c>
      <c r="F1740">
        <v>2.3289999961853001</v>
      </c>
      <c r="G1740">
        <v>114488000</v>
      </c>
      <c r="H1740">
        <f t="shared" si="108"/>
        <v>2004</v>
      </c>
      <c r="I1740">
        <f t="shared" si="109"/>
        <v>4</v>
      </c>
      <c r="J1740" t="str">
        <f t="shared" si="110"/>
        <v>Apr</v>
      </c>
      <c r="K1740" t="str">
        <f t="shared" si="111"/>
        <v>Tue</v>
      </c>
    </row>
    <row r="1741" spans="1:11" x14ac:dyDescent="0.35">
      <c r="A1741" s="1">
        <v>38091</v>
      </c>
      <c r="B1741">
        <v>2.3039999008178702</v>
      </c>
      <c r="C1741">
        <v>2.3829998970031698</v>
      </c>
      <c r="D1741">
        <v>2.29900002479553</v>
      </c>
      <c r="E1741">
        <v>2.3394999504089302</v>
      </c>
      <c r="F1741">
        <v>2.3394999504089302</v>
      </c>
      <c r="G1741">
        <v>122882000</v>
      </c>
      <c r="H1741">
        <f t="shared" si="108"/>
        <v>2004</v>
      </c>
      <c r="I1741">
        <f t="shared" si="109"/>
        <v>4</v>
      </c>
      <c r="J1741" t="str">
        <f t="shared" si="110"/>
        <v>Apr</v>
      </c>
      <c r="K1741" t="str">
        <f t="shared" si="111"/>
        <v>Wed</v>
      </c>
    </row>
    <row r="1742" spans="1:11" x14ac:dyDescent="0.35">
      <c r="A1742" s="1">
        <v>38092</v>
      </c>
      <c r="B1742">
        <v>2.3489999771118102</v>
      </c>
      <c r="C1742">
        <v>2.38000011444091</v>
      </c>
      <c r="D1742">
        <v>2.2999999523162802</v>
      </c>
      <c r="E1742">
        <v>2.3494999408721902</v>
      </c>
      <c r="F1742">
        <v>2.3494999408721902</v>
      </c>
      <c r="G1742">
        <v>112070000</v>
      </c>
      <c r="H1742">
        <f t="shared" si="108"/>
        <v>2004</v>
      </c>
      <c r="I1742">
        <f t="shared" si="109"/>
        <v>4</v>
      </c>
      <c r="J1742" t="str">
        <f t="shared" si="110"/>
        <v>Apr</v>
      </c>
      <c r="K1742" t="str">
        <f t="shared" si="111"/>
        <v>Thu</v>
      </c>
    </row>
    <row r="1743" spans="1:11" x14ac:dyDescent="0.35">
      <c r="A1743" s="1">
        <v>38093</v>
      </c>
      <c r="B1743">
        <v>2.3524999618530198</v>
      </c>
      <c r="C1743">
        <v>2.3550000190734801</v>
      </c>
      <c r="D1743">
        <v>2.2664999961853001</v>
      </c>
      <c r="E1743">
        <v>2.2750000953674299</v>
      </c>
      <c r="F1743">
        <v>2.2750000953674299</v>
      </c>
      <c r="G1743">
        <v>167870000</v>
      </c>
      <c r="H1743">
        <f t="shared" si="108"/>
        <v>2004</v>
      </c>
      <c r="I1743">
        <f t="shared" si="109"/>
        <v>4</v>
      </c>
      <c r="J1743" t="str">
        <f t="shared" si="110"/>
        <v>Apr</v>
      </c>
      <c r="K1743" t="str">
        <f t="shared" si="111"/>
        <v>Fri</v>
      </c>
    </row>
    <row r="1744" spans="1:11" x14ac:dyDescent="0.35">
      <c r="A1744" s="1">
        <v>38096</v>
      </c>
      <c r="B1744">
        <v>2.2674999237060498</v>
      </c>
      <c r="C1744">
        <v>2.3635001182556099</v>
      </c>
      <c r="D1744">
        <v>2.2560000419616699</v>
      </c>
      <c r="E1744">
        <v>2.3554999828338601</v>
      </c>
      <c r="F1744">
        <v>2.3554999828338601</v>
      </c>
      <c r="G1744">
        <v>107050000</v>
      </c>
      <c r="H1744">
        <f t="shared" si="108"/>
        <v>2004</v>
      </c>
      <c r="I1744">
        <f t="shared" si="109"/>
        <v>4</v>
      </c>
      <c r="J1744" t="str">
        <f t="shared" si="110"/>
        <v>Apr</v>
      </c>
      <c r="K1744" t="str">
        <f t="shared" si="111"/>
        <v>Mon</v>
      </c>
    </row>
    <row r="1745" spans="1:11" x14ac:dyDescent="0.35">
      <c r="A1745" s="1">
        <v>38097</v>
      </c>
      <c r="B1745">
        <v>2.3829998970031698</v>
      </c>
      <c r="C1745">
        <v>2.3905000686645499</v>
      </c>
      <c r="D1745">
        <v>2.2590000629425</v>
      </c>
      <c r="E1745">
        <v>2.2599999904632502</v>
      </c>
      <c r="F1745">
        <v>2.2599999904632502</v>
      </c>
      <c r="G1745">
        <v>187522000</v>
      </c>
      <c r="H1745">
        <f t="shared" si="108"/>
        <v>2004</v>
      </c>
      <c r="I1745">
        <f t="shared" si="109"/>
        <v>4</v>
      </c>
      <c r="J1745" t="str">
        <f t="shared" si="110"/>
        <v>Apr</v>
      </c>
      <c r="K1745" t="str">
        <f t="shared" si="111"/>
        <v>Tue</v>
      </c>
    </row>
    <row r="1746" spans="1:11" x14ac:dyDescent="0.35">
      <c r="A1746" s="1">
        <v>38098</v>
      </c>
      <c r="B1746">
        <v>2.2599999904632502</v>
      </c>
      <c r="C1746">
        <v>2.3245000839233398</v>
      </c>
      <c r="D1746">
        <v>2.24550008773803</v>
      </c>
      <c r="E1746">
        <v>2.28600001335144</v>
      </c>
      <c r="F1746">
        <v>2.28600001335144</v>
      </c>
      <c r="G1746">
        <v>121084000</v>
      </c>
      <c r="H1746">
        <f t="shared" si="108"/>
        <v>2004</v>
      </c>
      <c r="I1746">
        <f t="shared" si="109"/>
        <v>4</v>
      </c>
      <c r="J1746" t="str">
        <f t="shared" si="110"/>
        <v>Apr</v>
      </c>
      <c r="K1746" t="str">
        <f t="shared" si="111"/>
        <v>Wed</v>
      </c>
    </row>
    <row r="1747" spans="1:11" x14ac:dyDescent="0.35">
      <c r="A1747" s="1">
        <v>38099</v>
      </c>
      <c r="B1747">
        <v>2.2974998950958199</v>
      </c>
      <c r="C1747">
        <v>2.4549999237060498</v>
      </c>
      <c r="D1747">
        <v>2.29450011253356</v>
      </c>
      <c r="E1747">
        <v>2.4430000782012899</v>
      </c>
      <c r="F1747">
        <v>2.4430000782012899</v>
      </c>
      <c r="G1747">
        <v>315964000</v>
      </c>
      <c r="H1747">
        <f t="shared" si="108"/>
        <v>2004</v>
      </c>
      <c r="I1747">
        <f t="shared" si="109"/>
        <v>4</v>
      </c>
      <c r="J1747" t="str">
        <f t="shared" si="110"/>
        <v>Apr</v>
      </c>
      <c r="K1747" t="str">
        <f t="shared" si="111"/>
        <v>Thu</v>
      </c>
    </row>
    <row r="1748" spans="1:11" x14ac:dyDescent="0.35">
      <c r="A1748" s="1">
        <v>38100</v>
      </c>
      <c r="B1748">
        <v>2.2999999523162802</v>
      </c>
      <c r="C1748">
        <v>2.34450006484985</v>
      </c>
      <c r="D1748">
        <v>2.2755000591278001</v>
      </c>
      <c r="E1748">
        <v>2.3145000934600799</v>
      </c>
      <c r="F1748">
        <v>2.3145000934600799</v>
      </c>
      <c r="G1748">
        <v>291988000</v>
      </c>
      <c r="H1748">
        <f t="shared" si="108"/>
        <v>2004</v>
      </c>
      <c r="I1748">
        <f t="shared" si="109"/>
        <v>4</v>
      </c>
      <c r="J1748" t="str">
        <f t="shared" si="110"/>
        <v>Apr</v>
      </c>
      <c r="K1748" t="str">
        <f t="shared" si="111"/>
        <v>Fri</v>
      </c>
    </row>
    <row r="1749" spans="1:11" x14ac:dyDescent="0.35">
      <c r="A1749" s="1">
        <v>38103</v>
      </c>
      <c r="B1749">
        <v>2.3164999485015798</v>
      </c>
      <c r="C1749">
        <v>2.38800001144409</v>
      </c>
      <c r="D1749">
        <v>2.3074998855590798</v>
      </c>
      <c r="E1749">
        <v>2.3624999523162802</v>
      </c>
      <c r="F1749">
        <v>2.3624999523162802</v>
      </c>
      <c r="G1749">
        <v>146284000</v>
      </c>
      <c r="H1749">
        <f t="shared" si="108"/>
        <v>2004</v>
      </c>
      <c r="I1749">
        <f t="shared" si="109"/>
        <v>4</v>
      </c>
      <c r="J1749" t="str">
        <f t="shared" si="110"/>
        <v>Apr</v>
      </c>
      <c r="K1749" t="str">
        <f t="shared" si="111"/>
        <v>Mon</v>
      </c>
    </row>
    <row r="1750" spans="1:11" x14ac:dyDescent="0.35">
      <c r="A1750" s="1">
        <v>38104</v>
      </c>
      <c r="B1750">
        <v>2.3794999122619598</v>
      </c>
      <c r="C1750">
        <v>2.4400000572204501</v>
      </c>
      <c r="D1750">
        <v>2.3394999504089302</v>
      </c>
      <c r="E1750">
        <v>2.4000000953674299</v>
      </c>
      <c r="F1750">
        <v>2.4000000953674299</v>
      </c>
      <c r="G1750">
        <v>179674000</v>
      </c>
      <c r="H1750">
        <f t="shared" si="108"/>
        <v>2004</v>
      </c>
      <c r="I1750">
        <f t="shared" si="109"/>
        <v>4</v>
      </c>
      <c r="J1750" t="str">
        <f t="shared" si="110"/>
        <v>Apr</v>
      </c>
      <c r="K1750" t="str">
        <f t="shared" si="111"/>
        <v>Tue</v>
      </c>
    </row>
    <row r="1751" spans="1:11" x14ac:dyDescent="0.35">
      <c r="A1751" s="1">
        <v>38105</v>
      </c>
      <c r="B1751">
        <v>2.3810000419616699</v>
      </c>
      <c r="C1751">
        <v>2.4175000190734801</v>
      </c>
      <c r="D1751">
        <v>2.3320000171661301</v>
      </c>
      <c r="E1751">
        <v>2.34850001335144</v>
      </c>
      <c r="F1751">
        <v>2.34850001335144</v>
      </c>
      <c r="G1751">
        <v>122552000</v>
      </c>
      <c r="H1751">
        <f t="shared" si="108"/>
        <v>2004</v>
      </c>
      <c r="I1751">
        <f t="shared" si="109"/>
        <v>4</v>
      </c>
      <c r="J1751" t="str">
        <f t="shared" si="110"/>
        <v>Apr</v>
      </c>
      <c r="K1751" t="str">
        <f t="shared" si="111"/>
        <v>Wed</v>
      </c>
    </row>
    <row r="1752" spans="1:11" x14ac:dyDescent="0.35">
      <c r="A1752" s="1">
        <v>38106</v>
      </c>
      <c r="B1752">
        <v>2.3450000286102202</v>
      </c>
      <c r="C1752">
        <v>2.3540000915527299</v>
      </c>
      <c r="D1752">
        <v>2.2755000591278001</v>
      </c>
      <c r="E1752">
        <v>2.3094999790191602</v>
      </c>
      <c r="F1752">
        <v>2.3094999790191602</v>
      </c>
      <c r="G1752">
        <v>180714000</v>
      </c>
      <c r="H1752">
        <f t="shared" si="108"/>
        <v>2004</v>
      </c>
      <c r="I1752">
        <f t="shared" si="109"/>
        <v>4</v>
      </c>
      <c r="J1752" t="str">
        <f t="shared" si="110"/>
        <v>Apr</v>
      </c>
      <c r="K1752" t="str">
        <f t="shared" si="111"/>
        <v>Thu</v>
      </c>
    </row>
    <row r="1753" spans="1:11" x14ac:dyDescent="0.35">
      <c r="A1753" s="1">
        <v>38107</v>
      </c>
      <c r="B1753">
        <v>2.3029999732971098</v>
      </c>
      <c r="C1753">
        <v>2.31750011444091</v>
      </c>
      <c r="D1753">
        <v>2.1654999256134002</v>
      </c>
      <c r="E1753">
        <v>2.1800000667571999</v>
      </c>
      <c r="F1753">
        <v>2.1800000667571999</v>
      </c>
      <c r="G1753">
        <v>196826000</v>
      </c>
      <c r="H1753">
        <f t="shared" si="108"/>
        <v>2004</v>
      </c>
      <c r="I1753">
        <f t="shared" si="109"/>
        <v>4</v>
      </c>
      <c r="J1753" t="str">
        <f t="shared" si="110"/>
        <v>Apr</v>
      </c>
      <c r="K1753" t="str">
        <f t="shared" si="111"/>
        <v>Fri</v>
      </c>
    </row>
    <row r="1754" spans="1:11" x14ac:dyDescent="0.35">
      <c r="A1754" s="1">
        <v>38110</v>
      </c>
      <c r="B1754">
        <v>2.17400002479553</v>
      </c>
      <c r="C1754">
        <v>2.2574999332427899</v>
      </c>
      <c r="D1754">
        <v>2.17050004005432</v>
      </c>
      <c r="E1754">
        <v>2.2204999923706001</v>
      </c>
      <c r="F1754">
        <v>2.2204999923706001</v>
      </c>
      <c r="G1754">
        <v>138468000</v>
      </c>
      <c r="H1754">
        <f t="shared" si="108"/>
        <v>2004</v>
      </c>
      <c r="I1754">
        <f t="shared" si="109"/>
        <v>5</v>
      </c>
      <c r="J1754" t="str">
        <f t="shared" si="110"/>
        <v>May</v>
      </c>
      <c r="K1754" t="str">
        <f t="shared" si="111"/>
        <v>Mon</v>
      </c>
    </row>
    <row r="1755" spans="1:11" x14ac:dyDescent="0.35">
      <c r="A1755" s="1">
        <v>38111</v>
      </c>
      <c r="B1755">
        <v>2.2204999923706001</v>
      </c>
      <c r="C1755">
        <v>2.22849988937377</v>
      </c>
      <c r="D1755">
        <v>2.1849999427795401</v>
      </c>
      <c r="E1755">
        <v>2.1974999904632502</v>
      </c>
      <c r="F1755">
        <v>2.1974999904632502</v>
      </c>
      <c r="G1755">
        <v>145778000</v>
      </c>
      <c r="H1755">
        <f t="shared" si="108"/>
        <v>2004</v>
      </c>
      <c r="I1755">
        <f t="shared" si="109"/>
        <v>5</v>
      </c>
      <c r="J1755" t="str">
        <f t="shared" si="110"/>
        <v>May</v>
      </c>
      <c r="K1755" t="str">
        <f t="shared" si="111"/>
        <v>Tue</v>
      </c>
    </row>
    <row r="1756" spans="1:11" x14ac:dyDescent="0.35">
      <c r="A1756" s="1">
        <v>38112</v>
      </c>
      <c r="B1756">
        <v>2.1989998817443799</v>
      </c>
      <c r="C1756">
        <v>2.2525000572204501</v>
      </c>
      <c r="D1756">
        <v>2.1974999904632502</v>
      </c>
      <c r="E1756">
        <v>2.2130000591278001</v>
      </c>
      <c r="F1756">
        <v>2.2130000591278001</v>
      </c>
      <c r="G1756">
        <v>97810000</v>
      </c>
      <c r="H1756">
        <f t="shared" si="108"/>
        <v>2004</v>
      </c>
      <c r="I1756">
        <f t="shared" si="109"/>
        <v>5</v>
      </c>
      <c r="J1756" t="str">
        <f t="shared" si="110"/>
        <v>May</v>
      </c>
      <c r="K1756" t="str">
        <f t="shared" si="111"/>
        <v>Wed</v>
      </c>
    </row>
    <row r="1757" spans="1:11" x14ac:dyDescent="0.35">
      <c r="A1757" s="1">
        <v>38113</v>
      </c>
      <c r="B1757">
        <v>2.17950010299682</v>
      </c>
      <c r="C1757">
        <v>2.2125000953674299</v>
      </c>
      <c r="D1757">
        <v>2.1384999752044598</v>
      </c>
      <c r="E1757">
        <v>2.15700006484985</v>
      </c>
      <c r="F1757">
        <v>2.15700006484985</v>
      </c>
      <c r="G1757">
        <v>156368000</v>
      </c>
      <c r="H1757">
        <f t="shared" si="108"/>
        <v>2004</v>
      </c>
      <c r="I1757">
        <f t="shared" si="109"/>
        <v>5</v>
      </c>
      <c r="J1757" t="str">
        <f t="shared" si="110"/>
        <v>May</v>
      </c>
      <c r="K1757" t="str">
        <f t="shared" si="111"/>
        <v>Thu</v>
      </c>
    </row>
    <row r="1758" spans="1:11" x14ac:dyDescent="0.35">
      <c r="A1758" s="1">
        <v>38114</v>
      </c>
      <c r="B1758">
        <v>2.1480000019073402</v>
      </c>
      <c r="C1758">
        <v>2.2090001106262198</v>
      </c>
      <c r="D1758">
        <v>2.0840001106262198</v>
      </c>
      <c r="E1758">
        <v>2.0950000286102202</v>
      </c>
      <c r="F1758">
        <v>2.0950000286102202</v>
      </c>
      <c r="G1758">
        <v>185852000</v>
      </c>
      <c r="H1758">
        <f t="shared" si="108"/>
        <v>2004</v>
      </c>
      <c r="I1758">
        <f t="shared" si="109"/>
        <v>5</v>
      </c>
      <c r="J1758" t="str">
        <f t="shared" si="110"/>
        <v>May</v>
      </c>
      <c r="K1758" t="str">
        <f t="shared" si="111"/>
        <v>Fri</v>
      </c>
    </row>
    <row r="1759" spans="1:11" x14ac:dyDescent="0.35">
      <c r="A1759" s="1">
        <v>38117</v>
      </c>
      <c r="B1759">
        <v>2.0615000724792401</v>
      </c>
      <c r="C1759">
        <v>2.10750007629394</v>
      </c>
      <c r="D1759">
        <v>2.0285000801086399</v>
      </c>
      <c r="E1759">
        <v>2.0629999637603702</v>
      </c>
      <c r="F1759">
        <v>2.0629999637603702</v>
      </c>
      <c r="G1759">
        <v>204180000</v>
      </c>
      <c r="H1759">
        <f t="shared" si="108"/>
        <v>2004</v>
      </c>
      <c r="I1759">
        <f t="shared" si="109"/>
        <v>5</v>
      </c>
      <c r="J1759" t="str">
        <f t="shared" si="110"/>
        <v>May</v>
      </c>
      <c r="K1759" t="str">
        <f t="shared" si="111"/>
        <v>Mon</v>
      </c>
    </row>
    <row r="1760" spans="1:11" x14ac:dyDescent="0.35">
      <c r="A1760" s="1">
        <v>38118</v>
      </c>
      <c r="B1760">
        <v>2.0959999561309801</v>
      </c>
      <c r="C1760">
        <v>2.1519999504089302</v>
      </c>
      <c r="D1760">
        <v>2.0950000286102202</v>
      </c>
      <c r="E1760">
        <v>2.1349999904632502</v>
      </c>
      <c r="F1760">
        <v>2.1349999904632502</v>
      </c>
      <c r="G1760">
        <v>151912000</v>
      </c>
      <c r="H1760">
        <f t="shared" si="108"/>
        <v>2004</v>
      </c>
      <c r="I1760">
        <f t="shared" si="109"/>
        <v>5</v>
      </c>
      <c r="J1760" t="str">
        <f t="shared" si="110"/>
        <v>May</v>
      </c>
      <c r="K1760" t="str">
        <f t="shared" si="111"/>
        <v>Tue</v>
      </c>
    </row>
    <row r="1761" spans="1:11" x14ac:dyDescent="0.35">
      <c r="A1761" s="1">
        <v>38119</v>
      </c>
      <c r="B1761">
        <v>2.11700010299682</v>
      </c>
      <c r="C1761">
        <v>2.1575000286102202</v>
      </c>
      <c r="D1761">
        <v>2.0625</v>
      </c>
      <c r="E1761">
        <v>2.15100002288818</v>
      </c>
      <c r="F1761">
        <v>2.15100002288818</v>
      </c>
      <c r="G1761">
        <v>149724000</v>
      </c>
      <c r="H1761">
        <f t="shared" si="108"/>
        <v>2004</v>
      </c>
      <c r="I1761">
        <f t="shared" si="109"/>
        <v>5</v>
      </c>
      <c r="J1761" t="str">
        <f t="shared" si="110"/>
        <v>May</v>
      </c>
      <c r="K1761" t="str">
        <f t="shared" si="111"/>
        <v>Wed</v>
      </c>
    </row>
    <row r="1762" spans="1:11" x14ac:dyDescent="0.35">
      <c r="A1762" s="1">
        <v>38120</v>
      </c>
      <c r="B1762">
        <v>2.1229999065399099</v>
      </c>
      <c r="C1762">
        <v>2.2065000534057599</v>
      </c>
      <c r="D1762">
        <v>2.1124999523162802</v>
      </c>
      <c r="E1762">
        <v>2.1805000305175701</v>
      </c>
      <c r="F1762">
        <v>2.1805000305175701</v>
      </c>
      <c r="G1762">
        <v>165224000</v>
      </c>
      <c r="H1762">
        <f t="shared" si="108"/>
        <v>2004</v>
      </c>
      <c r="I1762">
        <f t="shared" si="109"/>
        <v>5</v>
      </c>
      <c r="J1762" t="str">
        <f t="shared" si="110"/>
        <v>May</v>
      </c>
      <c r="K1762" t="str">
        <f t="shared" si="111"/>
        <v>Thu</v>
      </c>
    </row>
    <row r="1763" spans="1:11" x14ac:dyDescent="0.35">
      <c r="A1763" s="1">
        <v>38121</v>
      </c>
      <c r="B1763">
        <v>2.1849999427795401</v>
      </c>
      <c r="C1763">
        <v>2.19600009918212</v>
      </c>
      <c r="D1763">
        <v>2.13800001144409</v>
      </c>
      <c r="E1763">
        <v>2.1524999141693102</v>
      </c>
      <c r="F1763">
        <v>2.1524999141693102</v>
      </c>
      <c r="G1763">
        <v>102532000</v>
      </c>
      <c r="H1763">
        <f t="shared" si="108"/>
        <v>2004</v>
      </c>
      <c r="I1763">
        <f t="shared" si="109"/>
        <v>5</v>
      </c>
      <c r="J1763" t="str">
        <f t="shared" si="110"/>
        <v>May</v>
      </c>
      <c r="K1763" t="str">
        <f t="shared" si="111"/>
        <v>Fri</v>
      </c>
    </row>
    <row r="1764" spans="1:11" x14ac:dyDescent="0.35">
      <c r="A1764" s="1">
        <v>38124</v>
      </c>
      <c r="B1764">
        <v>2.1119999885559002</v>
      </c>
      <c r="C1764">
        <v>2.1294999122619598</v>
      </c>
      <c r="D1764">
        <v>2.08500003814697</v>
      </c>
      <c r="E1764">
        <v>2.1040000915527299</v>
      </c>
      <c r="F1764">
        <v>2.1040000915527299</v>
      </c>
      <c r="G1764">
        <v>132514000</v>
      </c>
      <c r="H1764">
        <f t="shared" si="108"/>
        <v>2004</v>
      </c>
      <c r="I1764">
        <f t="shared" si="109"/>
        <v>5</v>
      </c>
      <c r="J1764" t="str">
        <f t="shared" si="110"/>
        <v>May</v>
      </c>
      <c r="K1764" t="str">
        <f t="shared" si="111"/>
        <v>Mon</v>
      </c>
    </row>
    <row r="1765" spans="1:11" x14ac:dyDescent="0.35">
      <c r="A1765" s="1">
        <v>38125</v>
      </c>
      <c r="B1765">
        <v>2.1099998950958199</v>
      </c>
      <c r="C1765">
        <v>2.1199998855590798</v>
      </c>
      <c r="D1765">
        <v>2.0915000438690101</v>
      </c>
      <c r="E1765">
        <v>2.0994999408721902</v>
      </c>
      <c r="F1765">
        <v>2.0994999408721902</v>
      </c>
      <c r="G1765">
        <v>112040000</v>
      </c>
      <c r="H1765">
        <f t="shared" si="108"/>
        <v>2004</v>
      </c>
      <c r="I1765">
        <f t="shared" si="109"/>
        <v>5</v>
      </c>
      <c r="J1765" t="str">
        <f t="shared" si="110"/>
        <v>May</v>
      </c>
      <c r="K1765" t="str">
        <f t="shared" si="111"/>
        <v>Tue</v>
      </c>
    </row>
    <row r="1766" spans="1:11" x14ac:dyDescent="0.35">
      <c r="A1766" s="1">
        <v>38126</v>
      </c>
      <c r="B1766">
        <v>2.1189999580383301</v>
      </c>
      <c r="C1766">
        <v>2.1635000705718901</v>
      </c>
      <c r="D1766">
        <v>2.0734999179839999</v>
      </c>
      <c r="E1766">
        <v>2.08450007438659</v>
      </c>
      <c r="F1766">
        <v>2.08450007438659</v>
      </c>
      <c r="G1766">
        <v>147588000</v>
      </c>
      <c r="H1766">
        <f t="shared" si="108"/>
        <v>2004</v>
      </c>
      <c r="I1766">
        <f t="shared" si="109"/>
        <v>5</v>
      </c>
      <c r="J1766" t="str">
        <f t="shared" si="110"/>
        <v>May</v>
      </c>
      <c r="K1766" t="str">
        <f t="shared" si="111"/>
        <v>Wed</v>
      </c>
    </row>
    <row r="1767" spans="1:11" x14ac:dyDescent="0.35">
      <c r="A1767" s="1">
        <v>38127</v>
      </c>
      <c r="B1767">
        <v>2.0824999809265101</v>
      </c>
      <c r="C1767">
        <v>2.09850001335144</v>
      </c>
      <c r="D1767">
        <v>2.0399999618530198</v>
      </c>
      <c r="E1767">
        <v>2.04900002479553</v>
      </c>
      <c r="F1767">
        <v>2.04900002479553</v>
      </c>
      <c r="G1767">
        <v>118526000</v>
      </c>
      <c r="H1767">
        <f t="shared" si="108"/>
        <v>2004</v>
      </c>
      <c r="I1767">
        <f t="shared" si="109"/>
        <v>5</v>
      </c>
      <c r="J1767" t="str">
        <f t="shared" si="110"/>
        <v>May</v>
      </c>
      <c r="K1767" t="str">
        <f t="shared" si="111"/>
        <v>Thu</v>
      </c>
    </row>
    <row r="1768" spans="1:11" x14ac:dyDescent="0.35">
      <c r="A1768" s="1">
        <v>38128</v>
      </c>
      <c r="B1768">
        <v>2.0634999275207502</v>
      </c>
      <c r="C1768">
        <v>2.0739998817443799</v>
      </c>
      <c r="D1768">
        <v>2.0274999141693102</v>
      </c>
      <c r="E1768">
        <v>2.05850005149841</v>
      </c>
      <c r="F1768">
        <v>2.05850005149841</v>
      </c>
      <c r="G1768">
        <v>105458000</v>
      </c>
      <c r="H1768">
        <f t="shared" si="108"/>
        <v>2004</v>
      </c>
      <c r="I1768">
        <f t="shared" si="109"/>
        <v>5</v>
      </c>
      <c r="J1768" t="str">
        <f t="shared" si="110"/>
        <v>May</v>
      </c>
      <c r="K1768" t="str">
        <f t="shared" si="111"/>
        <v>Fri</v>
      </c>
    </row>
    <row r="1769" spans="1:11" x14ac:dyDescent="0.35">
      <c r="A1769" s="1">
        <v>38131</v>
      </c>
      <c r="B1769">
        <v>2.0645000934600799</v>
      </c>
      <c r="C1769">
        <v>2.1150000095367401</v>
      </c>
      <c r="D1769">
        <v>2.05850005149841</v>
      </c>
      <c r="E1769">
        <v>2.0815000534057599</v>
      </c>
      <c r="F1769">
        <v>2.0815000534057599</v>
      </c>
      <c r="G1769">
        <v>101478000</v>
      </c>
      <c r="H1769">
        <f t="shared" si="108"/>
        <v>2004</v>
      </c>
      <c r="I1769">
        <f t="shared" si="109"/>
        <v>5</v>
      </c>
      <c r="J1769" t="str">
        <f t="shared" si="110"/>
        <v>May</v>
      </c>
      <c r="K1769" t="str">
        <f t="shared" si="111"/>
        <v>Mon</v>
      </c>
    </row>
    <row r="1770" spans="1:11" x14ac:dyDescent="0.35">
      <c r="A1770" s="1">
        <v>38132</v>
      </c>
      <c r="B1770">
        <v>2.0875000953674299</v>
      </c>
      <c r="C1770">
        <v>2.1930000782012899</v>
      </c>
      <c r="D1770">
        <v>2.0694999694824201</v>
      </c>
      <c r="E1770">
        <v>2.1809999942779501</v>
      </c>
      <c r="F1770">
        <v>2.1809999942779501</v>
      </c>
      <c r="G1770">
        <v>144440000</v>
      </c>
      <c r="H1770">
        <f t="shared" si="108"/>
        <v>2004</v>
      </c>
      <c r="I1770">
        <f t="shared" si="109"/>
        <v>5</v>
      </c>
      <c r="J1770" t="str">
        <f t="shared" si="110"/>
        <v>May</v>
      </c>
      <c r="K1770" t="str">
        <f t="shared" si="111"/>
        <v>Tue</v>
      </c>
    </row>
    <row r="1771" spans="1:11" x14ac:dyDescent="0.35">
      <c r="A1771" s="1">
        <v>38133</v>
      </c>
      <c r="B1771">
        <v>2.1930000782012899</v>
      </c>
      <c r="C1771">
        <v>2.25</v>
      </c>
      <c r="D1771">
        <v>2.18350005149841</v>
      </c>
      <c r="E1771">
        <v>2.2344999313354399</v>
      </c>
      <c r="F1771">
        <v>2.2344999313354399</v>
      </c>
      <c r="G1771">
        <v>147952000</v>
      </c>
      <c r="H1771">
        <f t="shared" si="108"/>
        <v>2004</v>
      </c>
      <c r="I1771">
        <f t="shared" si="109"/>
        <v>5</v>
      </c>
      <c r="J1771" t="str">
        <f t="shared" si="110"/>
        <v>May</v>
      </c>
      <c r="K1771" t="str">
        <f t="shared" si="111"/>
        <v>Wed</v>
      </c>
    </row>
    <row r="1772" spans="1:11" x14ac:dyDescent="0.35">
      <c r="A1772" s="1">
        <v>38134</v>
      </c>
      <c r="B1772">
        <v>2.2634999752044598</v>
      </c>
      <c r="C1772">
        <v>2.3914999961853001</v>
      </c>
      <c r="D1772">
        <v>2.2425000667571999</v>
      </c>
      <c r="E1772">
        <v>2.3810000419616699</v>
      </c>
      <c r="F1772">
        <v>2.3810000419616699</v>
      </c>
      <c r="G1772">
        <v>283504000</v>
      </c>
      <c r="H1772">
        <f t="shared" si="108"/>
        <v>2004</v>
      </c>
      <c r="I1772">
        <f t="shared" si="109"/>
        <v>5</v>
      </c>
      <c r="J1772" t="str">
        <f t="shared" si="110"/>
        <v>May</v>
      </c>
      <c r="K1772" t="str">
        <f t="shared" si="111"/>
        <v>Thu</v>
      </c>
    </row>
    <row r="1773" spans="1:11" x14ac:dyDescent="0.35">
      <c r="A1773" s="1">
        <v>38135</v>
      </c>
      <c r="B1773">
        <v>2.3635001182556099</v>
      </c>
      <c r="C1773">
        <v>2.4340000152587802</v>
      </c>
      <c r="D1773">
        <v>2.34400010108947</v>
      </c>
      <c r="E1773">
        <v>2.4249999523162802</v>
      </c>
      <c r="F1773">
        <v>2.4249999523162802</v>
      </c>
      <c r="G1773">
        <v>212582000</v>
      </c>
      <c r="H1773">
        <f t="shared" si="108"/>
        <v>2004</v>
      </c>
      <c r="I1773">
        <f t="shared" si="109"/>
        <v>5</v>
      </c>
      <c r="J1773" t="str">
        <f t="shared" si="110"/>
        <v>May</v>
      </c>
      <c r="K1773" t="str">
        <f t="shared" si="111"/>
        <v>Fri</v>
      </c>
    </row>
    <row r="1774" spans="1:11" x14ac:dyDescent="0.35">
      <c r="A1774" s="1">
        <v>38139</v>
      </c>
      <c r="B1774">
        <v>2.39350008964538</v>
      </c>
      <c r="C1774">
        <v>2.52250003814697</v>
      </c>
      <c r="D1774">
        <v>2.3849999904632502</v>
      </c>
      <c r="E1774">
        <v>2.5114998817443799</v>
      </c>
      <c r="F1774">
        <v>2.5114998817443799</v>
      </c>
      <c r="G1774">
        <v>258806000</v>
      </c>
      <c r="H1774">
        <f t="shared" si="108"/>
        <v>2004</v>
      </c>
      <c r="I1774">
        <f t="shared" si="109"/>
        <v>6</v>
      </c>
      <c r="J1774" t="str">
        <f t="shared" si="110"/>
        <v>Jun</v>
      </c>
      <c r="K1774" t="str">
        <f t="shared" si="111"/>
        <v>Tue</v>
      </c>
    </row>
    <row r="1775" spans="1:11" x14ac:dyDescent="0.35">
      <c r="A1775" s="1">
        <v>38140</v>
      </c>
      <c r="B1775">
        <v>2.5244998931884699</v>
      </c>
      <c r="C1775">
        <v>2.5604999065399099</v>
      </c>
      <c r="D1775">
        <v>2.4885001182556099</v>
      </c>
      <c r="E1775">
        <v>2.5174999237060498</v>
      </c>
      <c r="F1775">
        <v>2.5174999237060498</v>
      </c>
      <c r="G1775">
        <v>249470000</v>
      </c>
      <c r="H1775">
        <f t="shared" si="108"/>
        <v>2004</v>
      </c>
      <c r="I1775">
        <f t="shared" si="109"/>
        <v>6</v>
      </c>
      <c r="J1775" t="str">
        <f t="shared" si="110"/>
        <v>Jun</v>
      </c>
      <c r="K1775" t="str">
        <f t="shared" si="111"/>
        <v>Wed</v>
      </c>
    </row>
    <row r="1776" spans="1:11" x14ac:dyDescent="0.35">
      <c r="A1776" s="1">
        <v>38141</v>
      </c>
      <c r="B1776">
        <v>2.4925000667571999</v>
      </c>
      <c r="C1776">
        <v>2.5174999237060498</v>
      </c>
      <c r="D1776">
        <v>2.4660000801086399</v>
      </c>
      <c r="E1776">
        <v>2.4700000286102202</v>
      </c>
      <c r="F1776">
        <v>2.4700000286102202</v>
      </c>
      <c r="G1776">
        <v>166828000</v>
      </c>
      <c r="H1776">
        <f t="shared" si="108"/>
        <v>2004</v>
      </c>
      <c r="I1776">
        <f t="shared" si="109"/>
        <v>6</v>
      </c>
      <c r="J1776" t="str">
        <f t="shared" si="110"/>
        <v>Jun</v>
      </c>
      <c r="K1776" t="str">
        <f t="shared" si="111"/>
        <v>Thu</v>
      </c>
    </row>
    <row r="1777" spans="1:11" x14ac:dyDescent="0.35">
      <c r="A1777" s="1">
        <v>38142</v>
      </c>
      <c r="B1777">
        <v>2.5025000572204501</v>
      </c>
      <c r="C1777">
        <v>2.57550001144409</v>
      </c>
      <c r="D1777">
        <v>2.5</v>
      </c>
      <c r="E1777">
        <v>2.5474998950958199</v>
      </c>
      <c r="F1777">
        <v>2.5474998950958199</v>
      </c>
      <c r="G1777">
        <v>251712000</v>
      </c>
      <c r="H1777">
        <f t="shared" si="108"/>
        <v>2004</v>
      </c>
      <c r="I1777">
        <f t="shared" si="109"/>
        <v>6</v>
      </c>
      <c r="J1777" t="str">
        <f t="shared" si="110"/>
        <v>Jun</v>
      </c>
      <c r="K1777" t="str">
        <f t="shared" si="111"/>
        <v>Fri</v>
      </c>
    </row>
    <row r="1778" spans="1:11" x14ac:dyDescent="0.35">
      <c r="A1778" s="1">
        <v>38145</v>
      </c>
      <c r="B1778">
        <v>2.58450007438659</v>
      </c>
      <c r="C1778">
        <v>2.5994999408721902</v>
      </c>
      <c r="D1778">
        <v>2.5325000286102202</v>
      </c>
      <c r="E1778">
        <v>2.5880000591278001</v>
      </c>
      <c r="F1778">
        <v>2.5880000591278001</v>
      </c>
      <c r="G1778">
        <v>153760000</v>
      </c>
      <c r="H1778">
        <f t="shared" si="108"/>
        <v>2004</v>
      </c>
      <c r="I1778">
        <f t="shared" si="109"/>
        <v>6</v>
      </c>
      <c r="J1778" t="str">
        <f t="shared" si="110"/>
        <v>Jun</v>
      </c>
      <c r="K1778" t="str">
        <f t="shared" si="111"/>
        <v>Mon</v>
      </c>
    </row>
    <row r="1779" spans="1:11" x14ac:dyDescent="0.35">
      <c r="A1779" s="1">
        <v>38146</v>
      </c>
      <c r="B1779">
        <v>2.5650000572204501</v>
      </c>
      <c r="C1779">
        <v>2.6059999465942298</v>
      </c>
      <c r="D1779">
        <v>2.5550000667571999</v>
      </c>
      <c r="E1779">
        <v>2.5969998836517298</v>
      </c>
      <c r="F1779">
        <v>2.5969998836517298</v>
      </c>
      <c r="G1779">
        <v>119894000</v>
      </c>
      <c r="H1779">
        <f t="shared" si="108"/>
        <v>2004</v>
      </c>
      <c r="I1779">
        <f t="shared" si="109"/>
        <v>6</v>
      </c>
      <c r="J1779" t="str">
        <f t="shared" si="110"/>
        <v>Jun</v>
      </c>
      <c r="K1779" t="str">
        <f t="shared" si="111"/>
        <v>Tue</v>
      </c>
    </row>
    <row r="1780" spans="1:11" x14ac:dyDescent="0.35">
      <c r="A1780" s="1">
        <v>38147</v>
      </c>
      <c r="B1780">
        <v>2.58100008964538</v>
      </c>
      <c r="C1780">
        <v>2.5915000438690101</v>
      </c>
      <c r="D1780">
        <v>2.5004999637603702</v>
      </c>
      <c r="E1780">
        <v>2.5120000839233398</v>
      </c>
      <c r="F1780">
        <v>2.5120000839233398</v>
      </c>
      <c r="G1780">
        <v>131588000</v>
      </c>
      <c r="H1780">
        <f t="shared" si="108"/>
        <v>2004</v>
      </c>
      <c r="I1780">
        <f t="shared" si="109"/>
        <v>6</v>
      </c>
      <c r="J1780" t="str">
        <f t="shared" si="110"/>
        <v>Jun</v>
      </c>
      <c r="K1780" t="str">
        <f t="shared" si="111"/>
        <v>Wed</v>
      </c>
    </row>
    <row r="1781" spans="1:11" x14ac:dyDescent="0.35">
      <c r="A1781" s="1">
        <v>38148</v>
      </c>
      <c r="B1781">
        <v>2.5199999809265101</v>
      </c>
      <c r="C1781">
        <v>2.5234999656677202</v>
      </c>
      <c r="D1781">
        <v>2.4630000591278001</v>
      </c>
      <c r="E1781">
        <v>2.4969999790191602</v>
      </c>
      <c r="F1781">
        <v>2.4969999790191602</v>
      </c>
      <c r="G1781">
        <v>144180000</v>
      </c>
      <c r="H1781">
        <f t="shared" si="108"/>
        <v>2004</v>
      </c>
      <c r="I1781">
        <f t="shared" si="109"/>
        <v>6</v>
      </c>
      <c r="J1781" t="str">
        <f t="shared" si="110"/>
        <v>Jun</v>
      </c>
      <c r="K1781" t="str">
        <f t="shared" si="111"/>
        <v>Thu</v>
      </c>
    </row>
    <row r="1782" spans="1:11" x14ac:dyDescent="0.35">
      <c r="A1782" s="1">
        <v>38152</v>
      </c>
      <c r="B1782">
        <v>2.4670000076293901</v>
      </c>
      <c r="C1782">
        <v>2.49950003623962</v>
      </c>
      <c r="D1782">
        <v>2.45199990272521</v>
      </c>
      <c r="E1782">
        <v>2.4625000953674299</v>
      </c>
      <c r="F1782">
        <v>2.4625000953674299</v>
      </c>
      <c r="G1782">
        <v>103618000</v>
      </c>
      <c r="H1782">
        <f t="shared" si="108"/>
        <v>2004</v>
      </c>
      <c r="I1782">
        <f t="shared" si="109"/>
        <v>6</v>
      </c>
      <c r="J1782" t="str">
        <f t="shared" si="110"/>
        <v>Jun</v>
      </c>
      <c r="K1782" t="str">
        <f t="shared" si="111"/>
        <v>Mon</v>
      </c>
    </row>
    <row r="1783" spans="1:11" x14ac:dyDescent="0.35">
      <c r="A1783" s="1">
        <v>38153</v>
      </c>
      <c r="B1783">
        <v>2.4855000972747798</v>
      </c>
      <c r="C1783">
        <v>2.5299999713897701</v>
      </c>
      <c r="D1783">
        <v>2.4744999408721902</v>
      </c>
      <c r="E1783">
        <v>2.5055000782012899</v>
      </c>
      <c r="F1783">
        <v>2.5055000782012899</v>
      </c>
      <c r="G1783">
        <v>138250000</v>
      </c>
      <c r="H1783">
        <f t="shared" si="108"/>
        <v>2004</v>
      </c>
      <c r="I1783">
        <f t="shared" si="109"/>
        <v>6</v>
      </c>
      <c r="J1783" t="str">
        <f t="shared" si="110"/>
        <v>Jun</v>
      </c>
      <c r="K1783" t="str">
        <f t="shared" si="111"/>
        <v>Tue</v>
      </c>
    </row>
    <row r="1784" spans="1:11" x14ac:dyDescent="0.35">
      <c r="A1784" s="1">
        <v>38154</v>
      </c>
      <c r="B1784">
        <v>2.5044999122619598</v>
      </c>
      <c r="C1784">
        <v>2.5374999046325599</v>
      </c>
      <c r="D1784">
        <v>2.49550008773803</v>
      </c>
      <c r="E1784">
        <v>2.5285000801086399</v>
      </c>
      <c r="F1784">
        <v>2.5285000801086399</v>
      </c>
      <c r="G1784">
        <v>81952000</v>
      </c>
      <c r="H1784">
        <f t="shared" si="108"/>
        <v>2004</v>
      </c>
      <c r="I1784">
        <f t="shared" si="109"/>
        <v>6</v>
      </c>
      <c r="J1784" t="str">
        <f t="shared" si="110"/>
        <v>Jun</v>
      </c>
      <c r="K1784" t="str">
        <f t="shared" si="111"/>
        <v>Wed</v>
      </c>
    </row>
    <row r="1785" spans="1:11" x14ac:dyDescent="0.35">
      <c r="A1785" s="1">
        <v>38155</v>
      </c>
      <c r="B1785">
        <v>2.5255000591278001</v>
      </c>
      <c r="C1785">
        <v>2.54550004005432</v>
      </c>
      <c r="D1785">
        <v>2.4704999923706001</v>
      </c>
      <c r="E1785">
        <v>2.4885001182556099</v>
      </c>
      <c r="F1785">
        <v>2.4885001182556099</v>
      </c>
      <c r="G1785">
        <v>117510000</v>
      </c>
      <c r="H1785">
        <f t="shared" si="108"/>
        <v>2004</v>
      </c>
      <c r="I1785">
        <f t="shared" si="109"/>
        <v>6</v>
      </c>
      <c r="J1785" t="str">
        <f t="shared" si="110"/>
        <v>Jun</v>
      </c>
      <c r="K1785" t="str">
        <f t="shared" si="111"/>
        <v>Thu</v>
      </c>
    </row>
    <row r="1786" spans="1:11" x14ac:dyDescent="0.35">
      <c r="A1786" s="1">
        <v>38156</v>
      </c>
      <c r="B1786">
        <v>2.4719998836517298</v>
      </c>
      <c r="C1786">
        <v>2.5139999389648402</v>
      </c>
      <c r="D1786">
        <v>2.4700000286102202</v>
      </c>
      <c r="E1786">
        <v>2.4800000190734801</v>
      </c>
      <c r="F1786">
        <v>2.4800000190734801</v>
      </c>
      <c r="G1786">
        <v>88334000</v>
      </c>
      <c r="H1786">
        <f t="shared" si="108"/>
        <v>2004</v>
      </c>
      <c r="I1786">
        <f t="shared" si="109"/>
        <v>6</v>
      </c>
      <c r="J1786" t="str">
        <f t="shared" si="110"/>
        <v>Jun</v>
      </c>
      <c r="K1786" t="str">
        <f t="shared" si="111"/>
        <v>Fri</v>
      </c>
    </row>
    <row r="1787" spans="1:11" x14ac:dyDescent="0.35">
      <c r="A1787" s="1">
        <v>38159</v>
      </c>
      <c r="B1787">
        <v>2.47250008583068</v>
      </c>
      <c r="C1787">
        <v>2.5150001049041699</v>
      </c>
      <c r="D1787">
        <v>2.4625000953674299</v>
      </c>
      <c r="E1787">
        <v>2.4885001182556099</v>
      </c>
      <c r="F1787">
        <v>2.4885001182556099</v>
      </c>
      <c r="G1787">
        <v>89806000</v>
      </c>
      <c r="H1787">
        <f t="shared" si="108"/>
        <v>2004</v>
      </c>
      <c r="I1787">
        <f t="shared" si="109"/>
        <v>6</v>
      </c>
      <c r="J1787" t="str">
        <f t="shared" si="110"/>
        <v>Jun</v>
      </c>
      <c r="K1787" t="str">
        <f t="shared" si="111"/>
        <v>Mon</v>
      </c>
    </row>
    <row r="1788" spans="1:11" x14ac:dyDescent="0.35">
      <c r="A1788" s="1">
        <v>38160</v>
      </c>
      <c r="B1788">
        <v>2.4835000038146902</v>
      </c>
      <c r="C1788">
        <v>2.4895000457763601</v>
      </c>
      <c r="D1788">
        <v>2.4119999408721902</v>
      </c>
      <c r="E1788">
        <v>2.45000004768371</v>
      </c>
      <c r="F1788">
        <v>2.45000004768371</v>
      </c>
      <c r="G1788">
        <v>162410000</v>
      </c>
      <c r="H1788">
        <f t="shared" si="108"/>
        <v>2004</v>
      </c>
      <c r="I1788">
        <f t="shared" si="109"/>
        <v>6</v>
      </c>
      <c r="J1788" t="str">
        <f t="shared" si="110"/>
        <v>Jun</v>
      </c>
      <c r="K1788" t="str">
        <f t="shared" si="111"/>
        <v>Tue</v>
      </c>
    </row>
    <row r="1789" spans="1:11" x14ac:dyDescent="0.35">
      <c r="A1789" s="1">
        <v>38161</v>
      </c>
      <c r="B1789">
        <v>2.4384999275207502</v>
      </c>
      <c r="C1789">
        <v>2.5499999523162802</v>
      </c>
      <c r="D1789">
        <v>2.4175000190734801</v>
      </c>
      <c r="E1789">
        <v>2.5404999256134002</v>
      </c>
      <c r="F1789">
        <v>2.5404999256134002</v>
      </c>
      <c r="G1789">
        <v>151894000</v>
      </c>
      <c r="H1789">
        <f t="shared" si="108"/>
        <v>2004</v>
      </c>
      <c r="I1789">
        <f t="shared" si="109"/>
        <v>6</v>
      </c>
      <c r="J1789" t="str">
        <f t="shared" si="110"/>
        <v>Jun</v>
      </c>
      <c r="K1789" t="str">
        <f t="shared" si="111"/>
        <v>Wed</v>
      </c>
    </row>
    <row r="1790" spans="1:11" x14ac:dyDescent="0.35">
      <c r="A1790" s="1">
        <v>38162</v>
      </c>
      <c r="B1790">
        <v>2.5499999523162802</v>
      </c>
      <c r="C1790">
        <v>2.5969998836517298</v>
      </c>
      <c r="D1790">
        <v>2.5344998836517298</v>
      </c>
      <c r="E1790">
        <v>2.5510001182556099</v>
      </c>
      <c r="F1790">
        <v>2.5510001182556099</v>
      </c>
      <c r="G1790">
        <v>135202000</v>
      </c>
      <c r="H1790">
        <f t="shared" si="108"/>
        <v>2004</v>
      </c>
      <c r="I1790">
        <f t="shared" si="109"/>
        <v>6</v>
      </c>
      <c r="J1790" t="str">
        <f t="shared" si="110"/>
        <v>Jun</v>
      </c>
      <c r="K1790" t="str">
        <f t="shared" si="111"/>
        <v>Thu</v>
      </c>
    </row>
    <row r="1791" spans="1:11" x14ac:dyDescent="0.35">
      <c r="A1791" s="1">
        <v>38163</v>
      </c>
      <c r="B1791">
        <v>2.5525000095367401</v>
      </c>
      <c r="C1791">
        <v>2.5964999198913499</v>
      </c>
      <c r="D1791">
        <v>2.5434999465942298</v>
      </c>
      <c r="E1791">
        <v>2.5899999141693102</v>
      </c>
      <c r="F1791">
        <v>2.5899999141693102</v>
      </c>
      <c r="G1791">
        <v>139962000</v>
      </c>
      <c r="H1791">
        <f t="shared" si="108"/>
        <v>2004</v>
      </c>
      <c r="I1791">
        <f t="shared" si="109"/>
        <v>6</v>
      </c>
      <c r="J1791" t="str">
        <f t="shared" si="110"/>
        <v>Jun</v>
      </c>
      <c r="K1791" t="str">
        <f t="shared" si="111"/>
        <v>Fri</v>
      </c>
    </row>
    <row r="1792" spans="1:11" x14ac:dyDescent="0.35">
      <c r="A1792" s="1">
        <v>38166</v>
      </c>
      <c r="B1792">
        <v>2.6189999580383301</v>
      </c>
      <c r="C1792">
        <v>2.70199990272521</v>
      </c>
      <c r="D1792">
        <v>2.6099998950958199</v>
      </c>
      <c r="E1792">
        <v>2.66950011253356</v>
      </c>
      <c r="F1792">
        <v>2.66950011253356</v>
      </c>
      <c r="G1792">
        <v>230078000</v>
      </c>
      <c r="H1792">
        <f t="shared" si="108"/>
        <v>2004</v>
      </c>
      <c r="I1792">
        <f t="shared" si="109"/>
        <v>6</v>
      </c>
      <c r="J1792" t="str">
        <f t="shared" si="110"/>
        <v>Jun</v>
      </c>
      <c r="K1792" t="str">
        <f t="shared" si="111"/>
        <v>Mon</v>
      </c>
    </row>
    <row r="1793" spans="1:11" x14ac:dyDescent="0.35">
      <c r="A1793" s="1">
        <v>38167</v>
      </c>
      <c r="B1793">
        <v>2.66100001335144</v>
      </c>
      <c r="C1793">
        <v>2.69700002670288</v>
      </c>
      <c r="D1793">
        <v>2.6324999332427899</v>
      </c>
      <c r="E1793">
        <v>2.6854999065399099</v>
      </c>
      <c r="F1793">
        <v>2.6854999065399099</v>
      </c>
      <c r="G1793">
        <v>171788000</v>
      </c>
      <c r="H1793">
        <f t="shared" si="108"/>
        <v>2004</v>
      </c>
      <c r="I1793">
        <f t="shared" si="109"/>
        <v>6</v>
      </c>
      <c r="J1793" t="str">
        <f t="shared" si="110"/>
        <v>Jun</v>
      </c>
      <c r="K1793" t="str">
        <f t="shared" si="111"/>
        <v>Tue</v>
      </c>
    </row>
    <row r="1794" spans="1:11" x14ac:dyDescent="0.35">
      <c r="A1794" s="1">
        <v>38168</v>
      </c>
      <c r="B1794">
        <v>2.6805000305175701</v>
      </c>
      <c r="C1794">
        <v>2.7349998950958199</v>
      </c>
      <c r="D1794">
        <v>2.6710000038146902</v>
      </c>
      <c r="E1794">
        <v>2.7200000286102202</v>
      </c>
      <c r="F1794">
        <v>2.7200000286102202</v>
      </c>
      <c r="G1794">
        <v>137982000</v>
      </c>
      <c r="H1794">
        <f t="shared" si="108"/>
        <v>2004</v>
      </c>
      <c r="I1794">
        <f t="shared" si="109"/>
        <v>6</v>
      </c>
      <c r="J1794" t="str">
        <f t="shared" si="110"/>
        <v>Jun</v>
      </c>
      <c r="K1794" t="str">
        <f t="shared" si="111"/>
        <v>Wed</v>
      </c>
    </row>
    <row r="1795" spans="1:11" x14ac:dyDescent="0.35">
      <c r="A1795" s="1">
        <v>38169</v>
      </c>
      <c r="B1795">
        <v>2.6900000572204501</v>
      </c>
      <c r="C1795">
        <v>2.70199990272521</v>
      </c>
      <c r="D1795">
        <v>2.6024999618530198</v>
      </c>
      <c r="E1795">
        <v>2.6280000209808301</v>
      </c>
      <c r="F1795">
        <v>2.6280000209808301</v>
      </c>
      <c r="G1795">
        <v>144238000</v>
      </c>
      <c r="H1795">
        <f t="shared" si="108"/>
        <v>2004</v>
      </c>
      <c r="I1795">
        <f t="shared" si="109"/>
        <v>7</v>
      </c>
      <c r="J1795" t="str">
        <f t="shared" si="110"/>
        <v>Jul</v>
      </c>
      <c r="K1795" t="str">
        <f t="shared" si="111"/>
        <v>Thu</v>
      </c>
    </row>
    <row r="1796" spans="1:11" x14ac:dyDescent="0.35">
      <c r="A1796" s="1">
        <v>38170</v>
      </c>
      <c r="B1796">
        <v>2.6310000419616699</v>
      </c>
      <c r="C1796">
        <v>2.6619999408721902</v>
      </c>
      <c r="D1796">
        <v>2.5915000438690101</v>
      </c>
      <c r="E1796">
        <v>2.6294999122619598</v>
      </c>
      <c r="F1796">
        <v>2.6294999122619598</v>
      </c>
      <c r="G1796">
        <v>97248000</v>
      </c>
      <c r="H1796">
        <f t="shared" ref="H1796:H1859" si="112">YEAR($A1796)</f>
        <v>2004</v>
      </c>
      <c r="I1796">
        <f t="shared" ref="I1796:I1859" si="113">MONTH($A1796)</f>
        <v>7</v>
      </c>
      <c r="J1796" t="str">
        <f t="shared" ref="J1796:J1859" si="114">TEXT($A1796,"mmm")</f>
        <v>Jul</v>
      </c>
      <c r="K1796" t="str">
        <f t="shared" ref="K1796:K1859" si="115">TEXT($A1796,"ddd")</f>
        <v>Fri</v>
      </c>
    </row>
    <row r="1797" spans="1:11" x14ac:dyDescent="0.35">
      <c r="A1797" s="1">
        <v>38174</v>
      </c>
      <c r="B1797">
        <v>2.6275000572204501</v>
      </c>
      <c r="C1797">
        <v>2.63000011444091</v>
      </c>
      <c r="D1797">
        <v>2.5244998931884699</v>
      </c>
      <c r="E1797">
        <v>2.56200003623962</v>
      </c>
      <c r="F1797">
        <v>2.56200003623962</v>
      </c>
      <c r="G1797">
        <v>123138000</v>
      </c>
      <c r="H1797">
        <f t="shared" si="112"/>
        <v>2004</v>
      </c>
      <c r="I1797">
        <f t="shared" si="113"/>
        <v>7</v>
      </c>
      <c r="J1797" t="str">
        <f t="shared" si="114"/>
        <v>Jul</v>
      </c>
      <c r="K1797" t="str">
        <f t="shared" si="115"/>
        <v>Tue</v>
      </c>
    </row>
    <row r="1798" spans="1:11" x14ac:dyDescent="0.35">
      <c r="A1798" s="1">
        <v>38175</v>
      </c>
      <c r="B1798">
        <v>2.53949999809265</v>
      </c>
      <c r="C1798">
        <v>2.6015000343322701</v>
      </c>
      <c r="D1798">
        <v>2.5120000839233398</v>
      </c>
      <c r="E1798">
        <v>2.5499999523162802</v>
      </c>
      <c r="F1798">
        <v>2.5499999523162802</v>
      </c>
      <c r="G1798">
        <v>130312000</v>
      </c>
      <c r="H1798">
        <f t="shared" si="112"/>
        <v>2004</v>
      </c>
      <c r="I1798">
        <f t="shared" si="113"/>
        <v>7</v>
      </c>
      <c r="J1798" t="str">
        <f t="shared" si="114"/>
        <v>Jul</v>
      </c>
      <c r="K1798" t="str">
        <f t="shared" si="115"/>
        <v>Wed</v>
      </c>
    </row>
    <row r="1799" spans="1:11" x14ac:dyDescent="0.35">
      <c r="A1799" s="1">
        <v>38176</v>
      </c>
      <c r="B1799">
        <v>2.4254999160766602</v>
      </c>
      <c r="C1799">
        <v>2.4985001087188698</v>
      </c>
      <c r="D1799">
        <v>2.42350006103515</v>
      </c>
      <c r="E1799">
        <v>2.4749999046325599</v>
      </c>
      <c r="F1799">
        <v>2.4749999046325599</v>
      </c>
      <c r="G1799">
        <v>200678000</v>
      </c>
      <c r="H1799">
        <f t="shared" si="112"/>
        <v>2004</v>
      </c>
      <c r="I1799">
        <f t="shared" si="113"/>
        <v>7</v>
      </c>
      <c r="J1799" t="str">
        <f t="shared" si="114"/>
        <v>Jul</v>
      </c>
      <c r="K1799" t="str">
        <f t="shared" si="115"/>
        <v>Thu</v>
      </c>
    </row>
    <row r="1800" spans="1:11" x14ac:dyDescent="0.35">
      <c r="A1800" s="1">
        <v>38177</v>
      </c>
      <c r="B1800">
        <v>2.4934999942779501</v>
      </c>
      <c r="C1800">
        <v>2.5</v>
      </c>
      <c r="D1800">
        <v>2.3910000324249201</v>
      </c>
      <c r="E1800">
        <v>2.41599988937377</v>
      </c>
      <c r="F1800">
        <v>2.41599988937377</v>
      </c>
      <c r="G1800">
        <v>160670000</v>
      </c>
      <c r="H1800">
        <f t="shared" si="112"/>
        <v>2004</v>
      </c>
      <c r="I1800">
        <f t="shared" si="113"/>
        <v>7</v>
      </c>
      <c r="J1800" t="str">
        <f t="shared" si="114"/>
        <v>Jul</v>
      </c>
      <c r="K1800" t="str">
        <f t="shared" si="115"/>
        <v>Fri</v>
      </c>
    </row>
    <row r="1801" spans="1:11" x14ac:dyDescent="0.35">
      <c r="A1801" s="1">
        <v>38180</v>
      </c>
      <c r="B1801">
        <v>2.41100001335144</v>
      </c>
      <c r="C1801">
        <v>2.4674999713897701</v>
      </c>
      <c r="D1801">
        <v>2.4014999866485498</v>
      </c>
      <c r="E1801">
        <v>2.4525001049041699</v>
      </c>
      <c r="F1801">
        <v>2.4525001049041699</v>
      </c>
      <c r="G1801">
        <v>141338000</v>
      </c>
      <c r="H1801">
        <f t="shared" si="112"/>
        <v>2004</v>
      </c>
      <c r="I1801">
        <f t="shared" si="113"/>
        <v>7</v>
      </c>
      <c r="J1801" t="str">
        <f t="shared" si="114"/>
        <v>Jul</v>
      </c>
      <c r="K1801" t="str">
        <f t="shared" si="115"/>
        <v>Mon</v>
      </c>
    </row>
    <row r="1802" spans="1:11" x14ac:dyDescent="0.35">
      <c r="A1802" s="1">
        <v>38181</v>
      </c>
      <c r="B1802">
        <v>2.4554998874664302</v>
      </c>
      <c r="C1802">
        <v>2.4990000724792401</v>
      </c>
      <c r="D1802">
        <v>2.4435000419616699</v>
      </c>
      <c r="E1802">
        <v>2.4800000190734801</v>
      </c>
      <c r="F1802">
        <v>2.4800000190734801</v>
      </c>
      <c r="G1802">
        <v>98176000</v>
      </c>
      <c r="H1802">
        <f t="shared" si="112"/>
        <v>2004</v>
      </c>
      <c r="I1802">
        <f t="shared" si="113"/>
        <v>7</v>
      </c>
      <c r="J1802" t="str">
        <f t="shared" si="114"/>
        <v>Jul</v>
      </c>
      <c r="K1802" t="str">
        <f t="shared" si="115"/>
        <v>Tue</v>
      </c>
    </row>
    <row r="1803" spans="1:11" x14ac:dyDescent="0.35">
      <c r="A1803" s="1">
        <v>38182</v>
      </c>
      <c r="B1803">
        <v>2.4474999904632502</v>
      </c>
      <c r="C1803">
        <v>2.5199999809265101</v>
      </c>
      <c r="D1803">
        <v>2.4444999694824201</v>
      </c>
      <c r="E1803">
        <v>2.4749999046325599</v>
      </c>
      <c r="F1803">
        <v>2.4749999046325599</v>
      </c>
      <c r="G1803">
        <v>101312000</v>
      </c>
      <c r="H1803">
        <f t="shared" si="112"/>
        <v>2004</v>
      </c>
      <c r="I1803">
        <f t="shared" si="113"/>
        <v>7</v>
      </c>
      <c r="J1803" t="str">
        <f t="shared" si="114"/>
        <v>Jul</v>
      </c>
      <c r="K1803" t="str">
        <f t="shared" si="115"/>
        <v>Wed</v>
      </c>
    </row>
    <row r="1804" spans="1:11" x14ac:dyDescent="0.35">
      <c r="A1804" s="1">
        <v>38183</v>
      </c>
      <c r="B1804">
        <v>2.4755001068115199</v>
      </c>
      <c r="C1804">
        <v>2.4835000038146902</v>
      </c>
      <c r="D1804">
        <v>2.4059998989105198</v>
      </c>
      <c r="E1804">
        <v>2.43350005149841</v>
      </c>
      <c r="F1804">
        <v>2.43350005149841</v>
      </c>
      <c r="G1804">
        <v>104882000</v>
      </c>
      <c r="H1804">
        <f t="shared" si="112"/>
        <v>2004</v>
      </c>
      <c r="I1804">
        <f t="shared" si="113"/>
        <v>7</v>
      </c>
      <c r="J1804" t="str">
        <f t="shared" si="114"/>
        <v>Jul</v>
      </c>
      <c r="K1804" t="str">
        <f t="shared" si="115"/>
        <v>Thu</v>
      </c>
    </row>
    <row r="1805" spans="1:11" x14ac:dyDescent="0.35">
      <c r="A1805" s="1">
        <v>38184</v>
      </c>
      <c r="B1805">
        <v>2.4495000839233398</v>
      </c>
      <c r="C1805">
        <v>2.4530000686645499</v>
      </c>
      <c r="D1805">
        <v>2.3389999866485498</v>
      </c>
      <c r="E1805">
        <v>2.3550000190734801</v>
      </c>
      <c r="F1805">
        <v>2.3550000190734801</v>
      </c>
      <c r="G1805">
        <v>185738000</v>
      </c>
      <c r="H1805">
        <f t="shared" si="112"/>
        <v>2004</v>
      </c>
      <c r="I1805">
        <f t="shared" si="113"/>
        <v>7</v>
      </c>
      <c r="J1805" t="str">
        <f t="shared" si="114"/>
        <v>Jul</v>
      </c>
      <c r="K1805" t="str">
        <f t="shared" si="115"/>
        <v>Fri</v>
      </c>
    </row>
    <row r="1806" spans="1:11" x14ac:dyDescent="0.35">
      <c r="A1806" s="1">
        <v>38187</v>
      </c>
      <c r="B1806">
        <v>2.3629999160766602</v>
      </c>
      <c r="C1806">
        <v>2.3629999160766602</v>
      </c>
      <c r="D1806">
        <v>2.2574999332427899</v>
      </c>
      <c r="E1806">
        <v>2.3010001182556099</v>
      </c>
      <c r="F1806">
        <v>2.3010001182556099</v>
      </c>
      <c r="G1806">
        <v>196942000</v>
      </c>
      <c r="H1806">
        <f t="shared" si="112"/>
        <v>2004</v>
      </c>
      <c r="I1806">
        <f t="shared" si="113"/>
        <v>7</v>
      </c>
      <c r="J1806" t="str">
        <f t="shared" si="114"/>
        <v>Jul</v>
      </c>
      <c r="K1806" t="str">
        <f t="shared" si="115"/>
        <v>Mon</v>
      </c>
    </row>
    <row r="1807" spans="1:11" x14ac:dyDescent="0.35">
      <c r="A1807" s="1">
        <v>38188</v>
      </c>
      <c r="B1807">
        <v>2.3069999217986998</v>
      </c>
      <c r="C1807">
        <v>2.3924999237060498</v>
      </c>
      <c r="D1807">
        <v>2.3059999942779501</v>
      </c>
      <c r="E1807">
        <v>2.3494999408721902</v>
      </c>
      <c r="F1807">
        <v>2.3494999408721902</v>
      </c>
      <c r="G1807">
        <v>152526000</v>
      </c>
      <c r="H1807">
        <f t="shared" si="112"/>
        <v>2004</v>
      </c>
      <c r="I1807">
        <f t="shared" si="113"/>
        <v>7</v>
      </c>
      <c r="J1807" t="str">
        <f t="shared" si="114"/>
        <v>Jul</v>
      </c>
      <c r="K1807" t="str">
        <f t="shared" si="115"/>
        <v>Tue</v>
      </c>
    </row>
    <row r="1808" spans="1:11" x14ac:dyDescent="0.35">
      <c r="A1808" s="1">
        <v>38189</v>
      </c>
      <c r="B1808">
        <v>2.3659999370574898</v>
      </c>
      <c r="C1808">
        <v>2.38000011444091</v>
      </c>
      <c r="D1808">
        <v>2.2260000705718901</v>
      </c>
      <c r="E1808">
        <v>2.2379999160766602</v>
      </c>
      <c r="F1808">
        <v>2.2379999160766602</v>
      </c>
      <c r="G1808">
        <v>186730000</v>
      </c>
      <c r="H1808">
        <f t="shared" si="112"/>
        <v>2004</v>
      </c>
      <c r="I1808">
        <f t="shared" si="113"/>
        <v>7</v>
      </c>
      <c r="J1808" t="str">
        <f t="shared" si="114"/>
        <v>Jul</v>
      </c>
      <c r="K1808" t="str">
        <f t="shared" si="115"/>
        <v>Wed</v>
      </c>
    </row>
    <row r="1809" spans="1:11" x14ac:dyDescent="0.35">
      <c r="A1809" s="1">
        <v>38190</v>
      </c>
      <c r="B1809">
        <v>2.1854999065399099</v>
      </c>
      <c r="C1809">
        <v>2.3034999370574898</v>
      </c>
      <c r="D1809">
        <v>2.1819999217986998</v>
      </c>
      <c r="E1809">
        <v>2.29099988937377</v>
      </c>
      <c r="F1809">
        <v>2.29099988937377</v>
      </c>
      <c r="G1809">
        <v>327820000</v>
      </c>
      <c r="H1809">
        <f t="shared" si="112"/>
        <v>2004</v>
      </c>
      <c r="I1809">
        <f t="shared" si="113"/>
        <v>7</v>
      </c>
      <c r="J1809" t="str">
        <f t="shared" si="114"/>
        <v>Jul</v>
      </c>
      <c r="K1809" t="str">
        <f t="shared" si="115"/>
        <v>Thu</v>
      </c>
    </row>
    <row r="1810" spans="1:11" x14ac:dyDescent="0.35">
      <c r="A1810" s="1">
        <v>38191</v>
      </c>
      <c r="B1810">
        <v>2.1235001087188698</v>
      </c>
      <c r="C1810">
        <v>2.13800001144409</v>
      </c>
      <c r="D1810">
        <v>1.97800004482269</v>
      </c>
      <c r="E1810">
        <v>1.9989999532699501</v>
      </c>
      <c r="F1810">
        <v>1.9989999532699501</v>
      </c>
      <c r="G1810">
        <v>718544000</v>
      </c>
      <c r="H1810">
        <f t="shared" si="112"/>
        <v>2004</v>
      </c>
      <c r="I1810">
        <f t="shared" si="113"/>
        <v>7</v>
      </c>
      <c r="J1810" t="str">
        <f t="shared" si="114"/>
        <v>Jul</v>
      </c>
      <c r="K1810" t="str">
        <f t="shared" si="115"/>
        <v>Fri</v>
      </c>
    </row>
    <row r="1811" spans="1:11" x14ac:dyDescent="0.35">
      <c r="A1811" s="1">
        <v>38194</v>
      </c>
      <c r="B1811">
        <v>2.0114998817443799</v>
      </c>
      <c r="C1811">
        <v>2.0120000839233398</v>
      </c>
      <c r="D1811">
        <v>1.9164999723434399</v>
      </c>
      <c r="E1811">
        <v>1.9390000104904099</v>
      </c>
      <c r="F1811">
        <v>1.9390000104904099</v>
      </c>
      <c r="G1811">
        <v>279448000</v>
      </c>
      <c r="H1811">
        <f t="shared" si="112"/>
        <v>2004</v>
      </c>
      <c r="I1811">
        <f t="shared" si="113"/>
        <v>7</v>
      </c>
      <c r="J1811" t="str">
        <f t="shared" si="114"/>
        <v>Jul</v>
      </c>
      <c r="K1811" t="str">
        <f t="shared" si="115"/>
        <v>Mon</v>
      </c>
    </row>
    <row r="1812" spans="1:11" x14ac:dyDescent="0.35">
      <c r="A1812" s="1">
        <v>38195</v>
      </c>
      <c r="B1812">
        <v>1.96000003814697</v>
      </c>
      <c r="C1812">
        <v>1.99549996852874</v>
      </c>
      <c r="D1812">
        <v>1.9400000572204501</v>
      </c>
      <c r="E1812">
        <v>1.95550000667572</v>
      </c>
      <c r="F1812">
        <v>1.95550000667572</v>
      </c>
      <c r="G1812">
        <v>210698000</v>
      </c>
      <c r="H1812">
        <f t="shared" si="112"/>
        <v>2004</v>
      </c>
      <c r="I1812">
        <f t="shared" si="113"/>
        <v>7</v>
      </c>
      <c r="J1812" t="str">
        <f t="shared" si="114"/>
        <v>Jul</v>
      </c>
      <c r="K1812" t="str">
        <f t="shared" si="115"/>
        <v>Tue</v>
      </c>
    </row>
    <row r="1813" spans="1:11" x14ac:dyDescent="0.35">
      <c r="A1813" s="1">
        <v>38196</v>
      </c>
      <c r="B1813">
        <v>1.96449995040893</v>
      </c>
      <c r="C1813">
        <v>1.97850000858306</v>
      </c>
      <c r="D1813">
        <v>1.8689999580383301</v>
      </c>
      <c r="E1813">
        <v>1.8984999656677199</v>
      </c>
      <c r="F1813">
        <v>1.8984999656677199</v>
      </c>
      <c r="G1813">
        <v>203672000</v>
      </c>
      <c r="H1813">
        <f t="shared" si="112"/>
        <v>2004</v>
      </c>
      <c r="I1813">
        <f t="shared" si="113"/>
        <v>7</v>
      </c>
      <c r="J1813" t="str">
        <f t="shared" si="114"/>
        <v>Jul</v>
      </c>
      <c r="K1813" t="str">
        <f t="shared" si="115"/>
        <v>Wed</v>
      </c>
    </row>
    <row r="1814" spans="1:11" x14ac:dyDescent="0.35">
      <c r="A1814" s="1">
        <v>38197</v>
      </c>
      <c r="B1814">
        <v>1.91550004482269</v>
      </c>
      <c r="C1814">
        <v>1.9479999542236299</v>
      </c>
      <c r="D1814">
        <v>1.90100002288818</v>
      </c>
      <c r="E1814">
        <v>1.92900002002716</v>
      </c>
      <c r="F1814">
        <v>1.92900002002716</v>
      </c>
      <c r="G1814">
        <v>164000000</v>
      </c>
      <c r="H1814">
        <f t="shared" si="112"/>
        <v>2004</v>
      </c>
      <c r="I1814">
        <f t="shared" si="113"/>
        <v>7</v>
      </c>
      <c r="J1814" t="str">
        <f t="shared" si="114"/>
        <v>Jul</v>
      </c>
      <c r="K1814" t="str">
        <f t="shared" si="115"/>
        <v>Thu</v>
      </c>
    </row>
    <row r="1815" spans="1:11" x14ac:dyDescent="0.35">
      <c r="A1815" s="1">
        <v>38198</v>
      </c>
      <c r="B1815">
        <v>1.92499995231628</v>
      </c>
      <c r="C1815">
        <v>1.9709999561309799</v>
      </c>
      <c r="D1815">
        <v>1.91149997711181</v>
      </c>
      <c r="E1815">
        <v>1.94599997997283</v>
      </c>
      <c r="F1815">
        <v>1.94599997997283</v>
      </c>
      <c r="G1815">
        <v>120630000</v>
      </c>
      <c r="H1815">
        <f t="shared" si="112"/>
        <v>2004</v>
      </c>
      <c r="I1815">
        <f t="shared" si="113"/>
        <v>7</v>
      </c>
      <c r="J1815" t="str">
        <f t="shared" si="114"/>
        <v>Jul</v>
      </c>
      <c r="K1815" t="str">
        <f t="shared" si="115"/>
        <v>Fri</v>
      </c>
    </row>
    <row r="1816" spans="1:11" x14ac:dyDescent="0.35">
      <c r="A1816" s="1">
        <v>38201</v>
      </c>
      <c r="B1816">
        <v>1.9225000143051101</v>
      </c>
      <c r="C1816">
        <v>1.93799996376037</v>
      </c>
      <c r="D1816">
        <v>1.8904999494552599</v>
      </c>
      <c r="E1816">
        <v>1.91499996185302</v>
      </c>
      <c r="F1816">
        <v>1.91499996185302</v>
      </c>
      <c r="G1816">
        <v>118244000</v>
      </c>
      <c r="H1816">
        <f t="shared" si="112"/>
        <v>2004</v>
      </c>
      <c r="I1816">
        <f t="shared" si="113"/>
        <v>8</v>
      </c>
      <c r="J1816" t="str">
        <f t="shared" si="114"/>
        <v>Aug</v>
      </c>
      <c r="K1816" t="str">
        <f t="shared" si="115"/>
        <v>Mon</v>
      </c>
    </row>
    <row r="1817" spans="1:11" x14ac:dyDescent="0.35">
      <c r="A1817" s="1">
        <v>38202</v>
      </c>
      <c r="B1817">
        <v>1.91600000858306</v>
      </c>
      <c r="C1817">
        <v>1.9539999961853001</v>
      </c>
      <c r="D1817">
        <v>1.86150002479553</v>
      </c>
      <c r="E1817">
        <v>1.880499958992</v>
      </c>
      <c r="F1817">
        <v>1.880499958992</v>
      </c>
      <c r="G1817">
        <v>155712000</v>
      </c>
      <c r="H1817">
        <f t="shared" si="112"/>
        <v>2004</v>
      </c>
      <c r="I1817">
        <f t="shared" si="113"/>
        <v>8</v>
      </c>
      <c r="J1817" t="str">
        <f t="shared" si="114"/>
        <v>Aug</v>
      </c>
      <c r="K1817" t="str">
        <f t="shared" si="115"/>
        <v>Tue</v>
      </c>
    </row>
    <row r="1818" spans="1:11" x14ac:dyDescent="0.35">
      <c r="A1818" s="1">
        <v>38203</v>
      </c>
      <c r="B1818">
        <v>1.8409999608993499</v>
      </c>
      <c r="C1818">
        <v>1.8730000257492001</v>
      </c>
      <c r="D1818">
        <v>1.8200000524520801</v>
      </c>
      <c r="E1818">
        <v>1.8559999465942301</v>
      </c>
      <c r="F1818">
        <v>1.8559999465942301</v>
      </c>
      <c r="G1818">
        <v>195312000</v>
      </c>
      <c r="H1818">
        <f t="shared" si="112"/>
        <v>2004</v>
      </c>
      <c r="I1818">
        <f t="shared" si="113"/>
        <v>8</v>
      </c>
      <c r="J1818" t="str">
        <f t="shared" si="114"/>
        <v>Aug</v>
      </c>
      <c r="K1818" t="str">
        <f t="shared" si="115"/>
        <v>Wed</v>
      </c>
    </row>
    <row r="1819" spans="1:11" x14ac:dyDescent="0.35">
      <c r="A1819" s="1">
        <v>38204</v>
      </c>
      <c r="B1819">
        <v>1.87049996852874</v>
      </c>
      <c r="C1819">
        <v>1.8739999532699501</v>
      </c>
      <c r="D1819">
        <v>1.7690000534057599</v>
      </c>
      <c r="E1819">
        <v>1.78050005435943</v>
      </c>
      <c r="F1819">
        <v>1.78050005435943</v>
      </c>
      <c r="G1819">
        <v>168048000</v>
      </c>
      <c r="H1819">
        <f t="shared" si="112"/>
        <v>2004</v>
      </c>
      <c r="I1819">
        <f t="shared" si="113"/>
        <v>8</v>
      </c>
      <c r="J1819" t="str">
        <f t="shared" si="114"/>
        <v>Aug</v>
      </c>
      <c r="K1819" t="str">
        <f t="shared" si="115"/>
        <v>Thu</v>
      </c>
    </row>
    <row r="1820" spans="1:11" x14ac:dyDescent="0.35">
      <c r="A1820" s="1">
        <v>38205</v>
      </c>
      <c r="B1820">
        <v>1.76250004768371</v>
      </c>
      <c r="C1820">
        <v>1.8335000276565501</v>
      </c>
      <c r="D1820">
        <v>1.7424999475479099</v>
      </c>
      <c r="E1820">
        <v>1.7745000123977599</v>
      </c>
      <c r="F1820">
        <v>1.7745000123977599</v>
      </c>
      <c r="G1820">
        <v>230262000</v>
      </c>
      <c r="H1820">
        <f t="shared" si="112"/>
        <v>2004</v>
      </c>
      <c r="I1820">
        <f t="shared" si="113"/>
        <v>8</v>
      </c>
      <c r="J1820" t="str">
        <f t="shared" si="114"/>
        <v>Aug</v>
      </c>
      <c r="K1820" t="str">
        <f t="shared" si="115"/>
        <v>Fri</v>
      </c>
    </row>
    <row r="1821" spans="1:11" x14ac:dyDescent="0.35">
      <c r="A1821" s="1">
        <v>38208</v>
      </c>
      <c r="B1821">
        <v>1.7669999599456701</v>
      </c>
      <c r="C1821">
        <v>1.8150000572204501</v>
      </c>
      <c r="D1821">
        <v>1.7424999475479099</v>
      </c>
      <c r="E1821">
        <v>1.7660000324249201</v>
      </c>
      <c r="F1821">
        <v>1.7660000324249201</v>
      </c>
      <c r="G1821">
        <v>183344000</v>
      </c>
      <c r="H1821">
        <f t="shared" si="112"/>
        <v>2004</v>
      </c>
      <c r="I1821">
        <f t="shared" si="113"/>
        <v>8</v>
      </c>
      <c r="J1821" t="str">
        <f t="shared" si="114"/>
        <v>Aug</v>
      </c>
      <c r="K1821" t="str">
        <f t="shared" si="115"/>
        <v>Mon</v>
      </c>
    </row>
    <row r="1822" spans="1:11" x14ac:dyDescent="0.35">
      <c r="A1822" s="1">
        <v>38209</v>
      </c>
      <c r="B1822">
        <v>1.7845000028610201</v>
      </c>
      <c r="C1822">
        <v>1.8600000143051101</v>
      </c>
      <c r="D1822">
        <v>1.7775000333786</v>
      </c>
      <c r="E1822">
        <v>1.8550000190734801</v>
      </c>
      <c r="F1822">
        <v>1.8550000190734801</v>
      </c>
      <c r="G1822">
        <v>201408000</v>
      </c>
      <c r="H1822">
        <f t="shared" si="112"/>
        <v>2004</v>
      </c>
      <c r="I1822">
        <f t="shared" si="113"/>
        <v>8</v>
      </c>
      <c r="J1822" t="str">
        <f t="shared" si="114"/>
        <v>Aug</v>
      </c>
      <c r="K1822" t="str">
        <f t="shared" si="115"/>
        <v>Tue</v>
      </c>
    </row>
    <row r="1823" spans="1:11" x14ac:dyDescent="0.35">
      <c r="A1823" s="1">
        <v>38210</v>
      </c>
      <c r="B1823">
        <v>1.8200000524520801</v>
      </c>
      <c r="C1823">
        <v>1.8450000286102199</v>
      </c>
      <c r="D1823">
        <v>1.7799999713897701</v>
      </c>
      <c r="E1823">
        <v>1.8279999494552599</v>
      </c>
      <c r="F1823">
        <v>1.8279999494552599</v>
      </c>
      <c r="G1823">
        <v>188962000</v>
      </c>
      <c r="H1823">
        <f t="shared" si="112"/>
        <v>2004</v>
      </c>
      <c r="I1823">
        <f t="shared" si="113"/>
        <v>8</v>
      </c>
      <c r="J1823" t="str">
        <f t="shared" si="114"/>
        <v>Aug</v>
      </c>
      <c r="K1823" t="str">
        <f t="shared" si="115"/>
        <v>Wed</v>
      </c>
    </row>
    <row r="1824" spans="1:11" x14ac:dyDescent="0.35">
      <c r="A1824" s="1">
        <v>38211</v>
      </c>
      <c r="B1824">
        <v>1.8125</v>
      </c>
      <c r="C1824">
        <v>1.8674999475479099</v>
      </c>
      <c r="D1824">
        <v>1.80850005149841</v>
      </c>
      <c r="E1824">
        <v>1.8144999742507899</v>
      </c>
      <c r="F1824">
        <v>1.8144999742507899</v>
      </c>
      <c r="G1824">
        <v>182362000</v>
      </c>
      <c r="H1824">
        <f t="shared" si="112"/>
        <v>2004</v>
      </c>
      <c r="I1824">
        <f t="shared" si="113"/>
        <v>8</v>
      </c>
      <c r="J1824" t="str">
        <f t="shared" si="114"/>
        <v>Aug</v>
      </c>
      <c r="K1824" t="str">
        <f t="shared" si="115"/>
        <v>Thu</v>
      </c>
    </row>
    <row r="1825" spans="1:11" x14ac:dyDescent="0.35">
      <c r="A1825" s="1">
        <v>38212</v>
      </c>
      <c r="B1825">
        <v>1.8279999494552599</v>
      </c>
      <c r="C1825">
        <v>1.8500000238418499</v>
      </c>
      <c r="D1825">
        <v>1.7934999465942301</v>
      </c>
      <c r="E1825">
        <v>1.8064999580383301</v>
      </c>
      <c r="F1825">
        <v>1.8064999580383301</v>
      </c>
      <c r="G1825">
        <v>99622000</v>
      </c>
      <c r="H1825">
        <f t="shared" si="112"/>
        <v>2004</v>
      </c>
      <c r="I1825">
        <f t="shared" si="113"/>
        <v>8</v>
      </c>
      <c r="J1825" t="str">
        <f t="shared" si="114"/>
        <v>Aug</v>
      </c>
      <c r="K1825" t="str">
        <f t="shared" si="115"/>
        <v>Fri</v>
      </c>
    </row>
    <row r="1826" spans="1:11" x14ac:dyDescent="0.35">
      <c r="A1826" s="1">
        <v>38215</v>
      </c>
      <c r="B1826">
        <v>1.8070000410079901</v>
      </c>
      <c r="C1826">
        <v>1.91999995708465</v>
      </c>
      <c r="D1826">
        <v>1.79900002479553</v>
      </c>
      <c r="E1826">
        <v>1.89750003814697</v>
      </c>
      <c r="F1826">
        <v>1.89750003814697</v>
      </c>
      <c r="G1826">
        <v>163286000</v>
      </c>
      <c r="H1826">
        <f t="shared" si="112"/>
        <v>2004</v>
      </c>
      <c r="I1826">
        <f t="shared" si="113"/>
        <v>8</v>
      </c>
      <c r="J1826" t="str">
        <f t="shared" si="114"/>
        <v>Aug</v>
      </c>
      <c r="K1826" t="str">
        <f t="shared" si="115"/>
        <v>Mon</v>
      </c>
    </row>
    <row r="1827" spans="1:11" x14ac:dyDescent="0.35">
      <c r="A1827" s="1">
        <v>38216</v>
      </c>
      <c r="B1827">
        <v>1.92850005626678</v>
      </c>
      <c r="C1827">
        <v>1.9720000028610201</v>
      </c>
      <c r="D1827">
        <v>1.8949999809265099</v>
      </c>
      <c r="E1827">
        <v>1.91149997711181</v>
      </c>
      <c r="F1827">
        <v>1.91149997711181</v>
      </c>
      <c r="G1827">
        <v>223260000</v>
      </c>
      <c r="H1827">
        <f t="shared" si="112"/>
        <v>2004</v>
      </c>
      <c r="I1827">
        <f t="shared" si="113"/>
        <v>8</v>
      </c>
      <c r="J1827" t="str">
        <f t="shared" si="114"/>
        <v>Aug</v>
      </c>
      <c r="K1827" t="str">
        <f t="shared" si="115"/>
        <v>Tue</v>
      </c>
    </row>
    <row r="1828" spans="1:11" x14ac:dyDescent="0.35">
      <c r="A1828" s="1">
        <v>38217</v>
      </c>
      <c r="B1828">
        <v>1.8960000276565501</v>
      </c>
      <c r="C1828">
        <v>1.97699999809265</v>
      </c>
      <c r="D1828">
        <v>1.87100005149841</v>
      </c>
      <c r="E1828">
        <v>1.96800005435943</v>
      </c>
      <c r="F1828">
        <v>1.96800005435943</v>
      </c>
      <c r="G1828">
        <v>190996000</v>
      </c>
      <c r="H1828">
        <f t="shared" si="112"/>
        <v>2004</v>
      </c>
      <c r="I1828">
        <f t="shared" si="113"/>
        <v>8</v>
      </c>
      <c r="J1828" t="str">
        <f t="shared" si="114"/>
        <v>Aug</v>
      </c>
      <c r="K1828" t="str">
        <f t="shared" si="115"/>
        <v>Wed</v>
      </c>
    </row>
    <row r="1829" spans="1:11" x14ac:dyDescent="0.35">
      <c r="A1829" s="1">
        <v>38218</v>
      </c>
      <c r="B1829">
        <v>2.01300001144409</v>
      </c>
      <c r="C1829">
        <v>2.0239999294281001</v>
      </c>
      <c r="D1829">
        <v>1.81749999523162</v>
      </c>
      <c r="E1829">
        <v>1.9314999580383301</v>
      </c>
      <c r="F1829">
        <v>1.9314999580383301</v>
      </c>
      <c r="G1829">
        <v>253922000</v>
      </c>
      <c r="H1829">
        <f t="shared" si="112"/>
        <v>2004</v>
      </c>
      <c r="I1829">
        <f t="shared" si="113"/>
        <v>8</v>
      </c>
      <c r="J1829" t="str">
        <f t="shared" si="114"/>
        <v>Aug</v>
      </c>
      <c r="K1829" t="str">
        <f t="shared" si="115"/>
        <v>Thu</v>
      </c>
    </row>
    <row r="1830" spans="1:11" x14ac:dyDescent="0.35">
      <c r="A1830" s="1">
        <v>38219</v>
      </c>
      <c r="B1830">
        <v>1.9229999780654901</v>
      </c>
      <c r="C1830">
        <v>1.99549996852874</v>
      </c>
      <c r="D1830">
        <v>1.90550005435943</v>
      </c>
      <c r="E1830">
        <v>1.9754999876022299</v>
      </c>
      <c r="F1830">
        <v>1.9754999876022299</v>
      </c>
      <c r="G1830">
        <v>135816000</v>
      </c>
      <c r="H1830">
        <f t="shared" si="112"/>
        <v>2004</v>
      </c>
      <c r="I1830">
        <f t="shared" si="113"/>
        <v>8</v>
      </c>
      <c r="J1830" t="str">
        <f t="shared" si="114"/>
        <v>Aug</v>
      </c>
      <c r="K1830" t="str">
        <f t="shared" si="115"/>
        <v>Fri</v>
      </c>
    </row>
    <row r="1831" spans="1:11" x14ac:dyDescent="0.35">
      <c r="A1831" s="1">
        <v>38222</v>
      </c>
      <c r="B1831">
        <v>1.9945000410079901</v>
      </c>
      <c r="C1831">
        <v>2</v>
      </c>
      <c r="D1831">
        <v>1.95550000667572</v>
      </c>
      <c r="E1831">
        <v>1.97249996662139</v>
      </c>
      <c r="F1831">
        <v>1.97249996662139</v>
      </c>
      <c r="G1831">
        <v>110652000</v>
      </c>
      <c r="H1831">
        <f t="shared" si="112"/>
        <v>2004</v>
      </c>
      <c r="I1831">
        <f t="shared" si="113"/>
        <v>8</v>
      </c>
      <c r="J1831" t="str">
        <f t="shared" si="114"/>
        <v>Aug</v>
      </c>
      <c r="K1831" t="str">
        <f t="shared" si="115"/>
        <v>Mon</v>
      </c>
    </row>
    <row r="1832" spans="1:11" x14ac:dyDescent="0.35">
      <c r="A1832" s="1">
        <v>38223</v>
      </c>
      <c r="B1832">
        <v>1.98599994182586</v>
      </c>
      <c r="C1832">
        <v>1.99650001525878</v>
      </c>
      <c r="D1832">
        <v>1.91600000858306</v>
      </c>
      <c r="E1832">
        <v>1.9524999856948799</v>
      </c>
      <c r="F1832">
        <v>1.9524999856948799</v>
      </c>
      <c r="G1832">
        <v>152808000</v>
      </c>
      <c r="H1832">
        <f t="shared" si="112"/>
        <v>2004</v>
      </c>
      <c r="I1832">
        <f t="shared" si="113"/>
        <v>8</v>
      </c>
      <c r="J1832" t="str">
        <f t="shared" si="114"/>
        <v>Aug</v>
      </c>
      <c r="K1832" t="str">
        <f t="shared" si="115"/>
        <v>Tue</v>
      </c>
    </row>
    <row r="1833" spans="1:11" x14ac:dyDescent="0.35">
      <c r="A1833" s="1">
        <v>38224</v>
      </c>
      <c r="B1833">
        <v>1.9529999494552599</v>
      </c>
      <c r="C1833">
        <v>2.0244998931884699</v>
      </c>
      <c r="D1833">
        <v>1.9079999923705999</v>
      </c>
      <c r="E1833">
        <v>2.0150001049041699</v>
      </c>
      <c r="F1833">
        <v>2.0150001049041699</v>
      </c>
      <c r="G1833">
        <v>145096000</v>
      </c>
      <c r="H1833">
        <f t="shared" si="112"/>
        <v>2004</v>
      </c>
      <c r="I1833">
        <f t="shared" si="113"/>
        <v>8</v>
      </c>
      <c r="J1833" t="str">
        <f t="shared" si="114"/>
        <v>Aug</v>
      </c>
      <c r="K1833" t="str">
        <f t="shared" si="115"/>
        <v>Wed</v>
      </c>
    </row>
    <row r="1834" spans="1:11" x14ac:dyDescent="0.35">
      <c r="A1834" s="1">
        <v>38225</v>
      </c>
      <c r="B1834">
        <v>2.0090000629425</v>
      </c>
      <c r="C1834">
        <v>2.0415000915527299</v>
      </c>
      <c r="D1834">
        <v>1.9850000143051101</v>
      </c>
      <c r="E1834">
        <v>2.00950002670288</v>
      </c>
      <c r="F1834">
        <v>2.00950002670288</v>
      </c>
      <c r="G1834">
        <v>139434000</v>
      </c>
      <c r="H1834">
        <f t="shared" si="112"/>
        <v>2004</v>
      </c>
      <c r="I1834">
        <f t="shared" si="113"/>
        <v>8</v>
      </c>
      <c r="J1834" t="str">
        <f t="shared" si="114"/>
        <v>Aug</v>
      </c>
      <c r="K1834" t="str">
        <f t="shared" si="115"/>
        <v>Thu</v>
      </c>
    </row>
    <row r="1835" spans="1:11" x14ac:dyDescent="0.35">
      <c r="A1835" s="1">
        <v>38226</v>
      </c>
      <c r="B1835">
        <v>2.0160000324249201</v>
      </c>
      <c r="C1835">
        <v>2.0195000171661301</v>
      </c>
      <c r="D1835">
        <v>1.9800000190734801</v>
      </c>
      <c r="E1835">
        <v>1.99500000476837</v>
      </c>
      <c r="F1835">
        <v>1.99500000476837</v>
      </c>
      <c r="G1835">
        <v>84808000</v>
      </c>
      <c r="H1835">
        <f t="shared" si="112"/>
        <v>2004</v>
      </c>
      <c r="I1835">
        <f t="shared" si="113"/>
        <v>8</v>
      </c>
      <c r="J1835" t="str">
        <f t="shared" si="114"/>
        <v>Aug</v>
      </c>
      <c r="K1835" t="str">
        <f t="shared" si="115"/>
        <v>Fri</v>
      </c>
    </row>
    <row r="1836" spans="1:11" x14ac:dyDescent="0.35">
      <c r="A1836" s="1">
        <v>38229</v>
      </c>
      <c r="B1836">
        <v>1.9939999580383301</v>
      </c>
      <c r="C1836">
        <v>1.9974999427795399</v>
      </c>
      <c r="D1836">
        <v>1.9125000238418499</v>
      </c>
      <c r="E1836">
        <v>1.91550004482269</v>
      </c>
      <c r="F1836">
        <v>1.91550004482269</v>
      </c>
      <c r="G1836">
        <v>154230000</v>
      </c>
      <c r="H1836">
        <f t="shared" si="112"/>
        <v>2004</v>
      </c>
      <c r="I1836">
        <f t="shared" si="113"/>
        <v>8</v>
      </c>
      <c r="J1836" t="str">
        <f t="shared" si="114"/>
        <v>Aug</v>
      </c>
      <c r="K1836" t="str">
        <f t="shared" si="115"/>
        <v>Mon</v>
      </c>
    </row>
    <row r="1837" spans="1:11" x14ac:dyDescent="0.35">
      <c r="A1837" s="1">
        <v>38230</v>
      </c>
      <c r="B1837">
        <v>1.9190000295639</v>
      </c>
      <c r="C1837">
        <v>1.94249999523162</v>
      </c>
      <c r="D1837">
        <v>1.89300000667572</v>
      </c>
      <c r="E1837">
        <v>1.90699994564056</v>
      </c>
      <c r="F1837">
        <v>1.90699994564056</v>
      </c>
      <c r="G1837">
        <v>122864000</v>
      </c>
      <c r="H1837">
        <f t="shared" si="112"/>
        <v>2004</v>
      </c>
      <c r="I1837">
        <f t="shared" si="113"/>
        <v>8</v>
      </c>
      <c r="J1837" t="str">
        <f t="shared" si="114"/>
        <v>Aug</v>
      </c>
      <c r="K1837" t="str">
        <f t="shared" si="115"/>
        <v>Tue</v>
      </c>
    </row>
    <row r="1838" spans="1:11" x14ac:dyDescent="0.35">
      <c r="A1838" s="1">
        <v>38231</v>
      </c>
      <c r="B1838">
        <v>1.91149997711181</v>
      </c>
      <c r="C1838">
        <v>1.95050001144409</v>
      </c>
      <c r="D1838">
        <v>1.90100002288818</v>
      </c>
      <c r="E1838">
        <v>1.9119999408721899</v>
      </c>
      <c r="F1838">
        <v>1.9119999408721899</v>
      </c>
      <c r="G1838">
        <v>105050000</v>
      </c>
      <c r="H1838">
        <f t="shared" si="112"/>
        <v>2004</v>
      </c>
      <c r="I1838">
        <f t="shared" si="113"/>
        <v>9</v>
      </c>
      <c r="J1838" t="str">
        <f t="shared" si="114"/>
        <v>Sep</v>
      </c>
      <c r="K1838" t="str">
        <f t="shared" si="115"/>
        <v>Wed</v>
      </c>
    </row>
    <row r="1839" spans="1:11" x14ac:dyDescent="0.35">
      <c r="A1839" s="1">
        <v>38232</v>
      </c>
      <c r="B1839">
        <v>1.90199995040893</v>
      </c>
      <c r="C1839">
        <v>1.98199999332427</v>
      </c>
      <c r="D1839">
        <v>1.8954999446868801</v>
      </c>
      <c r="E1839">
        <v>1.95899999141693</v>
      </c>
      <c r="F1839">
        <v>1.95899999141693</v>
      </c>
      <c r="G1839">
        <v>114446000</v>
      </c>
      <c r="H1839">
        <f t="shared" si="112"/>
        <v>2004</v>
      </c>
      <c r="I1839">
        <f t="shared" si="113"/>
        <v>9</v>
      </c>
      <c r="J1839" t="str">
        <f t="shared" si="114"/>
        <v>Sep</v>
      </c>
      <c r="K1839" t="str">
        <f t="shared" si="115"/>
        <v>Thu</v>
      </c>
    </row>
    <row r="1840" spans="1:11" x14ac:dyDescent="0.35">
      <c r="A1840" s="1">
        <v>38233</v>
      </c>
      <c r="B1840">
        <v>1.95050001144409</v>
      </c>
      <c r="C1840">
        <v>2.0004999637603702</v>
      </c>
      <c r="D1840">
        <v>1.9320000410079901</v>
      </c>
      <c r="E1840">
        <v>1.93700003623962</v>
      </c>
      <c r="F1840">
        <v>1.93700003623962</v>
      </c>
      <c r="G1840">
        <v>104578000</v>
      </c>
      <c r="H1840">
        <f t="shared" si="112"/>
        <v>2004</v>
      </c>
      <c r="I1840">
        <f t="shared" si="113"/>
        <v>9</v>
      </c>
      <c r="J1840" t="str">
        <f t="shared" si="114"/>
        <v>Sep</v>
      </c>
      <c r="K1840" t="str">
        <f t="shared" si="115"/>
        <v>Fri</v>
      </c>
    </row>
    <row r="1841" spans="1:11" x14ac:dyDescent="0.35">
      <c r="A1841" s="1">
        <v>38237</v>
      </c>
      <c r="B1841">
        <v>1.9574999809265099</v>
      </c>
      <c r="C1841">
        <v>1.96800005435943</v>
      </c>
      <c r="D1841">
        <v>1.90550005435943</v>
      </c>
      <c r="E1841">
        <v>1.9255000352859399</v>
      </c>
      <c r="F1841">
        <v>1.9255000352859399</v>
      </c>
      <c r="G1841">
        <v>116660000</v>
      </c>
      <c r="H1841">
        <f t="shared" si="112"/>
        <v>2004</v>
      </c>
      <c r="I1841">
        <f t="shared" si="113"/>
        <v>9</v>
      </c>
      <c r="J1841" t="str">
        <f t="shared" si="114"/>
        <v>Sep</v>
      </c>
      <c r="K1841" t="str">
        <f t="shared" si="115"/>
        <v>Tue</v>
      </c>
    </row>
    <row r="1842" spans="1:11" x14ac:dyDescent="0.35">
      <c r="A1842" s="1">
        <v>38238</v>
      </c>
      <c r="B1842">
        <v>1.9244999885559</v>
      </c>
      <c r="C1842">
        <v>1.9405000209808301</v>
      </c>
      <c r="D1842">
        <v>1.8854999542236299</v>
      </c>
      <c r="E1842">
        <v>1.9005000591278001</v>
      </c>
      <c r="F1842">
        <v>1.9005000591278001</v>
      </c>
      <c r="G1842">
        <v>132226000</v>
      </c>
      <c r="H1842">
        <f t="shared" si="112"/>
        <v>2004</v>
      </c>
      <c r="I1842">
        <f t="shared" si="113"/>
        <v>9</v>
      </c>
      <c r="J1842" t="str">
        <f t="shared" si="114"/>
        <v>Sep</v>
      </c>
      <c r="K1842" t="str">
        <f t="shared" si="115"/>
        <v>Wed</v>
      </c>
    </row>
    <row r="1843" spans="1:11" x14ac:dyDescent="0.35">
      <c r="A1843" s="1">
        <v>38239</v>
      </c>
      <c r="B1843">
        <v>1.9119999408721899</v>
      </c>
      <c r="C1843">
        <v>1.91550004482269</v>
      </c>
      <c r="D1843">
        <v>1.8680000305175699</v>
      </c>
      <c r="E1843">
        <v>1.9034999608993499</v>
      </c>
      <c r="F1843">
        <v>1.9034999608993499</v>
      </c>
      <c r="G1843">
        <v>139134000</v>
      </c>
      <c r="H1843">
        <f t="shared" si="112"/>
        <v>2004</v>
      </c>
      <c r="I1843">
        <f t="shared" si="113"/>
        <v>9</v>
      </c>
      <c r="J1843" t="str">
        <f t="shared" si="114"/>
        <v>Sep</v>
      </c>
      <c r="K1843" t="str">
        <f t="shared" si="115"/>
        <v>Thu</v>
      </c>
    </row>
    <row r="1844" spans="1:11" x14ac:dyDescent="0.35">
      <c r="A1844" s="1">
        <v>38240</v>
      </c>
      <c r="B1844">
        <v>1.90649998188018</v>
      </c>
      <c r="C1844">
        <v>1.9400000572204501</v>
      </c>
      <c r="D1844">
        <v>1.8949999809265099</v>
      </c>
      <c r="E1844">
        <v>1.92850005626678</v>
      </c>
      <c r="F1844">
        <v>1.92850005626678</v>
      </c>
      <c r="G1844">
        <v>92690000</v>
      </c>
      <c r="H1844">
        <f t="shared" si="112"/>
        <v>2004</v>
      </c>
      <c r="I1844">
        <f t="shared" si="113"/>
        <v>9</v>
      </c>
      <c r="J1844" t="str">
        <f t="shared" si="114"/>
        <v>Sep</v>
      </c>
      <c r="K1844" t="str">
        <f t="shared" si="115"/>
        <v>Fri</v>
      </c>
    </row>
    <row r="1845" spans="1:11" x14ac:dyDescent="0.35">
      <c r="A1845" s="1">
        <v>38243</v>
      </c>
      <c r="B1845">
        <v>1.9565000534057599</v>
      </c>
      <c r="C1845">
        <v>2.0020000934600799</v>
      </c>
      <c r="D1845">
        <v>1.94099998474121</v>
      </c>
      <c r="E1845">
        <v>2.0004999637603702</v>
      </c>
      <c r="F1845">
        <v>2.0004999637603702</v>
      </c>
      <c r="G1845">
        <v>161304000</v>
      </c>
      <c r="H1845">
        <f t="shared" si="112"/>
        <v>2004</v>
      </c>
      <c r="I1845">
        <f t="shared" si="113"/>
        <v>9</v>
      </c>
      <c r="J1845" t="str">
        <f t="shared" si="114"/>
        <v>Sep</v>
      </c>
      <c r="K1845" t="str">
        <f t="shared" si="115"/>
        <v>Mon</v>
      </c>
    </row>
    <row r="1846" spans="1:11" x14ac:dyDescent="0.35">
      <c r="A1846" s="1">
        <v>38244</v>
      </c>
      <c r="B1846">
        <v>2.0099999904632502</v>
      </c>
      <c r="C1846">
        <v>2.13750004768371</v>
      </c>
      <c r="D1846">
        <v>1.99500000476837</v>
      </c>
      <c r="E1846">
        <v>2.13350009918212</v>
      </c>
      <c r="F1846">
        <v>2.13350009918212</v>
      </c>
      <c r="G1846">
        <v>317442000</v>
      </c>
      <c r="H1846">
        <f t="shared" si="112"/>
        <v>2004</v>
      </c>
      <c r="I1846">
        <f t="shared" si="113"/>
        <v>9</v>
      </c>
      <c r="J1846" t="str">
        <f t="shared" si="114"/>
        <v>Sep</v>
      </c>
      <c r="K1846" t="str">
        <f t="shared" si="115"/>
        <v>Tue</v>
      </c>
    </row>
    <row r="1847" spans="1:11" x14ac:dyDescent="0.35">
      <c r="A1847" s="1">
        <v>38245</v>
      </c>
      <c r="B1847">
        <v>2.1024999618530198</v>
      </c>
      <c r="C1847">
        <v>2.1589999198913499</v>
      </c>
      <c r="D1847">
        <v>2.0934998989105198</v>
      </c>
      <c r="E1847">
        <v>2.1105000972747798</v>
      </c>
      <c r="F1847">
        <v>2.1105000972747798</v>
      </c>
      <c r="G1847">
        <v>222716000</v>
      </c>
      <c r="H1847">
        <f t="shared" si="112"/>
        <v>2004</v>
      </c>
      <c r="I1847">
        <f t="shared" si="113"/>
        <v>9</v>
      </c>
      <c r="J1847" t="str">
        <f t="shared" si="114"/>
        <v>Sep</v>
      </c>
      <c r="K1847" t="str">
        <f t="shared" si="115"/>
        <v>Wed</v>
      </c>
    </row>
    <row r="1848" spans="1:11" x14ac:dyDescent="0.35">
      <c r="A1848" s="1">
        <v>38246</v>
      </c>
      <c r="B1848">
        <v>2.1194999217986998</v>
      </c>
      <c r="C1848">
        <v>2.2139999866485498</v>
      </c>
      <c r="D1848">
        <v>2.1175000667571999</v>
      </c>
      <c r="E1848">
        <v>2.12849998474121</v>
      </c>
      <c r="F1848">
        <v>2.12849998474121</v>
      </c>
      <c r="G1848">
        <v>231932000</v>
      </c>
      <c r="H1848">
        <f t="shared" si="112"/>
        <v>2004</v>
      </c>
      <c r="I1848">
        <f t="shared" si="113"/>
        <v>9</v>
      </c>
      <c r="J1848" t="str">
        <f t="shared" si="114"/>
        <v>Sep</v>
      </c>
      <c r="K1848" t="str">
        <f t="shared" si="115"/>
        <v>Thu</v>
      </c>
    </row>
    <row r="1849" spans="1:11" x14ac:dyDescent="0.35">
      <c r="A1849" s="1">
        <v>38247</v>
      </c>
      <c r="B1849">
        <v>2.1424999237060498</v>
      </c>
      <c r="C1849">
        <v>2.1630001068115199</v>
      </c>
      <c r="D1849">
        <v>2.1194999217986998</v>
      </c>
      <c r="E1849">
        <v>2.1480000019073402</v>
      </c>
      <c r="F1849">
        <v>2.1480000019073402</v>
      </c>
      <c r="G1849">
        <v>157684000</v>
      </c>
      <c r="H1849">
        <f t="shared" si="112"/>
        <v>2004</v>
      </c>
      <c r="I1849">
        <f t="shared" si="113"/>
        <v>9</v>
      </c>
      <c r="J1849" t="str">
        <f t="shared" si="114"/>
        <v>Sep</v>
      </c>
      <c r="K1849" t="str">
        <f t="shared" si="115"/>
        <v>Fri</v>
      </c>
    </row>
    <row r="1850" spans="1:11" x14ac:dyDescent="0.35">
      <c r="A1850" s="1">
        <v>38250</v>
      </c>
      <c r="B1850">
        <v>2.1354999542236301</v>
      </c>
      <c r="C1850">
        <v>2.1995000839233398</v>
      </c>
      <c r="D1850">
        <v>2.1305000782012899</v>
      </c>
      <c r="E1850">
        <v>2.1635000705718901</v>
      </c>
      <c r="F1850">
        <v>2.1635000705718901</v>
      </c>
      <c r="G1850">
        <v>184448000</v>
      </c>
      <c r="H1850">
        <f t="shared" si="112"/>
        <v>2004</v>
      </c>
      <c r="I1850">
        <f t="shared" si="113"/>
        <v>9</v>
      </c>
      <c r="J1850" t="str">
        <f t="shared" si="114"/>
        <v>Sep</v>
      </c>
      <c r="K1850" t="str">
        <f t="shared" si="115"/>
        <v>Mon</v>
      </c>
    </row>
    <row r="1851" spans="1:11" x14ac:dyDescent="0.35">
      <c r="A1851" s="1">
        <v>38251</v>
      </c>
      <c r="B1851">
        <v>2.1784999370574898</v>
      </c>
      <c r="C1851">
        <v>2.1884999275207502</v>
      </c>
      <c r="D1851">
        <v>2.1384999752044598</v>
      </c>
      <c r="E1851">
        <v>2.16449999809265</v>
      </c>
      <c r="F1851">
        <v>2.16449999809265</v>
      </c>
      <c r="G1851">
        <v>133910000</v>
      </c>
      <c r="H1851">
        <f t="shared" si="112"/>
        <v>2004</v>
      </c>
      <c r="I1851">
        <f t="shared" si="113"/>
        <v>9</v>
      </c>
      <c r="J1851" t="str">
        <f t="shared" si="114"/>
        <v>Sep</v>
      </c>
      <c r="K1851" t="str">
        <f t="shared" si="115"/>
        <v>Tue</v>
      </c>
    </row>
    <row r="1852" spans="1:11" x14ac:dyDescent="0.35">
      <c r="A1852" s="1">
        <v>38252</v>
      </c>
      <c r="B1852">
        <v>2.1575000286102202</v>
      </c>
      <c r="C1852">
        <v>2.1619999408721902</v>
      </c>
      <c r="D1852">
        <v>2.05850005149841</v>
      </c>
      <c r="E1852">
        <v>2.0690000057220401</v>
      </c>
      <c r="F1852">
        <v>2.0690000057220401</v>
      </c>
      <c r="G1852">
        <v>244336000</v>
      </c>
      <c r="H1852">
        <f t="shared" si="112"/>
        <v>2004</v>
      </c>
      <c r="I1852">
        <f t="shared" si="113"/>
        <v>9</v>
      </c>
      <c r="J1852" t="str">
        <f t="shared" si="114"/>
        <v>Sep</v>
      </c>
      <c r="K1852" t="str">
        <f t="shared" si="115"/>
        <v>Wed</v>
      </c>
    </row>
    <row r="1853" spans="1:11" x14ac:dyDescent="0.35">
      <c r="A1853" s="1">
        <v>38253</v>
      </c>
      <c r="B1853">
        <v>2.0664999485015798</v>
      </c>
      <c r="C1853">
        <v>2.1099998950958199</v>
      </c>
      <c r="D1853">
        <v>2.0555000305175701</v>
      </c>
      <c r="E1853">
        <v>2.0915000438690101</v>
      </c>
      <c r="F1853">
        <v>2.0915000438690101</v>
      </c>
      <c r="G1853">
        <v>148220000</v>
      </c>
      <c r="H1853">
        <f t="shared" si="112"/>
        <v>2004</v>
      </c>
      <c r="I1853">
        <f t="shared" si="113"/>
        <v>9</v>
      </c>
      <c r="J1853" t="str">
        <f t="shared" si="114"/>
        <v>Sep</v>
      </c>
      <c r="K1853" t="str">
        <f t="shared" si="115"/>
        <v>Thu</v>
      </c>
    </row>
    <row r="1854" spans="1:11" x14ac:dyDescent="0.35">
      <c r="A1854" s="1">
        <v>38254</v>
      </c>
      <c r="B1854">
        <v>2.0905001163482599</v>
      </c>
      <c r="C1854">
        <v>2.0954999923706001</v>
      </c>
      <c r="D1854">
        <v>2.0425000190734801</v>
      </c>
      <c r="E1854">
        <v>2.0469999313354399</v>
      </c>
      <c r="F1854">
        <v>2.0469999313354399</v>
      </c>
      <c r="G1854">
        <v>124114000</v>
      </c>
      <c r="H1854">
        <f t="shared" si="112"/>
        <v>2004</v>
      </c>
      <c r="I1854">
        <f t="shared" si="113"/>
        <v>9</v>
      </c>
      <c r="J1854" t="str">
        <f t="shared" si="114"/>
        <v>Sep</v>
      </c>
      <c r="K1854" t="str">
        <f t="shared" si="115"/>
        <v>Fri</v>
      </c>
    </row>
    <row r="1855" spans="1:11" x14ac:dyDescent="0.35">
      <c r="A1855" s="1">
        <v>38257</v>
      </c>
      <c r="B1855">
        <v>2.04550004005432</v>
      </c>
      <c r="C1855">
        <v>2.0504999160766602</v>
      </c>
      <c r="D1855">
        <v>1.98749995231628</v>
      </c>
      <c r="E1855">
        <v>1.99650001525878</v>
      </c>
      <c r="F1855">
        <v>1.99650001525878</v>
      </c>
      <c r="G1855">
        <v>167948000</v>
      </c>
      <c r="H1855">
        <f t="shared" si="112"/>
        <v>2004</v>
      </c>
      <c r="I1855">
        <f t="shared" si="113"/>
        <v>9</v>
      </c>
      <c r="J1855" t="str">
        <f t="shared" si="114"/>
        <v>Sep</v>
      </c>
      <c r="K1855" t="str">
        <f t="shared" si="115"/>
        <v>Mon</v>
      </c>
    </row>
    <row r="1856" spans="1:11" x14ac:dyDescent="0.35">
      <c r="A1856" s="1">
        <v>38258</v>
      </c>
      <c r="B1856">
        <v>2.0074999332427899</v>
      </c>
      <c r="C1856">
        <v>2.0164999961853001</v>
      </c>
      <c r="D1856">
        <v>1.9485000371932899</v>
      </c>
      <c r="E1856">
        <v>1.9715000391006401</v>
      </c>
      <c r="F1856">
        <v>1.9715000391006401</v>
      </c>
      <c r="G1856">
        <v>238058000</v>
      </c>
      <c r="H1856">
        <f t="shared" si="112"/>
        <v>2004</v>
      </c>
      <c r="I1856">
        <f t="shared" si="113"/>
        <v>9</v>
      </c>
      <c r="J1856" t="str">
        <f t="shared" si="114"/>
        <v>Sep</v>
      </c>
      <c r="K1856" t="str">
        <f t="shared" si="115"/>
        <v>Tue</v>
      </c>
    </row>
    <row r="1857" spans="1:11" x14ac:dyDescent="0.35">
      <c r="A1857" s="1">
        <v>38259</v>
      </c>
      <c r="B1857">
        <v>1.97249996662139</v>
      </c>
      <c r="C1857">
        <v>2.0460000038146902</v>
      </c>
      <c r="D1857">
        <v>1.96800005435943</v>
      </c>
      <c r="E1857">
        <v>2.0420000553131099</v>
      </c>
      <c r="F1857">
        <v>2.0420000553131099</v>
      </c>
      <c r="G1857">
        <v>198376000</v>
      </c>
      <c r="H1857">
        <f t="shared" si="112"/>
        <v>2004</v>
      </c>
      <c r="I1857">
        <f t="shared" si="113"/>
        <v>9</v>
      </c>
      <c r="J1857" t="str">
        <f t="shared" si="114"/>
        <v>Sep</v>
      </c>
      <c r="K1857" t="str">
        <f t="shared" si="115"/>
        <v>Wed</v>
      </c>
    </row>
    <row r="1858" spans="1:11" x14ac:dyDescent="0.35">
      <c r="A1858" s="1">
        <v>38260</v>
      </c>
      <c r="B1858">
        <v>2.0274999141693102</v>
      </c>
      <c r="C1858">
        <v>2.0639998912811199</v>
      </c>
      <c r="D1858">
        <v>2.0104999542236301</v>
      </c>
      <c r="E1858">
        <v>2.0429999828338601</v>
      </c>
      <c r="F1858">
        <v>2.0429999828338601</v>
      </c>
      <c r="G1858">
        <v>188266000</v>
      </c>
      <c r="H1858">
        <f t="shared" si="112"/>
        <v>2004</v>
      </c>
      <c r="I1858">
        <f t="shared" si="113"/>
        <v>9</v>
      </c>
      <c r="J1858" t="str">
        <f t="shared" si="114"/>
        <v>Sep</v>
      </c>
      <c r="K1858" t="str">
        <f t="shared" si="115"/>
        <v>Thu</v>
      </c>
    </row>
    <row r="1859" spans="1:11" x14ac:dyDescent="0.35">
      <c r="A1859" s="1">
        <v>38261</v>
      </c>
      <c r="B1859">
        <v>2.0645000934600799</v>
      </c>
      <c r="C1859">
        <v>2.0650000572204501</v>
      </c>
      <c r="D1859">
        <v>2.0195000171661301</v>
      </c>
      <c r="E1859">
        <v>2.0234999656677202</v>
      </c>
      <c r="F1859">
        <v>2.0234999656677202</v>
      </c>
      <c r="G1859">
        <v>225378000</v>
      </c>
      <c r="H1859">
        <f t="shared" si="112"/>
        <v>2004</v>
      </c>
      <c r="I1859">
        <f t="shared" si="113"/>
        <v>10</v>
      </c>
      <c r="J1859" t="str">
        <f t="shared" si="114"/>
        <v>Oct</v>
      </c>
      <c r="K1859" t="str">
        <f t="shared" si="115"/>
        <v>Fri</v>
      </c>
    </row>
    <row r="1860" spans="1:11" x14ac:dyDescent="0.35">
      <c r="A1860" s="1">
        <v>38264</v>
      </c>
      <c r="B1860">
        <v>2.0680000782012899</v>
      </c>
      <c r="C1860">
        <v>2.0840001106262198</v>
      </c>
      <c r="D1860">
        <v>2.0369999408721902</v>
      </c>
      <c r="E1860">
        <v>2.0504999160766602</v>
      </c>
      <c r="F1860">
        <v>2.0504999160766602</v>
      </c>
      <c r="G1860">
        <v>175852000</v>
      </c>
      <c r="H1860">
        <f t="shared" ref="H1860:H1923" si="116">YEAR($A1860)</f>
        <v>2004</v>
      </c>
      <c r="I1860">
        <f t="shared" ref="I1860:I1923" si="117">MONTH($A1860)</f>
        <v>10</v>
      </c>
      <c r="J1860" t="str">
        <f t="shared" ref="J1860:J1923" si="118">TEXT($A1860,"mmm")</f>
        <v>Oct</v>
      </c>
      <c r="K1860" t="str">
        <f t="shared" ref="K1860:K1923" si="119">TEXT($A1860,"ddd")</f>
        <v>Mon</v>
      </c>
    </row>
    <row r="1861" spans="1:11" x14ac:dyDescent="0.35">
      <c r="A1861" s="1">
        <v>38265</v>
      </c>
      <c r="B1861">
        <v>2.0420000553131099</v>
      </c>
      <c r="C1861">
        <v>2.0625</v>
      </c>
      <c r="D1861">
        <v>2.0285000801086399</v>
      </c>
      <c r="E1861">
        <v>2.0480000972747798</v>
      </c>
      <c r="F1861">
        <v>2.0480000972747798</v>
      </c>
      <c r="G1861">
        <v>102680000</v>
      </c>
      <c r="H1861">
        <f t="shared" si="116"/>
        <v>2004</v>
      </c>
      <c r="I1861">
        <f t="shared" si="117"/>
        <v>10</v>
      </c>
      <c r="J1861" t="str">
        <f t="shared" si="118"/>
        <v>Oct</v>
      </c>
      <c r="K1861" t="str">
        <f t="shared" si="119"/>
        <v>Tue</v>
      </c>
    </row>
    <row r="1862" spans="1:11" x14ac:dyDescent="0.35">
      <c r="A1862" s="1">
        <v>38266</v>
      </c>
      <c r="B1862">
        <v>2.0364999771118102</v>
      </c>
      <c r="C1862">
        <v>2.0704998970031698</v>
      </c>
      <c r="D1862">
        <v>2.0199999809265101</v>
      </c>
      <c r="E1862">
        <v>2.0680000782012899</v>
      </c>
      <c r="F1862">
        <v>2.0680000782012899</v>
      </c>
      <c r="G1862">
        <v>102562000</v>
      </c>
      <c r="H1862">
        <f t="shared" si="116"/>
        <v>2004</v>
      </c>
      <c r="I1862">
        <f t="shared" si="117"/>
        <v>10</v>
      </c>
      <c r="J1862" t="str">
        <f t="shared" si="118"/>
        <v>Oct</v>
      </c>
      <c r="K1862" t="str">
        <f t="shared" si="119"/>
        <v>Wed</v>
      </c>
    </row>
    <row r="1863" spans="1:11" x14ac:dyDescent="0.35">
      <c r="A1863" s="1">
        <v>38267</v>
      </c>
      <c r="B1863">
        <v>2.07100009918212</v>
      </c>
      <c r="C1863">
        <v>2.1349999904632502</v>
      </c>
      <c r="D1863">
        <v>2.0425000190734801</v>
      </c>
      <c r="E1863">
        <v>2.0574998855590798</v>
      </c>
      <c r="F1863">
        <v>2.0574998855590798</v>
      </c>
      <c r="G1863">
        <v>187888000</v>
      </c>
      <c r="H1863">
        <f t="shared" si="116"/>
        <v>2004</v>
      </c>
      <c r="I1863">
        <f t="shared" si="117"/>
        <v>10</v>
      </c>
      <c r="J1863" t="str">
        <f t="shared" si="118"/>
        <v>Oct</v>
      </c>
      <c r="K1863" t="str">
        <f t="shared" si="119"/>
        <v>Thu</v>
      </c>
    </row>
    <row r="1864" spans="1:11" x14ac:dyDescent="0.35">
      <c r="A1864" s="1">
        <v>38268</v>
      </c>
      <c r="B1864">
        <v>2.0469999313354399</v>
      </c>
      <c r="C1864">
        <v>2.0594999790191602</v>
      </c>
      <c r="D1864">
        <v>1.9815000295639</v>
      </c>
      <c r="E1864">
        <v>2</v>
      </c>
      <c r="F1864">
        <v>2</v>
      </c>
      <c r="G1864">
        <v>170924000</v>
      </c>
      <c r="H1864">
        <f t="shared" si="116"/>
        <v>2004</v>
      </c>
      <c r="I1864">
        <f t="shared" si="117"/>
        <v>10</v>
      </c>
      <c r="J1864" t="str">
        <f t="shared" si="118"/>
        <v>Oct</v>
      </c>
      <c r="K1864" t="str">
        <f t="shared" si="119"/>
        <v>Fri</v>
      </c>
    </row>
    <row r="1865" spans="1:11" x14ac:dyDescent="0.35">
      <c r="A1865" s="1">
        <v>38271</v>
      </c>
      <c r="B1865">
        <v>1.99150002002716</v>
      </c>
      <c r="C1865">
        <v>2.0374999046325599</v>
      </c>
      <c r="D1865">
        <v>1.9704999923705999</v>
      </c>
      <c r="E1865">
        <v>2.0074999332427899</v>
      </c>
      <c r="F1865">
        <v>2.0074999332427899</v>
      </c>
      <c r="G1865">
        <v>158566000</v>
      </c>
      <c r="H1865">
        <f t="shared" si="116"/>
        <v>2004</v>
      </c>
      <c r="I1865">
        <f t="shared" si="117"/>
        <v>10</v>
      </c>
      <c r="J1865" t="str">
        <f t="shared" si="118"/>
        <v>Oct</v>
      </c>
      <c r="K1865" t="str">
        <f t="shared" si="119"/>
        <v>Mon</v>
      </c>
    </row>
    <row r="1866" spans="1:11" x14ac:dyDescent="0.35">
      <c r="A1866" s="1">
        <v>38272</v>
      </c>
      <c r="B1866">
        <v>1.97749996185302</v>
      </c>
      <c r="C1866">
        <v>2.0290000438690101</v>
      </c>
      <c r="D1866">
        <v>1.97350001335144</v>
      </c>
      <c r="E1866">
        <v>2.0109999179839999</v>
      </c>
      <c r="F1866">
        <v>2.0109999179839999</v>
      </c>
      <c r="G1866">
        <v>128420000</v>
      </c>
      <c r="H1866">
        <f t="shared" si="116"/>
        <v>2004</v>
      </c>
      <c r="I1866">
        <f t="shared" si="117"/>
        <v>10</v>
      </c>
      <c r="J1866" t="str">
        <f t="shared" si="118"/>
        <v>Oct</v>
      </c>
      <c r="K1866" t="str">
        <f t="shared" si="119"/>
        <v>Tue</v>
      </c>
    </row>
    <row r="1867" spans="1:11" x14ac:dyDescent="0.35">
      <c r="A1867" s="1">
        <v>38273</v>
      </c>
      <c r="B1867">
        <v>2.07100009918212</v>
      </c>
      <c r="C1867">
        <v>2.0775001049041699</v>
      </c>
      <c r="D1867">
        <v>1.98749995231628</v>
      </c>
      <c r="E1867">
        <v>1.9989999532699501</v>
      </c>
      <c r="F1867">
        <v>1.9989999532699501</v>
      </c>
      <c r="G1867">
        <v>184404000</v>
      </c>
      <c r="H1867">
        <f t="shared" si="116"/>
        <v>2004</v>
      </c>
      <c r="I1867">
        <f t="shared" si="117"/>
        <v>10</v>
      </c>
      <c r="J1867" t="str">
        <f t="shared" si="118"/>
        <v>Oct</v>
      </c>
      <c r="K1867" t="str">
        <f t="shared" si="119"/>
        <v>Wed</v>
      </c>
    </row>
    <row r="1868" spans="1:11" x14ac:dyDescent="0.35">
      <c r="A1868" s="1">
        <v>38274</v>
      </c>
      <c r="B1868">
        <v>1.97249996662139</v>
      </c>
      <c r="C1868">
        <v>1.97749996185302</v>
      </c>
      <c r="D1868">
        <v>1.9364999532699501</v>
      </c>
      <c r="E1868">
        <v>1.95500004291534</v>
      </c>
      <c r="F1868">
        <v>1.95500004291534</v>
      </c>
      <c r="G1868">
        <v>180524000</v>
      </c>
      <c r="H1868">
        <f t="shared" si="116"/>
        <v>2004</v>
      </c>
      <c r="I1868">
        <f t="shared" si="117"/>
        <v>10</v>
      </c>
      <c r="J1868" t="str">
        <f t="shared" si="118"/>
        <v>Oct</v>
      </c>
      <c r="K1868" t="str">
        <f t="shared" si="119"/>
        <v>Thu</v>
      </c>
    </row>
    <row r="1869" spans="1:11" x14ac:dyDescent="0.35">
      <c r="A1869" s="1">
        <v>38275</v>
      </c>
      <c r="B1869">
        <v>1.96449995040893</v>
      </c>
      <c r="C1869">
        <v>1.9835000038146899</v>
      </c>
      <c r="D1869">
        <v>1.8940000534057599</v>
      </c>
      <c r="E1869">
        <v>1.9275000095367401</v>
      </c>
      <c r="F1869">
        <v>1.9275000095367401</v>
      </c>
      <c r="G1869">
        <v>164112000</v>
      </c>
      <c r="H1869">
        <f t="shared" si="116"/>
        <v>2004</v>
      </c>
      <c r="I1869">
        <f t="shared" si="117"/>
        <v>10</v>
      </c>
      <c r="J1869" t="str">
        <f t="shared" si="118"/>
        <v>Oct</v>
      </c>
      <c r="K1869" t="str">
        <f t="shared" si="119"/>
        <v>Fri</v>
      </c>
    </row>
    <row r="1870" spans="1:11" x14ac:dyDescent="0.35">
      <c r="A1870" s="1">
        <v>38278</v>
      </c>
      <c r="B1870">
        <v>1.91149997711181</v>
      </c>
      <c r="C1870">
        <v>1.97350001335144</v>
      </c>
      <c r="D1870">
        <v>1.8945000171661299</v>
      </c>
      <c r="E1870">
        <v>1.96350002288818</v>
      </c>
      <c r="F1870">
        <v>1.96350002288818</v>
      </c>
      <c r="G1870">
        <v>161864000</v>
      </c>
      <c r="H1870">
        <f t="shared" si="116"/>
        <v>2004</v>
      </c>
      <c r="I1870">
        <f t="shared" si="117"/>
        <v>10</v>
      </c>
      <c r="J1870" t="str">
        <f t="shared" si="118"/>
        <v>Oct</v>
      </c>
      <c r="K1870" t="str">
        <f t="shared" si="119"/>
        <v>Mon</v>
      </c>
    </row>
    <row r="1871" spans="1:11" x14ac:dyDescent="0.35">
      <c r="A1871" s="1">
        <v>38279</v>
      </c>
      <c r="B1871">
        <v>1.9869999885559</v>
      </c>
      <c r="C1871">
        <v>1.9924999475479099</v>
      </c>
      <c r="D1871">
        <v>1.9084999561309799</v>
      </c>
      <c r="E1871">
        <v>1.9164999723434399</v>
      </c>
      <c r="F1871">
        <v>1.9164999723434399</v>
      </c>
      <c r="G1871">
        <v>176052000</v>
      </c>
      <c r="H1871">
        <f t="shared" si="116"/>
        <v>2004</v>
      </c>
      <c r="I1871">
        <f t="shared" si="117"/>
        <v>10</v>
      </c>
      <c r="J1871" t="str">
        <f t="shared" si="118"/>
        <v>Oct</v>
      </c>
      <c r="K1871" t="str">
        <f t="shared" si="119"/>
        <v>Tue</v>
      </c>
    </row>
    <row r="1872" spans="1:11" x14ac:dyDescent="0.35">
      <c r="A1872" s="1">
        <v>38280</v>
      </c>
      <c r="B1872">
        <v>1.90550005435943</v>
      </c>
      <c r="C1872">
        <v>1.92949998378753</v>
      </c>
      <c r="D1872">
        <v>1.8895000219345</v>
      </c>
      <c r="E1872">
        <v>1.9175000190734801</v>
      </c>
      <c r="F1872">
        <v>1.9175000190734801</v>
      </c>
      <c r="G1872">
        <v>135970000</v>
      </c>
      <c r="H1872">
        <f t="shared" si="116"/>
        <v>2004</v>
      </c>
      <c r="I1872">
        <f t="shared" si="117"/>
        <v>10</v>
      </c>
      <c r="J1872" t="str">
        <f t="shared" si="118"/>
        <v>Oct</v>
      </c>
      <c r="K1872" t="str">
        <f t="shared" si="119"/>
        <v>Wed</v>
      </c>
    </row>
    <row r="1873" spans="1:11" x14ac:dyDescent="0.35">
      <c r="A1873" s="1">
        <v>38281</v>
      </c>
      <c r="B1873">
        <v>1.9650000333786</v>
      </c>
      <c r="C1873">
        <v>2.00950002670288</v>
      </c>
      <c r="D1873">
        <v>1.92499995231628</v>
      </c>
      <c r="E1873">
        <v>1.97350001335144</v>
      </c>
      <c r="F1873">
        <v>1.97350001335144</v>
      </c>
      <c r="G1873">
        <v>384342000</v>
      </c>
      <c r="H1873">
        <f t="shared" si="116"/>
        <v>2004</v>
      </c>
      <c r="I1873">
        <f t="shared" si="117"/>
        <v>10</v>
      </c>
      <c r="J1873" t="str">
        <f t="shared" si="118"/>
        <v>Oct</v>
      </c>
      <c r="K1873" t="str">
        <f t="shared" si="119"/>
        <v>Thu</v>
      </c>
    </row>
    <row r="1874" spans="1:11" x14ac:dyDescent="0.35">
      <c r="A1874" s="1">
        <v>38282</v>
      </c>
      <c r="B1874">
        <v>1.8109999895095801</v>
      </c>
      <c r="C1874">
        <v>1.8400000333786</v>
      </c>
      <c r="D1874">
        <v>1.6499999761581401</v>
      </c>
      <c r="E1874">
        <v>1.7300000190734801</v>
      </c>
      <c r="F1874">
        <v>1.7300000190734801</v>
      </c>
      <c r="G1874">
        <v>670886000</v>
      </c>
      <c r="H1874">
        <f t="shared" si="116"/>
        <v>2004</v>
      </c>
      <c r="I1874">
        <f t="shared" si="117"/>
        <v>10</v>
      </c>
      <c r="J1874" t="str">
        <f t="shared" si="118"/>
        <v>Oct</v>
      </c>
      <c r="K1874" t="str">
        <f t="shared" si="119"/>
        <v>Fri</v>
      </c>
    </row>
    <row r="1875" spans="1:11" x14ac:dyDescent="0.35">
      <c r="A1875" s="1">
        <v>38285</v>
      </c>
      <c r="B1875">
        <v>1.70000004768371</v>
      </c>
      <c r="C1875">
        <v>1.7204999923705999</v>
      </c>
      <c r="D1875">
        <v>1.6859999895095801</v>
      </c>
      <c r="E1875">
        <v>1.6985000371932899</v>
      </c>
      <c r="F1875">
        <v>1.6985000371932899</v>
      </c>
      <c r="G1875">
        <v>210636000</v>
      </c>
      <c r="H1875">
        <f t="shared" si="116"/>
        <v>2004</v>
      </c>
      <c r="I1875">
        <f t="shared" si="117"/>
        <v>10</v>
      </c>
      <c r="J1875" t="str">
        <f t="shared" si="118"/>
        <v>Oct</v>
      </c>
      <c r="K1875" t="str">
        <f t="shared" si="119"/>
        <v>Mon</v>
      </c>
    </row>
    <row r="1876" spans="1:11" x14ac:dyDescent="0.35">
      <c r="A1876" s="1">
        <v>38286</v>
      </c>
      <c r="B1876">
        <v>1.7074999809265099</v>
      </c>
      <c r="C1876">
        <v>1.7130000591278001</v>
      </c>
      <c r="D1876">
        <v>1.6755000352859399</v>
      </c>
      <c r="E1876">
        <v>1.69149994850158</v>
      </c>
      <c r="F1876">
        <v>1.69149994850158</v>
      </c>
      <c r="G1876">
        <v>194850000</v>
      </c>
      <c r="H1876">
        <f t="shared" si="116"/>
        <v>2004</v>
      </c>
      <c r="I1876">
        <f t="shared" si="117"/>
        <v>10</v>
      </c>
      <c r="J1876" t="str">
        <f t="shared" si="118"/>
        <v>Oct</v>
      </c>
      <c r="K1876" t="str">
        <f t="shared" si="119"/>
        <v>Tue</v>
      </c>
    </row>
    <row r="1877" spans="1:11" x14ac:dyDescent="0.35">
      <c r="A1877" s="1">
        <v>38287</v>
      </c>
      <c r="B1877">
        <v>1.6814999580383301</v>
      </c>
      <c r="C1877">
        <v>1.7315000295639</v>
      </c>
      <c r="D1877">
        <v>1.6809999942779501</v>
      </c>
      <c r="E1877">
        <v>1.7115000486373899</v>
      </c>
      <c r="F1877">
        <v>1.7115000486373899</v>
      </c>
      <c r="G1877">
        <v>181214000</v>
      </c>
      <c r="H1877">
        <f t="shared" si="116"/>
        <v>2004</v>
      </c>
      <c r="I1877">
        <f t="shared" si="117"/>
        <v>10</v>
      </c>
      <c r="J1877" t="str">
        <f t="shared" si="118"/>
        <v>Oct</v>
      </c>
      <c r="K1877" t="str">
        <f t="shared" si="119"/>
        <v>Wed</v>
      </c>
    </row>
    <row r="1878" spans="1:11" x14ac:dyDescent="0.35">
      <c r="A1878" s="1">
        <v>38288</v>
      </c>
      <c r="B1878">
        <v>1.7120000123977599</v>
      </c>
      <c r="C1878">
        <v>1.7384999990463199</v>
      </c>
      <c r="D1878">
        <v>1.7070000171661299</v>
      </c>
      <c r="E1878">
        <v>1.72249996662139</v>
      </c>
      <c r="F1878">
        <v>1.72249996662139</v>
      </c>
      <c r="G1878">
        <v>144412000</v>
      </c>
      <c r="H1878">
        <f t="shared" si="116"/>
        <v>2004</v>
      </c>
      <c r="I1878">
        <f t="shared" si="117"/>
        <v>10</v>
      </c>
      <c r="J1878" t="str">
        <f t="shared" si="118"/>
        <v>Oct</v>
      </c>
      <c r="K1878" t="str">
        <f t="shared" si="119"/>
        <v>Thu</v>
      </c>
    </row>
    <row r="1879" spans="1:11" x14ac:dyDescent="0.35">
      <c r="A1879" s="1">
        <v>38289</v>
      </c>
      <c r="B1879">
        <v>1.71800005435943</v>
      </c>
      <c r="C1879">
        <v>1.72249996662139</v>
      </c>
      <c r="D1879">
        <v>1.70000004768371</v>
      </c>
      <c r="E1879">
        <v>1.7065000534057599</v>
      </c>
      <c r="F1879">
        <v>1.7065000534057599</v>
      </c>
      <c r="G1879">
        <v>129832000</v>
      </c>
      <c r="H1879">
        <f t="shared" si="116"/>
        <v>2004</v>
      </c>
      <c r="I1879">
        <f t="shared" si="117"/>
        <v>10</v>
      </c>
      <c r="J1879" t="str">
        <f t="shared" si="118"/>
        <v>Oct</v>
      </c>
      <c r="K1879" t="str">
        <f t="shared" si="119"/>
        <v>Fri</v>
      </c>
    </row>
    <row r="1880" spans="1:11" x14ac:dyDescent="0.35">
      <c r="A1880" s="1">
        <v>38292</v>
      </c>
      <c r="B1880">
        <v>1.7109999656677199</v>
      </c>
      <c r="C1880">
        <v>1.7575000524520801</v>
      </c>
      <c r="D1880">
        <v>1.7074999809265099</v>
      </c>
      <c r="E1880">
        <v>1.75499999523162</v>
      </c>
      <c r="F1880">
        <v>1.75499999523162</v>
      </c>
      <c r="G1880">
        <v>123626000</v>
      </c>
      <c r="H1880">
        <f t="shared" si="116"/>
        <v>2004</v>
      </c>
      <c r="I1880">
        <f t="shared" si="117"/>
        <v>11</v>
      </c>
      <c r="J1880" t="str">
        <f t="shared" si="118"/>
        <v>Nov</v>
      </c>
      <c r="K1880" t="str">
        <f t="shared" si="119"/>
        <v>Mon</v>
      </c>
    </row>
    <row r="1881" spans="1:11" x14ac:dyDescent="0.35">
      <c r="A1881" s="1">
        <v>38293</v>
      </c>
      <c r="B1881">
        <v>1.7745000123977599</v>
      </c>
      <c r="C1881">
        <v>1.8244999647140501</v>
      </c>
      <c r="D1881">
        <v>1.7569999694824201</v>
      </c>
      <c r="E1881">
        <v>1.81200003623962</v>
      </c>
      <c r="F1881">
        <v>1.81200003623962</v>
      </c>
      <c r="G1881">
        <v>226650000</v>
      </c>
      <c r="H1881">
        <f t="shared" si="116"/>
        <v>2004</v>
      </c>
      <c r="I1881">
        <f t="shared" si="117"/>
        <v>11</v>
      </c>
      <c r="J1881" t="str">
        <f t="shared" si="118"/>
        <v>Nov</v>
      </c>
      <c r="K1881" t="str">
        <f t="shared" si="119"/>
        <v>Tue</v>
      </c>
    </row>
    <row r="1882" spans="1:11" x14ac:dyDescent="0.35">
      <c r="A1882" s="1">
        <v>38294</v>
      </c>
      <c r="B1882">
        <v>1.8589999675750699</v>
      </c>
      <c r="C1882">
        <v>1.8810000419616699</v>
      </c>
      <c r="D1882">
        <v>1.7779999971389699</v>
      </c>
      <c r="E1882">
        <v>1.7960000038146899</v>
      </c>
      <c r="F1882">
        <v>1.7960000038146899</v>
      </c>
      <c r="G1882">
        <v>204164000</v>
      </c>
      <c r="H1882">
        <f t="shared" si="116"/>
        <v>2004</v>
      </c>
      <c r="I1882">
        <f t="shared" si="117"/>
        <v>11</v>
      </c>
      <c r="J1882" t="str">
        <f t="shared" si="118"/>
        <v>Nov</v>
      </c>
      <c r="K1882" t="str">
        <f t="shared" si="119"/>
        <v>Wed</v>
      </c>
    </row>
    <row r="1883" spans="1:11" x14ac:dyDescent="0.35">
      <c r="A1883" s="1">
        <v>38295</v>
      </c>
      <c r="B1883">
        <v>1.78499996662139</v>
      </c>
      <c r="C1883">
        <v>1.8645000457763601</v>
      </c>
      <c r="D1883">
        <v>1.77600002288818</v>
      </c>
      <c r="E1883">
        <v>1.8454999923705999</v>
      </c>
      <c r="F1883">
        <v>1.8454999923705999</v>
      </c>
      <c r="G1883">
        <v>152006000</v>
      </c>
      <c r="H1883">
        <f t="shared" si="116"/>
        <v>2004</v>
      </c>
      <c r="I1883">
        <f t="shared" si="117"/>
        <v>11</v>
      </c>
      <c r="J1883" t="str">
        <f t="shared" si="118"/>
        <v>Nov</v>
      </c>
      <c r="K1883" t="str">
        <f t="shared" si="119"/>
        <v>Thu</v>
      </c>
    </row>
    <row r="1884" spans="1:11" x14ac:dyDescent="0.35">
      <c r="A1884" s="1">
        <v>38296</v>
      </c>
      <c r="B1884">
        <v>1.8650000095367401</v>
      </c>
      <c r="C1884">
        <v>1.8695000410079901</v>
      </c>
      <c r="D1884">
        <v>1.8009999990463199</v>
      </c>
      <c r="E1884">
        <v>1.8279999494552599</v>
      </c>
      <c r="F1884">
        <v>1.8279999494552599</v>
      </c>
      <c r="G1884">
        <v>147982000</v>
      </c>
      <c r="H1884">
        <f t="shared" si="116"/>
        <v>2004</v>
      </c>
      <c r="I1884">
        <f t="shared" si="117"/>
        <v>11</v>
      </c>
      <c r="J1884" t="str">
        <f t="shared" si="118"/>
        <v>Nov</v>
      </c>
      <c r="K1884" t="str">
        <f t="shared" si="119"/>
        <v>Fri</v>
      </c>
    </row>
    <row r="1885" spans="1:11" x14ac:dyDescent="0.35">
      <c r="A1885" s="1">
        <v>38299</v>
      </c>
      <c r="B1885">
        <v>1.8374999761581401</v>
      </c>
      <c r="C1885">
        <v>1.87899994850158</v>
      </c>
      <c r="D1885">
        <v>1.8359999656677199</v>
      </c>
      <c r="E1885">
        <v>1.86600005626678</v>
      </c>
      <c r="F1885">
        <v>1.86600005626678</v>
      </c>
      <c r="G1885">
        <v>137730000</v>
      </c>
      <c r="H1885">
        <f t="shared" si="116"/>
        <v>2004</v>
      </c>
      <c r="I1885">
        <f t="shared" si="117"/>
        <v>11</v>
      </c>
      <c r="J1885" t="str">
        <f t="shared" si="118"/>
        <v>Nov</v>
      </c>
      <c r="K1885" t="str">
        <f t="shared" si="119"/>
        <v>Mon</v>
      </c>
    </row>
    <row r="1886" spans="1:11" x14ac:dyDescent="0.35">
      <c r="A1886" s="1">
        <v>38300</v>
      </c>
      <c r="B1886">
        <v>1.8589999675750699</v>
      </c>
      <c r="C1886">
        <v>1.8904999494552599</v>
      </c>
      <c r="D1886">
        <v>1.83500003814697</v>
      </c>
      <c r="E1886">
        <v>1.87000000476837</v>
      </c>
      <c r="F1886">
        <v>1.87000000476837</v>
      </c>
      <c r="G1886">
        <v>129598000</v>
      </c>
      <c r="H1886">
        <f t="shared" si="116"/>
        <v>2004</v>
      </c>
      <c r="I1886">
        <f t="shared" si="117"/>
        <v>11</v>
      </c>
      <c r="J1886" t="str">
        <f t="shared" si="118"/>
        <v>Nov</v>
      </c>
      <c r="K1886" t="str">
        <f t="shared" si="119"/>
        <v>Tue</v>
      </c>
    </row>
    <row r="1887" spans="1:11" x14ac:dyDescent="0.35">
      <c r="A1887" s="1">
        <v>38301</v>
      </c>
      <c r="B1887">
        <v>1.8999999761581401</v>
      </c>
      <c r="C1887">
        <v>1.94200003147125</v>
      </c>
      <c r="D1887">
        <v>1.8914999961853001</v>
      </c>
      <c r="E1887">
        <v>1.9045000076293901</v>
      </c>
      <c r="F1887">
        <v>1.9045000076293901</v>
      </c>
      <c r="G1887">
        <v>213104000</v>
      </c>
      <c r="H1887">
        <f t="shared" si="116"/>
        <v>2004</v>
      </c>
      <c r="I1887">
        <f t="shared" si="117"/>
        <v>11</v>
      </c>
      <c r="J1887" t="str">
        <f t="shared" si="118"/>
        <v>Nov</v>
      </c>
      <c r="K1887" t="str">
        <f t="shared" si="119"/>
        <v>Wed</v>
      </c>
    </row>
    <row r="1888" spans="1:11" x14ac:dyDescent="0.35">
      <c r="A1888" s="1">
        <v>38302</v>
      </c>
      <c r="B1888">
        <v>1.9045000076293901</v>
      </c>
      <c r="C1888">
        <v>1.95000004768371</v>
      </c>
      <c r="D1888">
        <v>1.8819999694824201</v>
      </c>
      <c r="E1888">
        <v>1.94149994850158</v>
      </c>
      <c r="F1888">
        <v>1.94149994850158</v>
      </c>
      <c r="G1888">
        <v>136700000</v>
      </c>
      <c r="H1888">
        <f t="shared" si="116"/>
        <v>2004</v>
      </c>
      <c r="I1888">
        <f t="shared" si="117"/>
        <v>11</v>
      </c>
      <c r="J1888" t="str">
        <f t="shared" si="118"/>
        <v>Nov</v>
      </c>
      <c r="K1888" t="str">
        <f t="shared" si="119"/>
        <v>Thu</v>
      </c>
    </row>
    <row r="1889" spans="1:11" x14ac:dyDescent="0.35">
      <c r="A1889" s="1">
        <v>38303</v>
      </c>
      <c r="B1889">
        <v>1.9524999856948799</v>
      </c>
      <c r="C1889">
        <v>2.0469999313354399</v>
      </c>
      <c r="D1889">
        <v>1.95000004768371</v>
      </c>
      <c r="E1889">
        <v>2.0230000019073402</v>
      </c>
      <c r="F1889">
        <v>2.0230000019073402</v>
      </c>
      <c r="G1889">
        <v>231920000</v>
      </c>
      <c r="H1889">
        <f t="shared" si="116"/>
        <v>2004</v>
      </c>
      <c r="I1889">
        <f t="shared" si="117"/>
        <v>11</v>
      </c>
      <c r="J1889" t="str">
        <f t="shared" si="118"/>
        <v>Nov</v>
      </c>
      <c r="K1889" t="str">
        <f t="shared" si="119"/>
        <v>Fri</v>
      </c>
    </row>
    <row r="1890" spans="1:11" x14ac:dyDescent="0.35">
      <c r="A1890" s="1">
        <v>38306</v>
      </c>
      <c r="B1890">
        <v>2.0230000019073402</v>
      </c>
      <c r="C1890">
        <v>2.07500004768371</v>
      </c>
      <c r="D1890">
        <v>2.0090000629425</v>
      </c>
      <c r="E1890">
        <v>2.04450011253356</v>
      </c>
      <c r="F1890">
        <v>2.04450011253356</v>
      </c>
      <c r="G1890">
        <v>207324000</v>
      </c>
      <c r="H1890">
        <f t="shared" si="116"/>
        <v>2004</v>
      </c>
      <c r="I1890">
        <f t="shared" si="117"/>
        <v>11</v>
      </c>
      <c r="J1890" t="str">
        <f t="shared" si="118"/>
        <v>Nov</v>
      </c>
      <c r="K1890" t="str">
        <f t="shared" si="119"/>
        <v>Mon</v>
      </c>
    </row>
    <row r="1891" spans="1:11" x14ac:dyDescent="0.35">
      <c r="A1891" s="1">
        <v>38307</v>
      </c>
      <c r="B1891">
        <v>2.0250000953674299</v>
      </c>
      <c r="C1891">
        <v>2.0329999923706001</v>
      </c>
      <c r="D1891">
        <v>1.98749995231628</v>
      </c>
      <c r="E1891">
        <v>2.00349998474121</v>
      </c>
      <c r="F1891">
        <v>2.00349998474121</v>
      </c>
      <c r="G1891">
        <v>128026000</v>
      </c>
      <c r="H1891">
        <f t="shared" si="116"/>
        <v>2004</v>
      </c>
      <c r="I1891">
        <f t="shared" si="117"/>
        <v>11</v>
      </c>
      <c r="J1891" t="str">
        <f t="shared" si="118"/>
        <v>Nov</v>
      </c>
      <c r="K1891" t="str">
        <f t="shared" si="119"/>
        <v>Tue</v>
      </c>
    </row>
    <row r="1892" spans="1:11" x14ac:dyDescent="0.35">
      <c r="A1892" s="1">
        <v>38308</v>
      </c>
      <c r="B1892">
        <v>2.0199999809265101</v>
      </c>
      <c r="C1892">
        <v>2.0295000076293901</v>
      </c>
      <c r="D1892">
        <v>1.97699999809265</v>
      </c>
      <c r="E1892">
        <v>1.99500000476837</v>
      </c>
      <c r="F1892">
        <v>1.99500000476837</v>
      </c>
      <c r="G1892">
        <v>136872000</v>
      </c>
      <c r="H1892">
        <f t="shared" si="116"/>
        <v>2004</v>
      </c>
      <c r="I1892">
        <f t="shared" si="117"/>
        <v>11</v>
      </c>
      <c r="J1892" t="str">
        <f t="shared" si="118"/>
        <v>Nov</v>
      </c>
      <c r="K1892" t="str">
        <f t="shared" si="119"/>
        <v>Wed</v>
      </c>
    </row>
    <row r="1893" spans="1:11" x14ac:dyDescent="0.35">
      <c r="A1893" s="1">
        <v>38309</v>
      </c>
      <c r="B1893">
        <v>1.98650002479553</v>
      </c>
      <c r="C1893">
        <v>2.0480000972747798</v>
      </c>
      <c r="D1893">
        <v>1.9795000553131099</v>
      </c>
      <c r="E1893">
        <v>2.01850008964538</v>
      </c>
      <c r="F1893">
        <v>2.01850008964538</v>
      </c>
      <c r="G1893">
        <v>136136000</v>
      </c>
      <c r="H1893">
        <f t="shared" si="116"/>
        <v>2004</v>
      </c>
      <c r="I1893">
        <f t="shared" si="117"/>
        <v>11</v>
      </c>
      <c r="J1893" t="str">
        <f t="shared" si="118"/>
        <v>Nov</v>
      </c>
      <c r="K1893" t="str">
        <f t="shared" si="119"/>
        <v>Thu</v>
      </c>
    </row>
    <row r="1894" spans="1:11" x14ac:dyDescent="0.35">
      <c r="A1894" s="1">
        <v>38310</v>
      </c>
      <c r="B1894">
        <v>1.9574999809265099</v>
      </c>
      <c r="C1894">
        <v>1.9720000028610201</v>
      </c>
      <c r="D1894">
        <v>1.9095000028610201</v>
      </c>
      <c r="E1894">
        <v>1.9275000095367401</v>
      </c>
      <c r="F1894">
        <v>1.9275000095367401</v>
      </c>
      <c r="G1894">
        <v>228550000</v>
      </c>
      <c r="H1894">
        <f t="shared" si="116"/>
        <v>2004</v>
      </c>
      <c r="I1894">
        <f t="shared" si="117"/>
        <v>11</v>
      </c>
      <c r="J1894" t="str">
        <f t="shared" si="118"/>
        <v>Nov</v>
      </c>
      <c r="K1894" t="str">
        <f t="shared" si="119"/>
        <v>Fri</v>
      </c>
    </row>
    <row r="1895" spans="1:11" x14ac:dyDescent="0.35">
      <c r="A1895" s="1">
        <v>38313</v>
      </c>
      <c r="B1895">
        <v>1.9220000505447301</v>
      </c>
      <c r="C1895">
        <v>1.9264999628067001</v>
      </c>
      <c r="D1895">
        <v>1.87899994850158</v>
      </c>
      <c r="E1895">
        <v>1.9025000333786</v>
      </c>
      <c r="F1895">
        <v>1.9025000333786</v>
      </c>
      <c r="G1895">
        <v>177372000</v>
      </c>
      <c r="H1895">
        <f t="shared" si="116"/>
        <v>2004</v>
      </c>
      <c r="I1895">
        <f t="shared" si="117"/>
        <v>11</v>
      </c>
      <c r="J1895" t="str">
        <f t="shared" si="118"/>
        <v>Nov</v>
      </c>
      <c r="K1895" t="str">
        <f t="shared" si="119"/>
        <v>Mon</v>
      </c>
    </row>
    <row r="1896" spans="1:11" x14ac:dyDescent="0.35">
      <c r="A1896" s="1">
        <v>38314</v>
      </c>
      <c r="B1896">
        <v>1.9090000391006401</v>
      </c>
      <c r="C1896">
        <v>1.9839999675750699</v>
      </c>
      <c r="D1896">
        <v>1.90149998664855</v>
      </c>
      <c r="E1896">
        <v>1.91550004482269</v>
      </c>
      <c r="F1896">
        <v>1.91550004482269</v>
      </c>
      <c r="G1896">
        <v>148112000</v>
      </c>
      <c r="H1896">
        <f t="shared" si="116"/>
        <v>2004</v>
      </c>
      <c r="I1896">
        <f t="shared" si="117"/>
        <v>11</v>
      </c>
      <c r="J1896" t="str">
        <f t="shared" si="118"/>
        <v>Nov</v>
      </c>
      <c r="K1896" t="str">
        <f t="shared" si="119"/>
        <v>Tue</v>
      </c>
    </row>
    <row r="1897" spans="1:11" x14ac:dyDescent="0.35">
      <c r="A1897" s="1">
        <v>38315</v>
      </c>
      <c r="B1897">
        <v>1.9435000419616699</v>
      </c>
      <c r="C1897">
        <v>1.9579999446868801</v>
      </c>
      <c r="D1897">
        <v>1.9049999713897701</v>
      </c>
      <c r="E1897">
        <v>1.9375</v>
      </c>
      <c r="F1897">
        <v>1.9375</v>
      </c>
      <c r="G1897">
        <v>118818000</v>
      </c>
      <c r="H1897">
        <f t="shared" si="116"/>
        <v>2004</v>
      </c>
      <c r="I1897">
        <f t="shared" si="117"/>
        <v>11</v>
      </c>
      <c r="J1897" t="str">
        <f t="shared" si="118"/>
        <v>Nov</v>
      </c>
      <c r="K1897" t="str">
        <f t="shared" si="119"/>
        <v>Wed</v>
      </c>
    </row>
    <row r="1898" spans="1:11" x14ac:dyDescent="0.35">
      <c r="A1898" s="1">
        <v>38317</v>
      </c>
      <c r="B1898">
        <v>1.94749999046325</v>
      </c>
      <c r="C1898">
        <v>1.9670000076293901</v>
      </c>
      <c r="D1898">
        <v>1.9444999694824201</v>
      </c>
      <c r="E1898">
        <v>1.9544999599456701</v>
      </c>
      <c r="F1898">
        <v>1.9544999599456701</v>
      </c>
      <c r="G1898">
        <v>46754000</v>
      </c>
      <c r="H1898">
        <f t="shared" si="116"/>
        <v>2004</v>
      </c>
      <c r="I1898">
        <f t="shared" si="117"/>
        <v>11</v>
      </c>
      <c r="J1898" t="str">
        <f t="shared" si="118"/>
        <v>Nov</v>
      </c>
      <c r="K1898" t="str">
        <f t="shared" si="119"/>
        <v>Fri</v>
      </c>
    </row>
    <row r="1899" spans="1:11" x14ac:dyDescent="0.35">
      <c r="A1899" s="1">
        <v>38320</v>
      </c>
      <c r="B1899">
        <v>1.9800000190734801</v>
      </c>
      <c r="C1899">
        <v>1.9809999465942301</v>
      </c>
      <c r="D1899">
        <v>1.8854999542236299</v>
      </c>
      <c r="E1899">
        <v>1.94700002670288</v>
      </c>
      <c r="F1899">
        <v>1.94700002670288</v>
      </c>
      <c r="G1899">
        <v>197482000</v>
      </c>
      <c r="H1899">
        <f t="shared" si="116"/>
        <v>2004</v>
      </c>
      <c r="I1899">
        <f t="shared" si="117"/>
        <v>11</v>
      </c>
      <c r="J1899" t="str">
        <f t="shared" si="118"/>
        <v>Nov</v>
      </c>
      <c r="K1899" t="str">
        <f t="shared" si="119"/>
        <v>Mon</v>
      </c>
    </row>
    <row r="1900" spans="1:11" x14ac:dyDescent="0.35">
      <c r="A1900" s="1">
        <v>38321</v>
      </c>
      <c r="B1900">
        <v>1.9485000371932899</v>
      </c>
      <c r="C1900">
        <v>1.9900000095367401</v>
      </c>
      <c r="D1900">
        <v>1.94749999046325</v>
      </c>
      <c r="E1900">
        <v>1.9839999675750699</v>
      </c>
      <c r="F1900">
        <v>1.9839999675750699</v>
      </c>
      <c r="G1900">
        <v>140572000</v>
      </c>
      <c r="H1900">
        <f t="shared" si="116"/>
        <v>2004</v>
      </c>
      <c r="I1900">
        <f t="shared" si="117"/>
        <v>11</v>
      </c>
      <c r="J1900" t="str">
        <f t="shared" si="118"/>
        <v>Nov</v>
      </c>
      <c r="K1900" t="str">
        <f t="shared" si="119"/>
        <v>Tue</v>
      </c>
    </row>
    <row r="1901" spans="1:11" x14ac:dyDescent="0.35">
      <c r="A1901" s="1">
        <v>38322</v>
      </c>
      <c r="B1901">
        <v>2</v>
      </c>
      <c r="C1901">
        <v>2</v>
      </c>
      <c r="D1901">
        <v>1.9624999761581401</v>
      </c>
      <c r="E1901">
        <v>1.9989999532699501</v>
      </c>
      <c r="F1901">
        <v>1.9989999532699501</v>
      </c>
      <c r="G1901">
        <v>155120000</v>
      </c>
      <c r="H1901">
        <f t="shared" si="116"/>
        <v>2004</v>
      </c>
      <c r="I1901">
        <f t="shared" si="117"/>
        <v>12</v>
      </c>
      <c r="J1901" t="str">
        <f t="shared" si="118"/>
        <v>Dec</v>
      </c>
      <c r="K1901" t="str">
        <f t="shared" si="119"/>
        <v>Wed</v>
      </c>
    </row>
    <row r="1902" spans="1:11" x14ac:dyDescent="0.35">
      <c r="A1902" s="1">
        <v>38323</v>
      </c>
      <c r="B1902">
        <v>1.98199999332427</v>
      </c>
      <c r="C1902">
        <v>2.0369999408721902</v>
      </c>
      <c r="D1902">
        <v>1.96399998664855</v>
      </c>
      <c r="E1902">
        <v>2.00850009918212</v>
      </c>
      <c r="F1902">
        <v>2.00850009918212</v>
      </c>
      <c r="G1902">
        <v>132018000</v>
      </c>
      <c r="H1902">
        <f t="shared" si="116"/>
        <v>2004</v>
      </c>
      <c r="I1902">
        <f t="shared" si="117"/>
        <v>12</v>
      </c>
      <c r="J1902" t="str">
        <f t="shared" si="118"/>
        <v>Dec</v>
      </c>
      <c r="K1902" t="str">
        <f t="shared" si="119"/>
        <v>Thu</v>
      </c>
    </row>
    <row r="1903" spans="1:11" x14ac:dyDescent="0.35">
      <c r="A1903" s="1">
        <v>38324</v>
      </c>
      <c r="B1903">
        <v>2.0179998874664302</v>
      </c>
      <c r="C1903">
        <v>2.0230000019073402</v>
      </c>
      <c r="D1903">
        <v>1.97699999809265</v>
      </c>
      <c r="E1903">
        <v>2.0044999122619598</v>
      </c>
      <c r="F1903">
        <v>2.0044999122619598</v>
      </c>
      <c r="G1903">
        <v>164954000</v>
      </c>
      <c r="H1903">
        <f t="shared" si="116"/>
        <v>2004</v>
      </c>
      <c r="I1903">
        <f t="shared" si="117"/>
        <v>12</v>
      </c>
      <c r="J1903" t="str">
        <f t="shared" si="118"/>
        <v>Dec</v>
      </c>
      <c r="K1903" t="str">
        <f t="shared" si="119"/>
        <v>Fri</v>
      </c>
    </row>
    <row r="1904" spans="1:11" x14ac:dyDescent="0.35">
      <c r="A1904" s="1">
        <v>38327</v>
      </c>
      <c r="B1904">
        <v>1.98650002479553</v>
      </c>
      <c r="C1904">
        <v>1.9989999532699501</v>
      </c>
      <c r="D1904">
        <v>1.9574999809265099</v>
      </c>
      <c r="E1904">
        <v>1.9744999408721899</v>
      </c>
      <c r="F1904">
        <v>1.9744999408721899</v>
      </c>
      <c r="G1904">
        <v>121760000</v>
      </c>
      <c r="H1904">
        <f t="shared" si="116"/>
        <v>2004</v>
      </c>
      <c r="I1904">
        <f t="shared" si="117"/>
        <v>12</v>
      </c>
      <c r="J1904" t="str">
        <f t="shared" si="118"/>
        <v>Dec</v>
      </c>
      <c r="K1904" t="str">
        <f t="shared" si="119"/>
        <v>Mon</v>
      </c>
    </row>
    <row r="1905" spans="1:11" x14ac:dyDescent="0.35">
      <c r="A1905" s="1">
        <v>38328</v>
      </c>
      <c r="B1905">
        <v>1.97249996662139</v>
      </c>
      <c r="C1905">
        <v>1.98749995231628</v>
      </c>
      <c r="D1905">
        <v>1.9025000333786</v>
      </c>
      <c r="E1905">
        <v>1.90999996662139</v>
      </c>
      <c r="F1905">
        <v>1.90999996662139</v>
      </c>
      <c r="G1905">
        <v>141868000</v>
      </c>
      <c r="H1905">
        <f t="shared" si="116"/>
        <v>2004</v>
      </c>
      <c r="I1905">
        <f t="shared" si="117"/>
        <v>12</v>
      </c>
      <c r="J1905" t="str">
        <f t="shared" si="118"/>
        <v>Dec</v>
      </c>
      <c r="K1905" t="str">
        <f t="shared" si="119"/>
        <v>Tue</v>
      </c>
    </row>
    <row r="1906" spans="1:11" x14ac:dyDescent="0.35">
      <c r="A1906" s="1">
        <v>38329</v>
      </c>
      <c r="B1906">
        <v>1.91600000858306</v>
      </c>
      <c r="C1906">
        <v>1.95500004291534</v>
      </c>
      <c r="D1906">
        <v>1.8995000123977599</v>
      </c>
      <c r="E1906">
        <v>1.9359999895095801</v>
      </c>
      <c r="F1906">
        <v>1.9359999895095801</v>
      </c>
      <c r="G1906">
        <v>128434000</v>
      </c>
      <c r="H1906">
        <f t="shared" si="116"/>
        <v>2004</v>
      </c>
      <c r="I1906">
        <f t="shared" si="117"/>
        <v>12</v>
      </c>
      <c r="J1906" t="str">
        <f t="shared" si="118"/>
        <v>Dec</v>
      </c>
      <c r="K1906" t="str">
        <f t="shared" si="119"/>
        <v>Wed</v>
      </c>
    </row>
    <row r="1907" spans="1:11" x14ac:dyDescent="0.35">
      <c r="A1907" s="1">
        <v>38330</v>
      </c>
      <c r="B1907">
        <v>1.91999995708465</v>
      </c>
      <c r="C1907">
        <v>1.9974999427795399</v>
      </c>
      <c r="D1907">
        <v>1.9084999561309799</v>
      </c>
      <c r="E1907">
        <v>1.99100005626678</v>
      </c>
      <c r="F1907">
        <v>1.99100005626678</v>
      </c>
      <c r="G1907">
        <v>148934000</v>
      </c>
      <c r="H1907">
        <f t="shared" si="116"/>
        <v>2004</v>
      </c>
      <c r="I1907">
        <f t="shared" si="117"/>
        <v>12</v>
      </c>
      <c r="J1907" t="str">
        <f t="shared" si="118"/>
        <v>Dec</v>
      </c>
      <c r="K1907" t="str">
        <f t="shared" si="119"/>
        <v>Thu</v>
      </c>
    </row>
    <row r="1908" spans="1:11" x14ac:dyDescent="0.35">
      <c r="A1908" s="1">
        <v>38331</v>
      </c>
      <c r="B1908">
        <v>1.97699999809265</v>
      </c>
      <c r="C1908">
        <v>2.00500011444091</v>
      </c>
      <c r="D1908">
        <v>1.95000004768371</v>
      </c>
      <c r="E1908">
        <v>1.9524999856948799</v>
      </c>
      <c r="F1908">
        <v>1.9524999856948799</v>
      </c>
      <c r="G1908">
        <v>110214000</v>
      </c>
      <c r="H1908">
        <f t="shared" si="116"/>
        <v>2004</v>
      </c>
      <c r="I1908">
        <f t="shared" si="117"/>
        <v>12</v>
      </c>
      <c r="J1908" t="str">
        <f t="shared" si="118"/>
        <v>Dec</v>
      </c>
      <c r="K1908" t="str">
        <f t="shared" si="119"/>
        <v>Fri</v>
      </c>
    </row>
    <row r="1909" spans="1:11" x14ac:dyDescent="0.35">
      <c r="A1909" s="1">
        <v>38334</v>
      </c>
      <c r="B1909">
        <v>1.9665000438690099</v>
      </c>
      <c r="C1909">
        <v>2.0139999389648402</v>
      </c>
      <c r="D1909">
        <v>1.94099998474121</v>
      </c>
      <c r="E1909">
        <v>1.99150002002716</v>
      </c>
      <c r="F1909">
        <v>1.99150002002716</v>
      </c>
      <c r="G1909">
        <v>121042000</v>
      </c>
      <c r="H1909">
        <f t="shared" si="116"/>
        <v>2004</v>
      </c>
      <c r="I1909">
        <f t="shared" si="117"/>
        <v>12</v>
      </c>
      <c r="J1909" t="str">
        <f t="shared" si="118"/>
        <v>Dec</v>
      </c>
      <c r="K1909" t="str">
        <f t="shared" si="119"/>
        <v>Mon</v>
      </c>
    </row>
    <row r="1910" spans="1:11" x14ac:dyDescent="0.35">
      <c r="A1910" s="1">
        <v>38335</v>
      </c>
      <c r="B1910">
        <v>2.0074999332427899</v>
      </c>
      <c r="C1910">
        <v>2.0234999656677202</v>
      </c>
      <c r="D1910">
        <v>1.9969999790191599</v>
      </c>
      <c r="E1910">
        <v>2.02200007438659</v>
      </c>
      <c r="F1910">
        <v>2.02200007438659</v>
      </c>
      <c r="G1910">
        <v>105030000</v>
      </c>
      <c r="H1910">
        <f t="shared" si="116"/>
        <v>2004</v>
      </c>
      <c r="I1910">
        <f t="shared" si="117"/>
        <v>12</v>
      </c>
      <c r="J1910" t="str">
        <f t="shared" si="118"/>
        <v>Dec</v>
      </c>
      <c r="K1910" t="str">
        <f t="shared" si="119"/>
        <v>Tue</v>
      </c>
    </row>
    <row r="1911" spans="1:11" x14ac:dyDescent="0.35">
      <c r="A1911" s="1">
        <v>38336</v>
      </c>
      <c r="B1911">
        <v>2.0169999599456698</v>
      </c>
      <c r="C1911">
        <v>2.0499999523162802</v>
      </c>
      <c r="D1911">
        <v>2.0104999542236301</v>
      </c>
      <c r="E1911">
        <v>2.0499999523162802</v>
      </c>
      <c r="F1911">
        <v>2.0499999523162802</v>
      </c>
      <c r="G1911">
        <v>133484000</v>
      </c>
      <c r="H1911">
        <f t="shared" si="116"/>
        <v>2004</v>
      </c>
      <c r="I1911">
        <f t="shared" si="117"/>
        <v>12</v>
      </c>
      <c r="J1911" t="str">
        <f t="shared" si="118"/>
        <v>Dec</v>
      </c>
      <c r="K1911" t="str">
        <f t="shared" si="119"/>
        <v>Wed</v>
      </c>
    </row>
    <row r="1912" spans="1:11" x14ac:dyDescent="0.35">
      <c r="A1912" s="1">
        <v>38337</v>
      </c>
      <c r="B1912">
        <v>2.0429999828338601</v>
      </c>
      <c r="C1912">
        <v>2.0499999523162802</v>
      </c>
      <c r="D1912">
        <v>1.9854999780654901</v>
      </c>
      <c r="E1912">
        <v>2.0025000572204501</v>
      </c>
      <c r="F1912">
        <v>2.0025000572204501</v>
      </c>
      <c r="G1912">
        <v>108298000</v>
      </c>
      <c r="H1912">
        <f t="shared" si="116"/>
        <v>2004</v>
      </c>
      <c r="I1912">
        <f t="shared" si="117"/>
        <v>12</v>
      </c>
      <c r="J1912" t="str">
        <f t="shared" si="118"/>
        <v>Dec</v>
      </c>
      <c r="K1912" t="str">
        <f t="shared" si="119"/>
        <v>Thu</v>
      </c>
    </row>
    <row r="1913" spans="1:11" x14ac:dyDescent="0.35">
      <c r="A1913" s="1">
        <v>38338</v>
      </c>
      <c r="B1913">
        <v>2.0079998970031698</v>
      </c>
      <c r="C1913">
        <v>2.0109999179839999</v>
      </c>
      <c r="D1913">
        <v>1.9934999942779501</v>
      </c>
      <c r="E1913">
        <v>2.0004999637603702</v>
      </c>
      <c r="F1913">
        <v>2.0004999637603702</v>
      </c>
      <c r="G1913">
        <v>109720000</v>
      </c>
      <c r="H1913">
        <f t="shared" si="116"/>
        <v>2004</v>
      </c>
      <c r="I1913">
        <f t="shared" si="117"/>
        <v>12</v>
      </c>
      <c r="J1913" t="str">
        <f t="shared" si="118"/>
        <v>Dec</v>
      </c>
      <c r="K1913" t="str">
        <f t="shared" si="119"/>
        <v>Fri</v>
      </c>
    </row>
    <row r="1914" spans="1:11" x14ac:dyDescent="0.35">
      <c r="A1914" s="1">
        <v>38341</v>
      </c>
      <c r="B1914">
        <v>1.99650001525878</v>
      </c>
      <c r="C1914">
        <v>2.0244998931884699</v>
      </c>
      <c r="D1914">
        <v>1.9405000209808301</v>
      </c>
      <c r="E1914">
        <v>1.94749999046325</v>
      </c>
      <c r="F1914">
        <v>1.94749999046325</v>
      </c>
      <c r="G1914">
        <v>144314000</v>
      </c>
      <c r="H1914">
        <f t="shared" si="116"/>
        <v>2004</v>
      </c>
      <c r="I1914">
        <f t="shared" si="117"/>
        <v>12</v>
      </c>
      <c r="J1914" t="str">
        <f t="shared" si="118"/>
        <v>Dec</v>
      </c>
      <c r="K1914" t="str">
        <f t="shared" si="119"/>
        <v>Mon</v>
      </c>
    </row>
    <row r="1915" spans="1:11" x14ac:dyDescent="0.35">
      <c r="A1915" s="1">
        <v>38342</v>
      </c>
      <c r="B1915">
        <v>1.94200003147125</v>
      </c>
      <c r="C1915">
        <v>1.9709999561309799</v>
      </c>
      <c r="D1915">
        <v>1.9320000410079901</v>
      </c>
      <c r="E1915">
        <v>1.96949994564056</v>
      </c>
      <c r="F1915">
        <v>1.96949994564056</v>
      </c>
      <c r="G1915">
        <v>104588000</v>
      </c>
      <c r="H1915">
        <f t="shared" si="116"/>
        <v>2004</v>
      </c>
      <c r="I1915">
        <f t="shared" si="117"/>
        <v>12</v>
      </c>
      <c r="J1915" t="str">
        <f t="shared" si="118"/>
        <v>Dec</v>
      </c>
      <c r="K1915" t="str">
        <f t="shared" si="119"/>
        <v>Tue</v>
      </c>
    </row>
    <row r="1916" spans="1:11" x14ac:dyDescent="0.35">
      <c r="A1916" s="1">
        <v>38343</v>
      </c>
      <c r="B1916">
        <v>1.9305000305175699</v>
      </c>
      <c r="C1916">
        <v>1.9795000553131099</v>
      </c>
      <c r="D1916">
        <v>1.9275000095367401</v>
      </c>
      <c r="E1916">
        <v>1.9759999513626001</v>
      </c>
      <c r="F1916">
        <v>1.9759999513626001</v>
      </c>
      <c r="G1916">
        <v>105526000</v>
      </c>
      <c r="H1916">
        <f t="shared" si="116"/>
        <v>2004</v>
      </c>
      <c r="I1916">
        <f t="shared" si="117"/>
        <v>12</v>
      </c>
      <c r="J1916" t="str">
        <f t="shared" si="118"/>
        <v>Dec</v>
      </c>
      <c r="K1916" t="str">
        <f t="shared" si="119"/>
        <v>Wed</v>
      </c>
    </row>
    <row r="1917" spans="1:11" x14ac:dyDescent="0.35">
      <c r="A1917" s="1">
        <v>38344</v>
      </c>
      <c r="B1917">
        <v>1.9670000076293901</v>
      </c>
      <c r="C1917">
        <v>1.9759999513626001</v>
      </c>
      <c r="D1917">
        <v>1.94599997997283</v>
      </c>
      <c r="E1917">
        <v>1.94649994373321</v>
      </c>
      <c r="F1917">
        <v>1.94649994373321</v>
      </c>
      <c r="G1917">
        <v>64136000</v>
      </c>
      <c r="H1917">
        <f t="shared" si="116"/>
        <v>2004</v>
      </c>
      <c r="I1917">
        <f t="shared" si="117"/>
        <v>12</v>
      </c>
      <c r="J1917" t="str">
        <f t="shared" si="118"/>
        <v>Dec</v>
      </c>
      <c r="K1917" t="str">
        <f t="shared" si="119"/>
        <v>Thu</v>
      </c>
    </row>
    <row r="1918" spans="1:11" x14ac:dyDescent="0.35">
      <c r="A1918" s="1">
        <v>38348</v>
      </c>
      <c r="B1918">
        <v>1.9759999513626001</v>
      </c>
      <c r="C1918">
        <v>2.1465001106262198</v>
      </c>
      <c r="D1918">
        <v>1.97350001335144</v>
      </c>
      <c r="E1918">
        <v>2.1124999523162802</v>
      </c>
      <c r="F1918">
        <v>2.1124999523162802</v>
      </c>
      <c r="G1918">
        <v>445784000</v>
      </c>
      <c r="H1918">
        <f t="shared" si="116"/>
        <v>2004</v>
      </c>
      <c r="I1918">
        <f t="shared" si="117"/>
        <v>12</v>
      </c>
      <c r="J1918" t="str">
        <f t="shared" si="118"/>
        <v>Dec</v>
      </c>
      <c r="K1918" t="str">
        <f t="shared" si="119"/>
        <v>Mon</v>
      </c>
    </row>
    <row r="1919" spans="1:11" x14ac:dyDescent="0.35">
      <c r="A1919" s="1">
        <v>38349</v>
      </c>
      <c r="B1919">
        <v>2.1949999332427899</v>
      </c>
      <c r="C1919">
        <v>2.2560000419616699</v>
      </c>
      <c r="D1919">
        <v>2.1749999523162802</v>
      </c>
      <c r="E1919">
        <v>2.2314999103546098</v>
      </c>
      <c r="F1919">
        <v>2.2314999103546098</v>
      </c>
      <c r="G1919">
        <v>504756000</v>
      </c>
      <c r="H1919">
        <f t="shared" si="116"/>
        <v>2004</v>
      </c>
      <c r="I1919">
        <f t="shared" si="117"/>
        <v>12</v>
      </c>
      <c r="J1919" t="str">
        <f t="shared" si="118"/>
        <v>Dec</v>
      </c>
      <c r="K1919" t="str">
        <f t="shared" si="119"/>
        <v>Tue</v>
      </c>
    </row>
    <row r="1920" spans="1:11" x14ac:dyDescent="0.35">
      <c r="A1920" s="1">
        <v>38350</v>
      </c>
      <c r="B1920">
        <v>2.2374999523162802</v>
      </c>
      <c r="C1920">
        <v>2.2839999198913499</v>
      </c>
      <c r="D1920">
        <v>2.2219998836517298</v>
      </c>
      <c r="E1920">
        <v>2.2409999370574898</v>
      </c>
      <c r="F1920">
        <v>2.2409999370574898</v>
      </c>
      <c r="G1920">
        <v>235184000</v>
      </c>
      <c r="H1920">
        <f t="shared" si="116"/>
        <v>2004</v>
      </c>
      <c r="I1920">
        <f t="shared" si="117"/>
        <v>12</v>
      </c>
      <c r="J1920" t="str">
        <f t="shared" si="118"/>
        <v>Dec</v>
      </c>
      <c r="K1920" t="str">
        <f t="shared" si="119"/>
        <v>Wed</v>
      </c>
    </row>
    <row r="1921" spans="1:11" x14ac:dyDescent="0.35">
      <c r="A1921" s="1">
        <v>38351</v>
      </c>
      <c r="B1921">
        <v>2.25</v>
      </c>
      <c r="C1921">
        <v>2.2764999866485498</v>
      </c>
      <c r="D1921">
        <v>2.2274999618530198</v>
      </c>
      <c r="E1921">
        <v>2.2485001087188698</v>
      </c>
      <c r="F1921">
        <v>2.2485001087188698</v>
      </c>
      <c r="G1921">
        <v>139318000</v>
      </c>
      <c r="H1921">
        <f t="shared" si="116"/>
        <v>2004</v>
      </c>
      <c r="I1921">
        <f t="shared" si="117"/>
        <v>12</v>
      </c>
      <c r="J1921" t="str">
        <f t="shared" si="118"/>
        <v>Dec</v>
      </c>
      <c r="K1921" t="str">
        <f t="shared" si="119"/>
        <v>Thu</v>
      </c>
    </row>
    <row r="1922" spans="1:11" x14ac:dyDescent="0.35">
      <c r="A1922" s="1">
        <v>38352</v>
      </c>
      <c r="B1922">
        <v>2.2565000057220401</v>
      </c>
      <c r="C1922">
        <v>2.2744998931884699</v>
      </c>
      <c r="D1922">
        <v>2.2079999446868799</v>
      </c>
      <c r="E1922">
        <v>2.2144999504089302</v>
      </c>
      <c r="F1922">
        <v>2.2144999504089302</v>
      </c>
      <c r="G1922">
        <v>95814000</v>
      </c>
      <c r="H1922">
        <f t="shared" si="116"/>
        <v>2004</v>
      </c>
      <c r="I1922">
        <f t="shared" si="117"/>
        <v>12</v>
      </c>
      <c r="J1922" t="str">
        <f t="shared" si="118"/>
        <v>Dec</v>
      </c>
      <c r="K1922" t="str">
        <f t="shared" si="119"/>
        <v>Fri</v>
      </c>
    </row>
    <row r="1923" spans="1:11" x14ac:dyDescent="0.35">
      <c r="A1923" s="1">
        <v>38355</v>
      </c>
      <c r="B1923">
        <v>2.2474999427795401</v>
      </c>
      <c r="C1923">
        <v>2.27200007438659</v>
      </c>
      <c r="D1923">
        <v>2.2105000019073402</v>
      </c>
      <c r="E1923">
        <v>2.2260000705718901</v>
      </c>
      <c r="F1923">
        <v>2.2260000705718901</v>
      </c>
      <c r="G1923">
        <v>208930000</v>
      </c>
      <c r="H1923">
        <f t="shared" si="116"/>
        <v>2005</v>
      </c>
      <c r="I1923">
        <f t="shared" si="117"/>
        <v>1</v>
      </c>
      <c r="J1923" t="str">
        <f t="shared" si="118"/>
        <v>Jan</v>
      </c>
      <c r="K1923" t="str">
        <f t="shared" si="119"/>
        <v>Mon</v>
      </c>
    </row>
    <row r="1924" spans="1:11" x14ac:dyDescent="0.35">
      <c r="A1924" s="1">
        <v>38356</v>
      </c>
      <c r="B1924">
        <v>2.13350009918212</v>
      </c>
      <c r="C1924">
        <v>2.1630001068115199</v>
      </c>
      <c r="D1924">
        <v>2.07500004768371</v>
      </c>
      <c r="E1924">
        <v>2.10700011253356</v>
      </c>
      <c r="F1924">
        <v>2.10700011253356</v>
      </c>
      <c r="G1924">
        <v>388370000</v>
      </c>
      <c r="H1924">
        <f t="shared" ref="H1924:H1987" si="120">YEAR($A1924)</f>
        <v>2005</v>
      </c>
      <c r="I1924">
        <f t="shared" ref="I1924:I1987" si="121">MONTH($A1924)</f>
        <v>1</v>
      </c>
      <c r="J1924" t="str">
        <f t="shared" ref="J1924:J1987" si="122">TEXT($A1924,"mmm")</f>
        <v>Jan</v>
      </c>
      <c r="K1924" t="str">
        <f t="shared" ref="K1924:K1987" si="123">TEXT($A1924,"ddd")</f>
        <v>Tue</v>
      </c>
    </row>
    <row r="1925" spans="1:11" x14ac:dyDescent="0.35">
      <c r="A1925" s="1">
        <v>38357</v>
      </c>
      <c r="B1925">
        <v>2.0785000324249201</v>
      </c>
      <c r="C1925">
        <v>2.13800001144409</v>
      </c>
      <c r="D1925">
        <v>2.0780000686645499</v>
      </c>
      <c r="E1925">
        <v>2.08850002288818</v>
      </c>
      <c r="F1925">
        <v>2.08850002288818</v>
      </c>
      <c r="G1925">
        <v>167084000</v>
      </c>
      <c r="H1925">
        <f t="shared" si="120"/>
        <v>2005</v>
      </c>
      <c r="I1925">
        <f t="shared" si="121"/>
        <v>1</v>
      </c>
      <c r="J1925" t="str">
        <f t="shared" si="122"/>
        <v>Jan</v>
      </c>
      <c r="K1925" t="str">
        <f t="shared" si="123"/>
        <v>Wed</v>
      </c>
    </row>
    <row r="1926" spans="1:11" x14ac:dyDescent="0.35">
      <c r="A1926" s="1">
        <v>38358</v>
      </c>
      <c r="B1926">
        <v>2.0905001163482599</v>
      </c>
      <c r="C1926">
        <v>2.1124999523162802</v>
      </c>
      <c r="D1926">
        <v>2.04500007629394</v>
      </c>
      <c r="E1926">
        <v>2.0525000095367401</v>
      </c>
      <c r="F1926">
        <v>2.0525000095367401</v>
      </c>
      <c r="G1926">
        <v>174018000</v>
      </c>
      <c r="H1926">
        <f t="shared" si="120"/>
        <v>2005</v>
      </c>
      <c r="I1926">
        <f t="shared" si="121"/>
        <v>1</v>
      </c>
      <c r="J1926" t="str">
        <f t="shared" si="122"/>
        <v>Jan</v>
      </c>
      <c r="K1926" t="str">
        <f t="shared" si="123"/>
        <v>Thu</v>
      </c>
    </row>
    <row r="1927" spans="1:11" x14ac:dyDescent="0.35">
      <c r="A1927" s="1">
        <v>38359</v>
      </c>
      <c r="B1927">
        <v>2.0690000057220401</v>
      </c>
      <c r="C1927">
        <v>2.13450002670288</v>
      </c>
      <c r="D1927">
        <v>2.05800008773803</v>
      </c>
      <c r="E1927">
        <v>2.1159999370574898</v>
      </c>
      <c r="F1927">
        <v>2.1159999370574898</v>
      </c>
      <c r="G1927">
        <v>196732000</v>
      </c>
      <c r="H1927">
        <f t="shared" si="120"/>
        <v>2005</v>
      </c>
      <c r="I1927">
        <f t="shared" si="121"/>
        <v>1</v>
      </c>
      <c r="J1927" t="str">
        <f t="shared" si="122"/>
        <v>Jan</v>
      </c>
      <c r="K1927" t="str">
        <f t="shared" si="123"/>
        <v>Fri</v>
      </c>
    </row>
    <row r="1928" spans="1:11" x14ac:dyDescent="0.35">
      <c r="A1928" s="1">
        <v>38362</v>
      </c>
      <c r="B1928">
        <v>2.0969998836517298</v>
      </c>
      <c r="C1928">
        <v>2.1480000019073402</v>
      </c>
      <c r="D1928">
        <v>2.0855000019073402</v>
      </c>
      <c r="E1928">
        <v>2.0920000076293901</v>
      </c>
      <c r="F1928">
        <v>2.0920000076293901</v>
      </c>
      <c r="G1928">
        <v>146958000</v>
      </c>
      <c r="H1928">
        <f t="shared" si="120"/>
        <v>2005</v>
      </c>
      <c r="I1928">
        <f t="shared" si="121"/>
        <v>1</v>
      </c>
      <c r="J1928" t="str">
        <f t="shared" si="122"/>
        <v>Jan</v>
      </c>
      <c r="K1928" t="str">
        <f t="shared" si="123"/>
        <v>Mon</v>
      </c>
    </row>
    <row r="1929" spans="1:11" x14ac:dyDescent="0.35">
      <c r="A1929" s="1">
        <v>38363</v>
      </c>
      <c r="B1929">
        <v>2.0699999332427899</v>
      </c>
      <c r="C1929">
        <v>2.10800004005432</v>
      </c>
      <c r="D1929">
        <v>2.0504999160766602</v>
      </c>
      <c r="E1929">
        <v>2.0820000171661301</v>
      </c>
      <c r="F1929">
        <v>2.0820000171661301</v>
      </c>
      <c r="G1929">
        <v>158406000</v>
      </c>
      <c r="H1929">
        <f t="shared" si="120"/>
        <v>2005</v>
      </c>
      <c r="I1929">
        <f t="shared" si="121"/>
        <v>1</v>
      </c>
      <c r="J1929" t="str">
        <f t="shared" si="122"/>
        <v>Jan</v>
      </c>
      <c r="K1929" t="str">
        <f t="shared" si="123"/>
        <v>Tue</v>
      </c>
    </row>
    <row r="1930" spans="1:11" x14ac:dyDescent="0.35">
      <c r="A1930" s="1">
        <v>38364</v>
      </c>
      <c r="B1930">
        <v>2.0745000839233398</v>
      </c>
      <c r="C1930">
        <v>2.1240000724792401</v>
      </c>
      <c r="D1930">
        <v>2.04099988937377</v>
      </c>
      <c r="E1930">
        <v>2.1150000095367401</v>
      </c>
      <c r="F1930">
        <v>2.1150000095367401</v>
      </c>
      <c r="G1930">
        <v>161446000</v>
      </c>
      <c r="H1930">
        <f t="shared" si="120"/>
        <v>2005</v>
      </c>
      <c r="I1930">
        <f t="shared" si="121"/>
        <v>1</v>
      </c>
      <c r="J1930" t="str">
        <f t="shared" si="122"/>
        <v>Jan</v>
      </c>
      <c r="K1930" t="str">
        <f t="shared" si="123"/>
        <v>Wed</v>
      </c>
    </row>
    <row r="1931" spans="1:11" x14ac:dyDescent="0.35">
      <c r="A1931" s="1">
        <v>38365</v>
      </c>
      <c r="B1931">
        <v>2.1224999427795401</v>
      </c>
      <c r="C1931">
        <v>2.2290000915527299</v>
      </c>
      <c r="D1931">
        <v>2.11700010299682</v>
      </c>
      <c r="E1931">
        <v>2.13000011444091</v>
      </c>
      <c r="F1931">
        <v>2.13000011444091</v>
      </c>
      <c r="G1931">
        <v>347872000</v>
      </c>
      <c r="H1931">
        <f t="shared" si="120"/>
        <v>2005</v>
      </c>
      <c r="I1931">
        <f t="shared" si="121"/>
        <v>1</v>
      </c>
      <c r="J1931" t="str">
        <f t="shared" si="122"/>
        <v>Jan</v>
      </c>
      <c r="K1931" t="str">
        <f t="shared" si="123"/>
        <v>Thu</v>
      </c>
    </row>
    <row r="1932" spans="1:11" x14ac:dyDescent="0.35">
      <c r="A1932" s="1">
        <v>38366</v>
      </c>
      <c r="B1932">
        <v>2.1449999809265101</v>
      </c>
      <c r="C1932">
        <v>2.23300004005432</v>
      </c>
      <c r="D1932">
        <v>2.1180000305175701</v>
      </c>
      <c r="E1932">
        <v>2.2274999618530198</v>
      </c>
      <c r="F1932">
        <v>2.2274999618530198</v>
      </c>
      <c r="G1932">
        <v>250660000</v>
      </c>
      <c r="H1932">
        <f t="shared" si="120"/>
        <v>2005</v>
      </c>
      <c r="I1932">
        <f t="shared" si="121"/>
        <v>1</v>
      </c>
      <c r="J1932" t="str">
        <f t="shared" si="122"/>
        <v>Jan</v>
      </c>
      <c r="K1932" t="str">
        <f t="shared" si="123"/>
        <v>Fri</v>
      </c>
    </row>
    <row r="1933" spans="1:11" x14ac:dyDescent="0.35">
      <c r="A1933" s="1">
        <v>38370</v>
      </c>
      <c r="B1933">
        <v>2.2144999504089302</v>
      </c>
      <c r="C1933">
        <v>2.25</v>
      </c>
      <c r="D1933">
        <v>2.2074999809265101</v>
      </c>
      <c r="E1933">
        <v>2.2290000915527299</v>
      </c>
      <c r="F1933">
        <v>2.2290000915527299</v>
      </c>
      <c r="G1933">
        <v>142632000</v>
      </c>
      <c r="H1933">
        <f t="shared" si="120"/>
        <v>2005</v>
      </c>
      <c r="I1933">
        <f t="shared" si="121"/>
        <v>1</v>
      </c>
      <c r="J1933" t="str">
        <f t="shared" si="122"/>
        <v>Jan</v>
      </c>
      <c r="K1933" t="str">
        <f t="shared" si="123"/>
        <v>Tue</v>
      </c>
    </row>
    <row r="1934" spans="1:11" x14ac:dyDescent="0.35">
      <c r="A1934" s="1">
        <v>38371</v>
      </c>
      <c r="B1934">
        <v>2.22350001335144</v>
      </c>
      <c r="C1934">
        <v>2.2369999885559002</v>
      </c>
      <c r="D1934">
        <v>2.1714999675750701</v>
      </c>
      <c r="E1934">
        <v>2.1979999542236301</v>
      </c>
      <c r="F1934">
        <v>2.1979999542236301</v>
      </c>
      <c r="G1934">
        <v>147934000</v>
      </c>
      <c r="H1934">
        <f t="shared" si="120"/>
        <v>2005</v>
      </c>
      <c r="I1934">
        <f t="shared" si="121"/>
        <v>1</v>
      </c>
      <c r="J1934" t="str">
        <f t="shared" si="122"/>
        <v>Jan</v>
      </c>
      <c r="K1934" t="str">
        <f t="shared" si="123"/>
        <v>Wed</v>
      </c>
    </row>
    <row r="1935" spans="1:11" x14ac:dyDescent="0.35">
      <c r="A1935" s="1">
        <v>38372</v>
      </c>
      <c r="B1935">
        <v>2.0855000019073402</v>
      </c>
      <c r="C1935">
        <v>2.1979999542236301</v>
      </c>
      <c r="D1935">
        <v>2.0820000171661301</v>
      </c>
      <c r="E1935">
        <v>2.1180000305175701</v>
      </c>
      <c r="F1935">
        <v>2.1180000305175701</v>
      </c>
      <c r="G1935">
        <v>256612000</v>
      </c>
      <c r="H1935">
        <f t="shared" si="120"/>
        <v>2005</v>
      </c>
      <c r="I1935">
        <f t="shared" si="121"/>
        <v>1</v>
      </c>
      <c r="J1935" t="str">
        <f t="shared" si="122"/>
        <v>Jan</v>
      </c>
      <c r="K1935" t="str">
        <f t="shared" si="123"/>
        <v>Thu</v>
      </c>
    </row>
    <row r="1936" spans="1:11" x14ac:dyDescent="0.35">
      <c r="A1936" s="1">
        <v>38373</v>
      </c>
      <c r="B1936">
        <v>2.0994999408721902</v>
      </c>
      <c r="C1936">
        <v>2.1275000572204501</v>
      </c>
      <c r="D1936">
        <v>2.0510001182556099</v>
      </c>
      <c r="E1936">
        <v>2.05800008773803</v>
      </c>
      <c r="F1936">
        <v>2.05800008773803</v>
      </c>
      <c r="G1936">
        <v>212054000</v>
      </c>
      <c r="H1936">
        <f t="shared" si="120"/>
        <v>2005</v>
      </c>
      <c r="I1936">
        <f t="shared" si="121"/>
        <v>1</v>
      </c>
      <c r="J1936" t="str">
        <f t="shared" si="122"/>
        <v>Jan</v>
      </c>
      <c r="K1936" t="str">
        <f t="shared" si="123"/>
        <v>Fri</v>
      </c>
    </row>
    <row r="1937" spans="1:11" x14ac:dyDescent="0.35">
      <c r="A1937" s="1">
        <v>38376</v>
      </c>
      <c r="B1937">
        <v>2.07200002670288</v>
      </c>
      <c r="C1937">
        <v>2.09750008583068</v>
      </c>
      <c r="D1937">
        <v>2.0155000686645499</v>
      </c>
      <c r="E1937">
        <v>2.0190000534057599</v>
      </c>
      <c r="F1937">
        <v>2.0190000534057599</v>
      </c>
      <c r="G1937">
        <v>193918000</v>
      </c>
      <c r="H1937">
        <f t="shared" si="120"/>
        <v>2005</v>
      </c>
      <c r="I1937">
        <f t="shared" si="121"/>
        <v>1</v>
      </c>
      <c r="J1937" t="str">
        <f t="shared" si="122"/>
        <v>Jan</v>
      </c>
      <c r="K1937" t="str">
        <f t="shared" si="123"/>
        <v>Mon</v>
      </c>
    </row>
    <row r="1938" spans="1:11" x14ac:dyDescent="0.35">
      <c r="A1938" s="1">
        <v>38377</v>
      </c>
      <c r="B1938">
        <v>2.03200006484985</v>
      </c>
      <c r="C1938">
        <v>2.07200002670288</v>
      </c>
      <c r="D1938">
        <v>2.02250003814697</v>
      </c>
      <c r="E1938">
        <v>2.0469999313354399</v>
      </c>
      <c r="F1938">
        <v>2.0469999313354399</v>
      </c>
      <c r="G1938">
        <v>180558000</v>
      </c>
      <c r="H1938">
        <f t="shared" si="120"/>
        <v>2005</v>
      </c>
      <c r="I1938">
        <f t="shared" si="121"/>
        <v>1</v>
      </c>
      <c r="J1938" t="str">
        <f t="shared" si="122"/>
        <v>Jan</v>
      </c>
      <c r="K1938" t="str">
        <f t="shared" si="123"/>
        <v>Tue</v>
      </c>
    </row>
    <row r="1939" spans="1:11" x14ac:dyDescent="0.35">
      <c r="A1939" s="1">
        <v>38378</v>
      </c>
      <c r="B1939">
        <v>2.0590000152587802</v>
      </c>
      <c r="C1939">
        <v>2.0899999141693102</v>
      </c>
      <c r="D1939">
        <v>2.01300001144409</v>
      </c>
      <c r="E1939">
        <v>2.0669999122619598</v>
      </c>
      <c r="F1939">
        <v>2.0669999122619598</v>
      </c>
      <c r="G1939">
        <v>154298000</v>
      </c>
      <c r="H1939">
        <f t="shared" si="120"/>
        <v>2005</v>
      </c>
      <c r="I1939">
        <f t="shared" si="121"/>
        <v>1</v>
      </c>
      <c r="J1939" t="str">
        <f t="shared" si="122"/>
        <v>Jan</v>
      </c>
      <c r="K1939" t="str">
        <f t="shared" si="123"/>
        <v>Wed</v>
      </c>
    </row>
    <row r="1940" spans="1:11" x14ac:dyDescent="0.35">
      <c r="A1940" s="1">
        <v>38379</v>
      </c>
      <c r="B1940">
        <v>2.0634999275207502</v>
      </c>
      <c r="C1940">
        <v>2.1199998855590798</v>
      </c>
      <c r="D1940">
        <v>2.0569999217986998</v>
      </c>
      <c r="E1940">
        <v>2.1154999732971098</v>
      </c>
      <c r="F1940">
        <v>2.1154999732971098</v>
      </c>
      <c r="G1940">
        <v>160768000</v>
      </c>
      <c r="H1940">
        <f t="shared" si="120"/>
        <v>2005</v>
      </c>
      <c r="I1940">
        <f t="shared" si="121"/>
        <v>1</v>
      </c>
      <c r="J1940" t="str">
        <f t="shared" si="122"/>
        <v>Jan</v>
      </c>
      <c r="K1940" t="str">
        <f t="shared" si="123"/>
        <v>Thu</v>
      </c>
    </row>
    <row r="1941" spans="1:11" x14ac:dyDescent="0.35">
      <c r="A1941" s="1">
        <v>38380</v>
      </c>
      <c r="B1941">
        <v>2.1045000553131099</v>
      </c>
      <c r="C1941">
        <v>2.1500000953674299</v>
      </c>
      <c r="D1941">
        <v>2.0764999389648402</v>
      </c>
      <c r="E1941">
        <v>2.11100006103515</v>
      </c>
      <c r="F1941">
        <v>2.11100006103515</v>
      </c>
      <c r="G1941">
        <v>123048000</v>
      </c>
      <c r="H1941">
        <f t="shared" si="120"/>
        <v>2005</v>
      </c>
      <c r="I1941">
        <f t="shared" si="121"/>
        <v>1</v>
      </c>
      <c r="J1941" t="str">
        <f t="shared" si="122"/>
        <v>Jan</v>
      </c>
      <c r="K1941" t="str">
        <f t="shared" si="123"/>
        <v>Fri</v>
      </c>
    </row>
    <row r="1942" spans="1:11" x14ac:dyDescent="0.35">
      <c r="A1942" s="1">
        <v>38383</v>
      </c>
      <c r="B1942">
        <v>2.1219999790191602</v>
      </c>
      <c r="C1942">
        <v>2.1710000038146902</v>
      </c>
      <c r="D1942">
        <v>2.1215000152587802</v>
      </c>
      <c r="E1942">
        <v>2.16100001335144</v>
      </c>
      <c r="F1942">
        <v>2.16100001335144</v>
      </c>
      <c r="G1942">
        <v>126406000</v>
      </c>
      <c r="H1942">
        <f t="shared" si="120"/>
        <v>2005</v>
      </c>
      <c r="I1942">
        <f t="shared" si="121"/>
        <v>1</v>
      </c>
      <c r="J1942" t="str">
        <f t="shared" si="122"/>
        <v>Jan</v>
      </c>
      <c r="K1942" t="str">
        <f t="shared" si="123"/>
        <v>Mon</v>
      </c>
    </row>
    <row r="1943" spans="1:11" x14ac:dyDescent="0.35">
      <c r="A1943" s="1">
        <v>38384</v>
      </c>
      <c r="B1943">
        <v>2.1500000953674299</v>
      </c>
      <c r="C1943">
        <v>2.1635000705718901</v>
      </c>
      <c r="D1943">
        <v>2.1189999580383301</v>
      </c>
      <c r="E1943">
        <v>2.1240000724792401</v>
      </c>
      <c r="F1943">
        <v>2.1240000724792401</v>
      </c>
      <c r="G1943">
        <v>135230000</v>
      </c>
      <c r="H1943">
        <f t="shared" si="120"/>
        <v>2005</v>
      </c>
      <c r="I1943">
        <f t="shared" si="121"/>
        <v>2</v>
      </c>
      <c r="J1943" t="str">
        <f t="shared" si="122"/>
        <v>Feb</v>
      </c>
      <c r="K1943" t="str">
        <f t="shared" si="123"/>
        <v>Tue</v>
      </c>
    </row>
    <row r="1944" spans="1:11" x14ac:dyDescent="0.35">
      <c r="A1944" s="1">
        <v>38385</v>
      </c>
      <c r="B1944">
        <v>2.1524999141693102</v>
      </c>
      <c r="C1944">
        <v>2.1770000457763601</v>
      </c>
      <c r="D1944">
        <v>2.0429999828338601</v>
      </c>
      <c r="E1944">
        <v>2.09400010108947</v>
      </c>
      <c r="F1944">
        <v>2.09400010108947</v>
      </c>
      <c r="G1944">
        <v>526472000</v>
      </c>
      <c r="H1944">
        <f t="shared" si="120"/>
        <v>2005</v>
      </c>
      <c r="I1944">
        <f t="shared" si="121"/>
        <v>2</v>
      </c>
      <c r="J1944" t="str">
        <f t="shared" si="122"/>
        <v>Feb</v>
      </c>
      <c r="K1944" t="str">
        <f t="shared" si="123"/>
        <v>Wed</v>
      </c>
    </row>
    <row r="1945" spans="1:11" x14ac:dyDescent="0.35">
      <c r="A1945" s="1">
        <v>38386</v>
      </c>
      <c r="B1945">
        <v>1.74500000476837</v>
      </c>
      <c r="C1945">
        <v>1.79449999332427</v>
      </c>
      <c r="D1945">
        <v>1.7265000343322701</v>
      </c>
      <c r="E1945">
        <v>1.7875000238418499</v>
      </c>
      <c r="F1945">
        <v>1.7875000238418499</v>
      </c>
      <c r="G1945">
        <v>1210372000</v>
      </c>
      <c r="H1945">
        <f t="shared" si="120"/>
        <v>2005</v>
      </c>
      <c r="I1945">
        <f t="shared" si="121"/>
        <v>2</v>
      </c>
      <c r="J1945" t="str">
        <f t="shared" si="122"/>
        <v>Feb</v>
      </c>
      <c r="K1945" t="str">
        <f t="shared" si="123"/>
        <v>Thu</v>
      </c>
    </row>
    <row r="1946" spans="1:11" x14ac:dyDescent="0.35">
      <c r="A1946" s="1">
        <v>38387</v>
      </c>
      <c r="B1946">
        <v>1.7825000286102199</v>
      </c>
      <c r="C1946">
        <v>1.79900002479553</v>
      </c>
      <c r="D1946">
        <v>1.75950002670288</v>
      </c>
      <c r="E1946">
        <v>1.78600001335144</v>
      </c>
      <c r="F1946">
        <v>1.78600001335144</v>
      </c>
      <c r="G1946">
        <v>346094000</v>
      </c>
      <c r="H1946">
        <f t="shared" si="120"/>
        <v>2005</v>
      </c>
      <c r="I1946">
        <f t="shared" si="121"/>
        <v>2</v>
      </c>
      <c r="J1946" t="str">
        <f t="shared" si="122"/>
        <v>Feb</v>
      </c>
      <c r="K1946" t="str">
        <f t="shared" si="123"/>
        <v>Fri</v>
      </c>
    </row>
    <row r="1947" spans="1:11" x14ac:dyDescent="0.35">
      <c r="A1947" s="1">
        <v>38390</v>
      </c>
      <c r="B1947">
        <v>1.79100000858306</v>
      </c>
      <c r="C1947">
        <v>1.7920000553131099</v>
      </c>
      <c r="D1947">
        <v>1.7775000333786</v>
      </c>
      <c r="E1947">
        <v>1.7845000028610201</v>
      </c>
      <c r="F1947">
        <v>1.7845000028610201</v>
      </c>
      <c r="G1947">
        <v>142248000</v>
      </c>
      <c r="H1947">
        <f t="shared" si="120"/>
        <v>2005</v>
      </c>
      <c r="I1947">
        <f t="shared" si="121"/>
        <v>2</v>
      </c>
      <c r="J1947" t="str">
        <f t="shared" si="122"/>
        <v>Feb</v>
      </c>
      <c r="K1947" t="str">
        <f t="shared" si="123"/>
        <v>Mon</v>
      </c>
    </row>
    <row r="1948" spans="1:11" x14ac:dyDescent="0.35">
      <c r="A1948" s="1">
        <v>38391</v>
      </c>
      <c r="B1948">
        <v>1.77699995040893</v>
      </c>
      <c r="C1948">
        <v>1.82599997520446</v>
      </c>
      <c r="D1948">
        <v>1.77649998664855</v>
      </c>
      <c r="E1948">
        <v>1.8150000572204501</v>
      </c>
      <c r="F1948">
        <v>1.8150000572204501</v>
      </c>
      <c r="G1948">
        <v>192050000</v>
      </c>
      <c r="H1948">
        <f t="shared" si="120"/>
        <v>2005</v>
      </c>
      <c r="I1948">
        <f t="shared" si="121"/>
        <v>2</v>
      </c>
      <c r="J1948" t="str">
        <f t="shared" si="122"/>
        <v>Feb</v>
      </c>
      <c r="K1948" t="str">
        <f t="shared" si="123"/>
        <v>Tue</v>
      </c>
    </row>
    <row r="1949" spans="1:11" x14ac:dyDescent="0.35">
      <c r="A1949" s="1">
        <v>38392</v>
      </c>
      <c r="B1949">
        <v>1.82249999046325</v>
      </c>
      <c r="C1949">
        <v>1.8400000333786</v>
      </c>
      <c r="D1949">
        <v>1.7934999465942301</v>
      </c>
      <c r="E1949">
        <v>1.79449999332427</v>
      </c>
      <c r="F1949">
        <v>1.79449999332427</v>
      </c>
      <c r="G1949">
        <v>158776000</v>
      </c>
      <c r="H1949">
        <f t="shared" si="120"/>
        <v>2005</v>
      </c>
      <c r="I1949">
        <f t="shared" si="121"/>
        <v>2</v>
      </c>
      <c r="J1949" t="str">
        <f t="shared" si="122"/>
        <v>Feb</v>
      </c>
      <c r="K1949" t="str">
        <f t="shared" si="123"/>
        <v>Wed</v>
      </c>
    </row>
    <row r="1950" spans="1:11" x14ac:dyDescent="0.35">
      <c r="A1950" s="1">
        <v>38393</v>
      </c>
      <c r="B1950">
        <v>1.80350005626678</v>
      </c>
      <c r="C1950">
        <v>1.8055000305175699</v>
      </c>
      <c r="D1950">
        <v>1.77649998664855</v>
      </c>
      <c r="E1950">
        <v>1.7890000343322701</v>
      </c>
      <c r="F1950">
        <v>1.7890000343322701</v>
      </c>
      <c r="G1950">
        <v>159648000</v>
      </c>
      <c r="H1950">
        <f t="shared" si="120"/>
        <v>2005</v>
      </c>
      <c r="I1950">
        <f t="shared" si="121"/>
        <v>2</v>
      </c>
      <c r="J1950" t="str">
        <f t="shared" si="122"/>
        <v>Feb</v>
      </c>
      <c r="K1950" t="str">
        <f t="shared" si="123"/>
        <v>Thu</v>
      </c>
    </row>
    <row r="1951" spans="1:11" x14ac:dyDescent="0.35">
      <c r="A1951" s="1">
        <v>38394</v>
      </c>
      <c r="B1951">
        <v>1.7784999608993499</v>
      </c>
      <c r="C1951">
        <v>1.7975000143051101</v>
      </c>
      <c r="D1951">
        <v>1.75</v>
      </c>
      <c r="E1951">
        <v>1.7890000343322701</v>
      </c>
      <c r="F1951">
        <v>1.7890000343322701</v>
      </c>
      <c r="G1951">
        <v>156834000</v>
      </c>
      <c r="H1951">
        <f t="shared" si="120"/>
        <v>2005</v>
      </c>
      <c r="I1951">
        <f t="shared" si="121"/>
        <v>2</v>
      </c>
      <c r="J1951" t="str">
        <f t="shared" si="122"/>
        <v>Feb</v>
      </c>
      <c r="K1951" t="str">
        <f t="shared" si="123"/>
        <v>Fri</v>
      </c>
    </row>
    <row r="1952" spans="1:11" x14ac:dyDescent="0.35">
      <c r="A1952" s="1">
        <v>38397</v>
      </c>
      <c r="B1952">
        <v>1.7825000286102199</v>
      </c>
      <c r="C1952">
        <v>1.8315000534057599</v>
      </c>
      <c r="D1952">
        <v>1.7749999761581401</v>
      </c>
      <c r="E1952">
        <v>1.8014999628067001</v>
      </c>
      <c r="F1952">
        <v>1.8014999628067001</v>
      </c>
      <c r="G1952">
        <v>139662000</v>
      </c>
      <c r="H1952">
        <f t="shared" si="120"/>
        <v>2005</v>
      </c>
      <c r="I1952">
        <f t="shared" si="121"/>
        <v>2</v>
      </c>
      <c r="J1952" t="str">
        <f t="shared" si="122"/>
        <v>Feb</v>
      </c>
      <c r="K1952" t="str">
        <f t="shared" si="123"/>
        <v>Mon</v>
      </c>
    </row>
    <row r="1953" spans="1:11" x14ac:dyDescent="0.35">
      <c r="A1953" s="1">
        <v>38398</v>
      </c>
      <c r="B1953">
        <v>1.8105000257492001</v>
      </c>
      <c r="C1953">
        <v>1.82249999046325</v>
      </c>
      <c r="D1953">
        <v>1.7875000238418499</v>
      </c>
      <c r="E1953">
        <v>1.8070000410079901</v>
      </c>
      <c r="F1953">
        <v>1.8070000410079901</v>
      </c>
      <c r="G1953">
        <v>103554000</v>
      </c>
      <c r="H1953">
        <f t="shared" si="120"/>
        <v>2005</v>
      </c>
      <c r="I1953">
        <f t="shared" si="121"/>
        <v>2</v>
      </c>
      <c r="J1953" t="str">
        <f t="shared" si="122"/>
        <v>Feb</v>
      </c>
      <c r="K1953" t="str">
        <f t="shared" si="123"/>
        <v>Tue</v>
      </c>
    </row>
    <row r="1954" spans="1:11" x14ac:dyDescent="0.35">
      <c r="A1954" s="1">
        <v>38399</v>
      </c>
      <c r="B1954">
        <v>1.7964999675750699</v>
      </c>
      <c r="C1954">
        <v>1.81749999523162</v>
      </c>
      <c r="D1954">
        <v>1.7790000438690099</v>
      </c>
      <c r="E1954">
        <v>1.7829999923705999</v>
      </c>
      <c r="F1954">
        <v>1.7829999923705999</v>
      </c>
      <c r="G1954">
        <v>104596000</v>
      </c>
      <c r="H1954">
        <f t="shared" si="120"/>
        <v>2005</v>
      </c>
      <c r="I1954">
        <f t="shared" si="121"/>
        <v>2</v>
      </c>
      <c r="J1954" t="str">
        <f t="shared" si="122"/>
        <v>Feb</v>
      </c>
      <c r="K1954" t="str">
        <f t="shared" si="123"/>
        <v>Wed</v>
      </c>
    </row>
    <row r="1955" spans="1:11" x14ac:dyDescent="0.35">
      <c r="A1955" s="1">
        <v>38400</v>
      </c>
      <c r="B1955">
        <v>1.7869999408721899</v>
      </c>
      <c r="C1955">
        <v>1.7925000190734801</v>
      </c>
      <c r="D1955">
        <v>1.76250004768371</v>
      </c>
      <c r="E1955">
        <v>1.7845000028610201</v>
      </c>
      <c r="F1955">
        <v>1.7845000028610201</v>
      </c>
      <c r="G1955">
        <v>105962000</v>
      </c>
      <c r="H1955">
        <f t="shared" si="120"/>
        <v>2005</v>
      </c>
      <c r="I1955">
        <f t="shared" si="121"/>
        <v>2</v>
      </c>
      <c r="J1955" t="str">
        <f t="shared" si="122"/>
        <v>Feb</v>
      </c>
      <c r="K1955" t="str">
        <f t="shared" si="123"/>
        <v>Thu</v>
      </c>
    </row>
    <row r="1956" spans="1:11" x14ac:dyDescent="0.35">
      <c r="A1956" s="1">
        <v>38401</v>
      </c>
      <c r="B1956">
        <v>1.78050005435943</v>
      </c>
      <c r="C1956">
        <v>1.7875000238418499</v>
      </c>
      <c r="D1956">
        <v>1.75499999523162</v>
      </c>
      <c r="E1956">
        <v>1.7654999494552599</v>
      </c>
      <c r="F1956">
        <v>1.7654999494552599</v>
      </c>
      <c r="G1956">
        <v>90594000</v>
      </c>
      <c r="H1956">
        <f t="shared" si="120"/>
        <v>2005</v>
      </c>
      <c r="I1956">
        <f t="shared" si="121"/>
        <v>2</v>
      </c>
      <c r="J1956" t="str">
        <f t="shared" si="122"/>
        <v>Feb</v>
      </c>
      <c r="K1956" t="str">
        <f t="shared" si="123"/>
        <v>Fri</v>
      </c>
    </row>
    <row r="1957" spans="1:11" x14ac:dyDescent="0.35">
      <c r="A1957" s="1">
        <v>38405</v>
      </c>
      <c r="B1957">
        <v>1.7510000467300399</v>
      </c>
      <c r="C1957">
        <v>1.7695000171661299</v>
      </c>
      <c r="D1957">
        <v>1.7254999876022299</v>
      </c>
      <c r="E1957">
        <v>1.73599994182586</v>
      </c>
      <c r="F1957">
        <v>1.73599994182586</v>
      </c>
      <c r="G1957">
        <v>137114000</v>
      </c>
      <c r="H1957">
        <f t="shared" si="120"/>
        <v>2005</v>
      </c>
      <c r="I1957">
        <f t="shared" si="121"/>
        <v>2</v>
      </c>
      <c r="J1957" t="str">
        <f t="shared" si="122"/>
        <v>Feb</v>
      </c>
      <c r="K1957" t="str">
        <f t="shared" si="123"/>
        <v>Tue</v>
      </c>
    </row>
    <row r="1958" spans="1:11" x14ac:dyDescent="0.35">
      <c r="A1958" s="1">
        <v>38406</v>
      </c>
      <c r="B1958">
        <v>1.7474999427795399</v>
      </c>
      <c r="C1958">
        <v>1.7484999895095801</v>
      </c>
      <c r="D1958">
        <v>1.65999996662139</v>
      </c>
      <c r="E1958">
        <v>1.7070000171661299</v>
      </c>
      <c r="F1958">
        <v>1.7070000171661299</v>
      </c>
      <c r="G1958">
        <v>210008000</v>
      </c>
      <c r="H1958">
        <f t="shared" si="120"/>
        <v>2005</v>
      </c>
      <c r="I1958">
        <f t="shared" si="121"/>
        <v>2</v>
      </c>
      <c r="J1958" t="str">
        <f t="shared" si="122"/>
        <v>Feb</v>
      </c>
      <c r="K1958" t="str">
        <f t="shared" si="123"/>
        <v>Wed</v>
      </c>
    </row>
    <row r="1959" spans="1:11" x14ac:dyDescent="0.35">
      <c r="A1959" s="1">
        <v>38407</v>
      </c>
      <c r="B1959">
        <v>1.68299996852874</v>
      </c>
      <c r="C1959">
        <v>1.7424999475479099</v>
      </c>
      <c r="D1959">
        <v>1.68299996852874</v>
      </c>
      <c r="E1959">
        <v>1.7345000505447301</v>
      </c>
      <c r="F1959">
        <v>1.7345000505447301</v>
      </c>
      <c r="G1959">
        <v>167784000</v>
      </c>
      <c r="H1959">
        <f t="shared" si="120"/>
        <v>2005</v>
      </c>
      <c r="I1959">
        <f t="shared" si="121"/>
        <v>2</v>
      </c>
      <c r="J1959" t="str">
        <f t="shared" si="122"/>
        <v>Feb</v>
      </c>
      <c r="K1959" t="str">
        <f t="shared" si="123"/>
        <v>Thu</v>
      </c>
    </row>
    <row r="1960" spans="1:11" x14ac:dyDescent="0.35">
      <c r="A1960" s="1">
        <v>38408</v>
      </c>
      <c r="B1960">
        <v>1.73599994182586</v>
      </c>
      <c r="C1960">
        <v>1.7615000009536701</v>
      </c>
      <c r="D1960">
        <v>1.72399997711181</v>
      </c>
      <c r="E1960">
        <v>1.74950003623962</v>
      </c>
      <c r="F1960">
        <v>1.74950003623962</v>
      </c>
      <c r="G1960">
        <v>117646000</v>
      </c>
      <c r="H1960">
        <f t="shared" si="120"/>
        <v>2005</v>
      </c>
      <c r="I1960">
        <f t="shared" si="121"/>
        <v>2</v>
      </c>
      <c r="J1960" t="str">
        <f t="shared" si="122"/>
        <v>Feb</v>
      </c>
      <c r="K1960" t="str">
        <f t="shared" si="123"/>
        <v>Fri</v>
      </c>
    </row>
    <row r="1961" spans="1:11" x14ac:dyDescent="0.35">
      <c r="A1961" s="1">
        <v>38411</v>
      </c>
      <c r="B1961">
        <v>1.73599994182586</v>
      </c>
      <c r="C1961">
        <v>1.7829999923705999</v>
      </c>
      <c r="D1961">
        <v>1.7335000038146899</v>
      </c>
      <c r="E1961">
        <v>1.75899994373321</v>
      </c>
      <c r="F1961">
        <v>1.75899994373321</v>
      </c>
      <c r="G1961">
        <v>168458000</v>
      </c>
      <c r="H1961">
        <f t="shared" si="120"/>
        <v>2005</v>
      </c>
      <c r="I1961">
        <f t="shared" si="121"/>
        <v>2</v>
      </c>
      <c r="J1961" t="str">
        <f t="shared" si="122"/>
        <v>Feb</v>
      </c>
      <c r="K1961" t="str">
        <f t="shared" si="123"/>
        <v>Mon</v>
      </c>
    </row>
    <row r="1962" spans="1:11" x14ac:dyDescent="0.35">
      <c r="A1962" s="1">
        <v>38412</v>
      </c>
      <c r="B1962">
        <v>1.7530000209808301</v>
      </c>
      <c r="C1962">
        <v>1.7704999446868801</v>
      </c>
      <c r="D1962">
        <v>1.74100005626678</v>
      </c>
      <c r="E1962">
        <v>1.7695000171661299</v>
      </c>
      <c r="F1962">
        <v>1.7695000171661299</v>
      </c>
      <c r="G1962">
        <v>116380000</v>
      </c>
      <c r="H1962">
        <f t="shared" si="120"/>
        <v>2005</v>
      </c>
      <c r="I1962">
        <f t="shared" si="121"/>
        <v>3</v>
      </c>
      <c r="J1962" t="str">
        <f t="shared" si="122"/>
        <v>Mar</v>
      </c>
      <c r="K1962" t="str">
        <f t="shared" si="123"/>
        <v>Tue</v>
      </c>
    </row>
    <row r="1963" spans="1:11" x14ac:dyDescent="0.35">
      <c r="A1963" s="1">
        <v>38413</v>
      </c>
      <c r="B1963">
        <v>1.7695000171661299</v>
      </c>
      <c r="C1963">
        <v>1.7964999675750699</v>
      </c>
      <c r="D1963">
        <v>1.75349998474121</v>
      </c>
      <c r="E1963">
        <v>1.7749999761581401</v>
      </c>
      <c r="F1963">
        <v>1.7749999761581401</v>
      </c>
      <c r="G1963">
        <v>97434000</v>
      </c>
      <c r="H1963">
        <f t="shared" si="120"/>
        <v>2005</v>
      </c>
      <c r="I1963">
        <f t="shared" si="121"/>
        <v>3</v>
      </c>
      <c r="J1963" t="str">
        <f t="shared" si="122"/>
        <v>Mar</v>
      </c>
      <c r="K1963" t="str">
        <f t="shared" si="123"/>
        <v>Wed</v>
      </c>
    </row>
    <row r="1964" spans="1:11" x14ac:dyDescent="0.35">
      <c r="A1964" s="1">
        <v>38414</v>
      </c>
      <c r="B1964">
        <v>1.7749999761581401</v>
      </c>
      <c r="C1964">
        <v>1.7979999780654901</v>
      </c>
      <c r="D1964">
        <v>1.7699999809265099</v>
      </c>
      <c r="E1964">
        <v>1.7825000286102199</v>
      </c>
      <c r="F1964">
        <v>1.7825000286102199</v>
      </c>
      <c r="G1964">
        <v>100512000</v>
      </c>
      <c r="H1964">
        <f t="shared" si="120"/>
        <v>2005</v>
      </c>
      <c r="I1964">
        <f t="shared" si="121"/>
        <v>3</v>
      </c>
      <c r="J1964" t="str">
        <f t="shared" si="122"/>
        <v>Mar</v>
      </c>
      <c r="K1964" t="str">
        <f t="shared" si="123"/>
        <v>Thu</v>
      </c>
    </row>
    <row r="1965" spans="1:11" x14ac:dyDescent="0.35">
      <c r="A1965" s="1">
        <v>38415</v>
      </c>
      <c r="B1965">
        <v>1.7920000553131099</v>
      </c>
      <c r="C1965">
        <v>1.8155000209808301</v>
      </c>
      <c r="D1965">
        <v>1.78499996662139</v>
      </c>
      <c r="E1965">
        <v>1.7925000190734801</v>
      </c>
      <c r="F1965">
        <v>1.7925000190734801</v>
      </c>
      <c r="G1965">
        <v>110914000</v>
      </c>
      <c r="H1965">
        <f t="shared" si="120"/>
        <v>2005</v>
      </c>
      <c r="I1965">
        <f t="shared" si="121"/>
        <v>3</v>
      </c>
      <c r="J1965" t="str">
        <f t="shared" si="122"/>
        <v>Mar</v>
      </c>
      <c r="K1965" t="str">
        <f t="shared" si="123"/>
        <v>Fri</v>
      </c>
    </row>
    <row r="1966" spans="1:11" x14ac:dyDescent="0.35">
      <c r="A1966" s="1">
        <v>38418</v>
      </c>
      <c r="B1966">
        <v>1.7970000505447301</v>
      </c>
      <c r="C1966">
        <v>1.8200000524520801</v>
      </c>
      <c r="D1966">
        <v>1.79050004482269</v>
      </c>
      <c r="E1966">
        <v>1.81599998474121</v>
      </c>
      <c r="F1966">
        <v>1.81599998474121</v>
      </c>
      <c r="G1966">
        <v>71718000</v>
      </c>
      <c r="H1966">
        <f t="shared" si="120"/>
        <v>2005</v>
      </c>
      <c r="I1966">
        <f t="shared" si="121"/>
        <v>3</v>
      </c>
      <c r="J1966" t="str">
        <f t="shared" si="122"/>
        <v>Mar</v>
      </c>
      <c r="K1966" t="str">
        <f t="shared" si="123"/>
        <v>Mon</v>
      </c>
    </row>
    <row r="1967" spans="1:11" x14ac:dyDescent="0.35">
      <c r="A1967" s="1">
        <v>38419</v>
      </c>
      <c r="B1967">
        <v>1.8155000209808301</v>
      </c>
      <c r="C1967">
        <v>1.82149994373321</v>
      </c>
      <c r="D1967">
        <v>1.7875000238418499</v>
      </c>
      <c r="E1967">
        <v>1.7914999723434399</v>
      </c>
      <c r="F1967">
        <v>1.7914999723434399</v>
      </c>
      <c r="G1967">
        <v>95858000</v>
      </c>
      <c r="H1967">
        <f t="shared" si="120"/>
        <v>2005</v>
      </c>
      <c r="I1967">
        <f t="shared" si="121"/>
        <v>3</v>
      </c>
      <c r="J1967" t="str">
        <f t="shared" si="122"/>
        <v>Mar</v>
      </c>
      <c r="K1967" t="str">
        <f t="shared" si="123"/>
        <v>Tue</v>
      </c>
    </row>
    <row r="1968" spans="1:11" x14ac:dyDescent="0.35">
      <c r="A1968" s="1">
        <v>38420</v>
      </c>
      <c r="B1968">
        <v>1.7869999408721899</v>
      </c>
      <c r="C1968">
        <v>1.7964999675750699</v>
      </c>
      <c r="D1968">
        <v>1.74500000476837</v>
      </c>
      <c r="E1968">
        <v>1.7699999809265099</v>
      </c>
      <c r="F1968">
        <v>1.7699999809265099</v>
      </c>
      <c r="G1968">
        <v>148246000</v>
      </c>
      <c r="H1968">
        <f t="shared" si="120"/>
        <v>2005</v>
      </c>
      <c r="I1968">
        <f t="shared" si="121"/>
        <v>3</v>
      </c>
      <c r="J1968" t="str">
        <f t="shared" si="122"/>
        <v>Mar</v>
      </c>
      <c r="K1968" t="str">
        <f t="shared" si="123"/>
        <v>Wed</v>
      </c>
    </row>
    <row r="1969" spans="1:11" x14ac:dyDescent="0.35">
      <c r="A1969" s="1">
        <v>38421</v>
      </c>
      <c r="B1969">
        <v>1.7654999494552599</v>
      </c>
      <c r="C1969">
        <v>1.78550004959106</v>
      </c>
      <c r="D1969">
        <v>1.72850000858306</v>
      </c>
      <c r="E1969">
        <v>1.74549996852874</v>
      </c>
      <c r="F1969">
        <v>1.74549996852874</v>
      </c>
      <c r="G1969">
        <v>117446000</v>
      </c>
      <c r="H1969">
        <f t="shared" si="120"/>
        <v>2005</v>
      </c>
      <c r="I1969">
        <f t="shared" si="121"/>
        <v>3</v>
      </c>
      <c r="J1969" t="str">
        <f t="shared" si="122"/>
        <v>Mar</v>
      </c>
      <c r="K1969" t="str">
        <f t="shared" si="123"/>
        <v>Thu</v>
      </c>
    </row>
    <row r="1970" spans="1:11" x14ac:dyDescent="0.35">
      <c r="A1970" s="1">
        <v>38422</v>
      </c>
      <c r="B1970">
        <v>1.74049997329711</v>
      </c>
      <c r="C1970">
        <v>1.7434999942779501</v>
      </c>
      <c r="D1970">
        <v>1.7024999856948799</v>
      </c>
      <c r="E1970">
        <v>1.73749995231628</v>
      </c>
      <c r="F1970">
        <v>1.73749995231628</v>
      </c>
      <c r="G1970">
        <v>160206000</v>
      </c>
      <c r="H1970">
        <f t="shared" si="120"/>
        <v>2005</v>
      </c>
      <c r="I1970">
        <f t="shared" si="121"/>
        <v>3</v>
      </c>
      <c r="J1970" t="str">
        <f t="shared" si="122"/>
        <v>Mar</v>
      </c>
      <c r="K1970" t="str">
        <f t="shared" si="123"/>
        <v>Fri</v>
      </c>
    </row>
    <row r="1971" spans="1:11" x14ac:dyDescent="0.35">
      <c r="A1971" s="1">
        <v>38425</v>
      </c>
      <c r="B1971">
        <v>1.7335000038146899</v>
      </c>
      <c r="C1971">
        <v>1.73749995231628</v>
      </c>
      <c r="D1971">
        <v>1.70000004768371</v>
      </c>
      <c r="E1971">
        <v>1.7300000190734801</v>
      </c>
      <c r="F1971">
        <v>1.7300000190734801</v>
      </c>
      <c r="G1971">
        <v>108670000</v>
      </c>
      <c r="H1971">
        <f t="shared" si="120"/>
        <v>2005</v>
      </c>
      <c r="I1971">
        <f t="shared" si="121"/>
        <v>3</v>
      </c>
      <c r="J1971" t="str">
        <f t="shared" si="122"/>
        <v>Mar</v>
      </c>
      <c r="K1971" t="str">
        <f t="shared" si="123"/>
        <v>Mon</v>
      </c>
    </row>
    <row r="1972" spans="1:11" x14ac:dyDescent="0.35">
      <c r="A1972" s="1">
        <v>38426</v>
      </c>
      <c r="B1972">
        <v>1.7289999723434399</v>
      </c>
      <c r="C1972">
        <v>1.7424999475479099</v>
      </c>
      <c r="D1972">
        <v>1.6950000524520801</v>
      </c>
      <c r="E1972">
        <v>1.70899999141693</v>
      </c>
      <c r="F1972">
        <v>1.70899999141693</v>
      </c>
      <c r="G1972">
        <v>101412000</v>
      </c>
      <c r="H1972">
        <f t="shared" si="120"/>
        <v>2005</v>
      </c>
      <c r="I1972">
        <f t="shared" si="121"/>
        <v>3</v>
      </c>
      <c r="J1972" t="str">
        <f t="shared" si="122"/>
        <v>Mar</v>
      </c>
      <c r="K1972" t="str">
        <f t="shared" si="123"/>
        <v>Tue</v>
      </c>
    </row>
    <row r="1973" spans="1:11" x14ac:dyDescent="0.35">
      <c r="A1973" s="1">
        <v>38427</v>
      </c>
      <c r="B1973">
        <v>1.6940000057220399</v>
      </c>
      <c r="C1973">
        <v>1.7220000028610201</v>
      </c>
      <c r="D1973">
        <v>1.6799999475479099</v>
      </c>
      <c r="E1973">
        <v>1.6935000419616699</v>
      </c>
      <c r="F1973">
        <v>1.6935000419616699</v>
      </c>
      <c r="G1973">
        <v>107400000</v>
      </c>
      <c r="H1973">
        <f t="shared" si="120"/>
        <v>2005</v>
      </c>
      <c r="I1973">
        <f t="shared" si="121"/>
        <v>3</v>
      </c>
      <c r="J1973" t="str">
        <f t="shared" si="122"/>
        <v>Mar</v>
      </c>
      <c r="K1973" t="str">
        <f t="shared" si="123"/>
        <v>Wed</v>
      </c>
    </row>
    <row r="1974" spans="1:11" x14ac:dyDescent="0.35">
      <c r="A1974" s="1">
        <v>38428</v>
      </c>
      <c r="B1974">
        <v>1.67900002002716</v>
      </c>
      <c r="C1974">
        <v>1.7220000028610201</v>
      </c>
      <c r="D1974">
        <v>1.67900002002716</v>
      </c>
      <c r="E1974">
        <v>1.6985000371932899</v>
      </c>
      <c r="F1974">
        <v>1.6985000371932899</v>
      </c>
      <c r="G1974">
        <v>97160000</v>
      </c>
      <c r="H1974">
        <f t="shared" si="120"/>
        <v>2005</v>
      </c>
      <c r="I1974">
        <f t="shared" si="121"/>
        <v>3</v>
      </c>
      <c r="J1974" t="str">
        <f t="shared" si="122"/>
        <v>Mar</v>
      </c>
      <c r="K1974" t="str">
        <f t="shared" si="123"/>
        <v>Thu</v>
      </c>
    </row>
    <row r="1975" spans="1:11" x14ac:dyDescent="0.35">
      <c r="A1975" s="1">
        <v>38429</v>
      </c>
      <c r="B1975">
        <v>1.7074999809265099</v>
      </c>
      <c r="C1975">
        <v>1.71399998664855</v>
      </c>
      <c r="D1975">
        <v>1.68250000476837</v>
      </c>
      <c r="E1975">
        <v>1.7079999446868801</v>
      </c>
      <c r="F1975">
        <v>1.7079999446868801</v>
      </c>
      <c r="G1975">
        <v>105894000</v>
      </c>
      <c r="H1975">
        <f t="shared" si="120"/>
        <v>2005</v>
      </c>
      <c r="I1975">
        <f t="shared" si="121"/>
        <v>3</v>
      </c>
      <c r="J1975" t="str">
        <f t="shared" si="122"/>
        <v>Mar</v>
      </c>
      <c r="K1975" t="str">
        <f t="shared" si="123"/>
        <v>Fri</v>
      </c>
    </row>
    <row r="1976" spans="1:11" x14ac:dyDescent="0.35">
      <c r="A1976" s="1">
        <v>38432</v>
      </c>
      <c r="B1976">
        <v>1.71050000190734</v>
      </c>
      <c r="C1976">
        <v>1.7315000295639</v>
      </c>
      <c r="D1976">
        <v>1.6770000457763601</v>
      </c>
      <c r="E1976">
        <v>1.68350005149841</v>
      </c>
      <c r="F1976">
        <v>1.68350005149841</v>
      </c>
      <c r="G1976">
        <v>121688000</v>
      </c>
      <c r="H1976">
        <f t="shared" si="120"/>
        <v>2005</v>
      </c>
      <c r="I1976">
        <f t="shared" si="121"/>
        <v>3</v>
      </c>
      <c r="J1976" t="str">
        <f t="shared" si="122"/>
        <v>Mar</v>
      </c>
      <c r="K1976" t="str">
        <f t="shared" si="123"/>
        <v>Mon</v>
      </c>
    </row>
    <row r="1977" spans="1:11" x14ac:dyDescent="0.35">
      <c r="A1977" s="1">
        <v>38433</v>
      </c>
      <c r="B1977">
        <v>1.6849999427795399</v>
      </c>
      <c r="C1977">
        <v>1.69700002670288</v>
      </c>
      <c r="D1977">
        <v>1.6534999608993499</v>
      </c>
      <c r="E1977">
        <v>1.6575000286102199</v>
      </c>
      <c r="F1977">
        <v>1.6575000286102199</v>
      </c>
      <c r="G1977">
        <v>109814000</v>
      </c>
      <c r="H1977">
        <f t="shared" si="120"/>
        <v>2005</v>
      </c>
      <c r="I1977">
        <f t="shared" si="121"/>
        <v>3</v>
      </c>
      <c r="J1977" t="str">
        <f t="shared" si="122"/>
        <v>Mar</v>
      </c>
      <c r="K1977" t="str">
        <f t="shared" si="123"/>
        <v>Tue</v>
      </c>
    </row>
    <row r="1978" spans="1:11" x14ac:dyDescent="0.35">
      <c r="A1978" s="1">
        <v>38434</v>
      </c>
      <c r="B1978">
        <v>1.6545000076293901</v>
      </c>
      <c r="C1978">
        <v>1.69200003147125</v>
      </c>
      <c r="D1978">
        <v>1.6410000324249201</v>
      </c>
      <c r="E1978">
        <v>1.6590000391006401</v>
      </c>
      <c r="F1978">
        <v>1.6590000391006401</v>
      </c>
      <c r="G1978">
        <v>126474000</v>
      </c>
      <c r="H1978">
        <f t="shared" si="120"/>
        <v>2005</v>
      </c>
      <c r="I1978">
        <f t="shared" si="121"/>
        <v>3</v>
      </c>
      <c r="J1978" t="str">
        <f t="shared" si="122"/>
        <v>Mar</v>
      </c>
      <c r="K1978" t="str">
        <f t="shared" si="123"/>
        <v>Wed</v>
      </c>
    </row>
    <row r="1979" spans="1:11" x14ac:dyDescent="0.35">
      <c r="A1979" s="1">
        <v>38435</v>
      </c>
      <c r="B1979">
        <v>1.66999995708465</v>
      </c>
      <c r="C1979">
        <v>1.6940000057220399</v>
      </c>
      <c r="D1979">
        <v>1.64349997043609</v>
      </c>
      <c r="E1979">
        <v>1.6440000534057599</v>
      </c>
      <c r="F1979">
        <v>1.6440000534057599</v>
      </c>
      <c r="G1979">
        <v>106746000</v>
      </c>
      <c r="H1979">
        <f t="shared" si="120"/>
        <v>2005</v>
      </c>
      <c r="I1979">
        <f t="shared" si="121"/>
        <v>3</v>
      </c>
      <c r="J1979" t="str">
        <f t="shared" si="122"/>
        <v>Mar</v>
      </c>
      <c r="K1979" t="str">
        <f t="shared" si="123"/>
        <v>Thu</v>
      </c>
    </row>
    <row r="1980" spans="1:11" x14ac:dyDescent="0.35">
      <c r="A1980" s="1">
        <v>38439</v>
      </c>
      <c r="B1980">
        <v>1.6549999713897701</v>
      </c>
      <c r="C1980">
        <v>1.68250000476837</v>
      </c>
      <c r="D1980">
        <v>1.65100002288818</v>
      </c>
      <c r="E1980">
        <v>1.66949999332427</v>
      </c>
      <c r="F1980">
        <v>1.66949999332427</v>
      </c>
      <c r="G1980">
        <v>86532000</v>
      </c>
      <c r="H1980">
        <f t="shared" si="120"/>
        <v>2005</v>
      </c>
      <c r="I1980">
        <f t="shared" si="121"/>
        <v>3</v>
      </c>
      <c r="J1980" t="str">
        <f t="shared" si="122"/>
        <v>Mar</v>
      </c>
      <c r="K1980" t="str">
        <f t="shared" si="123"/>
        <v>Mon</v>
      </c>
    </row>
    <row r="1981" spans="1:11" x14ac:dyDescent="0.35">
      <c r="A1981" s="1">
        <v>38440</v>
      </c>
      <c r="B1981">
        <v>1.6640000343322701</v>
      </c>
      <c r="C1981">
        <v>1.7074999809265099</v>
      </c>
      <c r="D1981">
        <v>1.66149997711181</v>
      </c>
      <c r="E1981">
        <v>1.6714999675750699</v>
      </c>
      <c r="F1981">
        <v>1.6714999675750699</v>
      </c>
      <c r="G1981">
        <v>122746000</v>
      </c>
      <c r="H1981">
        <f t="shared" si="120"/>
        <v>2005</v>
      </c>
      <c r="I1981">
        <f t="shared" si="121"/>
        <v>3</v>
      </c>
      <c r="J1981" t="str">
        <f t="shared" si="122"/>
        <v>Mar</v>
      </c>
      <c r="K1981" t="str">
        <f t="shared" si="123"/>
        <v>Tue</v>
      </c>
    </row>
    <row r="1982" spans="1:11" x14ac:dyDescent="0.35">
      <c r="A1982" s="1">
        <v>38441</v>
      </c>
      <c r="B1982">
        <v>1.67949998378753</v>
      </c>
      <c r="C1982">
        <v>1.7259999513626001</v>
      </c>
      <c r="D1982">
        <v>1.6755000352859399</v>
      </c>
      <c r="E1982">
        <v>1.7159999608993499</v>
      </c>
      <c r="F1982">
        <v>1.7159999608993499</v>
      </c>
      <c r="G1982">
        <v>106996000</v>
      </c>
      <c r="H1982">
        <f t="shared" si="120"/>
        <v>2005</v>
      </c>
      <c r="I1982">
        <f t="shared" si="121"/>
        <v>3</v>
      </c>
      <c r="J1982" t="str">
        <f t="shared" si="122"/>
        <v>Mar</v>
      </c>
      <c r="K1982" t="str">
        <f t="shared" si="123"/>
        <v>Wed</v>
      </c>
    </row>
    <row r="1983" spans="1:11" x14ac:dyDescent="0.35">
      <c r="A1983" s="1">
        <v>38442</v>
      </c>
      <c r="B1983">
        <v>1.7244999408721899</v>
      </c>
      <c r="C1983">
        <v>1.72749996185302</v>
      </c>
      <c r="D1983">
        <v>1.70000004768371</v>
      </c>
      <c r="E1983">
        <v>1.71350002288818</v>
      </c>
      <c r="F1983">
        <v>1.71350002288818</v>
      </c>
      <c r="G1983">
        <v>71086000</v>
      </c>
      <c r="H1983">
        <f t="shared" si="120"/>
        <v>2005</v>
      </c>
      <c r="I1983">
        <f t="shared" si="121"/>
        <v>3</v>
      </c>
      <c r="J1983" t="str">
        <f t="shared" si="122"/>
        <v>Mar</v>
      </c>
      <c r="K1983" t="str">
        <f t="shared" si="123"/>
        <v>Thu</v>
      </c>
    </row>
    <row r="1984" spans="1:11" x14ac:dyDescent="0.35">
      <c r="A1984" s="1">
        <v>38443</v>
      </c>
      <c r="B1984">
        <v>1.7315000295639</v>
      </c>
      <c r="C1984">
        <v>1.7354999780654901</v>
      </c>
      <c r="D1984">
        <v>1.6890000104904099</v>
      </c>
      <c r="E1984">
        <v>1.70050001144409</v>
      </c>
      <c r="F1984">
        <v>1.70050001144409</v>
      </c>
      <c r="G1984">
        <v>100368000</v>
      </c>
      <c r="H1984">
        <f t="shared" si="120"/>
        <v>2005</v>
      </c>
      <c r="I1984">
        <f t="shared" si="121"/>
        <v>4</v>
      </c>
      <c r="J1984" t="str">
        <f t="shared" si="122"/>
        <v>Apr</v>
      </c>
      <c r="K1984" t="str">
        <f t="shared" si="123"/>
        <v>Fri</v>
      </c>
    </row>
    <row r="1985" spans="1:11" x14ac:dyDescent="0.35">
      <c r="A1985" s="1">
        <v>38446</v>
      </c>
      <c r="B1985">
        <v>1.70000004768371</v>
      </c>
      <c r="C1985">
        <v>1.75899994373321</v>
      </c>
      <c r="D1985">
        <v>1.6905000209808301</v>
      </c>
      <c r="E1985">
        <v>1.75</v>
      </c>
      <c r="F1985">
        <v>1.75</v>
      </c>
      <c r="G1985">
        <v>146844000</v>
      </c>
      <c r="H1985">
        <f t="shared" si="120"/>
        <v>2005</v>
      </c>
      <c r="I1985">
        <f t="shared" si="121"/>
        <v>4</v>
      </c>
      <c r="J1985" t="str">
        <f t="shared" si="122"/>
        <v>Apr</v>
      </c>
      <c r="K1985" t="str">
        <f t="shared" si="123"/>
        <v>Mon</v>
      </c>
    </row>
    <row r="1986" spans="1:11" x14ac:dyDescent="0.35">
      <c r="A1986" s="1">
        <v>38447</v>
      </c>
      <c r="B1986">
        <v>1.7615000009536701</v>
      </c>
      <c r="C1986">
        <v>1.7669999599456701</v>
      </c>
      <c r="D1986">
        <v>1.74950003623962</v>
      </c>
      <c r="E1986">
        <v>1.76400005817413</v>
      </c>
      <c r="F1986">
        <v>1.76400005817413</v>
      </c>
      <c r="G1986">
        <v>98660000</v>
      </c>
      <c r="H1986">
        <f t="shared" si="120"/>
        <v>2005</v>
      </c>
      <c r="I1986">
        <f t="shared" si="121"/>
        <v>4</v>
      </c>
      <c r="J1986" t="str">
        <f t="shared" si="122"/>
        <v>Apr</v>
      </c>
      <c r="K1986" t="str">
        <f t="shared" si="123"/>
        <v>Tue</v>
      </c>
    </row>
    <row r="1987" spans="1:11" x14ac:dyDescent="0.35">
      <c r="A1987" s="1">
        <v>38448</v>
      </c>
      <c r="B1987">
        <v>1.75499999523162</v>
      </c>
      <c r="C1987">
        <v>1.75999999046325</v>
      </c>
      <c r="D1987">
        <v>1.7309999465942301</v>
      </c>
      <c r="E1987">
        <v>1.74100005626678</v>
      </c>
      <c r="F1987">
        <v>1.74100005626678</v>
      </c>
      <c r="G1987">
        <v>105522000</v>
      </c>
      <c r="H1987">
        <f t="shared" si="120"/>
        <v>2005</v>
      </c>
      <c r="I1987">
        <f t="shared" si="121"/>
        <v>4</v>
      </c>
      <c r="J1987" t="str">
        <f t="shared" si="122"/>
        <v>Apr</v>
      </c>
      <c r="K1987" t="str">
        <f t="shared" si="123"/>
        <v>Wed</v>
      </c>
    </row>
    <row r="1988" spans="1:11" x14ac:dyDescent="0.35">
      <c r="A1988" s="1">
        <v>38449</v>
      </c>
      <c r="B1988">
        <v>1.7339999675750699</v>
      </c>
      <c r="C1988">
        <v>1.74600005149841</v>
      </c>
      <c r="D1988">
        <v>1.7250000238418499</v>
      </c>
      <c r="E1988">
        <v>1.74500000476837</v>
      </c>
      <c r="F1988">
        <v>1.74500000476837</v>
      </c>
      <c r="G1988">
        <v>76146000</v>
      </c>
      <c r="H1988">
        <f t="shared" ref="H1988:H2051" si="124">YEAR($A1988)</f>
        <v>2005</v>
      </c>
      <c r="I1988">
        <f t="shared" ref="I1988:I2051" si="125">MONTH($A1988)</f>
        <v>4</v>
      </c>
      <c r="J1988" t="str">
        <f t="shared" ref="J1988:J2051" si="126">TEXT($A1988,"mmm")</f>
        <v>Apr</v>
      </c>
      <c r="K1988" t="str">
        <f t="shared" ref="K1988:K2051" si="127">TEXT($A1988,"ddd")</f>
        <v>Thu</v>
      </c>
    </row>
    <row r="1989" spans="1:11" x14ac:dyDescent="0.35">
      <c r="A1989" s="1">
        <v>38450</v>
      </c>
      <c r="B1989">
        <v>1.73749995231628</v>
      </c>
      <c r="C1989">
        <v>1.74650001525878</v>
      </c>
      <c r="D1989">
        <v>1.72850000858306</v>
      </c>
      <c r="E1989">
        <v>1.7300000190734801</v>
      </c>
      <c r="F1989">
        <v>1.7300000190734801</v>
      </c>
      <c r="G1989">
        <v>60260000</v>
      </c>
      <c r="H1989">
        <f t="shared" si="124"/>
        <v>2005</v>
      </c>
      <c r="I1989">
        <f t="shared" si="125"/>
        <v>4</v>
      </c>
      <c r="J1989" t="str">
        <f t="shared" si="126"/>
        <v>Apr</v>
      </c>
      <c r="K1989" t="str">
        <f t="shared" si="127"/>
        <v>Fri</v>
      </c>
    </row>
    <row r="1990" spans="1:11" x14ac:dyDescent="0.35">
      <c r="A1990" s="1">
        <v>38453</v>
      </c>
      <c r="B1990">
        <v>1.7300000190734801</v>
      </c>
      <c r="C1990">
        <v>1.75</v>
      </c>
      <c r="D1990">
        <v>1.71800005435943</v>
      </c>
      <c r="E1990">
        <v>1.7300000190734801</v>
      </c>
      <c r="F1990">
        <v>1.7300000190734801</v>
      </c>
      <c r="G1990">
        <v>65062000</v>
      </c>
      <c r="H1990">
        <f t="shared" si="124"/>
        <v>2005</v>
      </c>
      <c r="I1990">
        <f t="shared" si="125"/>
        <v>4</v>
      </c>
      <c r="J1990" t="str">
        <f t="shared" si="126"/>
        <v>Apr</v>
      </c>
      <c r="K1990" t="str">
        <f t="shared" si="127"/>
        <v>Mon</v>
      </c>
    </row>
    <row r="1991" spans="1:11" x14ac:dyDescent="0.35">
      <c r="A1991" s="1">
        <v>38454</v>
      </c>
      <c r="B1991">
        <v>1.7200000286102199</v>
      </c>
      <c r="C1991">
        <v>1.73199999332427</v>
      </c>
      <c r="D1991">
        <v>1.68299996852874</v>
      </c>
      <c r="E1991">
        <v>1.7315000295639</v>
      </c>
      <c r="F1991">
        <v>1.7315000295639</v>
      </c>
      <c r="G1991">
        <v>123944000</v>
      </c>
      <c r="H1991">
        <f t="shared" si="124"/>
        <v>2005</v>
      </c>
      <c r="I1991">
        <f t="shared" si="125"/>
        <v>4</v>
      </c>
      <c r="J1991" t="str">
        <f t="shared" si="126"/>
        <v>Apr</v>
      </c>
      <c r="K1991" t="str">
        <f t="shared" si="127"/>
        <v>Tue</v>
      </c>
    </row>
    <row r="1992" spans="1:11" x14ac:dyDescent="0.35">
      <c r="A1992" s="1">
        <v>38455</v>
      </c>
      <c r="B1992">
        <v>1.7174999713897701</v>
      </c>
      <c r="C1992">
        <v>1.7354999780654901</v>
      </c>
      <c r="D1992">
        <v>1.7074999809265099</v>
      </c>
      <c r="E1992">
        <v>1.7150000333786</v>
      </c>
      <c r="F1992">
        <v>1.7150000333786</v>
      </c>
      <c r="G1992">
        <v>82502000</v>
      </c>
      <c r="H1992">
        <f t="shared" si="124"/>
        <v>2005</v>
      </c>
      <c r="I1992">
        <f t="shared" si="125"/>
        <v>4</v>
      </c>
      <c r="J1992" t="str">
        <f t="shared" si="126"/>
        <v>Apr</v>
      </c>
      <c r="K1992" t="str">
        <f t="shared" si="127"/>
        <v>Wed</v>
      </c>
    </row>
    <row r="1993" spans="1:11" x14ac:dyDescent="0.35">
      <c r="A1993" s="1">
        <v>38456</v>
      </c>
      <c r="B1993">
        <v>1.7130000591278001</v>
      </c>
      <c r="C1993">
        <v>1.7250000238418499</v>
      </c>
      <c r="D1993">
        <v>1.6940000057220399</v>
      </c>
      <c r="E1993">
        <v>1.6985000371932899</v>
      </c>
      <c r="F1993">
        <v>1.6985000371932899</v>
      </c>
      <c r="G1993">
        <v>83568000</v>
      </c>
      <c r="H1993">
        <f t="shared" si="124"/>
        <v>2005</v>
      </c>
      <c r="I1993">
        <f t="shared" si="125"/>
        <v>4</v>
      </c>
      <c r="J1993" t="str">
        <f t="shared" si="126"/>
        <v>Apr</v>
      </c>
      <c r="K1993" t="str">
        <f t="shared" si="127"/>
        <v>Thu</v>
      </c>
    </row>
    <row r="1994" spans="1:11" x14ac:dyDescent="0.35">
      <c r="A1994" s="1">
        <v>38457</v>
      </c>
      <c r="B1994">
        <v>1.6979999542236299</v>
      </c>
      <c r="C1994">
        <v>1.70000004768371</v>
      </c>
      <c r="D1994">
        <v>1.65100002288818</v>
      </c>
      <c r="E1994">
        <v>1.65100002288818</v>
      </c>
      <c r="F1994">
        <v>1.65100002288818</v>
      </c>
      <c r="G1994">
        <v>119700000</v>
      </c>
      <c r="H1994">
        <f t="shared" si="124"/>
        <v>2005</v>
      </c>
      <c r="I1994">
        <f t="shared" si="125"/>
        <v>4</v>
      </c>
      <c r="J1994" t="str">
        <f t="shared" si="126"/>
        <v>Apr</v>
      </c>
      <c r="K1994" t="str">
        <f t="shared" si="127"/>
        <v>Fri</v>
      </c>
    </row>
    <row r="1995" spans="1:11" x14ac:dyDescent="0.35">
      <c r="A1995" s="1">
        <v>38460</v>
      </c>
      <c r="B1995">
        <v>1.6449999809265099</v>
      </c>
      <c r="C1995">
        <v>1.67900002002716</v>
      </c>
      <c r="D1995">
        <v>1.6419999599456701</v>
      </c>
      <c r="E1995">
        <v>1.6499999761581401</v>
      </c>
      <c r="F1995">
        <v>1.6499999761581401</v>
      </c>
      <c r="G1995">
        <v>138340000</v>
      </c>
      <c r="H1995">
        <f t="shared" si="124"/>
        <v>2005</v>
      </c>
      <c r="I1995">
        <f t="shared" si="125"/>
        <v>4</v>
      </c>
      <c r="J1995" t="str">
        <f t="shared" si="126"/>
        <v>Apr</v>
      </c>
      <c r="K1995" t="str">
        <f t="shared" si="127"/>
        <v>Mon</v>
      </c>
    </row>
    <row r="1996" spans="1:11" x14ac:dyDescent="0.35">
      <c r="A1996" s="1">
        <v>38461</v>
      </c>
      <c r="B1996">
        <v>1.6590000391006401</v>
      </c>
      <c r="C1996">
        <v>1.6684999465942301</v>
      </c>
      <c r="D1996">
        <v>1.6004999876022299</v>
      </c>
      <c r="E1996">
        <v>1.63900005817413</v>
      </c>
      <c r="F1996">
        <v>1.63900005817413</v>
      </c>
      <c r="G1996">
        <v>132388000</v>
      </c>
      <c r="H1996">
        <f t="shared" si="124"/>
        <v>2005</v>
      </c>
      <c r="I1996">
        <f t="shared" si="125"/>
        <v>4</v>
      </c>
      <c r="J1996" t="str">
        <f t="shared" si="126"/>
        <v>Apr</v>
      </c>
      <c r="K1996" t="str">
        <f t="shared" si="127"/>
        <v>Tue</v>
      </c>
    </row>
    <row r="1997" spans="1:11" x14ac:dyDescent="0.35">
      <c r="A1997" s="1">
        <v>38462</v>
      </c>
      <c r="B1997">
        <v>1.6549999713897701</v>
      </c>
      <c r="C1997">
        <v>1.68799996376037</v>
      </c>
      <c r="D1997">
        <v>1.6449999809265099</v>
      </c>
      <c r="E1997">
        <v>1.6625000238418499</v>
      </c>
      <c r="F1997">
        <v>1.6625000238418499</v>
      </c>
      <c r="G1997">
        <v>184310000</v>
      </c>
      <c r="H1997">
        <f t="shared" si="124"/>
        <v>2005</v>
      </c>
      <c r="I1997">
        <f t="shared" si="125"/>
        <v>4</v>
      </c>
      <c r="J1997" t="str">
        <f t="shared" si="126"/>
        <v>Apr</v>
      </c>
      <c r="K1997" t="str">
        <f t="shared" si="127"/>
        <v>Wed</v>
      </c>
    </row>
    <row r="1998" spans="1:11" x14ac:dyDescent="0.35">
      <c r="A1998" s="1">
        <v>38463</v>
      </c>
      <c r="B1998">
        <v>1.67499995231628</v>
      </c>
      <c r="C1998">
        <v>1.6944999694824201</v>
      </c>
      <c r="D1998">
        <v>1.6445000171661299</v>
      </c>
      <c r="E1998">
        <v>1.6864999532699501</v>
      </c>
      <c r="F1998">
        <v>1.6864999532699501</v>
      </c>
      <c r="G1998">
        <v>153894000</v>
      </c>
      <c r="H1998">
        <f t="shared" si="124"/>
        <v>2005</v>
      </c>
      <c r="I1998">
        <f t="shared" si="125"/>
        <v>4</v>
      </c>
      <c r="J1998" t="str">
        <f t="shared" si="126"/>
        <v>Apr</v>
      </c>
      <c r="K1998" t="str">
        <f t="shared" si="127"/>
        <v>Thu</v>
      </c>
    </row>
    <row r="1999" spans="1:11" x14ac:dyDescent="0.35">
      <c r="A1999" s="1">
        <v>38464</v>
      </c>
      <c r="B1999">
        <v>1.6744999885559</v>
      </c>
      <c r="C1999">
        <v>1.6814999580383301</v>
      </c>
      <c r="D1999">
        <v>1.6454999446868801</v>
      </c>
      <c r="E1999">
        <v>1.65199995040893</v>
      </c>
      <c r="F1999">
        <v>1.65199995040893</v>
      </c>
      <c r="G1999">
        <v>127840000</v>
      </c>
      <c r="H1999">
        <f t="shared" si="124"/>
        <v>2005</v>
      </c>
      <c r="I1999">
        <f t="shared" si="125"/>
        <v>4</v>
      </c>
      <c r="J1999" t="str">
        <f t="shared" si="126"/>
        <v>Apr</v>
      </c>
      <c r="K1999" t="str">
        <f t="shared" si="127"/>
        <v>Fri</v>
      </c>
    </row>
    <row r="2000" spans="1:11" x14ac:dyDescent="0.35">
      <c r="A2000" s="1">
        <v>38467</v>
      </c>
      <c r="B2000">
        <v>1.65649998188018</v>
      </c>
      <c r="C2000">
        <v>1.67949998378753</v>
      </c>
      <c r="D2000">
        <v>1.6525000333786</v>
      </c>
      <c r="E2000">
        <v>1.6764999628067001</v>
      </c>
      <c r="F2000">
        <v>1.6764999628067001</v>
      </c>
      <c r="G2000">
        <v>84908000</v>
      </c>
      <c r="H2000">
        <f t="shared" si="124"/>
        <v>2005</v>
      </c>
      <c r="I2000">
        <f t="shared" si="125"/>
        <v>4</v>
      </c>
      <c r="J2000" t="str">
        <f t="shared" si="126"/>
        <v>Apr</v>
      </c>
      <c r="K2000" t="str">
        <f t="shared" si="127"/>
        <v>Mon</v>
      </c>
    </row>
    <row r="2001" spans="1:11" x14ac:dyDescent="0.35">
      <c r="A2001" s="1">
        <v>38468</v>
      </c>
      <c r="B2001">
        <v>1.6714999675750699</v>
      </c>
      <c r="C2001">
        <v>1.6990000009536701</v>
      </c>
      <c r="D2001">
        <v>1.62899994850158</v>
      </c>
      <c r="E2001">
        <v>1.6354999542236299</v>
      </c>
      <c r="F2001">
        <v>1.6354999542236299</v>
      </c>
      <c r="G2001">
        <v>279386000</v>
      </c>
      <c r="H2001">
        <f t="shared" si="124"/>
        <v>2005</v>
      </c>
      <c r="I2001">
        <f t="shared" si="125"/>
        <v>4</v>
      </c>
      <c r="J2001" t="str">
        <f t="shared" si="126"/>
        <v>Apr</v>
      </c>
      <c r="K2001" t="str">
        <f t="shared" si="127"/>
        <v>Tue</v>
      </c>
    </row>
    <row r="2002" spans="1:11" x14ac:dyDescent="0.35">
      <c r="A2002" s="1">
        <v>38469</v>
      </c>
      <c r="B2002">
        <v>1.5420000553131099</v>
      </c>
      <c r="C2002">
        <v>1.5870000123977599</v>
      </c>
      <c r="D2002">
        <v>1.5299999713897701</v>
      </c>
      <c r="E2002">
        <v>1.5859999656677199</v>
      </c>
      <c r="F2002">
        <v>1.5859999656677199</v>
      </c>
      <c r="G2002">
        <v>586258000</v>
      </c>
      <c r="H2002">
        <f t="shared" si="124"/>
        <v>2005</v>
      </c>
      <c r="I2002">
        <f t="shared" si="125"/>
        <v>4</v>
      </c>
      <c r="J2002" t="str">
        <f t="shared" si="126"/>
        <v>Apr</v>
      </c>
      <c r="K2002" t="str">
        <f t="shared" si="127"/>
        <v>Wed</v>
      </c>
    </row>
    <row r="2003" spans="1:11" x14ac:dyDescent="0.35">
      <c r="A2003" s="1">
        <v>38470</v>
      </c>
      <c r="B2003">
        <v>1.5829999446868801</v>
      </c>
      <c r="C2003">
        <v>1.6460000276565501</v>
      </c>
      <c r="D2003">
        <v>1.5815000534057599</v>
      </c>
      <c r="E2003">
        <v>1.6260000467300399</v>
      </c>
      <c r="F2003">
        <v>1.6260000467300399</v>
      </c>
      <c r="G2003">
        <v>289456000</v>
      </c>
      <c r="H2003">
        <f t="shared" si="124"/>
        <v>2005</v>
      </c>
      <c r="I2003">
        <f t="shared" si="125"/>
        <v>4</v>
      </c>
      <c r="J2003" t="str">
        <f t="shared" si="126"/>
        <v>Apr</v>
      </c>
      <c r="K2003" t="str">
        <f t="shared" si="127"/>
        <v>Thu</v>
      </c>
    </row>
    <row r="2004" spans="1:11" x14ac:dyDescent="0.35">
      <c r="A2004" s="1">
        <v>38471</v>
      </c>
      <c r="B2004">
        <v>1.64300000667572</v>
      </c>
      <c r="C2004">
        <v>1.6445000171661299</v>
      </c>
      <c r="D2004">
        <v>1.57599997520446</v>
      </c>
      <c r="E2004">
        <v>1.6180000305175699</v>
      </c>
      <c r="F2004">
        <v>1.6180000305175699</v>
      </c>
      <c r="G2004">
        <v>210470000</v>
      </c>
      <c r="H2004">
        <f t="shared" si="124"/>
        <v>2005</v>
      </c>
      <c r="I2004">
        <f t="shared" si="125"/>
        <v>4</v>
      </c>
      <c r="J2004" t="str">
        <f t="shared" si="126"/>
        <v>Apr</v>
      </c>
      <c r="K2004" t="str">
        <f t="shared" si="127"/>
        <v>Fri</v>
      </c>
    </row>
    <row r="2005" spans="1:11" x14ac:dyDescent="0.35">
      <c r="A2005" s="1">
        <v>38474</v>
      </c>
      <c r="B2005">
        <v>1.6150000095367401</v>
      </c>
      <c r="C2005">
        <v>1.6640000343322701</v>
      </c>
      <c r="D2005">
        <v>1.6050000190734801</v>
      </c>
      <c r="E2005">
        <v>1.6549999713897701</v>
      </c>
      <c r="F2005">
        <v>1.6549999713897701</v>
      </c>
      <c r="G2005">
        <v>181960000</v>
      </c>
      <c r="H2005">
        <f t="shared" si="124"/>
        <v>2005</v>
      </c>
      <c r="I2005">
        <f t="shared" si="125"/>
        <v>5</v>
      </c>
      <c r="J2005" t="str">
        <f t="shared" si="126"/>
        <v>May</v>
      </c>
      <c r="K2005" t="str">
        <f t="shared" si="127"/>
        <v>Mon</v>
      </c>
    </row>
    <row r="2006" spans="1:11" x14ac:dyDescent="0.35">
      <c r="A2006" s="1">
        <v>38475</v>
      </c>
      <c r="B2006">
        <v>1.6469999551773</v>
      </c>
      <c r="C2006">
        <v>1.67799997329711</v>
      </c>
      <c r="D2006">
        <v>1.6445000171661299</v>
      </c>
      <c r="E2006">
        <v>1.66050004959106</v>
      </c>
      <c r="F2006">
        <v>1.66050004959106</v>
      </c>
      <c r="G2006">
        <v>135558000</v>
      </c>
      <c r="H2006">
        <f t="shared" si="124"/>
        <v>2005</v>
      </c>
      <c r="I2006">
        <f t="shared" si="125"/>
        <v>5</v>
      </c>
      <c r="J2006" t="str">
        <f t="shared" si="126"/>
        <v>May</v>
      </c>
      <c r="K2006" t="str">
        <f t="shared" si="127"/>
        <v>Tue</v>
      </c>
    </row>
    <row r="2007" spans="1:11" x14ac:dyDescent="0.35">
      <c r="A2007" s="1">
        <v>38476</v>
      </c>
      <c r="B2007">
        <v>1.6675000190734801</v>
      </c>
      <c r="C2007">
        <v>1.70599997043609</v>
      </c>
      <c r="D2007">
        <v>1.6634999513626001</v>
      </c>
      <c r="E2007">
        <v>1.6979999542236299</v>
      </c>
      <c r="F2007">
        <v>1.6979999542236299</v>
      </c>
      <c r="G2007">
        <v>155132000</v>
      </c>
      <c r="H2007">
        <f t="shared" si="124"/>
        <v>2005</v>
      </c>
      <c r="I2007">
        <f t="shared" si="125"/>
        <v>5</v>
      </c>
      <c r="J2007" t="str">
        <f t="shared" si="126"/>
        <v>May</v>
      </c>
      <c r="K2007" t="str">
        <f t="shared" si="127"/>
        <v>Wed</v>
      </c>
    </row>
    <row r="2008" spans="1:11" x14ac:dyDescent="0.35">
      <c r="A2008" s="1">
        <v>38477</v>
      </c>
      <c r="B2008">
        <v>1.6979999542236299</v>
      </c>
      <c r="C2008">
        <v>1.70899999141693</v>
      </c>
      <c r="D2008">
        <v>1.67949998378753</v>
      </c>
      <c r="E2008">
        <v>1.6979999542236299</v>
      </c>
      <c r="F2008">
        <v>1.6979999542236299</v>
      </c>
      <c r="G2008">
        <v>92338000</v>
      </c>
      <c r="H2008">
        <f t="shared" si="124"/>
        <v>2005</v>
      </c>
      <c r="I2008">
        <f t="shared" si="125"/>
        <v>5</v>
      </c>
      <c r="J2008" t="str">
        <f t="shared" si="126"/>
        <v>May</v>
      </c>
      <c r="K2008" t="str">
        <f t="shared" si="127"/>
        <v>Thu</v>
      </c>
    </row>
    <row r="2009" spans="1:11" x14ac:dyDescent="0.35">
      <c r="A2009" s="1">
        <v>38478</v>
      </c>
      <c r="B2009">
        <v>1.7120000123977599</v>
      </c>
      <c r="C2009">
        <v>1.7345000505447301</v>
      </c>
      <c r="D2009">
        <v>1.7070000171661299</v>
      </c>
      <c r="E2009">
        <v>1.7259999513626001</v>
      </c>
      <c r="F2009">
        <v>1.7259999513626001</v>
      </c>
      <c r="G2009">
        <v>134270000</v>
      </c>
      <c r="H2009">
        <f t="shared" si="124"/>
        <v>2005</v>
      </c>
      <c r="I2009">
        <f t="shared" si="125"/>
        <v>5</v>
      </c>
      <c r="J2009" t="str">
        <f t="shared" si="126"/>
        <v>May</v>
      </c>
      <c r="K2009" t="str">
        <f t="shared" si="127"/>
        <v>Fri</v>
      </c>
    </row>
    <row r="2010" spans="1:11" x14ac:dyDescent="0.35">
      <c r="A2010" s="1">
        <v>38481</v>
      </c>
      <c r="B2010">
        <v>1.7200000286102199</v>
      </c>
      <c r="C2010">
        <v>1.7400000095367401</v>
      </c>
      <c r="D2010">
        <v>1.7124999761581401</v>
      </c>
      <c r="E2010">
        <v>1.73199999332427</v>
      </c>
      <c r="F2010">
        <v>1.73199999332427</v>
      </c>
      <c r="G2010">
        <v>88632000</v>
      </c>
      <c r="H2010">
        <f t="shared" si="124"/>
        <v>2005</v>
      </c>
      <c r="I2010">
        <f t="shared" si="125"/>
        <v>5</v>
      </c>
      <c r="J2010" t="str">
        <f t="shared" si="126"/>
        <v>May</v>
      </c>
      <c r="K2010" t="str">
        <f t="shared" si="127"/>
        <v>Mon</v>
      </c>
    </row>
    <row r="2011" spans="1:11" x14ac:dyDescent="0.35">
      <c r="A2011" s="1">
        <v>38482</v>
      </c>
      <c r="B2011">
        <v>1.7200000286102199</v>
      </c>
      <c r="C2011">
        <v>1.72350001335144</v>
      </c>
      <c r="D2011">
        <v>1.70099997520446</v>
      </c>
      <c r="E2011">
        <v>1.7115000486373899</v>
      </c>
      <c r="F2011">
        <v>1.7115000486373899</v>
      </c>
      <c r="G2011">
        <v>109500000</v>
      </c>
      <c r="H2011">
        <f t="shared" si="124"/>
        <v>2005</v>
      </c>
      <c r="I2011">
        <f t="shared" si="125"/>
        <v>5</v>
      </c>
      <c r="J2011" t="str">
        <f t="shared" si="126"/>
        <v>May</v>
      </c>
      <c r="K2011" t="str">
        <f t="shared" si="127"/>
        <v>Tue</v>
      </c>
    </row>
    <row r="2012" spans="1:11" x14ac:dyDescent="0.35">
      <c r="A2012" s="1">
        <v>38483</v>
      </c>
      <c r="B2012">
        <v>1.7150000333786</v>
      </c>
      <c r="C2012">
        <v>1.7254999876022299</v>
      </c>
      <c r="D2012">
        <v>1.68250000476837</v>
      </c>
      <c r="E2012">
        <v>1.69099998474121</v>
      </c>
      <c r="F2012">
        <v>1.69099998474121</v>
      </c>
      <c r="G2012">
        <v>120960000</v>
      </c>
      <c r="H2012">
        <f t="shared" si="124"/>
        <v>2005</v>
      </c>
      <c r="I2012">
        <f t="shared" si="125"/>
        <v>5</v>
      </c>
      <c r="J2012" t="str">
        <f t="shared" si="126"/>
        <v>May</v>
      </c>
      <c r="K2012" t="str">
        <f t="shared" si="127"/>
        <v>Wed</v>
      </c>
    </row>
    <row r="2013" spans="1:11" x14ac:dyDescent="0.35">
      <c r="A2013" s="1">
        <v>38484</v>
      </c>
      <c r="B2013">
        <v>1.6849999427795399</v>
      </c>
      <c r="C2013">
        <v>1.70599997043609</v>
      </c>
      <c r="D2013">
        <v>1.6775000095367401</v>
      </c>
      <c r="E2013">
        <v>1.69249999523162</v>
      </c>
      <c r="F2013">
        <v>1.69249999523162</v>
      </c>
      <c r="G2013">
        <v>120100000</v>
      </c>
      <c r="H2013">
        <f t="shared" si="124"/>
        <v>2005</v>
      </c>
      <c r="I2013">
        <f t="shared" si="125"/>
        <v>5</v>
      </c>
      <c r="J2013" t="str">
        <f t="shared" si="126"/>
        <v>May</v>
      </c>
      <c r="K2013" t="str">
        <f t="shared" si="127"/>
        <v>Thu</v>
      </c>
    </row>
    <row r="2014" spans="1:11" x14ac:dyDescent="0.35">
      <c r="A2014" s="1">
        <v>38485</v>
      </c>
      <c r="B2014">
        <v>1.6994999647140501</v>
      </c>
      <c r="C2014">
        <v>1.7174999713897701</v>
      </c>
      <c r="D2014">
        <v>1.6900000572204501</v>
      </c>
      <c r="E2014">
        <v>1.6950000524520801</v>
      </c>
      <c r="F2014">
        <v>1.6950000524520801</v>
      </c>
      <c r="G2014">
        <v>79836000</v>
      </c>
      <c r="H2014">
        <f t="shared" si="124"/>
        <v>2005</v>
      </c>
      <c r="I2014">
        <f t="shared" si="125"/>
        <v>5</v>
      </c>
      <c r="J2014" t="str">
        <f t="shared" si="126"/>
        <v>May</v>
      </c>
      <c r="K2014" t="str">
        <f t="shared" si="127"/>
        <v>Fri</v>
      </c>
    </row>
    <row r="2015" spans="1:11" x14ac:dyDescent="0.35">
      <c r="A2015" s="1">
        <v>38488</v>
      </c>
      <c r="B2015">
        <v>1.70150005817413</v>
      </c>
      <c r="C2015">
        <v>1.7384999990463199</v>
      </c>
      <c r="D2015">
        <v>1.69599997997283</v>
      </c>
      <c r="E2015">
        <v>1.72699999809265</v>
      </c>
      <c r="F2015">
        <v>1.72699999809265</v>
      </c>
      <c r="G2015">
        <v>85614000</v>
      </c>
      <c r="H2015">
        <f t="shared" si="124"/>
        <v>2005</v>
      </c>
      <c r="I2015">
        <f t="shared" si="125"/>
        <v>5</v>
      </c>
      <c r="J2015" t="str">
        <f t="shared" si="126"/>
        <v>May</v>
      </c>
      <c r="K2015" t="str">
        <f t="shared" si="127"/>
        <v>Mon</v>
      </c>
    </row>
    <row r="2016" spans="1:11" x14ac:dyDescent="0.35">
      <c r="A2016" s="1">
        <v>38489</v>
      </c>
      <c r="B2016">
        <v>1.72249996662139</v>
      </c>
      <c r="C2016">
        <v>1.74100005626678</v>
      </c>
      <c r="D2016">
        <v>1.7044999599456701</v>
      </c>
      <c r="E2016">
        <v>1.73650002479553</v>
      </c>
      <c r="F2016">
        <v>1.73650002479553</v>
      </c>
      <c r="G2016">
        <v>66314000</v>
      </c>
      <c r="H2016">
        <f t="shared" si="124"/>
        <v>2005</v>
      </c>
      <c r="I2016">
        <f t="shared" si="125"/>
        <v>5</v>
      </c>
      <c r="J2016" t="str">
        <f t="shared" si="126"/>
        <v>May</v>
      </c>
      <c r="K2016" t="str">
        <f t="shared" si="127"/>
        <v>Tue</v>
      </c>
    </row>
    <row r="2017" spans="1:11" x14ac:dyDescent="0.35">
      <c r="A2017" s="1">
        <v>38490</v>
      </c>
      <c r="B2017">
        <v>1.74049997329711</v>
      </c>
      <c r="C2017">
        <v>1.79849994182586</v>
      </c>
      <c r="D2017">
        <v>1.73650002479553</v>
      </c>
      <c r="E2017">
        <v>1.7664999961853001</v>
      </c>
      <c r="F2017">
        <v>1.7664999961853001</v>
      </c>
      <c r="G2017">
        <v>191150000</v>
      </c>
      <c r="H2017">
        <f t="shared" si="124"/>
        <v>2005</v>
      </c>
      <c r="I2017">
        <f t="shared" si="125"/>
        <v>5</v>
      </c>
      <c r="J2017" t="str">
        <f t="shared" si="126"/>
        <v>May</v>
      </c>
      <c r="K2017" t="str">
        <f t="shared" si="127"/>
        <v>Wed</v>
      </c>
    </row>
    <row r="2018" spans="1:11" x14ac:dyDescent="0.35">
      <c r="A2018" s="1">
        <v>38491</v>
      </c>
      <c r="B2018">
        <v>1.76849997043609</v>
      </c>
      <c r="C2018">
        <v>1.79550004005432</v>
      </c>
      <c r="D2018">
        <v>1.7664999961853001</v>
      </c>
      <c r="E2018">
        <v>1.7795000076293901</v>
      </c>
      <c r="F2018">
        <v>1.7795000076293901</v>
      </c>
      <c r="G2018">
        <v>106870000</v>
      </c>
      <c r="H2018">
        <f t="shared" si="124"/>
        <v>2005</v>
      </c>
      <c r="I2018">
        <f t="shared" si="125"/>
        <v>5</v>
      </c>
      <c r="J2018" t="str">
        <f t="shared" si="126"/>
        <v>May</v>
      </c>
      <c r="K2018" t="str">
        <f t="shared" si="127"/>
        <v>Thu</v>
      </c>
    </row>
    <row r="2019" spans="1:11" x14ac:dyDescent="0.35">
      <c r="A2019" s="1">
        <v>38492</v>
      </c>
      <c r="B2019">
        <v>1.77250003814697</v>
      </c>
      <c r="C2019">
        <v>1.7799999713897701</v>
      </c>
      <c r="D2019">
        <v>1.7480000257492001</v>
      </c>
      <c r="E2019">
        <v>1.7749999761581401</v>
      </c>
      <c r="F2019">
        <v>1.7749999761581401</v>
      </c>
      <c r="G2019">
        <v>100856000</v>
      </c>
      <c r="H2019">
        <f t="shared" si="124"/>
        <v>2005</v>
      </c>
      <c r="I2019">
        <f t="shared" si="125"/>
        <v>5</v>
      </c>
      <c r="J2019" t="str">
        <f t="shared" si="126"/>
        <v>May</v>
      </c>
      <c r="K2019" t="str">
        <f t="shared" si="127"/>
        <v>Fri</v>
      </c>
    </row>
    <row r="2020" spans="1:11" x14ac:dyDescent="0.35">
      <c r="A2020" s="1">
        <v>38495</v>
      </c>
      <c r="B2020">
        <v>1.7784999608993499</v>
      </c>
      <c r="C2020">
        <v>1.8009999990463199</v>
      </c>
      <c r="D2020">
        <v>1.7695000171661299</v>
      </c>
      <c r="E2020">
        <v>1.7840000391006401</v>
      </c>
      <c r="F2020">
        <v>1.7840000391006401</v>
      </c>
      <c r="G2020">
        <v>114028000</v>
      </c>
      <c r="H2020">
        <f t="shared" si="124"/>
        <v>2005</v>
      </c>
      <c r="I2020">
        <f t="shared" si="125"/>
        <v>5</v>
      </c>
      <c r="J2020" t="str">
        <f t="shared" si="126"/>
        <v>May</v>
      </c>
      <c r="K2020" t="str">
        <f t="shared" si="127"/>
        <v>Mon</v>
      </c>
    </row>
    <row r="2021" spans="1:11" x14ac:dyDescent="0.35">
      <c r="A2021" s="1">
        <v>38496</v>
      </c>
      <c r="B2021">
        <v>1.7740000486373899</v>
      </c>
      <c r="C2021">
        <v>1.7784999608993499</v>
      </c>
      <c r="D2021">
        <v>1.7565000057220399</v>
      </c>
      <c r="E2021">
        <v>1.77699995040893</v>
      </c>
      <c r="F2021">
        <v>1.77699995040893</v>
      </c>
      <c r="G2021">
        <v>118292000</v>
      </c>
      <c r="H2021">
        <f t="shared" si="124"/>
        <v>2005</v>
      </c>
      <c r="I2021">
        <f t="shared" si="125"/>
        <v>5</v>
      </c>
      <c r="J2021" t="str">
        <f t="shared" si="126"/>
        <v>May</v>
      </c>
      <c r="K2021" t="str">
        <f t="shared" si="127"/>
        <v>Tue</v>
      </c>
    </row>
    <row r="2022" spans="1:11" x14ac:dyDescent="0.35">
      <c r="A2022" s="1">
        <v>38497</v>
      </c>
      <c r="B2022">
        <v>1.76349997520446</v>
      </c>
      <c r="C2022">
        <v>1.77250003814697</v>
      </c>
      <c r="D2022">
        <v>1.75950002670288</v>
      </c>
      <c r="E2022">
        <v>1.76250004768371</v>
      </c>
      <c r="F2022">
        <v>1.76250004768371</v>
      </c>
      <c r="G2022">
        <v>77458000</v>
      </c>
      <c r="H2022">
        <f t="shared" si="124"/>
        <v>2005</v>
      </c>
      <c r="I2022">
        <f t="shared" si="125"/>
        <v>5</v>
      </c>
      <c r="J2022" t="str">
        <f t="shared" si="126"/>
        <v>May</v>
      </c>
      <c r="K2022" t="str">
        <f t="shared" si="127"/>
        <v>Wed</v>
      </c>
    </row>
    <row r="2023" spans="1:11" x14ac:dyDescent="0.35">
      <c r="A2023" s="1">
        <v>38498</v>
      </c>
      <c r="B2023">
        <v>1.76400005817413</v>
      </c>
      <c r="C2023">
        <v>1.7840000391006401</v>
      </c>
      <c r="D2023">
        <v>1.75849997997283</v>
      </c>
      <c r="E2023">
        <v>1.77250003814697</v>
      </c>
      <c r="F2023">
        <v>1.77250003814697</v>
      </c>
      <c r="G2023">
        <v>95742000</v>
      </c>
      <c r="H2023">
        <f t="shared" si="124"/>
        <v>2005</v>
      </c>
      <c r="I2023">
        <f t="shared" si="125"/>
        <v>5</v>
      </c>
      <c r="J2023" t="str">
        <f t="shared" si="126"/>
        <v>May</v>
      </c>
      <c r="K2023" t="str">
        <f t="shared" si="127"/>
        <v>Thu</v>
      </c>
    </row>
    <row r="2024" spans="1:11" x14ac:dyDescent="0.35">
      <c r="A2024" s="1">
        <v>38499</v>
      </c>
      <c r="B2024">
        <v>1.7610000371932899</v>
      </c>
      <c r="C2024">
        <v>1.7775000333786</v>
      </c>
      <c r="D2024">
        <v>1.7575000524520801</v>
      </c>
      <c r="E2024">
        <v>1.7749999761581401</v>
      </c>
      <c r="F2024">
        <v>1.7749999761581401</v>
      </c>
      <c r="G2024">
        <v>65742000</v>
      </c>
      <c r="H2024">
        <f t="shared" si="124"/>
        <v>2005</v>
      </c>
      <c r="I2024">
        <f t="shared" si="125"/>
        <v>5</v>
      </c>
      <c r="J2024" t="str">
        <f t="shared" si="126"/>
        <v>May</v>
      </c>
      <c r="K2024" t="str">
        <f t="shared" si="127"/>
        <v>Fri</v>
      </c>
    </row>
    <row r="2025" spans="1:11" x14ac:dyDescent="0.35">
      <c r="A2025" s="1">
        <v>38503</v>
      </c>
      <c r="B2025">
        <v>1.76800000667572</v>
      </c>
      <c r="C2025">
        <v>1.8020000457763601</v>
      </c>
      <c r="D2025">
        <v>1.7645000219345</v>
      </c>
      <c r="E2025">
        <v>1.7755000591278001</v>
      </c>
      <c r="F2025">
        <v>1.7755000591278001</v>
      </c>
      <c r="G2025">
        <v>98604000</v>
      </c>
      <c r="H2025">
        <f t="shared" si="124"/>
        <v>2005</v>
      </c>
      <c r="I2025">
        <f t="shared" si="125"/>
        <v>5</v>
      </c>
      <c r="J2025" t="str">
        <f t="shared" si="126"/>
        <v>May</v>
      </c>
      <c r="K2025" t="str">
        <f t="shared" si="127"/>
        <v>Tue</v>
      </c>
    </row>
    <row r="2026" spans="1:11" x14ac:dyDescent="0.35">
      <c r="A2026" s="1">
        <v>38504</v>
      </c>
      <c r="B2026">
        <v>1.7784999608993499</v>
      </c>
      <c r="C2026">
        <v>1.8494999408721899</v>
      </c>
      <c r="D2026">
        <v>1.7719999551773</v>
      </c>
      <c r="E2026">
        <v>1.82500004768371</v>
      </c>
      <c r="F2026">
        <v>1.82500004768371</v>
      </c>
      <c r="G2026">
        <v>206404000</v>
      </c>
      <c r="H2026">
        <f t="shared" si="124"/>
        <v>2005</v>
      </c>
      <c r="I2026">
        <f t="shared" si="125"/>
        <v>6</v>
      </c>
      <c r="J2026" t="str">
        <f t="shared" si="126"/>
        <v>Jun</v>
      </c>
      <c r="K2026" t="str">
        <f t="shared" si="127"/>
        <v>Wed</v>
      </c>
    </row>
    <row r="2027" spans="1:11" x14ac:dyDescent="0.35">
      <c r="A2027" s="1">
        <v>38505</v>
      </c>
      <c r="B2027">
        <v>1.81649994850158</v>
      </c>
      <c r="C2027">
        <v>1.8454999923705999</v>
      </c>
      <c r="D2027">
        <v>1.8105000257492001</v>
      </c>
      <c r="E2027">
        <v>1.82050001621246</v>
      </c>
      <c r="F2027">
        <v>1.82050001621246</v>
      </c>
      <c r="G2027">
        <v>95366000</v>
      </c>
      <c r="H2027">
        <f t="shared" si="124"/>
        <v>2005</v>
      </c>
      <c r="I2027">
        <f t="shared" si="125"/>
        <v>6</v>
      </c>
      <c r="J2027" t="str">
        <f t="shared" si="126"/>
        <v>Jun</v>
      </c>
      <c r="K2027" t="str">
        <f t="shared" si="127"/>
        <v>Thu</v>
      </c>
    </row>
    <row r="2028" spans="1:11" x14ac:dyDescent="0.35">
      <c r="A2028" s="1">
        <v>38506</v>
      </c>
      <c r="B2028">
        <v>1.8229999542236299</v>
      </c>
      <c r="C2028">
        <v>1.82500004768371</v>
      </c>
      <c r="D2028">
        <v>1.7660000324249201</v>
      </c>
      <c r="E2028">
        <v>1.7795000076293901</v>
      </c>
      <c r="F2028">
        <v>1.7795000076293901</v>
      </c>
      <c r="G2028">
        <v>96718000</v>
      </c>
      <c r="H2028">
        <f t="shared" si="124"/>
        <v>2005</v>
      </c>
      <c r="I2028">
        <f t="shared" si="125"/>
        <v>6</v>
      </c>
      <c r="J2028" t="str">
        <f t="shared" si="126"/>
        <v>Jun</v>
      </c>
      <c r="K2028" t="str">
        <f t="shared" si="127"/>
        <v>Fri</v>
      </c>
    </row>
    <row r="2029" spans="1:11" x14ac:dyDescent="0.35">
      <c r="A2029" s="1">
        <v>38509</v>
      </c>
      <c r="B2029">
        <v>1.77699995040893</v>
      </c>
      <c r="C2029">
        <v>1.8009999990463199</v>
      </c>
      <c r="D2029">
        <v>1.7740000486373899</v>
      </c>
      <c r="E2029">
        <v>1.7884999513626001</v>
      </c>
      <c r="F2029">
        <v>1.7884999513626001</v>
      </c>
      <c r="G2029">
        <v>77630000</v>
      </c>
      <c r="H2029">
        <f t="shared" si="124"/>
        <v>2005</v>
      </c>
      <c r="I2029">
        <f t="shared" si="125"/>
        <v>6</v>
      </c>
      <c r="J2029" t="str">
        <f t="shared" si="126"/>
        <v>Jun</v>
      </c>
      <c r="K2029" t="str">
        <f t="shared" si="127"/>
        <v>Mon</v>
      </c>
    </row>
    <row r="2030" spans="1:11" x14ac:dyDescent="0.35">
      <c r="A2030" s="1">
        <v>38510</v>
      </c>
      <c r="B2030">
        <v>1.79550004005432</v>
      </c>
      <c r="C2030">
        <v>1.8099999427795399</v>
      </c>
      <c r="D2030">
        <v>1.7645000219345</v>
      </c>
      <c r="E2030">
        <v>1.76750004291534</v>
      </c>
      <c r="F2030">
        <v>1.76750004291534</v>
      </c>
      <c r="G2030">
        <v>97696000</v>
      </c>
      <c r="H2030">
        <f t="shared" si="124"/>
        <v>2005</v>
      </c>
      <c r="I2030">
        <f t="shared" si="125"/>
        <v>6</v>
      </c>
      <c r="J2030" t="str">
        <f t="shared" si="126"/>
        <v>Jun</v>
      </c>
      <c r="K2030" t="str">
        <f t="shared" si="127"/>
        <v>Tue</v>
      </c>
    </row>
    <row r="2031" spans="1:11" x14ac:dyDescent="0.35">
      <c r="A2031" s="1">
        <v>38511</v>
      </c>
      <c r="B2031">
        <v>1.7699999809265099</v>
      </c>
      <c r="C2031">
        <v>1.7740000486373899</v>
      </c>
      <c r="D2031">
        <v>1.7400000095367401</v>
      </c>
      <c r="E2031">
        <v>1.74150002002716</v>
      </c>
      <c r="F2031">
        <v>1.74150002002716</v>
      </c>
      <c r="G2031">
        <v>106282000</v>
      </c>
      <c r="H2031">
        <f t="shared" si="124"/>
        <v>2005</v>
      </c>
      <c r="I2031">
        <f t="shared" si="125"/>
        <v>6</v>
      </c>
      <c r="J2031" t="str">
        <f t="shared" si="126"/>
        <v>Jun</v>
      </c>
      <c r="K2031" t="str">
        <f t="shared" si="127"/>
        <v>Wed</v>
      </c>
    </row>
    <row r="2032" spans="1:11" x14ac:dyDescent="0.35">
      <c r="A2032" s="1">
        <v>38512</v>
      </c>
      <c r="B2032">
        <v>1.74650001525878</v>
      </c>
      <c r="C2032">
        <v>1.76400005817413</v>
      </c>
      <c r="D2032">
        <v>1.7200000286102199</v>
      </c>
      <c r="E2032">
        <v>1.75999999046325</v>
      </c>
      <c r="F2032">
        <v>1.75999999046325</v>
      </c>
      <c r="G2032">
        <v>77450000</v>
      </c>
      <c r="H2032">
        <f t="shared" si="124"/>
        <v>2005</v>
      </c>
      <c r="I2032">
        <f t="shared" si="125"/>
        <v>6</v>
      </c>
      <c r="J2032" t="str">
        <f t="shared" si="126"/>
        <v>Jun</v>
      </c>
      <c r="K2032" t="str">
        <f t="shared" si="127"/>
        <v>Thu</v>
      </c>
    </row>
    <row r="2033" spans="1:11" x14ac:dyDescent="0.35">
      <c r="A2033" s="1">
        <v>38513</v>
      </c>
      <c r="B2033">
        <v>1.76250004768371</v>
      </c>
      <c r="C2033">
        <v>1.7645000219345</v>
      </c>
      <c r="D2033">
        <v>1.72350001335144</v>
      </c>
      <c r="E2033">
        <v>1.7474999427795399</v>
      </c>
      <c r="F2033">
        <v>1.7474999427795399</v>
      </c>
      <c r="G2033">
        <v>69350000</v>
      </c>
      <c r="H2033">
        <f t="shared" si="124"/>
        <v>2005</v>
      </c>
      <c r="I2033">
        <f t="shared" si="125"/>
        <v>6</v>
      </c>
      <c r="J2033" t="str">
        <f t="shared" si="126"/>
        <v>Jun</v>
      </c>
      <c r="K2033" t="str">
        <f t="shared" si="127"/>
        <v>Fri</v>
      </c>
    </row>
    <row r="2034" spans="1:11" x14ac:dyDescent="0.35">
      <c r="A2034" s="1">
        <v>38516</v>
      </c>
      <c r="B2034">
        <v>1.7335000038146899</v>
      </c>
      <c r="C2034">
        <v>1.7704999446868801</v>
      </c>
      <c r="D2034">
        <v>1.73249995708465</v>
      </c>
      <c r="E2034">
        <v>1.7434999942779501</v>
      </c>
      <c r="F2034">
        <v>1.7434999942779501</v>
      </c>
      <c r="G2034">
        <v>78240000</v>
      </c>
      <c r="H2034">
        <f t="shared" si="124"/>
        <v>2005</v>
      </c>
      <c r="I2034">
        <f t="shared" si="125"/>
        <v>6</v>
      </c>
      <c r="J2034" t="str">
        <f t="shared" si="126"/>
        <v>Jun</v>
      </c>
      <c r="K2034" t="str">
        <f t="shared" si="127"/>
        <v>Mon</v>
      </c>
    </row>
    <row r="2035" spans="1:11" x14ac:dyDescent="0.35">
      <c r="A2035" s="1">
        <v>38517</v>
      </c>
      <c r="B2035">
        <v>1.74100005626678</v>
      </c>
      <c r="C2035">
        <v>1.75849997997283</v>
      </c>
      <c r="D2035">
        <v>1.7395000457763601</v>
      </c>
      <c r="E2035">
        <v>1.7519999742507899</v>
      </c>
      <c r="F2035">
        <v>1.7519999742507899</v>
      </c>
      <c r="G2035">
        <v>72688000</v>
      </c>
      <c r="H2035">
        <f t="shared" si="124"/>
        <v>2005</v>
      </c>
      <c r="I2035">
        <f t="shared" si="125"/>
        <v>6</v>
      </c>
      <c r="J2035" t="str">
        <f t="shared" si="126"/>
        <v>Jun</v>
      </c>
      <c r="K2035" t="str">
        <f t="shared" si="127"/>
        <v>Tue</v>
      </c>
    </row>
    <row r="2036" spans="1:11" x14ac:dyDescent="0.35">
      <c r="A2036" s="1">
        <v>38518</v>
      </c>
      <c r="B2036">
        <v>1.7669999599456701</v>
      </c>
      <c r="C2036">
        <v>1.7704999446868801</v>
      </c>
      <c r="D2036">
        <v>1.7259999513626001</v>
      </c>
      <c r="E2036">
        <v>1.7619999647140501</v>
      </c>
      <c r="F2036">
        <v>1.7619999647140501</v>
      </c>
      <c r="G2036">
        <v>103036000</v>
      </c>
      <c r="H2036">
        <f t="shared" si="124"/>
        <v>2005</v>
      </c>
      <c r="I2036">
        <f t="shared" si="125"/>
        <v>6</v>
      </c>
      <c r="J2036" t="str">
        <f t="shared" si="126"/>
        <v>Jun</v>
      </c>
      <c r="K2036" t="str">
        <f t="shared" si="127"/>
        <v>Wed</v>
      </c>
    </row>
    <row r="2037" spans="1:11" x14ac:dyDescent="0.35">
      <c r="A2037" s="1">
        <v>38519</v>
      </c>
      <c r="B2037">
        <v>1.75999999046325</v>
      </c>
      <c r="C2037">
        <v>1.79050004482269</v>
      </c>
      <c r="D2037">
        <v>1.75800001621246</v>
      </c>
      <c r="E2037">
        <v>1.7790000438690099</v>
      </c>
      <c r="F2037">
        <v>1.7790000438690099</v>
      </c>
      <c r="G2037">
        <v>84110000</v>
      </c>
      <c r="H2037">
        <f t="shared" si="124"/>
        <v>2005</v>
      </c>
      <c r="I2037">
        <f t="shared" si="125"/>
        <v>6</v>
      </c>
      <c r="J2037" t="str">
        <f t="shared" si="126"/>
        <v>Jun</v>
      </c>
      <c r="K2037" t="str">
        <f t="shared" si="127"/>
        <v>Thu</v>
      </c>
    </row>
    <row r="2038" spans="1:11" x14ac:dyDescent="0.35">
      <c r="A2038" s="1">
        <v>38520</v>
      </c>
      <c r="B2038">
        <v>1.79449999332427</v>
      </c>
      <c r="C2038">
        <v>1.80350005626678</v>
      </c>
      <c r="D2038">
        <v>1.75800001621246</v>
      </c>
      <c r="E2038">
        <v>1.7654999494552599</v>
      </c>
      <c r="F2038">
        <v>1.7654999494552599</v>
      </c>
      <c r="G2038">
        <v>96522000</v>
      </c>
      <c r="H2038">
        <f t="shared" si="124"/>
        <v>2005</v>
      </c>
      <c r="I2038">
        <f t="shared" si="125"/>
        <v>6</v>
      </c>
      <c r="J2038" t="str">
        <f t="shared" si="126"/>
        <v>Jun</v>
      </c>
      <c r="K2038" t="str">
        <f t="shared" si="127"/>
        <v>Fri</v>
      </c>
    </row>
    <row r="2039" spans="1:11" x14ac:dyDescent="0.35">
      <c r="A2039" s="1">
        <v>38523</v>
      </c>
      <c r="B2039">
        <v>1.7525000572204501</v>
      </c>
      <c r="C2039">
        <v>1.79849994182586</v>
      </c>
      <c r="D2039">
        <v>1.7519999742507899</v>
      </c>
      <c r="E2039">
        <v>1.7845000028610201</v>
      </c>
      <c r="F2039">
        <v>1.7845000028610201</v>
      </c>
      <c r="G2039">
        <v>101946000</v>
      </c>
      <c r="H2039">
        <f t="shared" si="124"/>
        <v>2005</v>
      </c>
      <c r="I2039">
        <f t="shared" si="125"/>
        <v>6</v>
      </c>
      <c r="J2039" t="str">
        <f t="shared" si="126"/>
        <v>Jun</v>
      </c>
      <c r="K2039" t="str">
        <f t="shared" si="127"/>
        <v>Mon</v>
      </c>
    </row>
    <row r="2040" spans="1:11" x14ac:dyDescent="0.35">
      <c r="A2040" s="1">
        <v>38524</v>
      </c>
      <c r="B2040">
        <v>1.7799999713897701</v>
      </c>
      <c r="C2040">
        <v>1.79050004482269</v>
      </c>
      <c r="D2040">
        <v>1.76400005817413</v>
      </c>
      <c r="E2040">
        <v>1.7690000534057599</v>
      </c>
      <c r="F2040">
        <v>1.7690000534057599</v>
      </c>
      <c r="G2040">
        <v>89142000</v>
      </c>
      <c r="H2040">
        <f t="shared" si="124"/>
        <v>2005</v>
      </c>
      <c r="I2040">
        <f t="shared" si="125"/>
        <v>6</v>
      </c>
      <c r="J2040" t="str">
        <f t="shared" si="126"/>
        <v>Jun</v>
      </c>
      <c r="K2040" t="str">
        <f t="shared" si="127"/>
        <v>Tue</v>
      </c>
    </row>
    <row r="2041" spans="1:11" x14ac:dyDescent="0.35">
      <c r="A2041" s="1">
        <v>38525</v>
      </c>
      <c r="B2041">
        <v>1.7749999761581401</v>
      </c>
      <c r="C2041">
        <v>1.7925000190734801</v>
      </c>
      <c r="D2041">
        <v>1.7569999694824201</v>
      </c>
      <c r="E2041">
        <v>1.7610000371932899</v>
      </c>
      <c r="F2041">
        <v>1.7610000371932899</v>
      </c>
      <c r="G2041">
        <v>50146000</v>
      </c>
      <c r="H2041">
        <f t="shared" si="124"/>
        <v>2005</v>
      </c>
      <c r="I2041">
        <f t="shared" si="125"/>
        <v>6</v>
      </c>
      <c r="J2041" t="str">
        <f t="shared" si="126"/>
        <v>Jun</v>
      </c>
      <c r="K2041" t="str">
        <f t="shared" si="127"/>
        <v>Wed</v>
      </c>
    </row>
    <row r="2042" spans="1:11" x14ac:dyDescent="0.35">
      <c r="A2042" s="1">
        <v>38526</v>
      </c>
      <c r="B2042">
        <v>1.7569999694824201</v>
      </c>
      <c r="C2042">
        <v>1.7779999971389699</v>
      </c>
      <c r="D2042">
        <v>1.75499999523162</v>
      </c>
      <c r="E2042">
        <v>1.77149999141693</v>
      </c>
      <c r="F2042">
        <v>1.77149999141693</v>
      </c>
      <c r="G2042">
        <v>106044000</v>
      </c>
      <c r="H2042">
        <f t="shared" si="124"/>
        <v>2005</v>
      </c>
      <c r="I2042">
        <f t="shared" si="125"/>
        <v>6</v>
      </c>
      <c r="J2042" t="str">
        <f t="shared" si="126"/>
        <v>Jun</v>
      </c>
      <c r="K2042" t="str">
        <f t="shared" si="127"/>
        <v>Thu</v>
      </c>
    </row>
    <row r="2043" spans="1:11" x14ac:dyDescent="0.35">
      <c r="A2043" s="1">
        <v>38527</v>
      </c>
      <c r="B2043">
        <v>1.7649999856948799</v>
      </c>
      <c r="C2043">
        <v>1.7719999551773</v>
      </c>
      <c r="D2043">
        <v>1.7439999580383301</v>
      </c>
      <c r="E2043">
        <v>1.7510000467300399</v>
      </c>
      <c r="F2043">
        <v>1.7510000467300399</v>
      </c>
      <c r="G2043">
        <v>73510000</v>
      </c>
      <c r="H2043">
        <f t="shared" si="124"/>
        <v>2005</v>
      </c>
      <c r="I2043">
        <f t="shared" si="125"/>
        <v>6</v>
      </c>
      <c r="J2043" t="str">
        <f t="shared" si="126"/>
        <v>Jun</v>
      </c>
      <c r="K2043" t="str">
        <f t="shared" si="127"/>
        <v>Fri</v>
      </c>
    </row>
    <row r="2044" spans="1:11" x14ac:dyDescent="0.35">
      <c r="A2044" s="1">
        <v>38530</v>
      </c>
      <c r="B2044">
        <v>1.74549996852874</v>
      </c>
      <c r="C2044">
        <v>1.7525000572204501</v>
      </c>
      <c r="D2044">
        <v>1.7085000276565501</v>
      </c>
      <c r="E2044">
        <v>1.7250000238418499</v>
      </c>
      <c r="F2044">
        <v>1.7250000238418499</v>
      </c>
      <c r="G2044">
        <v>91126000</v>
      </c>
      <c r="H2044">
        <f t="shared" si="124"/>
        <v>2005</v>
      </c>
      <c r="I2044">
        <f t="shared" si="125"/>
        <v>6</v>
      </c>
      <c r="J2044" t="str">
        <f t="shared" si="126"/>
        <v>Jun</v>
      </c>
      <c r="K2044" t="str">
        <f t="shared" si="127"/>
        <v>Mon</v>
      </c>
    </row>
    <row r="2045" spans="1:11" x14ac:dyDescent="0.35">
      <c r="A2045" s="1">
        <v>38531</v>
      </c>
      <c r="B2045">
        <v>1.7300000190734801</v>
      </c>
      <c r="C2045">
        <v>1.7315000295639</v>
      </c>
      <c r="D2045">
        <v>1.67949998378753</v>
      </c>
      <c r="E2045">
        <v>1.6855000257492001</v>
      </c>
      <c r="F2045">
        <v>1.6855000257492001</v>
      </c>
      <c r="G2045">
        <v>140686000</v>
      </c>
      <c r="H2045">
        <f t="shared" si="124"/>
        <v>2005</v>
      </c>
      <c r="I2045">
        <f t="shared" si="125"/>
        <v>6</v>
      </c>
      <c r="J2045" t="str">
        <f t="shared" si="126"/>
        <v>Jun</v>
      </c>
      <c r="K2045" t="str">
        <f t="shared" si="127"/>
        <v>Tue</v>
      </c>
    </row>
    <row r="2046" spans="1:11" x14ac:dyDescent="0.35">
      <c r="A2046" s="1">
        <v>38532</v>
      </c>
      <c r="B2046">
        <v>1.6849999427795399</v>
      </c>
      <c r="C2046">
        <v>1.7035000324249201</v>
      </c>
      <c r="D2046">
        <v>1.6634999513626001</v>
      </c>
      <c r="E2046">
        <v>1.6675000190734801</v>
      </c>
      <c r="F2046">
        <v>1.6675000190734801</v>
      </c>
      <c r="G2046">
        <v>96266000</v>
      </c>
      <c r="H2046">
        <f t="shared" si="124"/>
        <v>2005</v>
      </c>
      <c r="I2046">
        <f t="shared" si="125"/>
        <v>6</v>
      </c>
      <c r="J2046" t="str">
        <f t="shared" si="126"/>
        <v>Jun</v>
      </c>
      <c r="K2046" t="str">
        <f t="shared" si="127"/>
        <v>Wed</v>
      </c>
    </row>
    <row r="2047" spans="1:11" x14ac:dyDescent="0.35">
      <c r="A2047" s="1">
        <v>38533</v>
      </c>
      <c r="B2047">
        <v>1.67349994182586</v>
      </c>
      <c r="C2047">
        <v>1.67799997329711</v>
      </c>
      <c r="D2047">
        <v>1.64649999141693</v>
      </c>
      <c r="E2047">
        <v>1.6545000076293901</v>
      </c>
      <c r="F2047">
        <v>1.6545000076293901</v>
      </c>
      <c r="G2047">
        <v>114314000</v>
      </c>
      <c r="H2047">
        <f t="shared" si="124"/>
        <v>2005</v>
      </c>
      <c r="I2047">
        <f t="shared" si="125"/>
        <v>6</v>
      </c>
      <c r="J2047" t="str">
        <f t="shared" si="126"/>
        <v>Jun</v>
      </c>
      <c r="K2047" t="str">
        <f t="shared" si="127"/>
        <v>Thu</v>
      </c>
    </row>
    <row r="2048" spans="1:11" x14ac:dyDescent="0.35">
      <c r="A2048" s="1">
        <v>38534</v>
      </c>
      <c r="B2048">
        <v>1.6619999408721899</v>
      </c>
      <c r="C2048">
        <v>1.6634999513626001</v>
      </c>
      <c r="D2048">
        <v>1.6395000219345</v>
      </c>
      <c r="E2048">
        <v>1.6454999446868801</v>
      </c>
      <c r="F2048">
        <v>1.6454999446868801</v>
      </c>
      <c r="G2048">
        <v>58654000</v>
      </c>
      <c r="H2048">
        <f t="shared" si="124"/>
        <v>2005</v>
      </c>
      <c r="I2048">
        <f t="shared" si="125"/>
        <v>7</v>
      </c>
      <c r="J2048" t="str">
        <f t="shared" si="126"/>
        <v>Jul</v>
      </c>
      <c r="K2048" t="str">
        <f t="shared" si="127"/>
        <v>Fri</v>
      </c>
    </row>
    <row r="2049" spans="1:11" x14ac:dyDescent="0.35">
      <c r="A2049" s="1">
        <v>38538</v>
      </c>
      <c r="B2049">
        <v>1.67499995231628</v>
      </c>
      <c r="C2049">
        <v>1.72399997711181</v>
      </c>
      <c r="D2049">
        <v>1.6725000143051101</v>
      </c>
      <c r="E2049">
        <v>1.7039999961853001</v>
      </c>
      <c r="F2049">
        <v>1.7039999961853001</v>
      </c>
      <c r="G2049">
        <v>147676000</v>
      </c>
      <c r="H2049">
        <f t="shared" si="124"/>
        <v>2005</v>
      </c>
      <c r="I2049">
        <f t="shared" si="125"/>
        <v>7</v>
      </c>
      <c r="J2049" t="str">
        <f t="shared" si="126"/>
        <v>Jul</v>
      </c>
      <c r="K2049" t="str">
        <f t="shared" si="127"/>
        <v>Tue</v>
      </c>
    </row>
    <row r="2050" spans="1:11" x14ac:dyDescent="0.35">
      <c r="A2050" s="1">
        <v>38539</v>
      </c>
      <c r="B2050">
        <v>1.70050001144409</v>
      </c>
      <c r="C2050">
        <v>1.7200000286102199</v>
      </c>
      <c r="D2050">
        <v>1.692999958992</v>
      </c>
      <c r="E2050">
        <v>1.7029999494552599</v>
      </c>
      <c r="F2050">
        <v>1.7029999494552599</v>
      </c>
      <c r="G2050">
        <v>87944000</v>
      </c>
      <c r="H2050">
        <f t="shared" si="124"/>
        <v>2005</v>
      </c>
      <c r="I2050">
        <f t="shared" si="125"/>
        <v>7</v>
      </c>
      <c r="J2050" t="str">
        <f t="shared" si="126"/>
        <v>Jul</v>
      </c>
      <c r="K2050" t="str">
        <f t="shared" si="127"/>
        <v>Wed</v>
      </c>
    </row>
    <row r="2051" spans="1:11" x14ac:dyDescent="0.35">
      <c r="A2051" s="1">
        <v>38540</v>
      </c>
      <c r="B2051">
        <v>1.6900000572204501</v>
      </c>
      <c r="C2051">
        <v>1.7254999876022299</v>
      </c>
      <c r="D2051">
        <v>1.6900000572204501</v>
      </c>
      <c r="E2051">
        <v>1.6979999542236299</v>
      </c>
      <c r="F2051">
        <v>1.6979999542236299</v>
      </c>
      <c r="G2051">
        <v>84858000</v>
      </c>
      <c r="H2051">
        <f t="shared" si="124"/>
        <v>2005</v>
      </c>
      <c r="I2051">
        <f t="shared" si="125"/>
        <v>7</v>
      </c>
      <c r="J2051" t="str">
        <f t="shared" si="126"/>
        <v>Jul</v>
      </c>
      <c r="K2051" t="str">
        <f t="shared" si="127"/>
        <v>Thu</v>
      </c>
    </row>
    <row r="2052" spans="1:11" x14ac:dyDescent="0.35">
      <c r="A2052" s="1">
        <v>38541</v>
      </c>
      <c r="B2052">
        <v>1.70550000667572</v>
      </c>
      <c r="C2052">
        <v>1.73749995231628</v>
      </c>
      <c r="D2052">
        <v>1.69249999523162</v>
      </c>
      <c r="E2052">
        <v>1.7369999885559</v>
      </c>
      <c r="F2052">
        <v>1.7369999885559</v>
      </c>
      <c r="G2052">
        <v>85140000</v>
      </c>
      <c r="H2052">
        <f t="shared" ref="H2052:H2115" si="128">YEAR($A2052)</f>
        <v>2005</v>
      </c>
      <c r="I2052">
        <f t="shared" ref="I2052:I2115" si="129">MONTH($A2052)</f>
        <v>7</v>
      </c>
      <c r="J2052" t="str">
        <f t="shared" ref="J2052:J2115" si="130">TEXT($A2052,"mmm")</f>
        <v>Jul</v>
      </c>
      <c r="K2052" t="str">
        <f t="shared" ref="K2052:K2115" si="131">TEXT($A2052,"ddd")</f>
        <v>Fri</v>
      </c>
    </row>
    <row r="2053" spans="1:11" x14ac:dyDescent="0.35">
      <c r="A2053" s="1">
        <v>38544</v>
      </c>
      <c r="B2053">
        <v>1.73599994182586</v>
      </c>
      <c r="C2053">
        <v>1.7840000391006401</v>
      </c>
      <c r="D2053">
        <v>1.7300000190734801</v>
      </c>
      <c r="E2053">
        <v>1.7795000076293901</v>
      </c>
      <c r="F2053">
        <v>1.7795000076293901</v>
      </c>
      <c r="G2053">
        <v>103320000</v>
      </c>
      <c r="H2053">
        <f t="shared" si="128"/>
        <v>2005</v>
      </c>
      <c r="I2053">
        <f t="shared" si="129"/>
        <v>7</v>
      </c>
      <c r="J2053" t="str">
        <f t="shared" si="130"/>
        <v>Jul</v>
      </c>
      <c r="K2053" t="str">
        <f t="shared" si="131"/>
        <v>Mon</v>
      </c>
    </row>
    <row r="2054" spans="1:11" x14ac:dyDescent="0.35">
      <c r="A2054" s="1">
        <v>38545</v>
      </c>
      <c r="B2054">
        <v>1.7745000123977599</v>
      </c>
      <c r="C2054">
        <v>1.8270000219345</v>
      </c>
      <c r="D2054">
        <v>1.77300000190734</v>
      </c>
      <c r="E2054">
        <v>1.8155000209808301</v>
      </c>
      <c r="F2054">
        <v>1.8155000209808301</v>
      </c>
      <c r="G2054">
        <v>117544000</v>
      </c>
      <c r="H2054">
        <f t="shared" si="128"/>
        <v>2005</v>
      </c>
      <c r="I2054">
        <f t="shared" si="129"/>
        <v>7</v>
      </c>
      <c r="J2054" t="str">
        <f t="shared" si="130"/>
        <v>Jul</v>
      </c>
      <c r="K2054" t="str">
        <f t="shared" si="131"/>
        <v>Tue</v>
      </c>
    </row>
    <row r="2055" spans="1:11" x14ac:dyDescent="0.35">
      <c r="A2055" s="1">
        <v>38546</v>
      </c>
      <c r="B2055">
        <v>1.8135000467300399</v>
      </c>
      <c r="C2055">
        <v>1.8274999856948799</v>
      </c>
      <c r="D2055">
        <v>1.8094999790191599</v>
      </c>
      <c r="E2055">
        <v>1.82550001144409</v>
      </c>
      <c r="F2055">
        <v>1.82550001144409</v>
      </c>
      <c r="G2055">
        <v>64036000</v>
      </c>
      <c r="H2055">
        <f t="shared" si="128"/>
        <v>2005</v>
      </c>
      <c r="I2055">
        <f t="shared" si="129"/>
        <v>7</v>
      </c>
      <c r="J2055" t="str">
        <f t="shared" si="130"/>
        <v>Jul</v>
      </c>
      <c r="K2055" t="str">
        <f t="shared" si="131"/>
        <v>Wed</v>
      </c>
    </row>
    <row r="2056" spans="1:11" x14ac:dyDescent="0.35">
      <c r="A2056" s="1">
        <v>38547</v>
      </c>
      <c r="B2056">
        <v>1.8595000505447301</v>
      </c>
      <c r="C2056">
        <v>1.87100005149841</v>
      </c>
      <c r="D2056">
        <v>1.84399998188018</v>
      </c>
      <c r="E2056">
        <v>1.8595000505447301</v>
      </c>
      <c r="F2056">
        <v>1.8595000505447301</v>
      </c>
      <c r="G2056">
        <v>117266000</v>
      </c>
      <c r="H2056">
        <f t="shared" si="128"/>
        <v>2005</v>
      </c>
      <c r="I2056">
        <f t="shared" si="129"/>
        <v>7</v>
      </c>
      <c r="J2056" t="str">
        <f t="shared" si="130"/>
        <v>Jul</v>
      </c>
      <c r="K2056" t="str">
        <f t="shared" si="131"/>
        <v>Thu</v>
      </c>
    </row>
    <row r="2057" spans="1:11" x14ac:dyDescent="0.35">
      <c r="A2057" s="1">
        <v>38548</v>
      </c>
      <c r="B2057">
        <v>1.8674999475479099</v>
      </c>
      <c r="C2057">
        <v>1.875</v>
      </c>
      <c r="D2057">
        <v>1.8374999761581401</v>
      </c>
      <c r="E2057">
        <v>1.85749995708465</v>
      </c>
      <c r="F2057">
        <v>1.85749995708465</v>
      </c>
      <c r="G2057">
        <v>104180000</v>
      </c>
      <c r="H2057">
        <f t="shared" si="128"/>
        <v>2005</v>
      </c>
      <c r="I2057">
        <f t="shared" si="129"/>
        <v>7</v>
      </c>
      <c r="J2057" t="str">
        <f t="shared" si="130"/>
        <v>Jul</v>
      </c>
      <c r="K2057" t="str">
        <f t="shared" si="131"/>
        <v>Fri</v>
      </c>
    </row>
    <row r="2058" spans="1:11" x14ac:dyDescent="0.35">
      <c r="A2058" s="1">
        <v>38551</v>
      </c>
      <c r="B2058">
        <v>1.84749996662139</v>
      </c>
      <c r="C2058">
        <v>1.8595000505447301</v>
      </c>
      <c r="D2058">
        <v>1.8380000591278001</v>
      </c>
      <c r="E2058">
        <v>1.8595000505447301</v>
      </c>
      <c r="F2058">
        <v>1.8595000505447301</v>
      </c>
      <c r="G2058">
        <v>59466000</v>
      </c>
      <c r="H2058">
        <f t="shared" si="128"/>
        <v>2005</v>
      </c>
      <c r="I2058">
        <f t="shared" si="129"/>
        <v>7</v>
      </c>
      <c r="J2058" t="str">
        <f t="shared" si="130"/>
        <v>Jul</v>
      </c>
      <c r="K2058" t="str">
        <f t="shared" si="131"/>
        <v>Mon</v>
      </c>
    </row>
    <row r="2059" spans="1:11" x14ac:dyDescent="0.35">
      <c r="A2059" s="1">
        <v>38552</v>
      </c>
      <c r="B2059">
        <v>1.8689999580383301</v>
      </c>
      <c r="C2059">
        <v>1.9084999561309799</v>
      </c>
      <c r="D2059">
        <v>1.8344999551773</v>
      </c>
      <c r="E2059">
        <v>1.9084999561309799</v>
      </c>
      <c r="F2059">
        <v>1.9084999561309799</v>
      </c>
      <c r="G2059">
        <v>116812000</v>
      </c>
      <c r="H2059">
        <f t="shared" si="128"/>
        <v>2005</v>
      </c>
      <c r="I2059">
        <f t="shared" si="129"/>
        <v>7</v>
      </c>
      <c r="J2059" t="str">
        <f t="shared" si="130"/>
        <v>Jul</v>
      </c>
      <c r="K2059" t="str">
        <f t="shared" si="131"/>
        <v>Tue</v>
      </c>
    </row>
    <row r="2060" spans="1:11" x14ac:dyDescent="0.35">
      <c r="A2060" s="1">
        <v>38553</v>
      </c>
      <c r="B2060">
        <v>1.87450003623962</v>
      </c>
      <c r="C2060">
        <v>1.9125000238418499</v>
      </c>
      <c r="D2060">
        <v>1.8650000095367401</v>
      </c>
      <c r="E2060">
        <v>1.9084999561309799</v>
      </c>
      <c r="F2060">
        <v>1.9084999561309799</v>
      </c>
      <c r="G2060">
        <v>127368000</v>
      </c>
      <c r="H2060">
        <f t="shared" si="128"/>
        <v>2005</v>
      </c>
      <c r="I2060">
        <f t="shared" si="129"/>
        <v>7</v>
      </c>
      <c r="J2060" t="str">
        <f t="shared" si="130"/>
        <v>Jul</v>
      </c>
      <c r="K2060" t="str">
        <f t="shared" si="131"/>
        <v>Wed</v>
      </c>
    </row>
    <row r="2061" spans="1:11" x14ac:dyDescent="0.35">
      <c r="A2061" s="1">
        <v>38554</v>
      </c>
      <c r="B2061">
        <v>1.9479999542236299</v>
      </c>
      <c r="C2061">
        <v>1.98749995231628</v>
      </c>
      <c r="D2061">
        <v>1.88800001144409</v>
      </c>
      <c r="E2061">
        <v>1.89750003814697</v>
      </c>
      <c r="F2061">
        <v>1.89750003814697</v>
      </c>
      <c r="G2061">
        <v>221112000</v>
      </c>
      <c r="H2061">
        <f t="shared" si="128"/>
        <v>2005</v>
      </c>
      <c r="I2061">
        <f t="shared" si="129"/>
        <v>7</v>
      </c>
      <c r="J2061" t="str">
        <f t="shared" si="130"/>
        <v>Jul</v>
      </c>
      <c r="K2061" t="str">
        <f t="shared" si="131"/>
        <v>Thu</v>
      </c>
    </row>
    <row r="2062" spans="1:11" x14ac:dyDescent="0.35">
      <c r="A2062" s="1">
        <v>38555</v>
      </c>
      <c r="B2062">
        <v>1.8945000171661299</v>
      </c>
      <c r="C2062">
        <v>1.91149997711181</v>
      </c>
      <c r="D2062">
        <v>1.8619999885559</v>
      </c>
      <c r="E2062">
        <v>1.89750003814697</v>
      </c>
      <c r="F2062">
        <v>1.89750003814697</v>
      </c>
      <c r="G2062">
        <v>117422000</v>
      </c>
      <c r="H2062">
        <f t="shared" si="128"/>
        <v>2005</v>
      </c>
      <c r="I2062">
        <f t="shared" si="129"/>
        <v>7</v>
      </c>
      <c r="J2062" t="str">
        <f t="shared" si="130"/>
        <v>Jul</v>
      </c>
      <c r="K2062" t="str">
        <f t="shared" si="131"/>
        <v>Fri</v>
      </c>
    </row>
    <row r="2063" spans="1:11" x14ac:dyDescent="0.35">
      <c r="A2063" s="1">
        <v>38558</v>
      </c>
      <c r="B2063">
        <v>1.8999999761581401</v>
      </c>
      <c r="C2063">
        <v>1.9520000219345</v>
      </c>
      <c r="D2063">
        <v>1.89250004291534</v>
      </c>
      <c r="E2063">
        <v>1.89750003814697</v>
      </c>
      <c r="F2063">
        <v>1.89750003814697</v>
      </c>
      <c r="G2063">
        <v>109400000</v>
      </c>
      <c r="H2063">
        <f t="shared" si="128"/>
        <v>2005</v>
      </c>
      <c r="I2063">
        <f t="shared" si="129"/>
        <v>7</v>
      </c>
      <c r="J2063" t="str">
        <f t="shared" si="130"/>
        <v>Jul</v>
      </c>
      <c r="K2063" t="str">
        <f t="shared" si="131"/>
        <v>Mon</v>
      </c>
    </row>
    <row r="2064" spans="1:11" x14ac:dyDescent="0.35">
      <c r="A2064" s="1">
        <v>38559</v>
      </c>
      <c r="B2064">
        <v>1.91100001335144</v>
      </c>
      <c r="C2064">
        <v>1.9375</v>
      </c>
      <c r="D2064">
        <v>1.8860000371932899</v>
      </c>
      <c r="E2064">
        <v>1.8869999647140501</v>
      </c>
      <c r="F2064">
        <v>1.8869999647140501</v>
      </c>
      <c r="G2064">
        <v>295646000</v>
      </c>
      <c r="H2064">
        <f t="shared" si="128"/>
        <v>2005</v>
      </c>
      <c r="I2064">
        <f t="shared" si="129"/>
        <v>7</v>
      </c>
      <c r="J2064" t="str">
        <f t="shared" si="130"/>
        <v>Jul</v>
      </c>
      <c r="K2064" t="str">
        <f t="shared" si="131"/>
        <v>Tue</v>
      </c>
    </row>
    <row r="2065" spans="1:11" x14ac:dyDescent="0.35">
      <c r="A2065" s="1">
        <v>38560</v>
      </c>
      <c r="B2065">
        <v>2.1005001068115199</v>
      </c>
      <c r="C2065">
        <v>2.18700003623962</v>
      </c>
      <c r="D2065">
        <v>2.0920000076293901</v>
      </c>
      <c r="E2065">
        <v>2.1824998855590798</v>
      </c>
      <c r="F2065">
        <v>2.1824998855590798</v>
      </c>
      <c r="G2065">
        <v>921512000</v>
      </c>
      <c r="H2065">
        <f t="shared" si="128"/>
        <v>2005</v>
      </c>
      <c r="I2065">
        <f t="shared" si="129"/>
        <v>7</v>
      </c>
      <c r="J2065" t="str">
        <f t="shared" si="130"/>
        <v>Jul</v>
      </c>
      <c r="K2065" t="str">
        <f t="shared" si="131"/>
        <v>Wed</v>
      </c>
    </row>
    <row r="2066" spans="1:11" x14ac:dyDescent="0.35">
      <c r="A2066" s="1">
        <v>38561</v>
      </c>
      <c r="B2066">
        <v>2.1770000457763601</v>
      </c>
      <c r="C2066">
        <v>2.2904999256134002</v>
      </c>
      <c r="D2066">
        <v>2.1684999465942298</v>
      </c>
      <c r="E2066">
        <v>2.2839999198913499</v>
      </c>
      <c r="F2066">
        <v>2.2839999198913499</v>
      </c>
      <c r="G2066">
        <v>502830000</v>
      </c>
      <c r="H2066">
        <f t="shared" si="128"/>
        <v>2005</v>
      </c>
      <c r="I2066">
        <f t="shared" si="129"/>
        <v>7</v>
      </c>
      <c r="J2066" t="str">
        <f t="shared" si="130"/>
        <v>Jul</v>
      </c>
      <c r="K2066" t="str">
        <f t="shared" si="131"/>
        <v>Thu</v>
      </c>
    </row>
    <row r="2067" spans="1:11" x14ac:dyDescent="0.35">
      <c r="A2067" s="1">
        <v>38562</v>
      </c>
      <c r="B2067">
        <v>2.2655000686645499</v>
      </c>
      <c r="C2067">
        <v>2.2874999046325599</v>
      </c>
      <c r="D2067">
        <v>2.2304999828338601</v>
      </c>
      <c r="E2067">
        <v>2.2574999332427899</v>
      </c>
      <c r="F2067">
        <v>2.2574999332427899</v>
      </c>
      <c r="G2067">
        <v>209836000</v>
      </c>
      <c r="H2067">
        <f t="shared" si="128"/>
        <v>2005</v>
      </c>
      <c r="I2067">
        <f t="shared" si="129"/>
        <v>7</v>
      </c>
      <c r="J2067" t="str">
        <f t="shared" si="130"/>
        <v>Jul</v>
      </c>
      <c r="K2067" t="str">
        <f t="shared" si="131"/>
        <v>Fri</v>
      </c>
    </row>
    <row r="2068" spans="1:11" x14ac:dyDescent="0.35">
      <c r="A2068" s="1">
        <v>38565</v>
      </c>
      <c r="B2068">
        <v>2.2439999580383301</v>
      </c>
      <c r="C2068">
        <v>2.25950002670288</v>
      </c>
      <c r="D2068">
        <v>2.2174999713897701</v>
      </c>
      <c r="E2068">
        <v>2.2465000152587802</v>
      </c>
      <c r="F2068">
        <v>2.2465000152587802</v>
      </c>
      <c r="G2068">
        <v>142544000</v>
      </c>
      <c r="H2068">
        <f t="shared" si="128"/>
        <v>2005</v>
      </c>
      <c r="I2068">
        <f t="shared" si="129"/>
        <v>8</v>
      </c>
      <c r="J2068" t="str">
        <f t="shared" si="130"/>
        <v>Aug</v>
      </c>
      <c r="K2068" t="str">
        <f t="shared" si="131"/>
        <v>Mon</v>
      </c>
    </row>
    <row r="2069" spans="1:11" x14ac:dyDescent="0.35">
      <c r="A2069" s="1">
        <v>38566</v>
      </c>
      <c r="B2069">
        <v>2.2449998855590798</v>
      </c>
      <c r="C2069">
        <v>2.34850001335144</v>
      </c>
      <c r="D2069">
        <v>2.2439999580383301</v>
      </c>
      <c r="E2069">
        <v>2.32550001144409</v>
      </c>
      <c r="F2069">
        <v>2.32550001144409</v>
      </c>
      <c r="G2069">
        <v>216728000</v>
      </c>
      <c r="H2069">
        <f t="shared" si="128"/>
        <v>2005</v>
      </c>
      <c r="I2069">
        <f t="shared" si="129"/>
        <v>8</v>
      </c>
      <c r="J2069" t="str">
        <f t="shared" si="130"/>
        <v>Aug</v>
      </c>
      <c r="K2069" t="str">
        <f t="shared" si="131"/>
        <v>Tue</v>
      </c>
    </row>
    <row r="2070" spans="1:11" x14ac:dyDescent="0.35">
      <c r="A2070" s="1">
        <v>38567</v>
      </c>
      <c r="B2070">
        <v>2.3004999160766602</v>
      </c>
      <c r="C2070">
        <v>2.3090000152587802</v>
      </c>
      <c r="D2070">
        <v>2.2920000553131099</v>
      </c>
      <c r="E2070">
        <v>2.3055000305175701</v>
      </c>
      <c r="F2070">
        <v>2.3055000305175701</v>
      </c>
      <c r="G2070">
        <v>96650000</v>
      </c>
      <c r="H2070">
        <f t="shared" si="128"/>
        <v>2005</v>
      </c>
      <c r="I2070">
        <f t="shared" si="129"/>
        <v>8</v>
      </c>
      <c r="J2070" t="str">
        <f t="shared" si="130"/>
        <v>Aug</v>
      </c>
      <c r="K2070" t="str">
        <f t="shared" si="131"/>
        <v>Wed</v>
      </c>
    </row>
    <row r="2071" spans="1:11" x14ac:dyDescent="0.35">
      <c r="A2071" s="1">
        <v>38568</v>
      </c>
      <c r="B2071">
        <v>2.2774999141693102</v>
      </c>
      <c r="C2071">
        <v>2.2885000705718901</v>
      </c>
      <c r="D2071">
        <v>2.2709999084472599</v>
      </c>
      <c r="E2071">
        <v>2.2730000019073402</v>
      </c>
      <c r="F2071">
        <v>2.2730000019073402</v>
      </c>
      <c r="G2071">
        <v>99544000</v>
      </c>
      <c r="H2071">
        <f t="shared" si="128"/>
        <v>2005</v>
      </c>
      <c r="I2071">
        <f t="shared" si="129"/>
        <v>8</v>
      </c>
      <c r="J2071" t="str">
        <f t="shared" si="130"/>
        <v>Aug</v>
      </c>
      <c r="K2071" t="str">
        <f t="shared" si="131"/>
        <v>Thu</v>
      </c>
    </row>
    <row r="2072" spans="1:11" x14ac:dyDescent="0.35">
      <c r="A2072" s="1">
        <v>38569</v>
      </c>
      <c r="B2072">
        <v>2.26250004768371</v>
      </c>
      <c r="C2072">
        <v>2.28550004959106</v>
      </c>
      <c r="D2072">
        <v>2.25850009918212</v>
      </c>
      <c r="E2072">
        <v>2.2634999752044598</v>
      </c>
      <c r="F2072">
        <v>2.2634999752044598</v>
      </c>
      <c r="G2072">
        <v>99030000</v>
      </c>
      <c r="H2072">
        <f t="shared" si="128"/>
        <v>2005</v>
      </c>
      <c r="I2072">
        <f t="shared" si="129"/>
        <v>8</v>
      </c>
      <c r="J2072" t="str">
        <f t="shared" si="130"/>
        <v>Aug</v>
      </c>
      <c r="K2072" t="str">
        <f t="shared" si="131"/>
        <v>Fri</v>
      </c>
    </row>
    <row r="2073" spans="1:11" x14ac:dyDescent="0.35">
      <c r="A2073" s="1">
        <v>38572</v>
      </c>
      <c r="B2073">
        <v>2.2660000324249201</v>
      </c>
      <c r="C2073">
        <v>2.29500007629394</v>
      </c>
      <c r="D2073">
        <v>2.26300001144409</v>
      </c>
      <c r="E2073">
        <v>2.2829999923706001</v>
      </c>
      <c r="F2073">
        <v>2.2829999923706001</v>
      </c>
      <c r="G2073">
        <v>89098000</v>
      </c>
      <c r="H2073">
        <f t="shared" si="128"/>
        <v>2005</v>
      </c>
      <c r="I2073">
        <f t="shared" si="129"/>
        <v>8</v>
      </c>
      <c r="J2073" t="str">
        <f t="shared" si="130"/>
        <v>Aug</v>
      </c>
      <c r="K2073" t="str">
        <f t="shared" si="131"/>
        <v>Mon</v>
      </c>
    </row>
    <row r="2074" spans="1:11" x14ac:dyDescent="0.35">
      <c r="A2074" s="1">
        <v>38573</v>
      </c>
      <c r="B2074">
        <v>2.2880001068115199</v>
      </c>
      <c r="C2074">
        <v>2.32200002670288</v>
      </c>
      <c r="D2074">
        <v>2.2874999046325599</v>
      </c>
      <c r="E2074">
        <v>2.2964999675750701</v>
      </c>
      <c r="F2074">
        <v>2.2964999675750701</v>
      </c>
      <c r="G2074">
        <v>91824000</v>
      </c>
      <c r="H2074">
        <f t="shared" si="128"/>
        <v>2005</v>
      </c>
      <c r="I2074">
        <f t="shared" si="129"/>
        <v>8</v>
      </c>
      <c r="J2074" t="str">
        <f t="shared" si="130"/>
        <v>Aug</v>
      </c>
      <c r="K2074" t="str">
        <f t="shared" si="131"/>
        <v>Tue</v>
      </c>
    </row>
    <row r="2075" spans="1:11" x14ac:dyDescent="0.35">
      <c r="A2075" s="1">
        <v>38574</v>
      </c>
      <c r="B2075">
        <v>2.2695000171661301</v>
      </c>
      <c r="C2075">
        <v>2.2785000801086399</v>
      </c>
      <c r="D2075">
        <v>2.2295000553131099</v>
      </c>
      <c r="E2075">
        <v>2.2379999160766602</v>
      </c>
      <c r="F2075">
        <v>2.2379999160766602</v>
      </c>
      <c r="G2075">
        <v>198424000</v>
      </c>
      <c r="H2075">
        <f t="shared" si="128"/>
        <v>2005</v>
      </c>
      <c r="I2075">
        <f t="shared" si="129"/>
        <v>8</v>
      </c>
      <c r="J2075" t="str">
        <f t="shared" si="130"/>
        <v>Aug</v>
      </c>
      <c r="K2075" t="str">
        <f t="shared" si="131"/>
        <v>Wed</v>
      </c>
    </row>
    <row r="2076" spans="1:11" x14ac:dyDescent="0.35">
      <c r="A2076" s="1">
        <v>38575</v>
      </c>
      <c r="B2076">
        <v>2.2309999465942298</v>
      </c>
      <c r="C2076">
        <v>2.2604999542236301</v>
      </c>
      <c r="D2076">
        <v>2.2249999046325599</v>
      </c>
      <c r="E2076">
        <v>2.2604999542236301</v>
      </c>
      <c r="F2076">
        <v>2.2604999542236301</v>
      </c>
      <c r="G2076">
        <v>116844000</v>
      </c>
      <c r="H2076">
        <f t="shared" si="128"/>
        <v>2005</v>
      </c>
      <c r="I2076">
        <f t="shared" si="129"/>
        <v>8</v>
      </c>
      <c r="J2076" t="str">
        <f t="shared" si="130"/>
        <v>Aug</v>
      </c>
      <c r="K2076" t="str">
        <f t="shared" si="131"/>
        <v>Thu</v>
      </c>
    </row>
    <row r="2077" spans="1:11" x14ac:dyDescent="0.35">
      <c r="A2077" s="1">
        <v>38576</v>
      </c>
      <c r="B2077">
        <v>2.2314999103546098</v>
      </c>
      <c r="C2077">
        <v>2.28600001335144</v>
      </c>
      <c r="D2077">
        <v>2.2025001049041699</v>
      </c>
      <c r="E2077">
        <v>2.21000003814697</v>
      </c>
      <c r="F2077">
        <v>2.21000003814697</v>
      </c>
      <c r="G2077">
        <v>129482000</v>
      </c>
      <c r="H2077">
        <f t="shared" si="128"/>
        <v>2005</v>
      </c>
      <c r="I2077">
        <f t="shared" si="129"/>
        <v>8</v>
      </c>
      <c r="J2077" t="str">
        <f t="shared" si="130"/>
        <v>Aug</v>
      </c>
      <c r="K2077" t="str">
        <f t="shared" si="131"/>
        <v>Fri</v>
      </c>
    </row>
    <row r="2078" spans="1:11" x14ac:dyDescent="0.35">
      <c r="A2078" s="1">
        <v>38579</v>
      </c>
      <c r="B2078">
        <v>2.1965000629425</v>
      </c>
      <c r="C2078">
        <v>2.2674999237060498</v>
      </c>
      <c r="D2078">
        <v>2.1940000057220401</v>
      </c>
      <c r="E2078">
        <v>2.2520000934600799</v>
      </c>
      <c r="F2078">
        <v>2.2520000934600799</v>
      </c>
      <c r="G2078">
        <v>110502000</v>
      </c>
      <c r="H2078">
        <f t="shared" si="128"/>
        <v>2005</v>
      </c>
      <c r="I2078">
        <f t="shared" si="129"/>
        <v>8</v>
      </c>
      <c r="J2078" t="str">
        <f t="shared" si="130"/>
        <v>Aug</v>
      </c>
      <c r="K2078" t="str">
        <f t="shared" si="131"/>
        <v>Mon</v>
      </c>
    </row>
    <row r="2079" spans="1:11" x14ac:dyDescent="0.35">
      <c r="A2079" s="1">
        <v>38580</v>
      </c>
      <c r="B2079">
        <v>2.2449998855590798</v>
      </c>
      <c r="C2079">
        <v>2.2469999790191602</v>
      </c>
      <c r="D2079">
        <v>2.21000003814697</v>
      </c>
      <c r="E2079">
        <v>2.21350002288818</v>
      </c>
      <c r="F2079">
        <v>2.21350002288818</v>
      </c>
      <c r="G2079">
        <v>72502000</v>
      </c>
      <c r="H2079">
        <f t="shared" si="128"/>
        <v>2005</v>
      </c>
      <c r="I2079">
        <f t="shared" si="129"/>
        <v>8</v>
      </c>
      <c r="J2079" t="str">
        <f t="shared" si="130"/>
        <v>Aug</v>
      </c>
      <c r="K2079" t="str">
        <f t="shared" si="131"/>
        <v>Tue</v>
      </c>
    </row>
    <row r="2080" spans="1:11" x14ac:dyDescent="0.35">
      <c r="A2080" s="1">
        <v>38581</v>
      </c>
      <c r="B2080">
        <v>2.20950007438659</v>
      </c>
      <c r="C2080">
        <v>2.2214999198913499</v>
      </c>
      <c r="D2080">
        <v>2.20600008964538</v>
      </c>
      <c r="E2080">
        <v>2.20600008964538</v>
      </c>
      <c r="F2080">
        <v>2.20600008964538</v>
      </c>
      <c r="G2080">
        <v>61008000</v>
      </c>
      <c r="H2080">
        <f t="shared" si="128"/>
        <v>2005</v>
      </c>
      <c r="I2080">
        <f t="shared" si="129"/>
        <v>8</v>
      </c>
      <c r="J2080" t="str">
        <f t="shared" si="130"/>
        <v>Aug</v>
      </c>
      <c r="K2080" t="str">
        <f t="shared" si="131"/>
        <v>Wed</v>
      </c>
    </row>
    <row r="2081" spans="1:11" x14ac:dyDescent="0.35">
      <c r="A2081" s="1">
        <v>38582</v>
      </c>
      <c r="B2081">
        <v>2.1940000057220401</v>
      </c>
      <c r="C2081">
        <v>2.1949999332427899</v>
      </c>
      <c r="D2081">
        <v>2.1754999160766602</v>
      </c>
      <c r="E2081">
        <v>2.1865000724792401</v>
      </c>
      <c r="F2081">
        <v>2.1865000724792401</v>
      </c>
      <c r="G2081">
        <v>72086000</v>
      </c>
      <c r="H2081">
        <f t="shared" si="128"/>
        <v>2005</v>
      </c>
      <c r="I2081">
        <f t="shared" si="129"/>
        <v>8</v>
      </c>
      <c r="J2081" t="str">
        <f t="shared" si="130"/>
        <v>Aug</v>
      </c>
      <c r="K2081" t="str">
        <f t="shared" si="131"/>
        <v>Thu</v>
      </c>
    </row>
    <row r="2082" spans="1:11" x14ac:dyDescent="0.35">
      <c r="A2082" s="1">
        <v>38583</v>
      </c>
      <c r="B2082">
        <v>2.1800000667571999</v>
      </c>
      <c r="C2082">
        <v>2.1884999275207502</v>
      </c>
      <c r="D2082">
        <v>2.1665000915527299</v>
      </c>
      <c r="E2082">
        <v>2.1860001087188698</v>
      </c>
      <c r="F2082">
        <v>2.1860001087188698</v>
      </c>
      <c r="G2082">
        <v>66478000</v>
      </c>
      <c r="H2082">
        <f t="shared" si="128"/>
        <v>2005</v>
      </c>
      <c r="I2082">
        <f t="shared" si="129"/>
        <v>8</v>
      </c>
      <c r="J2082" t="str">
        <f t="shared" si="130"/>
        <v>Aug</v>
      </c>
      <c r="K2082" t="str">
        <f t="shared" si="131"/>
        <v>Fri</v>
      </c>
    </row>
    <row r="2083" spans="1:11" x14ac:dyDescent="0.35">
      <c r="A2083" s="1">
        <v>38586</v>
      </c>
      <c r="B2083">
        <v>2.1805000305175701</v>
      </c>
      <c r="C2083">
        <v>2.21350002288818</v>
      </c>
      <c r="D2083">
        <v>2.14700007438659</v>
      </c>
      <c r="E2083">
        <v>2.1884999275207502</v>
      </c>
      <c r="F2083">
        <v>2.1884999275207502</v>
      </c>
      <c r="G2083">
        <v>107482000</v>
      </c>
      <c r="H2083">
        <f t="shared" si="128"/>
        <v>2005</v>
      </c>
      <c r="I2083">
        <f t="shared" si="129"/>
        <v>8</v>
      </c>
      <c r="J2083" t="str">
        <f t="shared" si="130"/>
        <v>Aug</v>
      </c>
      <c r="K2083" t="str">
        <f t="shared" si="131"/>
        <v>Mon</v>
      </c>
    </row>
    <row r="2084" spans="1:11" x14ac:dyDescent="0.35">
      <c r="A2084" s="1">
        <v>38587</v>
      </c>
      <c r="B2084">
        <v>2.18700003623962</v>
      </c>
      <c r="C2084">
        <v>2.1984999179839999</v>
      </c>
      <c r="D2084">
        <v>2.16100001335144</v>
      </c>
      <c r="E2084">
        <v>2.1710000038146902</v>
      </c>
      <c r="F2084">
        <v>2.1710000038146902</v>
      </c>
      <c r="G2084">
        <v>70354000</v>
      </c>
      <c r="H2084">
        <f t="shared" si="128"/>
        <v>2005</v>
      </c>
      <c r="I2084">
        <f t="shared" si="129"/>
        <v>8</v>
      </c>
      <c r="J2084" t="str">
        <f t="shared" si="130"/>
        <v>Aug</v>
      </c>
      <c r="K2084" t="str">
        <f t="shared" si="131"/>
        <v>Tue</v>
      </c>
    </row>
    <row r="2085" spans="1:11" x14ac:dyDescent="0.35">
      <c r="A2085" s="1">
        <v>38588</v>
      </c>
      <c r="B2085">
        <v>2.16599988937377</v>
      </c>
      <c r="C2085">
        <v>2.16599988937377</v>
      </c>
      <c r="D2085">
        <v>2.1135001182556099</v>
      </c>
      <c r="E2085">
        <v>2.1184999942779501</v>
      </c>
      <c r="F2085">
        <v>2.1184999942779501</v>
      </c>
      <c r="G2085">
        <v>117438000</v>
      </c>
      <c r="H2085">
        <f t="shared" si="128"/>
        <v>2005</v>
      </c>
      <c r="I2085">
        <f t="shared" si="129"/>
        <v>8</v>
      </c>
      <c r="J2085" t="str">
        <f t="shared" si="130"/>
        <v>Aug</v>
      </c>
      <c r="K2085" t="str">
        <f t="shared" si="131"/>
        <v>Wed</v>
      </c>
    </row>
    <row r="2086" spans="1:11" x14ac:dyDescent="0.35">
      <c r="A2086" s="1">
        <v>38589</v>
      </c>
      <c r="B2086">
        <v>2.1270000934600799</v>
      </c>
      <c r="C2086">
        <v>2.1400001049041699</v>
      </c>
      <c r="D2086">
        <v>2.1040000915527299</v>
      </c>
      <c r="E2086">
        <v>2.1154999732971098</v>
      </c>
      <c r="F2086">
        <v>2.1154999732971098</v>
      </c>
      <c r="G2086">
        <v>61844000</v>
      </c>
      <c r="H2086">
        <f t="shared" si="128"/>
        <v>2005</v>
      </c>
      <c r="I2086">
        <f t="shared" si="129"/>
        <v>8</v>
      </c>
      <c r="J2086" t="str">
        <f t="shared" si="130"/>
        <v>Aug</v>
      </c>
      <c r="K2086" t="str">
        <f t="shared" si="131"/>
        <v>Thu</v>
      </c>
    </row>
    <row r="2087" spans="1:11" x14ac:dyDescent="0.35">
      <c r="A2087" s="1">
        <v>38590</v>
      </c>
      <c r="B2087">
        <v>2.1150000095367401</v>
      </c>
      <c r="C2087">
        <v>2.1315000057220401</v>
      </c>
      <c r="D2087">
        <v>2.1129999160766602</v>
      </c>
      <c r="E2087">
        <v>2.1184999942779501</v>
      </c>
      <c r="F2087">
        <v>2.1184999942779501</v>
      </c>
      <c r="G2087">
        <v>57214000</v>
      </c>
      <c r="H2087">
        <f t="shared" si="128"/>
        <v>2005</v>
      </c>
      <c r="I2087">
        <f t="shared" si="129"/>
        <v>8</v>
      </c>
      <c r="J2087" t="str">
        <f t="shared" si="130"/>
        <v>Aug</v>
      </c>
      <c r="K2087" t="str">
        <f t="shared" si="131"/>
        <v>Fri</v>
      </c>
    </row>
    <row r="2088" spans="1:11" x14ac:dyDescent="0.35">
      <c r="A2088" s="1">
        <v>38593</v>
      </c>
      <c r="B2088">
        <v>2.0954999923706001</v>
      </c>
      <c r="C2088">
        <v>2.1500000953674299</v>
      </c>
      <c r="D2088">
        <v>2.0954999923706001</v>
      </c>
      <c r="E2088">
        <v>2.13949990272521</v>
      </c>
      <c r="F2088">
        <v>2.13949990272521</v>
      </c>
      <c r="G2088">
        <v>73078000</v>
      </c>
      <c r="H2088">
        <f t="shared" si="128"/>
        <v>2005</v>
      </c>
      <c r="I2088">
        <f t="shared" si="129"/>
        <v>8</v>
      </c>
      <c r="J2088" t="str">
        <f t="shared" si="130"/>
        <v>Aug</v>
      </c>
      <c r="K2088" t="str">
        <f t="shared" si="131"/>
        <v>Mon</v>
      </c>
    </row>
    <row r="2089" spans="1:11" x14ac:dyDescent="0.35">
      <c r="A2089" s="1">
        <v>38594</v>
      </c>
      <c r="B2089">
        <v>2.1194999217986998</v>
      </c>
      <c r="C2089">
        <v>2.1354999542236301</v>
      </c>
      <c r="D2089">
        <v>2.09800004959106</v>
      </c>
      <c r="E2089">
        <v>2.12450003623962</v>
      </c>
      <c r="F2089">
        <v>2.12450003623962</v>
      </c>
      <c r="G2089">
        <v>77484000</v>
      </c>
      <c r="H2089">
        <f t="shared" si="128"/>
        <v>2005</v>
      </c>
      <c r="I2089">
        <f t="shared" si="129"/>
        <v>8</v>
      </c>
      <c r="J2089" t="str">
        <f t="shared" si="130"/>
        <v>Aug</v>
      </c>
      <c r="K2089" t="str">
        <f t="shared" si="131"/>
        <v>Tue</v>
      </c>
    </row>
    <row r="2090" spans="1:11" x14ac:dyDescent="0.35">
      <c r="A2090" s="1">
        <v>38595</v>
      </c>
      <c r="B2090">
        <v>2.1219999790191602</v>
      </c>
      <c r="C2090">
        <v>2.1405000686645499</v>
      </c>
      <c r="D2090">
        <v>2.10199999809265</v>
      </c>
      <c r="E2090">
        <v>2.1349999904632502</v>
      </c>
      <c r="F2090">
        <v>2.1349999904632502</v>
      </c>
      <c r="G2090">
        <v>67384000</v>
      </c>
      <c r="H2090">
        <f t="shared" si="128"/>
        <v>2005</v>
      </c>
      <c r="I2090">
        <f t="shared" si="129"/>
        <v>8</v>
      </c>
      <c r="J2090" t="str">
        <f t="shared" si="130"/>
        <v>Aug</v>
      </c>
      <c r="K2090" t="str">
        <f t="shared" si="131"/>
        <v>Wed</v>
      </c>
    </row>
    <row r="2091" spans="1:11" x14ac:dyDescent="0.35">
      <c r="A2091" s="1">
        <v>38596</v>
      </c>
      <c r="B2091">
        <v>2.1259999275207502</v>
      </c>
      <c r="C2091">
        <v>2.1484999656677202</v>
      </c>
      <c r="D2091">
        <v>2.0875000953674299</v>
      </c>
      <c r="E2091">
        <v>2.0920000076293901</v>
      </c>
      <c r="F2091">
        <v>2.0920000076293901</v>
      </c>
      <c r="G2091">
        <v>88580000</v>
      </c>
      <c r="H2091">
        <f t="shared" si="128"/>
        <v>2005</v>
      </c>
      <c r="I2091">
        <f t="shared" si="129"/>
        <v>9</v>
      </c>
      <c r="J2091" t="str">
        <f t="shared" si="130"/>
        <v>Sep</v>
      </c>
      <c r="K2091" t="str">
        <f t="shared" si="131"/>
        <v>Thu</v>
      </c>
    </row>
    <row r="2092" spans="1:11" x14ac:dyDescent="0.35">
      <c r="A2092" s="1">
        <v>38597</v>
      </c>
      <c r="B2092">
        <v>2.0999999046325599</v>
      </c>
      <c r="C2092">
        <v>2.1024999618530198</v>
      </c>
      <c r="D2092">
        <v>2.0520000457763601</v>
      </c>
      <c r="E2092">
        <v>2.07550001144409</v>
      </c>
      <c r="F2092">
        <v>2.07550001144409</v>
      </c>
      <c r="G2092">
        <v>80542000</v>
      </c>
      <c r="H2092">
        <f t="shared" si="128"/>
        <v>2005</v>
      </c>
      <c r="I2092">
        <f t="shared" si="129"/>
        <v>9</v>
      </c>
      <c r="J2092" t="str">
        <f t="shared" si="130"/>
        <v>Sep</v>
      </c>
      <c r="K2092" t="str">
        <f t="shared" si="131"/>
        <v>Fri</v>
      </c>
    </row>
    <row r="2093" spans="1:11" x14ac:dyDescent="0.35">
      <c r="A2093" s="1">
        <v>38601</v>
      </c>
      <c r="B2093">
        <v>2.0775001049041699</v>
      </c>
      <c r="C2093">
        <v>2.1824998855590798</v>
      </c>
      <c r="D2093">
        <v>2.07550001144409</v>
      </c>
      <c r="E2093">
        <v>2.1809999942779501</v>
      </c>
      <c r="F2093">
        <v>2.1809999942779501</v>
      </c>
      <c r="G2093">
        <v>158796000</v>
      </c>
      <c r="H2093">
        <f t="shared" si="128"/>
        <v>2005</v>
      </c>
      <c r="I2093">
        <f t="shared" si="129"/>
        <v>9</v>
      </c>
      <c r="J2093" t="str">
        <f t="shared" si="130"/>
        <v>Sep</v>
      </c>
      <c r="K2093" t="str">
        <f t="shared" si="131"/>
        <v>Tue</v>
      </c>
    </row>
    <row r="2094" spans="1:11" x14ac:dyDescent="0.35">
      <c r="A2094" s="1">
        <v>38602</v>
      </c>
      <c r="B2094">
        <v>2.1749999523162802</v>
      </c>
      <c r="C2094">
        <v>2.2149999141693102</v>
      </c>
      <c r="D2094">
        <v>2.1724998950958199</v>
      </c>
      <c r="E2094">
        <v>2.1865000724792401</v>
      </c>
      <c r="F2094">
        <v>2.1865000724792401</v>
      </c>
      <c r="G2094">
        <v>122830000</v>
      </c>
      <c r="H2094">
        <f t="shared" si="128"/>
        <v>2005</v>
      </c>
      <c r="I2094">
        <f t="shared" si="129"/>
        <v>9</v>
      </c>
      <c r="J2094" t="str">
        <f t="shared" si="130"/>
        <v>Sep</v>
      </c>
      <c r="K2094" t="str">
        <f t="shared" si="131"/>
        <v>Wed</v>
      </c>
    </row>
    <row r="2095" spans="1:11" x14ac:dyDescent="0.35">
      <c r="A2095" s="1">
        <v>38603</v>
      </c>
      <c r="B2095">
        <v>2.1724998950958199</v>
      </c>
      <c r="C2095">
        <v>2.1744999885559002</v>
      </c>
      <c r="D2095">
        <v>2.1414999961853001</v>
      </c>
      <c r="E2095">
        <v>2.1480000019073402</v>
      </c>
      <c r="F2095">
        <v>2.1480000019073402</v>
      </c>
      <c r="G2095">
        <v>77684000</v>
      </c>
      <c r="H2095">
        <f t="shared" si="128"/>
        <v>2005</v>
      </c>
      <c r="I2095">
        <f t="shared" si="129"/>
        <v>9</v>
      </c>
      <c r="J2095" t="str">
        <f t="shared" si="130"/>
        <v>Sep</v>
      </c>
      <c r="K2095" t="str">
        <f t="shared" si="131"/>
        <v>Thu</v>
      </c>
    </row>
    <row r="2096" spans="1:11" x14ac:dyDescent="0.35">
      <c r="A2096" s="1">
        <v>38604</v>
      </c>
      <c r="B2096">
        <v>2.1494998931884699</v>
      </c>
      <c r="C2096">
        <v>2.16000008583068</v>
      </c>
      <c r="D2096">
        <v>2.1405000686645499</v>
      </c>
      <c r="E2096">
        <v>2.14750003814697</v>
      </c>
      <c r="F2096">
        <v>2.14750003814697</v>
      </c>
      <c r="G2096">
        <v>65774000</v>
      </c>
      <c r="H2096">
        <f t="shared" si="128"/>
        <v>2005</v>
      </c>
      <c r="I2096">
        <f t="shared" si="129"/>
        <v>9</v>
      </c>
      <c r="J2096" t="str">
        <f t="shared" si="130"/>
        <v>Sep</v>
      </c>
      <c r="K2096" t="str">
        <f t="shared" si="131"/>
        <v>Fri</v>
      </c>
    </row>
    <row r="2097" spans="1:11" x14ac:dyDescent="0.35">
      <c r="A2097" s="1">
        <v>38607</v>
      </c>
      <c r="B2097">
        <v>2.1359999179839999</v>
      </c>
      <c r="C2097">
        <v>2.2479999065399099</v>
      </c>
      <c r="D2097">
        <v>2.13450002670288</v>
      </c>
      <c r="E2097">
        <v>2.2249999046325599</v>
      </c>
      <c r="F2097">
        <v>2.2249999046325599</v>
      </c>
      <c r="G2097">
        <v>175588000</v>
      </c>
      <c r="H2097">
        <f t="shared" si="128"/>
        <v>2005</v>
      </c>
      <c r="I2097">
        <f t="shared" si="129"/>
        <v>9</v>
      </c>
      <c r="J2097" t="str">
        <f t="shared" si="130"/>
        <v>Sep</v>
      </c>
      <c r="K2097" t="str">
        <f t="shared" si="131"/>
        <v>Mon</v>
      </c>
    </row>
    <row r="2098" spans="1:11" x14ac:dyDescent="0.35">
      <c r="A2098" s="1">
        <v>38608</v>
      </c>
      <c r="B2098">
        <v>2.2084999084472599</v>
      </c>
      <c r="C2098">
        <v>2.21900010108947</v>
      </c>
      <c r="D2098">
        <v>2.1719999313354399</v>
      </c>
      <c r="E2098">
        <v>2.1965000629425</v>
      </c>
      <c r="F2098">
        <v>2.1965000629425</v>
      </c>
      <c r="G2098">
        <v>90104000</v>
      </c>
      <c r="H2098">
        <f t="shared" si="128"/>
        <v>2005</v>
      </c>
      <c r="I2098">
        <f t="shared" si="129"/>
        <v>9</v>
      </c>
      <c r="J2098" t="str">
        <f t="shared" si="130"/>
        <v>Sep</v>
      </c>
      <c r="K2098" t="str">
        <f t="shared" si="131"/>
        <v>Tue</v>
      </c>
    </row>
    <row r="2099" spans="1:11" x14ac:dyDescent="0.35">
      <c r="A2099" s="1">
        <v>38609</v>
      </c>
      <c r="B2099">
        <v>2.1940000057220401</v>
      </c>
      <c r="C2099">
        <v>2.23650002479553</v>
      </c>
      <c r="D2099">
        <v>2.1410000324249201</v>
      </c>
      <c r="E2099">
        <v>2.1549999713897701</v>
      </c>
      <c r="F2099">
        <v>2.1549999713897701</v>
      </c>
      <c r="G2099">
        <v>126360000</v>
      </c>
      <c r="H2099">
        <f t="shared" si="128"/>
        <v>2005</v>
      </c>
      <c r="I2099">
        <f t="shared" si="129"/>
        <v>9</v>
      </c>
      <c r="J2099" t="str">
        <f t="shared" si="130"/>
        <v>Sep</v>
      </c>
      <c r="K2099" t="str">
        <f t="shared" si="131"/>
        <v>Wed</v>
      </c>
    </row>
    <row r="2100" spans="1:11" x14ac:dyDescent="0.35">
      <c r="A2100" s="1">
        <v>38610</v>
      </c>
      <c r="B2100">
        <v>2.16000008583068</v>
      </c>
      <c r="C2100">
        <v>2.17950010299682</v>
      </c>
      <c r="D2100">
        <v>2.1324999332427899</v>
      </c>
      <c r="E2100">
        <v>2.1354999542236301</v>
      </c>
      <c r="F2100">
        <v>2.1354999542236301</v>
      </c>
      <c r="G2100">
        <v>91758000</v>
      </c>
      <c r="H2100">
        <f t="shared" si="128"/>
        <v>2005</v>
      </c>
      <c r="I2100">
        <f t="shared" si="129"/>
        <v>9</v>
      </c>
      <c r="J2100" t="str">
        <f t="shared" si="130"/>
        <v>Sep</v>
      </c>
      <c r="K2100" t="str">
        <f t="shared" si="131"/>
        <v>Thu</v>
      </c>
    </row>
    <row r="2101" spans="1:11" x14ac:dyDescent="0.35">
      <c r="A2101" s="1">
        <v>38611</v>
      </c>
      <c r="B2101">
        <v>2.1400001049041699</v>
      </c>
      <c r="C2101">
        <v>2.1459999084472599</v>
      </c>
      <c r="D2101">
        <v>2.1059999465942298</v>
      </c>
      <c r="E2101">
        <v>2.1400001049041699</v>
      </c>
      <c r="F2101">
        <v>2.1400001049041699</v>
      </c>
      <c r="G2101">
        <v>82234000</v>
      </c>
      <c r="H2101">
        <f t="shared" si="128"/>
        <v>2005</v>
      </c>
      <c r="I2101">
        <f t="shared" si="129"/>
        <v>9</v>
      </c>
      <c r="J2101" t="str">
        <f t="shared" si="130"/>
        <v>Sep</v>
      </c>
      <c r="K2101" t="str">
        <f t="shared" si="131"/>
        <v>Fri</v>
      </c>
    </row>
    <row r="2102" spans="1:11" x14ac:dyDescent="0.35">
      <c r="A2102" s="1">
        <v>38614</v>
      </c>
      <c r="B2102">
        <v>2.1315000057220401</v>
      </c>
      <c r="C2102">
        <v>2.1714999675750701</v>
      </c>
      <c r="D2102">
        <v>2.1085000038146902</v>
      </c>
      <c r="E2102">
        <v>2.13750004768371</v>
      </c>
      <c r="F2102">
        <v>2.13750004768371</v>
      </c>
      <c r="G2102">
        <v>68806000</v>
      </c>
      <c r="H2102">
        <f t="shared" si="128"/>
        <v>2005</v>
      </c>
      <c r="I2102">
        <f t="shared" si="129"/>
        <v>9</v>
      </c>
      <c r="J2102" t="str">
        <f t="shared" si="130"/>
        <v>Sep</v>
      </c>
      <c r="K2102" t="str">
        <f t="shared" si="131"/>
        <v>Mon</v>
      </c>
    </row>
    <row r="2103" spans="1:11" x14ac:dyDescent="0.35">
      <c r="A2103" s="1">
        <v>38615</v>
      </c>
      <c r="B2103">
        <v>2.1324999332427899</v>
      </c>
      <c r="C2103">
        <v>2.1505000591278001</v>
      </c>
      <c r="D2103">
        <v>2.08850002288818</v>
      </c>
      <c r="E2103">
        <v>2.0934998989105198</v>
      </c>
      <c r="F2103">
        <v>2.0934998989105198</v>
      </c>
      <c r="G2103">
        <v>69440000</v>
      </c>
      <c r="H2103">
        <f t="shared" si="128"/>
        <v>2005</v>
      </c>
      <c r="I2103">
        <f t="shared" si="129"/>
        <v>9</v>
      </c>
      <c r="J2103" t="str">
        <f t="shared" si="130"/>
        <v>Sep</v>
      </c>
      <c r="K2103" t="str">
        <f t="shared" si="131"/>
        <v>Tue</v>
      </c>
    </row>
    <row r="2104" spans="1:11" x14ac:dyDescent="0.35">
      <c r="A2104" s="1">
        <v>38616</v>
      </c>
      <c r="B2104">
        <v>2.0924999713897701</v>
      </c>
      <c r="C2104">
        <v>2.1319999694824201</v>
      </c>
      <c r="D2104">
        <v>2.0625</v>
      </c>
      <c r="E2104">
        <v>2.0625</v>
      </c>
      <c r="F2104">
        <v>2.0625</v>
      </c>
      <c r="G2104">
        <v>106276000</v>
      </c>
      <c r="H2104">
        <f t="shared" si="128"/>
        <v>2005</v>
      </c>
      <c r="I2104">
        <f t="shared" si="129"/>
        <v>9</v>
      </c>
      <c r="J2104" t="str">
        <f t="shared" si="130"/>
        <v>Sep</v>
      </c>
      <c r="K2104" t="str">
        <f t="shared" si="131"/>
        <v>Wed</v>
      </c>
    </row>
    <row r="2105" spans="1:11" x14ac:dyDescent="0.35">
      <c r="A2105" s="1">
        <v>38617</v>
      </c>
      <c r="B2105">
        <v>2.0599999427795401</v>
      </c>
      <c r="C2105">
        <v>2.1135001182556099</v>
      </c>
      <c r="D2105">
        <v>2.0250000953674299</v>
      </c>
      <c r="E2105">
        <v>2.1040000915527299</v>
      </c>
      <c r="F2105">
        <v>2.1040000915527299</v>
      </c>
      <c r="G2105">
        <v>116760000</v>
      </c>
      <c r="H2105">
        <f t="shared" si="128"/>
        <v>2005</v>
      </c>
      <c r="I2105">
        <f t="shared" si="129"/>
        <v>9</v>
      </c>
      <c r="J2105" t="str">
        <f t="shared" si="130"/>
        <v>Sep</v>
      </c>
      <c r="K2105" t="str">
        <f t="shared" si="131"/>
        <v>Thu</v>
      </c>
    </row>
    <row r="2106" spans="1:11" x14ac:dyDescent="0.35">
      <c r="A2106" s="1">
        <v>38618</v>
      </c>
      <c r="B2106">
        <v>2.09850001335144</v>
      </c>
      <c r="C2106">
        <v>2.1310000419616699</v>
      </c>
      <c r="D2106">
        <v>2.0775001049041699</v>
      </c>
      <c r="E2106">
        <v>2.1094999313354399</v>
      </c>
      <c r="F2106">
        <v>2.1094999313354399</v>
      </c>
      <c r="G2106">
        <v>62908000</v>
      </c>
      <c r="H2106">
        <f t="shared" si="128"/>
        <v>2005</v>
      </c>
      <c r="I2106">
        <f t="shared" si="129"/>
        <v>9</v>
      </c>
      <c r="J2106" t="str">
        <f t="shared" si="130"/>
        <v>Sep</v>
      </c>
      <c r="K2106" t="str">
        <f t="shared" si="131"/>
        <v>Fri</v>
      </c>
    </row>
    <row r="2107" spans="1:11" x14ac:dyDescent="0.35">
      <c r="A2107" s="1">
        <v>38621</v>
      </c>
      <c r="B2107">
        <v>2.1224999427795401</v>
      </c>
      <c r="C2107">
        <v>2.1710000038146902</v>
      </c>
      <c r="D2107">
        <v>2.1199998855590798</v>
      </c>
      <c r="E2107">
        <v>2.1670000553131099</v>
      </c>
      <c r="F2107">
        <v>2.1670000553131099</v>
      </c>
      <c r="G2107">
        <v>112328000</v>
      </c>
      <c r="H2107">
        <f t="shared" si="128"/>
        <v>2005</v>
      </c>
      <c r="I2107">
        <f t="shared" si="129"/>
        <v>9</v>
      </c>
      <c r="J2107" t="str">
        <f t="shared" si="130"/>
        <v>Sep</v>
      </c>
      <c r="K2107" t="str">
        <f t="shared" si="131"/>
        <v>Mon</v>
      </c>
    </row>
    <row r="2108" spans="1:11" x14ac:dyDescent="0.35">
      <c r="A2108" s="1">
        <v>38622</v>
      </c>
      <c r="B2108">
        <v>2.1630001068115199</v>
      </c>
      <c r="C2108">
        <v>2.1865000724792401</v>
      </c>
      <c r="D2108">
        <v>2.1410000324249201</v>
      </c>
      <c r="E2108">
        <v>2.1579999923706001</v>
      </c>
      <c r="F2108">
        <v>2.1579999923706001</v>
      </c>
      <c r="G2108">
        <v>83470000</v>
      </c>
      <c r="H2108">
        <f t="shared" si="128"/>
        <v>2005</v>
      </c>
      <c r="I2108">
        <f t="shared" si="129"/>
        <v>9</v>
      </c>
      <c r="J2108" t="str">
        <f t="shared" si="130"/>
        <v>Sep</v>
      </c>
      <c r="K2108" t="str">
        <f t="shared" si="131"/>
        <v>Tue</v>
      </c>
    </row>
    <row r="2109" spans="1:11" x14ac:dyDescent="0.35">
      <c r="A2109" s="1">
        <v>38623</v>
      </c>
      <c r="B2109">
        <v>2.1624999046325599</v>
      </c>
      <c r="C2109">
        <v>2.18700003623962</v>
      </c>
      <c r="D2109">
        <v>2.1494998931884699</v>
      </c>
      <c r="E2109">
        <v>2.1684999465942298</v>
      </c>
      <c r="F2109">
        <v>2.1684999465942298</v>
      </c>
      <c r="G2109">
        <v>64794000</v>
      </c>
      <c r="H2109">
        <f t="shared" si="128"/>
        <v>2005</v>
      </c>
      <c r="I2109">
        <f t="shared" si="129"/>
        <v>9</v>
      </c>
      <c r="J2109" t="str">
        <f t="shared" si="130"/>
        <v>Sep</v>
      </c>
      <c r="K2109" t="str">
        <f t="shared" si="131"/>
        <v>Wed</v>
      </c>
    </row>
    <row r="2110" spans="1:11" x14ac:dyDescent="0.35">
      <c r="A2110" s="1">
        <v>38624</v>
      </c>
      <c r="B2110">
        <v>2.1689999103546098</v>
      </c>
      <c r="C2110">
        <v>2.2400000095367401</v>
      </c>
      <c r="D2110">
        <v>2.15650010108947</v>
      </c>
      <c r="E2110">
        <v>2.2395000457763601</v>
      </c>
      <c r="F2110">
        <v>2.2395000457763601</v>
      </c>
      <c r="G2110">
        <v>127856000</v>
      </c>
      <c r="H2110">
        <f t="shared" si="128"/>
        <v>2005</v>
      </c>
      <c r="I2110">
        <f t="shared" si="129"/>
        <v>9</v>
      </c>
      <c r="J2110" t="str">
        <f t="shared" si="130"/>
        <v>Sep</v>
      </c>
      <c r="K2110" t="str">
        <f t="shared" si="131"/>
        <v>Thu</v>
      </c>
    </row>
    <row r="2111" spans="1:11" x14ac:dyDescent="0.35">
      <c r="A2111" s="1">
        <v>38625</v>
      </c>
      <c r="B2111">
        <v>2.23250007629394</v>
      </c>
      <c r="C2111">
        <v>2.2920000553131099</v>
      </c>
      <c r="D2111">
        <v>2.2300000190734801</v>
      </c>
      <c r="E2111">
        <v>2.2650001049041699</v>
      </c>
      <c r="F2111">
        <v>2.2650001049041699</v>
      </c>
      <c r="G2111">
        <v>121120000</v>
      </c>
      <c r="H2111">
        <f t="shared" si="128"/>
        <v>2005</v>
      </c>
      <c r="I2111">
        <f t="shared" si="129"/>
        <v>9</v>
      </c>
      <c r="J2111" t="str">
        <f t="shared" si="130"/>
        <v>Sep</v>
      </c>
      <c r="K2111" t="str">
        <f t="shared" si="131"/>
        <v>Fri</v>
      </c>
    </row>
    <row r="2112" spans="1:11" x14ac:dyDescent="0.35">
      <c r="A2112" s="1">
        <v>38628</v>
      </c>
      <c r="B2112">
        <v>2.2664999961853001</v>
      </c>
      <c r="C2112">
        <v>2.3294999599456698</v>
      </c>
      <c r="D2112">
        <v>2.2579998970031698</v>
      </c>
      <c r="E2112">
        <v>2.3004999160766602</v>
      </c>
      <c r="F2112">
        <v>2.3004999160766602</v>
      </c>
      <c r="G2112">
        <v>116584000</v>
      </c>
      <c r="H2112">
        <f t="shared" si="128"/>
        <v>2005</v>
      </c>
      <c r="I2112">
        <f t="shared" si="129"/>
        <v>10</v>
      </c>
      <c r="J2112" t="str">
        <f t="shared" si="130"/>
        <v>Oct</v>
      </c>
      <c r="K2112" t="str">
        <f t="shared" si="131"/>
        <v>Mon</v>
      </c>
    </row>
    <row r="2113" spans="1:11" x14ac:dyDescent="0.35">
      <c r="A2113" s="1">
        <v>38629</v>
      </c>
      <c r="B2113">
        <v>2.2999999523162802</v>
      </c>
      <c r="C2113">
        <v>2.3059999942779501</v>
      </c>
      <c r="D2113">
        <v>2.2249999046325599</v>
      </c>
      <c r="E2113">
        <v>2.2465000152587802</v>
      </c>
      <c r="F2113">
        <v>2.2465000152587802</v>
      </c>
      <c r="G2113">
        <v>130430000</v>
      </c>
      <c r="H2113">
        <f t="shared" si="128"/>
        <v>2005</v>
      </c>
      <c r="I2113">
        <f t="shared" si="129"/>
        <v>10</v>
      </c>
      <c r="J2113" t="str">
        <f t="shared" si="130"/>
        <v>Oct</v>
      </c>
      <c r="K2113" t="str">
        <f t="shared" si="131"/>
        <v>Tue</v>
      </c>
    </row>
    <row r="2114" spans="1:11" x14ac:dyDescent="0.35">
      <c r="A2114" s="1">
        <v>38630</v>
      </c>
      <c r="B2114">
        <v>2.24550008773803</v>
      </c>
      <c r="C2114">
        <v>2.26449990272521</v>
      </c>
      <c r="D2114">
        <v>2.1944999694824201</v>
      </c>
      <c r="E2114">
        <v>2.2244999408721902</v>
      </c>
      <c r="F2114">
        <v>2.2244999408721902</v>
      </c>
      <c r="G2114">
        <v>129054000</v>
      </c>
      <c r="H2114">
        <f t="shared" si="128"/>
        <v>2005</v>
      </c>
      <c r="I2114">
        <f t="shared" si="129"/>
        <v>10</v>
      </c>
      <c r="J2114" t="str">
        <f t="shared" si="130"/>
        <v>Oct</v>
      </c>
      <c r="K2114" t="str">
        <f t="shared" si="131"/>
        <v>Wed</v>
      </c>
    </row>
    <row r="2115" spans="1:11" x14ac:dyDescent="0.35">
      <c r="A2115" s="1">
        <v>38631</v>
      </c>
      <c r="B2115">
        <v>2.2279999256134002</v>
      </c>
      <c r="C2115">
        <v>2.2404999732971098</v>
      </c>
      <c r="D2115">
        <v>2.1665000915527299</v>
      </c>
      <c r="E2115">
        <v>2.20050001144409</v>
      </c>
      <c r="F2115">
        <v>2.20050001144409</v>
      </c>
      <c r="G2115">
        <v>123858000</v>
      </c>
      <c r="H2115">
        <f t="shared" si="128"/>
        <v>2005</v>
      </c>
      <c r="I2115">
        <f t="shared" si="129"/>
        <v>10</v>
      </c>
      <c r="J2115" t="str">
        <f t="shared" si="130"/>
        <v>Oct</v>
      </c>
      <c r="K2115" t="str">
        <f t="shared" si="131"/>
        <v>Thu</v>
      </c>
    </row>
    <row r="2116" spans="1:11" x14ac:dyDescent="0.35">
      <c r="A2116" s="1">
        <v>38632</v>
      </c>
      <c r="B2116">
        <v>2.21350002288818</v>
      </c>
      <c r="C2116">
        <v>2.2304999828338601</v>
      </c>
      <c r="D2116">
        <v>2.1689999103546098</v>
      </c>
      <c r="E2116">
        <v>2.1860001087188698</v>
      </c>
      <c r="F2116">
        <v>2.1860001087188698</v>
      </c>
      <c r="G2116">
        <v>67850000</v>
      </c>
      <c r="H2116">
        <f t="shared" ref="H2116:H2179" si="132">YEAR($A2116)</f>
        <v>2005</v>
      </c>
      <c r="I2116">
        <f t="shared" ref="I2116:I2179" si="133">MONTH($A2116)</f>
        <v>10</v>
      </c>
      <c r="J2116" t="str">
        <f t="shared" ref="J2116:J2179" si="134">TEXT($A2116,"mmm")</f>
        <v>Oct</v>
      </c>
      <c r="K2116" t="str">
        <f t="shared" ref="K2116:K2179" si="135">TEXT($A2116,"ddd")</f>
        <v>Fri</v>
      </c>
    </row>
    <row r="2117" spans="1:11" x14ac:dyDescent="0.35">
      <c r="A2117" s="1">
        <v>38635</v>
      </c>
      <c r="B2117">
        <v>2.19099998474121</v>
      </c>
      <c r="C2117">
        <v>2.21900010108947</v>
      </c>
      <c r="D2117">
        <v>2.1789999008178702</v>
      </c>
      <c r="E2117">
        <v>2.1879999637603702</v>
      </c>
      <c r="F2117">
        <v>2.1879999637603702</v>
      </c>
      <c r="G2117">
        <v>73606000</v>
      </c>
      <c r="H2117">
        <f t="shared" si="132"/>
        <v>2005</v>
      </c>
      <c r="I2117">
        <f t="shared" si="133"/>
        <v>10</v>
      </c>
      <c r="J2117" t="str">
        <f t="shared" si="134"/>
        <v>Oct</v>
      </c>
      <c r="K2117" t="str">
        <f t="shared" si="135"/>
        <v>Mon</v>
      </c>
    </row>
    <row r="2118" spans="1:11" x14ac:dyDescent="0.35">
      <c r="A2118" s="1">
        <v>38636</v>
      </c>
      <c r="B2118">
        <v>2.19600009918212</v>
      </c>
      <c r="C2118">
        <v>2.2160000801086399</v>
      </c>
      <c r="D2118">
        <v>2.1614999771118102</v>
      </c>
      <c r="E2118">
        <v>2.17000007629394</v>
      </c>
      <c r="F2118">
        <v>2.17000007629394</v>
      </c>
      <c r="G2118">
        <v>106036000</v>
      </c>
      <c r="H2118">
        <f t="shared" si="132"/>
        <v>2005</v>
      </c>
      <c r="I2118">
        <f t="shared" si="133"/>
        <v>10</v>
      </c>
      <c r="J2118" t="str">
        <f t="shared" si="134"/>
        <v>Oct</v>
      </c>
      <c r="K2118" t="str">
        <f t="shared" si="135"/>
        <v>Tue</v>
      </c>
    </row>
    <row r="2119" spans="1:11" x14ac:dyDescent="0.35">
      <c r="A2119" s="1">
        <v>38637</v>
      </c>
      <c r="B2119">
        <v>2.1454999446868799</v>
      </c>
      <c r="C2119">
        <v>2.1840000152587802</v>
      </c>
      <c r="D2119">
        <v>2.1219999790191602</v>
      </c>
      <c r="E2119">
        <v>2.1275000572204501</v>
      </c>
      <c r="F2119">
        <v>2.1275000572204501</v>
      </c>
      <c r="G2119">
        <v>114084000</v>
      </c>
      <c r="H2119">
        <f t="shared" si="132"/>
        <v>2005</v>
      </c>
      <c r="I2119">
        <f t="shared" si="133"/>
        <v>10</v>
      </c>
      <c r="J2119" t="str">
        <f t="shared" si="134"/>
        <v>Oct</v>
      </c>
      <c r="K2119" t="str">
        <f t="shared" si="135"/>
        <v>Wed</v>
      </c>
    </row>
    <row r="2120" spans="1:11" x14ac:dyDescent="0.35">
      <c r="A2120" s="1">
        <v>38638</v>
      </c>
      <c r="B2120">
        <v>2.1215000152587802</v>
      </c>
      <c r="C2120">
        <v>2.1489999294281001</v>
      </c>
      <c r="D2120">
        <v>2.0950000286102202</v>
      </c>
      <c r="E2120">
        <v>2.1310000419616699</v>
      </c>
      <c r="F2120">
        <v>2.1310000419616699</v>
      </c>
      <c r="G2120">
        <v>76656000</v>
      </c>
      <c r="H2120">
        <f t="shared" si="132"/>
        <v>2005</v>
      </c>
      <c r="I2120">
        <f t="shared" si="133"/>
        <v>10</v>
      </c>
      <c r="J2120" t="str">
        <f t="shared" si="134"/>
        <v>Oct</v>
      </c>
      <c r="K2120" t="str">
        <f t="shared" si="135"/>
        <v>Thu</v>
      </c>
    </row>
    <row r="2121" spans="1:11" x14ac:dyDescent="0.35">
      <c r="A2121" s="1">
        <v>38639</v>
      </c>
      <c r="B2121">
        <v>2.1500000953674299</v>
      </c>
      <c r="C2121">
        <v>2.1935000419616699</v>
      </c>
      <c r="D2121">
        <v>2.11700010299682</v>
      </c>
      <c r="E2121">
        <v>2.1895000934600799</v>
      </c>
      <c r="F2121">
        <v>2.1895000934600799</v>
      </c>
      <c r="G2121">
        <v>91552000</v>
      </c>
      <c r="H2121">
        <f t="shared" si="132"/>
        <v>2005</v>
      </c>
      <c r="I2121">
        <f t="shared" si="133"/>
        <v>10</v>
      </c>
      <c r="J2121" t="str">
        <f t="shared" si="134"/>
        <v>Oct</v>
      </c>
      <c r="K2121" t="str">
        <f t="shared" si="135"/>
        <v>Fri</v>
      </c>
    </row>
    <row r="2122" spans="1:11" x14ac:dyDescent="0.35">
      <c r="A2122" s="1">
        <v>38642</v>
      </c>
      <c r="B2122">
        <v>2.1814999580383301</v>
      </c>
      <c r="C2122">
        <v>2.2509999275207502</v>
      </c>
      <c r="D2122">
        <v>2.1809999942779501</v>
      </c>
      <c r="E2122">
        <v>2.2509999275207502</v>
      </c>
      <c r="F2122">
        <v>2.2509999275207502</v>
      </c>
      <c r="G2122">
        <v>104500000</v>
      </c>
      <c r="H2122">
        <f t="shared" si="132"/>
        <v>2005</v>
      </c>
      <c r="I2122">
        <f t="shared" si="133"/>
        <v>10</v>
      </c>
      <c r="J2122" t="str">
        <f t="shared" si="134"/>
        <v>Oct</v>
      </c>
      <c r="K2122" t="str">
        <f t="shared" si="135"/>
        <v>Mon</v>
      </c>
    </row>
    <row r="2123" spans="1:11" x14ac:dyDescent="0.35">
      <c r="A2123" s="1">
        <v>38643</v>
      </c>
      <c r="B2123">
        <v>2.24600005149841</v>
      </c>
      <c r="C2123">
        <v>2.2525000572204501</v>
      </c>
      <c r="D2123">
        <v>2.2149999141693102</v>
      </c>
      <c r="E2123">
        <v>2.23250007629394</v>
      </c>
      <c r="F2123">
        <v>2.23250007629394</v>
      </c>
      <c r="G2123">
        <v>89154000</v>
      </c>
      <c r="H2123">
        <f t="shared" si="132"/>
        <v>2005</v>
      </c>
      <c r="I2123">
        <f t="shared" si="133"/>
        <v>10</v>
      </c>
      <c r="J2123" t="str">
        <f t="shared" si="134"/>
        <v>Oct</v>
      </c>
      <c r="K2123" t="str">
        <f t="shared" si="135"/>
        <v>Tue</v>
      </c>
    </row>
    <row r="2124" spans="1:11" x14ac:dyDescent="0.35">
      <c r="A2124" s="1">
        <v>38644</v>
      </c>
      <c r="B2124">
        <v>2.22699999809265</v>
      </c>
      <c r="C2124">
        <v>2.2929999828338601</v>
      </c>
      <c r="D2124">
        <v>2.2139999866485498</v>
      </c>
      <c r="E2124">
        <v>2.2929999828338601</v>
      </c>
      <c r="F2124">
        <v>2.2929999828338601</v>
      </c>
      <c r="G2124">
        <v>130570000</v>
      </c>
      <c r="H2124">
        <f t="shared" si="132"/>
        <v>2005</v>
      </c>
      <c r="I2124">
        <f t="shared" si="133"/>
        <v>10</v>
      </c>
      <c r="J2124" t="str">
        <f t="shared" si="134"/>
        <v>Oct</v>
      </c>
      <c r="K2124" t="str">
        <f t="shared" si="135"/>
        <v>Wed</v>
      </c>
    </row>
    <row r="2125" spans="1:11" x14ac:dyDescent="0.35">
      <c r="A2125" s="1">
        <v>38645</v>
      </c>
      <c r="B2125">
        <v>2.29500007629394</v>
      </c>
      <c r="C2125">
        <v>2.3034999370574898</v>
      </c>
      <c r="D2125">
        <v>2.2339999675750701</v>
      </c>
      <c r="E2125">
        <v>2.2504999637603702</v>
      </c>
      <c r="F2125">
        <v>2.2504999637603702</v>
      </c>
      <c r="G2125">
        <v>118584000</v>
      </c>
      <c r="H2125">
        <f t="shared" si="132"/>
        <v>2005</v>
      </c>
      <c r="I2125">
        <f t="shared" si="133"/>
        <v>10</v>
      </c>
      <c r="J2125" t="str">
        <f t="shared" si="134"/>
        <v>Oct</v>
      </c>
      <c r="K2125" t="str">
        <f t="shared" si="135"/>
        <v>Thu</v>
      </c>
    </row>
    <row r="2126" spans="1:11" x14ac:dyDescent="0.35">
      <c r="A2126" s="1">
        <v>38646</v>
      </c>
      <c r="B2126">
        <v>2.2834999561309801</v>
      </c>
      <c r="C2126">
        <v>2.3025000095367401</v>
      </c>
      <c r="D2126">
        <v>2.2574999332427899</v>
      </c>
      <c r="E2126">
        <v>2.2974998950958199</v>
      </c>
      <c r="F2126">
        <v>2.2974998950958199</v>
      </c>
      <c r="G2126">
        <v>92496000</v>
      </c>
      <c r="H2126">
        <f t="shared" si="132"/>
        <v>2005</v>
      </c>
      <c r="I2126">
        <f t="shared" si="133"/>
        <v>10</v>
      </c>
      <c r="J2126" t="str">
        <f t="shared" si="134"/>
        <v>Oct</v>
      </c>
      <c r="K2126" t="str">
        <f t="shared" si="135"/>
        <v>Fri</v>
      </c>
    </row>
    <row r="2127" spans="1:11" x14ac:dyDescent="0.35">
      <c r="A2127" s="1">
        <v>38649</v>
      </c>
      <c r="B2127">
        <v>2.3059999942779501</v>
      </c>
      <c r="C2127">
        <v>2.34800004959106</v>
      </c>
      <c r="D2127">
        <v>2.2929999828338601</v>
      </c>
      <c r="E2127">
        <v>2.3464999198913499</v>
      </c>
      <c r="F2127">
        <v>2.3464999198913499</v>
      </c>
      <c r="G2127">
        <v>109518000</v>
      </c>
      <c r="H2127">
        <f t="shared" si="132"/>
        <v>2005</v>
      </c>
      <c r="I2127">
        <f t="shared" si="133"/>
        <v>10</v>
      </c>
      <c r="J2127" t="str">
        <f t="shared" si="134"/>
        <v>Oct</v>
      </c>
      <c r="K2127" t="str">
        <f t="shared" si="135"/>
        <v>Mon</v>
      </c>
    </row>
    <row r="2128" spans="1:11" x14ac:dyDescent="0.35">
      <c r="A2128" s="1">
        <v>38650</v>
      </c>
      <c r="B2128">
        <v>2.34400010108947</v>
      </c>
      <c r="C2128">
        <v>2.3499999046325599</v>
      </c>
      <c r="D2128">
        <v>2.3020000457763601</v>
      </c>
      <c r="E2128">
        <v>2.30850005149841</v>
      </c>
      <c r="F2128">
        <v>2.30850005149841</v>
      </c>
      <c r="G2128">
        <v>228774000</v>
      </c>
      <c r="H2128">
        <f t="shared" si="132"/>
        <v>2005</v>
      </c>
      <c r="I2128">
        <f t="shared" si="133"/>
        <v>10</v>
      </c>
      <c r="J2128" t="str">
        <f t="shared" si="134"/>
        <v>Oct</v>
      </c>
      <c r="K2128" t="str">
        <f t="shared" si="135"/>
        <v>Tue</v>
      </c>
    </row>
    <row r="2129" spans="1:11" x14ac:dyDescent="0.35">
      <c r="A2129" s="1">
        <v>38651</v>
      </c>
      <c r="B2129">
        <v>2.0499999523162802</v>
      </c>
      <c r="C2129">
        <v>2.0550000667571999</v>
      </c>
      <c r="D2129">
        <v>1.97399997711181</v>
      </c>
      <c r="E2129">
        <v>1.98749995231628</v>
      </c>
      <c r="F2129">
        <v>1.98749995231628</v>
      </c>
      <c r="G2129">
        <v>602094000</v>
      </c>
      <c r="H2129">
        <f t="shared" si="132"/>
        <v>2005</v>
      </c>
      <c r="I2129">
        <f t="shared" si="133"/>
        <v>10</v>
      </c>
      <c r="J2129" t="str">
        <f t="shared" si="134"/>
        <v>Oct</v>
      </c>
      <c r="K2129" t="str">
        <f t="shared" si="135"/>
        <v>Wed</v>
      </c>
    </row>
    <row r="2130" spans="1:11" x14ac:dyDescent="0.35">
      <c r="A2130" s="1">
        <v>38652</v>
      </c>
      <c r="B2130">
        <v>1.98199999332427</v>
      </c>
      <c r="C2130">
        <v>1.99500000476837</v>
      </c>
      <c r="D2130">
        <v>1.942999958992</v>
      </c>
      <c r="E2130">
        <v>1.9529999494552599</v>
      </c>
      <c r="F2130">
        <v>1.9529999494552599</v>
      </c>
      <c r="G2130">
        <v>175406000</v>
      </c>
      <c r="H2130">
        <f t="shared" si="132"/>
        <v>2005</v>
      </c>
      <c r="I2130">
        <f t="shared" si="133"/>
        <v>10</v>
      </c>
      <c r="J2130" t="str">
        <f t="shared" si="134"/>
        <v>Oct</v>
      </c>
      <c r="K2130" t="str">
        <f t="shared" si="135"/>
        <v>Thu</v>
      </c>
    </row>
    <row r="2131" spans="1:11" x14ac:dyDescent="0.35">
      <c r="A2131" s="1">
        <v>38653</v>
      </c>
      <c r="B2131">
        <v>1.97749996185302</v>
      </c>
      <c r="C2131">
        <v>1.98249995708465</v>
      </c>
      <c r="D2131">
        <v>1.9359999895095801</v>
      </c>
      <c r="E2131">
        <v>1.94749999046325</v>
      </c>
      <c r="F2131">
        <v>1.94749999046325</v>
      </c>
      <c r="G2131">
        <v>123184000</v>
      </c>
      <c r="H2131">
        <f t="shared" si="132"/>
        <v>2005</v>
      </c>
      <c r="I2131">
        <f t="shared" si="133"/>
        <v>10</v>
      </c>
      <c r="J2131" t="str">
        <f t="shared" si="134"/>
        <v>Oct</v>
      </c>
      <c r="K2131" t="str">
        <f t="shared" si="135"/>
        <v>Fri</v>
      </c>
    </row>
    <row r="2132" spans="1:11" x14ac:dyDescent="0.35">
      <c r="A2132" s="1">
        <v>38656</v>
      </c>
      <c r="B2132">
        <v>1.9674999713897701</v>
      </c>
      <c r="C2132">
        <v>2.0195000171661301</v>
      </c>
      <c r="D2132">
        <v>1.95599997043609</v>
      </c>
      <c r="E2132">
        <v>1.9930000305175699</v>
      </c>
      <c r="F2132">
        <v>1.9930000305175699</v>
      </c>
      <c r="G2132">
        <v>135612000</v>
      </c>
      <c r="H2132">
        <f t="shared" si="132"/>
        <v>2005</v>
      </c>
      <c r="I2132">
        <f t="shared" si="133"/>
        <v>10</v>
      </c>
      <c r="J2132" t="str">
        <f t="shared" si="134"/>
        <v>Oct</v>
      </c>
      <c r="K2132" t="str">
        <f t="shared" si="135"/>
        <v>Mon</v>
      </c>
    </row>
    <row r="2133" spans="1:11" x14ac:dyDescent="0.35">
      <c r="A2133" s="1">
        <v>38657</v>
      </c>
      <c r="B2133">
        <v>1.9984999895095801</v>
      </c>
      <c r="C2133">
        <v>2.0369999408721902</v>
      </c>
      <c r="D2133">
        <v>1.98249995708465</v>
      </c>
      <c r="E2133">
        <v>2.01850008964538</v>
      </c>
      <c r="F2133">
        <v>2.01850008964538</v>
      </c>
      <c r="G2133">
        <v>107660000</v>
      </c>
      <c r="H2133">
        <f t="shared" si="132"/>
        <v>2005</v>
      </c>
      <c r="I2133">
        <f t="shared" si="133"/>
        <v>11</v>
      </c>
      <c r="J2133" t="str">
        <f t="shared" si="134"/>
        <v>Nov</v>
      </c>
      <c r="K2133" t="str">
        <f t="shared" si="135"/>
        <v>Tue</v>
      </c>
    </row>
    <row r="2134" spans="1:11" x14ac:dyDescent="0.35">
      <c r="A2134" s="1">
        <v>38658</v>
      </c>
      <c r="B2134">
        <v>2.01449990272521</v>
      </c>
      <c r="C2134">
        <v>2.0615000724792401</v>
      </c>
      <c r="D2134">
        <v>1.9900000095367401</v>
      </c>
      <c r="E2134">
        <v>2.0374999046325599</v>
      </c>
      <c r="F2134">
        <v>2.0374999046325599</v>
      </c>
      <c r="G2134">
        <v>97236000</v>
      </c>
      <c r="H2134">
        <f t="shared" si="132"/>
        <v>2005</v>
      </c>
      <c r="I2134">
        <f t="shared" si="133"/>
        <v>11</v>
      </c>
      <c r="J2134" t="str">
        <f t="shared" si="134"/>
        <v>Nov</v>
      </c>
      <c r="K2134" t="str">
        <f t="shared" si="135"/>
        <v>Wed</v>
      </c>
    </row>
    <row r="2135" spans="1:11" x14ac:dyDescent="0.35">
      <c r="A2135" s="1">
        <v>38659</v>
      </c>
      <c r="B2135">
        <v>2.04450011253356</v>
      </c>
      <c r="C2135">
        <v>2.0999999046325599</v>
      </c>
      <c r="D2135">
        <v>2.0425000190734801</v>
      </c>
      <c r="E2135">
        <v>2.0780000686645499</v>
      </c>
      <c r="F2135">
        <v>2.0780000686645499</v>
      </c>
      <c r="G2135">
        <v>140000000</v>
      </c>
      <c r="H2135">
        <f t="shared" si="132"/>
        <v>2005</v>
      </c>
      <c r="I2135">
        <f t="shared" si="133"/>
        <v>11</v>
      </c>
      <c r="J2135" t="str">
        <f t="shared" si="134"/>
        <v>Nov</v>
      </c>
      <c r="K2135" t="str">
        <f t="shared" si="135"/>
        <v>Thu</v>
      </c>
    </row>
    <row r="2136" spans="1:11" x14ac:dyDescent="0.35">
      <c r="A2136" s="1">
        <v>38660</v>
      </c>
      <c r="B2136">
        <v>2.0745000839233398</v>
      </c>
      <c r="C2136">
        <v>2.0899999141693102</v>
      </c>
      <c r="D2136">
        <v>2.04550004005432</v>
      </c>
      <c r="E2136">
        <v>2.05450010299682</v>
      </c>
      <c r="F2136">
        <v>2.05450010299682</v>
      </c>
      <c r="G2136">
        <v>88908000</v>
      </c>
      <c r="H2136">
        <f t="shared" si="132"/>
        <v>2005</v>
      </c>
      <c r="I2136">
        <f t="shared" si="133"/>
        <v>11</v>
      </c>
      <c r="J2136" t="str">
        <f t="shared" si="134"/>
        <v>Nov</v>
      </c>
      <c r="K2136" t="str">
        <f t="shared" si="135"/>
        <v>Fri</v>
      </c>
    </row>
    <row r="2137" spans="1:11" x14ac:dyDescent="0.35">
      <c r="A2137" s="1">
        <v>38663</v>
      </c>
      <c r="B2137">
        <v>2.0539999008178702</v>
      </c>
      <c r="C2137">
        <v>2.0734999179839999</v>
      </c>
      <c r="D2137">
        <v>2.0274999141693102</v>
      </c>
      <c r="E2137">
        <v>2.0694999694824201</v>
      </c>
      <c r="F2137">
        <v>2.0694999694824201</v>
      </c>
      <c r="G2137">
        <v>67722000</v>
      </c>
      <c r="H2137">
        <f t="shared" si="132"/>
        <v>2005</v>
      </c>
      <c r="I2137">
        <f t="shared" si="133"/>
        <v>11</v>
      </c>
      <c r="J2137" t="str">
        <f t="shared" si="134"/>
        <v>Nov</v>
      </c>
      <c r="K2137" t="str">
        <f t="shared" si="135"/>
        <v>Mon</v>
      </c>
    </row>
    <row r="2138" spans="1:11" x14ac:dyDescent="0.35">
      <c r="A2138" s="1">
        <v>38664</v>
      </c>
      <c r="B2138">
        <v>2.0664999485015798</v>
      </c>
      <c r="C2138">
        <v>2.1054999828338601</v>
      </c>
      <c r="D2138">
        <v>2.0515000820159899</v>
      </c>
      <c r="E2138">
        <v>2.09750008583068</v>
      </c>
      <c r="F2138">
        <v>2.09750008583068</v>
      </c>
      <c r="G2138">
        <v>99016000</v>
      </c>
      <c r="H2138">
        <f t="shared" si="132"/>
        <v>2005</v>
      </c>
      <c r="I2138">
        <f t="shared" si="133"/>
        <v>11</v>
      </c>
      <c r="J2138" t="str">
        <f t="shared" si="134"/>
        <v>Nov</v>
      </c>
      <c r="K2138" t="str">
        <f t="shared" si="135"/>
        <v>Tue</v>
      </c>
    </row>
    <row r="2139" spans="1:11" x14ac:dyDescent="0.35">
      <c r="A2139" s="1">
        <v>38665</v>
      </c>
      <c r="B2139">
        <v>2.0894999504089302</v>
      </c>
      <c r="C2139">
        <v>2.0999999046325599</v>
      </c>
      <c r="D2139">
        <v>2.0639998912811199</v>
      </c>
      <c r="E2139">
        <v>2.0699999332427899</v>
      </c>
      <c r="F2139">
        <v>2.0699999332427899</v>
      </c>
      <c r="G2139">
        <v>69432000</v>
      </c>
      <c r="H2139">
        <f t="shared" si="132"/>
        <v>2005</v>
      </c>
      <c r="I2139">
        <f t="shared" si="133"/>
        <v>11</v>
      </c>
      <c r="J2139" t="str">
        <f t="shared" si="134"/>
        <v>Nov</v>
      </c>
      <c r="K2139" t="str">
        <f t="shared" si="135"/>
        <v>Wed</v>
      </c>
    </row>
    <row r="2140" spans="1:11" x14ac:dyDescent="0.35">
      <c r="A2140" s="1">
        <v>38666</v>
      </c>
      <c r="B2140">
        <v>2.0734999179839999</v>
      </c>
      <c r="C2140">
        <v>2.1224999427795401</v>
      </c>
      <c r="D2140">
        <v>2.0429999828338601</v>
      </c>
      <c r="E2140">
        <v>2.1089999675750701</v>
      </c>
      <c r="F2140">
        <v>2.1089999675750701</v>
      </c>
      <c r="G2140">
        <v>111710000</v>
      </c>
      <c r="H2140">
        <f t="shared" si="132"/>
        <v>2005</v>
      </c>
      <c r="I2140">
        <f t="shared" si="133"/>
        <v>11</v>
      </c>
      <c r="J2140" t="str">
        <f t="shared" si="134"/>
        <v>Nov</v>
      </c>
      <c r="K2140" t="str">
        <f t="shared" si="135"/>
        <v>Thu</v>
      </c>
    </row>
    <row r="2141" spans="1:11" x14ac:dyDescent="0.35">
      <c r="A2141" s="1">
        <v>38667</v>
      </c>
      <c r="B2141">
        <v>2.1184999942779501</v>
      </c>
      <c r="C2141">
        <v>2.1519999504089302</v>
      </c>
      <c r="D2141">
        <v>2.1124999523162802</v>
      </c>
      <c r="E2141">
        <v>2.1340000629425</v>
      </c>
      <c r="F2141">
        <v>2.1340000629425</v>
      </c>
      <c r="G2141">
        <v>79644000</v>
      </c>
      <c r="H2141">
        <f t="shared" si="132"/>
        <v>2005</v>
      </c>
      <c r="I2141">
        <f t="shared" si="133"/>
        <v>11</v>
      </c>
      <c r="J2141" t="str">
        <f t="shared" si="134"/>
        <v>Nov</v>
      </c>
      <c r="K2141" t="str">
        <f t="shared" si="135"/>
        <v>Fri</v>
      </c>
    </row>
    <row r="2142" spans="1:11" x14ac:dyDescent="0.35">
      <c r="A2142" s="1">
        <v>38670</v>
      </c>
      <c r="B2142">
        <v>2.1259999275207502</v>
      </c>
      <c r="C2142">
        <v>2.1500000953674299</v>
      </c>
      <c r="D2142">
        <v>2.11700010299682</v>
      </c>
      <c r="E2142">
        <v>2.1264998912811199</v>
      </c>
      <c r="F2142">
        <v>2.1264998912811199</v>
      </c>
      <c r="G2142">
        <v>62062000</v>
      </c>
      <c r="H2142">
        <f t="shared" si="132"/>
        <v>2005</v>
      </c>
      <c r="I2142">
        <f t="shared" si="133"/>
        <v>11</v>
      </c>
      <c r="J2142" t="str">
        <f t="shared" si="134"/>
        <v>Nov</v>
      </c>
      <c r="K2142" t="str">
        <f t="shared" si="135"/>
        <v>Mon</v>
      </c>
    </row>
    <row r="2143" spans="1:11" x14ac:dyDescent="0.35">
      <c r="A2143" s="1">
        <v>38671</v>
      </c>
      <c r="B2143">
        <v>2.2730000019073402</v>
      </c>
      <c r="C2143">
        <v>2.2825000286102202</v>
      </c>
      <c r="D2143">
        <v>2.2214999198913499</v>
      </c>
      <c r="E2143">
        <v>2.22250008583068</v>
      </c>
      <c r="F2143">
        <v>2.22250008583068</v>
      </c>
      <c r="G2143">
        <v>425558000</v>
      </c>
      <c r="H2143">
        <f t="shared" si="132"/>
        <v>2005</v>
      </c>
      <c r="I2143">
        <f t="shared" si="133"/>
        <v>11</v>
      </c>
      <c r="J2143" t="str">
        <f t="shared" si="134"/>
        <v>Nov</v>
      </c>
      <c r="K2143" t="str">
        <f t="shared" si="135"/>
        <v>Tue</v>
      </c>
    </row>
    <row r="2144" spans="1:11" x14ac:dyDescent="0.35">
      <c r="A2144" s="1">
        <v>38672</v>
      </c>
      <c r="B2144">
        <v>2.21350002288818</v>
      </c>
      <c r="C2144">
        <v>2.2699999809265101</v>
      </c>
      <c r="D2144">
        <v>2.2119998931884699</v>
      </c>
      <c r="E2144">
        <v>2.2650001049041699</v>
      </c>
      <c r="F2144">
        <v>2.2650001049041699</v>
      </c>
      <c r="G2144">
        <v>159340000</v>
      </c>
      <c r="H2144">
        <f t="shared" si="132"/>
        <v>2005</v>
      </c>
      <c r="I2144">
        <f t="shared" si="133"/>
        <v>11</v>
      </c>
      <c r="J2144" t="str">
        <f t="shared" si="134"/>
        <v>Nov</v>
      </c>
      <c r="K2144" t="str">
        <f t="shared" si="135"/>
        <v>Wed</v>
      </c>
    </row>
    <row r="2145" spans="1:11" x14ac:dyDescent="0.35">
      <c r="A2145" s="1">
        <v>38673</v>
      </c>
      <c r="B2145">
        <v>2.2715001106262198</v>
      </c>
      <c r="C2145">
        <v>2.3380000591278001</v>
      </c>
      <c r="D2145">
        <v>2.2679998874664302</v>
      </c>
      <c r="E2145">
        <v>2.3369998931884699</v>
      </c>
      <c r="F2145">
        <v>2.3369998931884699</v>
      </c>
      <c r="G2145">
        <v>233752000</v>
      </c>
      <c r="H2145">
        <f t="shared" si="132"/>
        <v>2005</v>
      </c>
      <c r="I2145">
        <f t="shared" si="133"/>
        <v>11</v>
      </c>
      <c r="J2145" t="str">
        <f t="shared" si="134"/>
        <v>Nov</v>
      </c>
      <c r="K2145" t="str">
        <f t="shared" si="135"/>
        <v>Thu</v>
      </c>
    </row>
    <row r="2146" spans="1:11" x14ac:dyDescent="0.35">
      <c r="A2146" s="1">
        <v>38674</v>
      </c>
      <c r="B2146">
        <v>2.3450000286102202</v>
      </c>
      <c r="C2146">
        <v>2.4000000953674299</v>
      </c>
      <c r="D2146">
        <v>2.3329999446868799</v>
      </c>
      <c r="E2146">
        <v>2.3989999294281001</v>
      </c>
      <c r="F2146">
        <v>2.3989999294281001</v>
      </c>
      <c r="G2146">
        <v>1186656000</v>
      </c>
      <c r="H2146">
        <f t="shared" si="132"/>
        <v>2005</v>
      </c>
      <c r="I2146">
        <f t="shared" si="133"/>
        <v>11</v>
      </c>
      <c r="J2146" t="str">
        <f t="shared" si="134"/>
        <v>Nov</v>
      </c>
      <c r="K2146" t="str">
        <f t="shared" si="135"/>
        <v>Fri</v>
      </c>
    </row>
    <row r="2147" spans="1:11" x14ac:dyDescent="0.35">
      <c r="A2147" s="1">
        <v>38677</v>
      </c>
      <c r="B2147">
        <v>2.37849998474121</v>
      </c>
      <c r="C2147">
        <v>2.4154999256134002</v>
      </c>
      <c r="D2147">
        <v>2.3640000820159899</v>
      </c>
      <c r="E2147">
        <v>2.3994998931884699</v>
      </c>
      <c r="F2147">
        <v>2.3994998931884699</v>
      </c>
      <c r="G2147">
        <v>357398000</v>
      </c>
      <c r="H2147">
        <f t="shared" si="132"/>
        <v>2005</v>
      </c>
      <c r="I2147">
        <f t="shared" si="133"/>
        <v>11</v>
      </c>
      <c r="J2147" t="str">
        <f t="shared" si="134"/>
        <v>Nov</v>
      </c>
      <c r="K2147" t="str">
        <f t="shared" si="135"/>
        <v>Mon</v>
      </c>
    </row>
    <row r="2148" spans="1:11" x14ac:dyDescent="0.35">
      <c r="A2148" s="1">
        <v>38678</v>
      </c>
      <c r="B2148">
        <v>2.375</v>
      </c>
      <c r="C2148">
        <v>2.45050001144409</v>
      </c>
      <c r="D2148">
        <v>2.36700010299682</v>
      </c>
      <c r="E2148">
        <v>2.44250011444091</v>
      </c>
      <c r="F2148">
        <v>2.44250011444091</v>
      </c>
      <c r="G2148">
        <v>259814000</v>
      </c>
      <c r="H2148">
        <f t="shared" si="132"/>
        <v>2005</v>
      </c>
      <c r="I2148">
        <f t="shared" si="133"/>
        <v>11</v>
      </c>
      <c r="J2148" t="str">
        <f t="shared" si="134"/>
        <v>Nov</v>
      </c>
      <c r="K2148" t="str">
        <f t="shared" si="135"/>
        <v>Tue</v>
      </c>
    </row>
    <row r="2149" spans="1:11" x14ac:dyDescent="0.35">
      <c r="A2149" s="1">
        <v>38679</v>
      </c>
      <c r="B2149">
        <v>2.4384999275207502</v>
      </c>
      <c r="C2149">
        <v>2.4479999542236301</v>
      </c>
      <c r="D2149">
        <v>2.4045000076293901</v>
      </c>
      <c r="E2149">
        <v>2.4119999408721902</v>
      </c>
      <c r="F2149">
        <v>2.4119999408721902</v>
      </c>
      <c r="G2149">
        <v>149664000</v>
      </c>
      <c r="H2149">
        <f t="shared" si="132"/>
        <v>2005</v>
      </c>
      <c r="I2149">
        <f t="shared" si="133"/>
        <v>11</v>
      </c>
      <c r="J2149" t="str">
        <f t="shared" si="134"/>
        <v>Nov</v>
      </c>
      <c r="K2149" t="str">
        <f t="shared" si="135"/>
        <v>Wed</v>
      </c>
    </row>
    <row r="2150" spans="1:11" x14ac:dyDescent="0.35">
      <c r="A2150" s="1">
        <v>38681</v>
      </c>
      <c r="B2150">
        <v>2.4024999141693102</v>
      </c>
      <c r="C2150">
        <v>2.42400002479553</v>
      </c>
      <c r="D2150">
        <v>2.3810000419616699</v>
      </c>
      <c r="E2150">
        <v>2.4030001163482599</v>
      </c>
      <c r="F2150">
        <v>2.4030001163482599</v>
      </c>
      <c r="G2150">
        <v>53916000</v>
      </c>
      <c r="H2150">
        <f t="shared" si="132"/>
        <v>2005</v>
      </c>
      <c r="I2150">
        <f t="shared" si="133"/>
        <v>11</v>
      </c>
      <c r="J2150" t="str">
        <f t="shared" si="134"/>
        <v>Nov</v>
      </c>
      <c r="K2150" t="str">
        <f t="shared" si="135"/>
        <v>Fri</v>
      </c>
    </row>
    <row r="2151" spans="1:11" x14ac:dyDescent="0.35">
      <c r="A2151" s="1">
        <v>38684</v>
      </c>
      <c r="B2151">
        <v>2.4075000286102202</v>
      </c>
      <c r="C2151">
        <v>2.45600008964538</v>
      </c>
      <c r="D2151">
        <v>2.3810000419616699</v>
      </c>
      <c r="E2151">
        <v>2.4175000190734801</v>
      </c>
      <c r="F2151">
        <v>2.4175000190734801</v>
      </c>
      <c r="G2151">
        <v>213418000</v>
      </c>
      <c r="H2151">
        <f t="shared" si="132"/>
        <v>2005</v>
      </c>
      <c r="I2151">
        <f t="shared" si="133"/>
        <v>11</v>
      </c>
      <c r="J2151" t="str">
        <f t="shared" si="134"/>
        <v>Nov</v>
      </c>
      <c r="K2151" t="str">
        <f t="shared" si="135"/>
        <v>Mon</v>
      </c>
    </row>
    <row r="2152" spans="1:11" x14ac:dyDescent="0.35">
      <c r="A2152" s="1">
        <v>38685</v>
      </c>
      <c r="B2152">
        <v>2.4154999256134002</v>
      </c>
      <c r="C2152">
        <v>2.4714999198913499</v>
      </c>
      <c r="D2152">
        <v>2.4059998989105198</v>
      </c>
      <c r="E2152">
        <v>2.4275000095367401</v>
      </c>
      <c r="F2152">
        <v>2.4275000095367401</v>
      </c>
      <c r="G2152">
        <v>207688000</v>
      </c>
      <c r="H2152">
        <f t="shared" si="132"/>
        <v>2005</v>
      </c>
      <c r="I2152">
        <f t="shared" si="133"/>
        <v>11</v>
      </c>
      <c r="J2152" t="str">
        <f t="shared" si="134"/>
        <v>Nov</v>
      </c>
      <c r="K2152" t="str">
        <f t="shared" si="135"/>
        <v>Tue</v>
      </c>
    </row>
    <row r="2153" spans="1:11" x14ac:dyDescent="0.35">
      <c r="A2153" s="1">
        <v>38686</v>
      </c>
      <c r="B2153">
        <v>2.42400002479553</v>
      </c>
      <c r="C2153">
        <v>2.4340000152587802</v>
      </c>
      <c r="D2153">
        <v>2.3775000572204501</v>
      </c>
      <c r="E2153">
        <v>2.4230000972747798</v>
      </c>
      <c r="F2153">
        <v>2.4230000972747798</v>
      </c>
      <c r="G2153">
        <v>158512000</v>
      </c>
      <c r="H2153">
        <f t="shared" si="132"/>
        <v>2005</v>
      </c>
      <c r="I2153">
        <f t="shared" si="133"/>
        <v>11</v>
      </c>
      <c r="J2153" t="str">
        <f t="shared" si="134"/>
        <v>Nov</v>
      </c>
      <c r="K2153" t="str">
        <f t="shared" si="135"/>
        <v>Wed</v>
      </c>
    </row>
    <row r="2154" spans="1:11" x14ac:dyDescent="0.35">
      <c r="A2154" s="1">
        <v>38687</v>
      </c>
      <c r="B2154">
        <v>2.4440000057220401</v>
      </c>
      <c r="C2154">
        <v>2.4700000286102202</v>
      </c>
      <c r="D2154">
        <v>2.4314999580383301</v>
      </c>
      <c r="E2154">
        <v>2.45000004768371</v>
      </c>
      <c r="F2154">
        <v>2.45000004768371</v>
      </c>
      <c r="G2154">
        <v>157334000</v>
      </c>
      <c r="H2154">
        <f t="shared" si="132"/>
        <v>2005</v>
      </c>
      <c r="I2154">
        <f t="shared" si="133"/>
        <v>12</v>
      </c>
      <c r="J2154" t="str">
        <f t="shared" si="134"/>
        <v>Dec</v>
      </c>
      <c r="K2154" t="str">
        <f t="shared" si="135"/>
        <v>Thu</v>
      </c>
    </row>
    <row r="2155" spans="1:11" x14ac:dyDescent="0.35">
      <c r="A2155" s="1">
        <v>38688</v>
      </c>
      <c r="B2155">
        <v>2.44600009918212</v>
      </c>
      <c r="C2155">
        <v>2.4765000343322701</v>
      </c>
      <c r="D2155">
        <v>2.42000007629394</v>
      </c>
      <c r="E2155">
        <v>2.4530000686645499</v>
      </c>
      <c r="F2155">
        <v>2.4530000686645499</v>
      </c>
      <c r="G2155">
        <v>129032000</v>
      </c>
      <c r="H2155">
        <f t="shared" si="132"/>
        <v>2005</v>
      </c>
      <c r="I2155">
        <f t="shared" si="133"/>
        <v>12</v>
      </c>
      <c r="J2155" t="str">
        <f t="shared" si="134"/>
        <v>Dec</v>
      </c>
      <c r="K2155" t="str">
        <f t="shared" si="135"/>
        <v>Fri</v>
      </c>
    </row>
    <row r="2156" spans="1:11" x14ac:dyDescent="0.35">
      <c r="A2156" s="1">
        <v>38691</v>
      </c>
      <c r="B2156">
        <v>2.4430000782012899</v>
      </c>
      <c r="C2156">
        <v>2.4674999713897701</v>
      </c>
      <c r="D2156">
        <v>2.4375</v>
      </c>
      <c r="E2156">
        <v>2.4414999485015798</v>
      </c>
      <c r="F2156">
        <v>2.4414999485015798</v>
      </c>
      <c r="G2156">
        <v>105018000</v>
      </c>
      <c r="H2156">
        <f t="shared" si="132"/>
        <v>2005</v>
      </c>
      <c r="I2156">
        <f t="shared" si="133"/>
        <v>12</v>
      </c>
      <c r="J2156" t="str">
        <f t="shared" si="134"/>
        <v>Dec</v>
      </c>
      <c r="K2156" t="str">
        <f t="shared" si="135"/>
        <v>Mon</v>
      </c>
    </row>
    <row r="2157" spans="1:11" x14ac:dyDescent="0.35">
      <c r="A2157" s="1">
        <v>38692</v>
      </c>
      <c r="B2157">
        <v>2.4530000686645499</v>
      </c>
      <c r="C2157">
        <v>2.4949998855590798</v>
      </c>
      <c r="D2157">
        <v>2.4530000686645499</v>
      </c>
      <c r="E2157">
        <v>2.4630000591278001</v>
      </c>
      <c r="F2157">
        <v>2.4630000591278001</v>
      </c>
      <c r="G2157">
        <v>191628000</v>
      </c>
      <c r="H2157">
        <f t="shared" si="132"/>
        <v>2005</v>
      </c>
      <c r="I2157">
        <f t="shared" si="133"/>
        <v>12</v>
      </c>
      <c r="J2157" t="str">
        <f t="shared" si="134"/>
        <v>Dec</v>
      </c>
      <c r="K2157" t="str">
        <f t="shared" si="135"/>
        <v>Tue</v>
      </c>
    </row>
    <row r="2158" spans="1:11" x14ac:dyDescent="0.35">
      <c r="A2158" s="1">
        <v>38693</v>
      </c>
      <c r="B2158">
        <v>2.4655001163482599</v>
      </c>
      <c r="C2158">
        <v>2.47350001335144</v>
      </c>
      <c r="D2158">
        <v>2.41449999809265</v>
      </c>
      <c r="E2158">
        <v>2.4414999485015798</v>
      </c>
      <c r="F2158">
        <v>2.4414999485015798</v>
      </c>
      <c r="G2158">
        <v>135936000</v>
      </c>
      <c r="H2158">
        <f t="shared" si="132"/>
        <v>2005</v>
      </c>
      <c r="I2158">
        <f t="shared" si="133"/>
        <v>12</v>
      </c>
      <c r="J2158" t="str">
        <f t="shared" si="134"/>
        <v>Dec</v>
      </c>
      <c r="K2158" t="str">
        <f t="shared" si="135"/>
        <v>Wed</v>
      </c>
    </row>
    <row r="2159" spans="1:11" x14ac:dyDescent="0.35">
      <c r="A2159" s="1">
        <v>38694</v>
      </c>
      <c r="B2159">
        <v>2.4414999485015798</v>
      </c>
      <c r="C2159">
        <v>2.4549999237060498</v>
      </c>
      <c r="D2159">
        <v>2.3929998874664302</v>
      </c>
      <c r="E2159">
        <v>2.4175000190734801</v>
      </c>
      <c r="F2159">
        <v>2.4175000190734801</v>
      </c>
      <c r="G2159">
        <v>142880000</v>
      </c>
      <c r="H2159">
        <f t="shared" si="132"/>
        <v>2005</v>
      </c>
      <c r="I2159">
        <f t="shared" si="133"/>
        <v>12</v>
      </c>
      <c r="J2159" t="str">
        <f t="shared" si="134"/>
        <v>Dec</v>
      </c>
      <c r="K2159" t="str">
        <f t="shared" si="135"/>
        <v>Thu</v>
      </c>
    </row>
    <row r="2160" spans="1:11" x14ac:dyDescent="0.35">
      <c r="A2160" s="1">
        <v>38695</v>
      </c>
      <c r="B2160">
        <v>2.4324998855590798</v>
      </c>
      <c r="C2160">
        <v>2.45199990272521</v>
      </c>
      <c r="D2160">
        <v>2.4124999046325599</v>
      </c>
      <c r="E2160">
        <v>2.43700003623962</v>
      </c>
      <c r="F2160">
        <v>2.43700003623962</v>
      </c>
      <c r="G2160">
        <v>94180000</v>
      </c>
      <c r="H2160">
        <f t="shared" si="132"/>
        <v>2005</v>
      </c>
      <c r="I2160">
        <f t="shared" si="133"/>
        <v>12</v>
      </c>
      <c r="J2160" t="str">
        <f t="shared" si="134"/>
        <v>Dec</v>
      </c>
      <c r="K2160" t="str">
        <f t="shared" si="135"/>
        <v>Fri</v>
      </c>
    </row>
    <row r="2161" spans="1:11" x14ac:dyDescent="0.35">
      <c r="A2161" s="1">
        <v>38698</v>
      </c>
      <c r="B2161">
        <v>2.4574999809265101</v>
      </c>
      <c r="C2161">
        <v>2.4649999141693102</v>
      </c>
      <c r="D2161">
        <v>2.4319999217986998</v>
      </c>
      <c r="E2161">
        <v>2.4535000324249201</v>
      </c>
      <c r="F2161">
        <v>2.4535000324249201</v>
      </c>
      <c r="G2161">
        <v>68486000</v>
      </c>
      <c r="H2161">
        <f t="shared" si="132"/>
        <v>2005</v>
      </c>
      <c r="I2161">
        <f t="shared" si="133"/>
        <v>12</v>
      </c>
      <c r="J2161" t="str">
        <f t="shared" si="134"/>
        <v>Dec</v>
      </c>
      <c r="K2161" t="str">
        <f t="shared" si="135"/>
        <v>Mon</v>
      </c>
    </row>
    <row r="2162" spans="1:11" x14ac:dyDescent="0.35">
      <c r="A2162" s="1">
        <v>38699</v>
      </c>
      <c r="B2162">
        <v>2.4270000457763601</v>
      </c>
      <c r="C2162">
        <v>2.4835000038146902</v>
      </c>
      <c r="D2162">
        <v>2.42400002479553</v>
      </c>
      <c r="E2162">
        <v>2.4749999046325599</v>
      </c>
      <c r="F2162">
        <v>2.4749999046325599</v>
      </c>
      <c r="G2162">
        <v>116256000</v>
      </c>
      <c r="H2162">
        <f t="shared" si="132"/>
        <v>2005</v>
      </c>
      <c r="I2162">
        <f t="shared" si="133"/>
        <v>12</v>
      </c>
      <c r="J2162" t="str">
        <f t="shared" si="134"/>
        <v>Dec</v>
      </c>
      <c r="K2162" t="str">
        <f t="shared" si="135"/>
        <v>Tue</v>
      </c>
    </row>
    <row r="2163" spans="1:11" x14ac:dyDescent="0.35">
      <c r="A2163" s="1">
        <v>38700</v>
      </c>
      <c r="B2163">
        <v>2.46000003814697</v>
      </c>
      <c r="C2163">
        <v>2.4800000190734801</v>
      </c>
      <c r="D2163">
        <v>2.4395000934600799</v>
      </c>
      <c r="E2163">
        <v>2.4704999923706001</v>
      </c>
      <c r="F2163">
        <v>2.4704999923706001</v>
      </c>
      <c r="G2163">
        <v>99318000</v>
      </c>
      <c r="H2163">
        <f t="shared" si="132"/>
        <v>2005</v>
      </c>
      <c r="I2163">
        <f t="shared" si="133"/>
        <v>12</v>
      </c>
      <c r="J2163" t="str">
        <f t="shared" si="134"/>
        <v>Dec</v>
      </c>
      <c r="K2163" t="str">
        <f t="shared" si="135"/>
        <v>Wed</v>
      </c>
    </row>
    <row r="2164" spans="1:11" x14ac:dyDescent="0.35">
      <c r="A2164" s="1">
        <v>38701</v>
      </c>
      <c r="B2164">
        <v>2.4749999046325599</v>
      </c>
      <c r="C2164">
        <v>2.4974999427795401</v>
      </c>
      <c r="D2164">
        <v>2.4525001049041699</v>
      </c>
      <c r="E2164">
        <v>2.4739999771118102</v>
      </c>
      <c r="F2164">
        <v>2.4739999771118102</v>
      </c>
      <c r="G2164">
        <v>116410000</v>
      </c>
      <c r="H2164">
        <f t="shared" si="132"/>
        <v>2005</v>
      </c>
      <c r="I2164">
        <f t="shared" si="133"/>
        <v>12</v>
      </c>
      <c r="J2164" t="str">
        <f t="shared" si="134"/>
        <v>Dec</v>
      </c>
      <c r="K2164" t="str">
        <f t="shared" si="135"/>
        <v>Thu</v>
      </c>
    </row>
    <row r="2165" spans="1:11" x14ac:dyDescent="0.35">
      <c r="A2165" s="1">
        <v>38702</v>
      </c>
      <c r="B2165">
        <v>2.4700000286102202</v>
      </c>
      <c r="C2165">
        <v>2.49600005149841</v>
      </c>
      <c r="D2165">
        <v>2.4605000019073402</v>
      </c>
      <c r="E2165">
        <v>2.4605000019073402</v>
      </c>
      <c r="F2165">
        <v>2.4605000019073402</v>
      </c>
      <c r="G2165">
        <v>112530000</v>
      </c>
      <c r="H2165">
        <f t="shared" si="132"/>
        <v>2005</v>
      </c>
      <c r="I2165">
        <f t="shared" si="133"/>
        <v>12</v>
      </c>
      <c r="J2165" t="str">
        <f t="shared" si="134"/>
        <v>Dec</v>
      </c>
      <c r="K2165" t="str">
        <f t="shared" si="135"/>
        <v>Fri</v>
      </c>
    </row>
    <row r="2166" spans="1:11" x14ac:dyDescent="0.35">
      <c r="A2166" s="1">
        <v>38705</v>
      </c>
      <c r="B2166">
        <v>2.4495000839233398</v>
      </c>
      <c r="C2166">
        <v>2.5</v>
      </c>
      <c r="D2166">
        <v>2.41599988937377</v>
      </c>
      <c r="E2166">
        <v>2.4184999465942298</v>
      </c>
      <c r="F2166">
        <v>2.4184999465942298</v>
      </c>
      <c r="G2166">
        <v>166174000</v>
      </c>
      <c r="H2166">
        <f t="shared" si="132"/>
        <v>2005</v>
      </c>
      <c r="I2166">
        <f t="shared" si="133"/>
        <v>12</v>
      </c>
      <c r="J2166" t="str">
        <f t="shared" si="134"/>
        <v>Dec</v>
      </c>
      <c r="K2166" t="str">
        <f t="shared" si="135"/>
        <v>Mon</v>
      </c>
    </row>
    <row r="2167" spans="1:11" x14ac:dyDescent="0.35">
      <c r="A2167" s="1">
        <v>38706</v>
      </c>
      <c r="B2167">
        <v>2.4230000972747798</v>
      </c>
      <c r="C2167">
        <v>2.4300000667571999</v>
      </c>
      <c r="D2167">
        <v>2.3840000629425</v>
      </c>
      <c r="E2167">
        <v>2.40700006484985</v>
      </c>
      <c r="F2167">
        <v>2.40700006484985</v>
      </c>
      <c r="G2167">
        <v>110704000</v>
      </c>
      <c r="H2167">
        <f t="shared" si="132"/>
        <v>2005</v>
      </c>
      <c r="I2167">
        <f t="shared" si="133"/>
        <v>12</v>
      </c>
      <c r="J2167" t="str">
        <f t="shared" si="134"/>
        <v>Dec</v>
      </c>
      <c r="K2167" t="str">
        <f t="shared" si="135"/>
        <v>Tue</v>
      </c>
    </row>
    <row r="2168" spans="1:11" x14ac:dyDescent="0.35">
      <c r="A2168" s="1">
        <v>38707</v>
      </c>
      <c r="B2168">
        <v>2.41449999809265</v>
      </c>
      <c r="C2168">
        <v>2.4530000686645499</v>
      </c>
      <c r="D2168">
        <v>2.3889999389648402</v>
      </c>
      <c r="E2168">
        <v>2.4484999179839999</v>
      </c>
      <c r="F2168">
        <v>2.4484999179839999</v>
      </c>
      <c r="G2168">
        <v>146450000</v>
      </c>
      <c r="H2168">
        <f t="shared" si="132"/>
        <v>2005</v>
      </c>
      <c r="I2168">
        <f t="shared" si="133"/>
        <v>12</v>
      </c>
      <c r="J2168" t="str">
        <f t="shared" si="134"/>
        <v>Dec</v>
      </c>
      <c r="K2168" t="str">
        <f t="shared" si="135"/>
        <v>Wed</v>
      </c>
    </row>
    <row r="2169" spans="1:11" x14ac:dyDescent="0.35">
      <c r="A2169" s="1">
        <v>38708</v>
      </c>
      <c r="B2169">
        <v>2.4449999332427899</v>
      </c>
      <c r="C2169">
        <v>2.4639999866485498</v>
      </c>
      <c r="D2169">
        <v>2.4179999828338601</v>
      </c>
      <c r="E2169">
        <v>2.4609999656677202</v>
      </c>
      <c r="F2169">
        <v>2.4609999656677202</v>
      </c>
      <c r="G2169">
        <v>88436000</v>
      </c>
      <c r="H2169">
        <f t="shared" si="132"/>
        <v>2005</v>
      </c>
      <c r="I2169">
        <f t="shared" si="133"/>
        <v>12</v>
      </c>
      <c r="J2169" t="str">
        <f t="shared" si="134"/>
        <v>Dec</v>
      </c>
      <c r="K2169" t="str">
        <f t="shared" si="135"/>
        <v>Thu</v>
      </c>
    </row>
    <row r="2170" spans="1:11" x14ac:dyDescent="0.35">
      <c r="A2170" s="1">
        <v>38709</v>
      </c>
      <c r="B2170">
        <v>2.4544999599456698</v>
      </c>
      <c r="C2170">
        <v>2.46950006484985</v>
      </c>
      <c r="D2170">
        <v>2.4360001087188698</v>
      </c>
      <c r="E2170">
        <v>2.4609999656677202</v>
      </c>
      <c r="F2170">
        <v>2.4609999656677202</v>
      </c>
      <c r="G2170">
        <v>64130000</v>
      </c>
      <c r="H2170">
        <f t="shared" si="132"/>
        <v>2005</v>
      </c>
      <c r="I2170">
        <f t="shared" si="133"/>
        <v>12</v>
      </c>
      <c r="J2170" t="str">
        <f t="shared" si="134"/>
        <v>Dec</v>
      </c>
      <c r="K2170" t="str">
        <f t="shared" si="135"/>
        <v>Fri</v>
      </c>
    </row>
    <row r="2171" spans="1:11" x14ac:dyDescent="0.35">
      <c r="A2171" s="1">
        <v>38713</v>
      </c>
      <c r="B2171">
        <v>2.4449999332427899</v>
      </c>
      <c r="C2171">
        <v>2.4549999237060498</v>
      </c>
      <c r="D2171">
        <v>2.4179999828338601</v>
      </c>
      <c r="E2171">
        <v>2.4279999732971098</v>
      </c>
      <c r="F2171">
        <v>2.4279999732971098</v>
      </c>
      <c r="G2171">
        <v>116374000</v>
      </c>
      <c r="H2171">
        <f t="shared" si="132"/>
        <v>2005</v>
      </c>
      <c r="I2171">
        <f t="shared" si="133"/>
        <v>12</v>
      </c>
      <c r="J2171" t="str">
        <f t="shared" si="134"/>
        <v>Dec</v>
      </c>
      <c r="K2171" t="str">
        <f t="shared" si="135"/>
        <v>Tue</v>
      </c>
    </row>
    <row r="2172" spans="1:11" x14ac:dyDescent="0.35">
      <c r="A2172" s="1">
        <v>38714</v>
      </c>
      <c r="B2172">
        <v>2.4244999885559002</v>
      </c>
      <c r="C2172">
        <v>2.4275000095367401</v>
      </c>
      <c r="D2172">
        <v>2.3949999809265101</v>
      </c>
      <c r="E2172">
        <v>2.4030001163482599</v>
      </c>
      <c r="F2172">
        <v>2.4030001163482599</v>
      </c>
      <c r="G2172">
        <v>90636000</v>
      </c>
      <c r="H2172">
        <f t="shared" si="132"/>
        <v>2005</v>
      </c>
      <c r="I2172">
        <f t="shared" si="133"/>
        <v>12</v>
      </c>
      <c r="J2172" t="str">
        <f t="shared" si="134"/>
        <v>Dec</v>
      </c>
      <c r="K2172" t="str">
        <f t="shared" si="135"/>
        <v>Wed</v>
      </c>
    </row>
    <row r="2173" spans="1:11" x14ac:dyDescent="0.35">
      <c r="A2173" s="1">
        <v>38715</v>
      </c>
      <c r="B2173">
        <v>2.40650010108947</v>
      </c>
      <c r="C2173">
        <v>2.4230000972747798</v>
      </c>
      <c r="D2173">
        <v>2.3984999656677202</v>
      </c>
      <c r="E2173">
        <v>2.3994998931884699</v>
      </c>
      <c r="F2173">
        <v>2.3994998931884699</v>
      </c>
      <c r="G2173">
        <v>63422000</v>
      </c>
      <c r="H2173">
        <f t="shared" si="132"/>
        <v>2005</v>
      </c>
      <c r="I2173">
        <f t="shared" si="133"/>
        <v>12</v>
      </c>
      <c r="J2173" t="str">
        <f t="shared" si="134"/>
        <v>Dec</v>
      </c>
      <c r="K2173" t="str">
        <f t="shared" si="135"/>
        <v>Thu</v>
      </c>
    </row>
    <row r="2174" spans="1:11" x14ac:dyDescent="0.35">
      <c r="A2174" s="1">
        <v>38716</v>
      </c>
      <c r="B2174">
        <v>2.3864998817443799</v>
      </c>
      <c r="C2174">
        <v>2.41000008583068</v>
      </c>
      <c r="D2174">
        <v>2.35700011253356</v>
      </c>
      <c r="E2174">
        <v>2.35750007629394</v>
      </c>
      <c r="F2174">
        <v>2.35750007629394</v>
      </c>
      <c r="G2174">
        <v>108022000</v>
      </c>
      <c r="H2174">
        <f t="shared" si="132"/>
        <v>2005</v>
      </c>
      <c r="I2174">
        <f t="shared" si="133"/>
        <v>12</v>
      </c>
      <c r="J2174" t="str">
        <f t="shared" si="134"/>
        <v>Dec</v>
      </c>
      <c r="K2174" t="str">
        <f t="shared" si="135"/>
        <v>Fri</v>
      </c>
    </row>
    <row r="2175" spans="1:11" x14ac:dyDescent="0.35">
      <c r="A2175" s="1">
        <v>38720</v>
      </c>
      <c r="B2175">
        <v>2.3735001087188698</v>
      </c>
      <c r="C2175">
        <v>2.3924999237060498</v>
      </c>
      <c r="D2175">
        <v>2.3125</v>
      </c>
      <c r="E2175">
        <v>2.3789999485015798</v>
      </c>
      <c r="F2175">
        <v>2.3789999485015798</v>
      </c>
      <c r="G2175">
        <v>151644000</v>
      </c>
      <c r="H2175">
        <f t="shared" si="132"/>
        <v>2006</v>
      </c>
      <c r="I2175">
        <f t="shared" si="133"/>
        <v>1</v>
      </c>
      <c r="J2175" t="str">
        <f t="shared" si="134"/>
        <v>Jan</v>
      </c>
      <c r="K2175" t="str">
        <f t="shared" si="135"/>
        <v>Tue</v>
      </c>
    </row>
    <row r="2176" spans="1:11" x14ac:dyDescent="0.35">
      <c r="A2176" s="1">
        <v>38721</v>
      </c>
      <c r="B2176">
        <v>2.37450003623962</v>
      </c>
      <c r="C2176">
        <v>2.3864998817443799</v>
      </c>
      <c r="D2176">
        <v>2.33450007438659</v>
      </c>
      <c r="E2176">
        <v>2.3624999523162802</v>
      </c>
      <c r="F2176">
        <v>2.3624999523162802</v>
      </c>
      <c r="G2176">
        <v>148818000</v>
      </c>
      <c r="H2176">
        <f t="shared" si="132"/>
        <v>2006</v>
      </c>
      <c r="I2176">
        <f t="shared" si="133"/>
        <v>1</v>
      </c>
      <c r="J2176" t="str">
        <f t="shared" si="134"/>
        <v>Jan</v>
      </c>
      <c r="K2176" t="str">
        <f t="shared" si="135"/>
        <v>Wed</v>
      </c>
    </row>
    <row r="2177" spans="1:11" x14ac:dyDescent="0.35">
      <c r="A2177" s="1">
        <v>38722</v>
      </c>
      <c r="B2177">
        <v>2.35800004005432</v>
      </c>
      <c r="C2177">
        <v>2.41000008583068</v>
      </c>
      <c r="D2177">
        <v>2.3554999828338601</v>
      </c>
      <c r="E2177">
        <v>2.3824999332427899</v>
      </c>
      <c r="F2177">
        <v>2.3824999332427899</v>
      </c>
      <c r="G2177">
        <v>108344000</v>
      </c>
      <c r="H2177">
        <f t="shared" si="132"/>
        <v>2006</v>
      </c>
      <c r="I2177">
        <f t="shared" si="133"/>
        <v>1</v>
      </c>
      <c r="J2177" t="str">
        <f t="shared" si="134"/>
        <v>Jan</v>
      </c>
      <c r="K2177" t="str">
        <f t="shared" si="135"/>
        <v>Thu</v>
      </c>
    </row>
    <row r="2178" spans="1:11" x14ac:dyDescent="0.35">
      <c r="A2178" s="1">
        <v>38723</v>
      </c>
      <c r="B2178">
        <v>2.3984999656677202</v>
      </c>
      <c r="C2178">
        <v>2.4289999008178702</v>
      </c>
      <c r="D2178">
        <v>2.3659999370574898</v>
      </c>
      <c r="E2178">
        <v>2.39350008964538</v>
      </c>
      <c r="F2178">
        <v>2.39350008964538</v>
      </c>
      <c r="G2178">
        <v>123058000</v>
      </c>
      <c r="H2178">
        <f t="shared" si="132"/>
        <v>2006</v>
      </c>
      <c r="I2178">
        <f t="shared" si="133"/>
        <v>1</v>
      </c>
      <c r="J2178" t="str">
        <f t="shared" si="134"/>
        <v>Jan</v>
      </c>
      <c r="K2178" t="str">
        <f t="shared" si="135"/>
        <v>Fri</v>
      </c>
    </row>
    <row r="2179" spans="1:11" x14ac:dyDescent="0.35">
      <c r="A2179" s="1">
        <v>38726</v>
      </c>
      <c r="B2179">
        <v>2.3275001049041699</v>
      </c>
      <c r="C2179">
        <v>2.3550000190734801</v>
      </c>
      <c r="D2179">
        <v>2.3199999332427899</v>
      </c>
      <c r="E2179">
        <v>2.3540000915527299</v>
      </c>
      <c r="F2179">
        <v>2.3540000915527299</v>
      </c>
      <c r="G2179">
        <v>178862000</v>
      </c>
      <c r="H2179">
        <f t="shared" si="132"/>
        <v>2006</v>
      </c>
      <c r="I2179">
        <f t="shared" si="133"/>
        <v>1</v>
      </c>
      <c r="J2179" t="str">
        <f t="shared" si="134"/>
        <v>Jan</v>
      </c>
      <c r="K2179" t="str">
        <f t="shared" si="135"/>
        <v>Mon</v>
      </c>
    </row>
    <row r="2180" spans="1:11" x14ac:dyDescent="0.35">
      <c r="A2180" s="1">
        <v>38727</v>
      </c>
      <c r="B2180">
        <v>2.3204998970031698</v>
      </c>
      <c r="C2180">
        <v>2.3375000953674299</v>
      </c>
      <c r="D2180">
        <v>2.2679998874664302</v>
      </c>
      <c r="E2180">
        <v>2.2825000286102202</v>
      </c>
      <c r="F2180">
        <v>2.2825000286102202</v>
      </c>
      <c r="G2180">
        <v>193722000</v>
      </c>
      <c r="H2180">
        <f t="shared" ref="H2180:H2243" si="136">YEAR($A2180)</f>
        <v>2006</v>
      </c>
      <c r="I2180">
        <f t="shared" ref="I2180:I2243" si="137">MONTH($A2180)</f>
        <v>1</v>
      </c>
      <c r="J2180" t="str">
        <f t="shared" ref="J2180:J2243" si="138">TEXT($A2180,"mmm")</f>
        <v>Jan</v>
      </c>
      <c r="K2180" t="str">
        <f t="shared" ref="K2180:K2243" si="139">TEXT($A2180,"ddd")</f>
        <v>Tue</v>
      </c>
    </row>
    <row r="2181" spans="1:11" x14ac:dyDescent="0.35">
      <c r="A2181" s="1">
        <v>38728</v>
      </c>
      <c r="B2181">
        <v>2.2825000286102202</v>
      </c>
      <c r="C2181">
        <v>2.28500008583068</v>
      </c>
      <c r="D2181">
        <v>2.2130000591278001</v>
      </c>
      <c r="E2181">
        <v>2.2465000152587802</v>
      </c>
      <c r="F2181">
        <v>2.2465000152587802</v>
      </c>
      <c r="G2181">
        <v>169944000</v>
      </c>
      <c r="H2181">
        <f t="shared" si="136"/>
        <v>2006</v>
      </c>
      <c r="I2181">
        <f t="shared" si="137"/>
        <v>1</v>
      </c>
      <c r="J2181" t="str">
        <f t="shared" si="138"/>
        <v>Jan</v>
      </c>
      <c r="K2181" t="str">
        <f t="shared" si="139"/>
        <v>Wed</v>
      </c>
    </row>
    <row r="2182" spans="1:11" x14ac:dyDescent="0.35">
      <c r="A2182" s="1">
        <v>38729</v>
      </c>
      <c r="B2182">
        <v>2.2395000457763601</v>
      </c>
      <c r="C2182">
        <v>2.2544999122619598</v>
      </c>
      <c r="D2182">
        <v>2.2044999599456698</v>
      </c>
      <c r="E2182">
        <v>2.2179999351501398</v>
      </c>
      <c r="F2182">
        <v>2.2179999351501398</v>
      </c>
      <c r="G2182">
        <v>116366000</v>
      </c>
      <c r="H2182">
        <f t="shared" si="136"/>
        <v>2006</v>
      </c>
      <c r="I2182">
        <f t="shared" si="137"/>
        <v>1</v>
      </c>
      <c r="J2182" t="str">
        <f t="shared" si="138"/>
        <v>Jan</v>
      </c>
      <c r="K2182" t="str">
        <f t="shared" si="139"/>
        <v>Thu</v>
      </c>
    </row>
    <row r="2183" spans="1:11" x14ac:dyDescent="0.35">
      <c r="A2183" s="1">
        <v>38730</v>
      </c>
      <c r="B2183">
        <v>2.22350001335144</v>
      </c>
      <c r="C2183">
        <v>2.2425000667571999</v>
      </c>
      <c r="D2183">
        <v>2.20000004768371</v>
      </c>
      <c r="E2183">
        <v>2.2200000286102202</v>
      </c>
      <c r="F2183">
        <v>2.2200000286102202</v>
      </c>
      <c r="G2183">
        <v>88644000</v>
      </c>
      <c r="H2183">
        <f t="shared" si="136"/>
        <v>2006</v>
      </c>
      <c r="I2183">
        <f t="shared" si="137"/>
        <v>1</v>
      </c>
      <c r="J2183" t="str">
        <f t="shared" si="138"/>
        <v>Jan</v>
      </c>
      <c r="K2183" t="str">
        <f t="shared" si="139"/>
        <v>Fri</v>
      </c>
    </row>
    <row r="2184" spans="1:11" x14ac:dyDescent="0.35">
      <c r="A2184" s="1">
        <v>38734</v>
      </c>
      <c r="B2184">
        <v>2.1974999904632502</v>
      </c>
      <c r="C2184">
        <v>2.2160000801086399</v>
      </c>
      <c r="D2184">
        <v>2.18300008773803</v>
      </c>
      <c r="E2184">
        <v>2.20000004768371</v>
      </c>
      <c r="F2184">
        <v>2.20000004768371</v>
      </c>
      <c r="G2184">
        <v>112620000</v>
      </c>
      <c r="H2184">
        <f t="shared" si="136"/>
        <v>2006</v>
      </c>
      <c r="I2184">
        <f t="shared" si="137"/>
        <v>1</v>
      </c>
      <c r="J2184" t="str">
        <f t="shared" si="138"/>
        <v>Jan</v>
      </c>
      <c r="K2184" t="str">
        <f t="shared" si="139"/>
        <v>Tue</v>
      </c>
    </row>
    <row r="2185" spans="1:11" x14ac:dyDescent="0.35">
      <c r="A2185" s="1">
        <v>38735</v>
      </c>
      <c r="B2185">
        <v>2.1594998836517298</v>
      </c>
      <c r="C2185">
        <v>2.2295000553131099</v>
      </c>
      <c r="D2185">
        <v>2.1549999713897701</v>
      </c>
      <c r="E2185">
        <v>2.2160000801086399</v>
      </c>
      <c r="F2185">
        <v>2.2160000801086399</v>
      </c>
      <c r="G2185">
        <v>174866000</v>
      </c>
      <c r="H2185">
        <f t="shared" si="136"/>
        <v>2006</v>
      </c>
      <c r="I2185">
        <f t="shared" si="137"/>
        <v>1</v>
      </c>
      <c r="J2185" t="str">
        <f t="shared" si="138"/>
        <v>Jan</v>
      </c>
      <c r="K2185" t="str">
        <f t="shared" si="139"/>
        <v>Wed</v>
      </c>
    </row>
    <row r="2186" spans="1:11" x14ac:dyDescent="0.35">
      <c r="A2186" s="1">
        <v>38736</v>
      </c>
      <c r="B2186">
        <v>2.2244999408721902</v>
      </c>
      <c r="C2186">
        <v>2.2620000839233398</v>
      </c>
      <c r="D2186">
        <v>2.2149999141693102</v>
      </c>
      <c r="E2186">
        <v>2.22250008583068</v>
      </c>
      <c r="F2186">
        <v>2.22250008583068</v>
      </c>
      <c r="G2186">
        <v>103138000</v>
      </c>
      <c r="H2186">
        <f t="shared" si="136"/>
        <v>2006</v>
      </c>
      <c r="I2186">
        <f t="shared" si="137"/>
        <v>1</v>
      </c>
      <c r="J2186" t="str">
        <f t="shared" si="138"/>
        <v>Jan</v>
      </c>
      <c r="K2186" t="str">
        <f t="shared" si="139"/>
        <v>Thu</v>
      </c>
    </row>
    <row r="2187" spans="1:11" x14ac:dyDescent="0.35">
      <c r="A2187" s="1">
        <v>38737</v>
      </c>
      <c r="B2187">
        <v>2.2114999294281001</v>
      </c>
      <c r="C2187">
        <v>2.2179999351501398</v>
      </c>
      <c r="D2187">
        <v>2.16000008583068</v>
      </c>
      <c r="E2187">
        <v>2.19600009918212</v>
      </c>
      <c r="F2187">
        <v>2.19600009918212</v>
      </c>
      <c r="G2187">
        <v>166148000</v>
      </c>
      <c r="H2187">
        <f t="shared" si="136"/>
        <v>2006</v>
      </c>
      <c r="I2187">
        <f t="shared" si="137"/>
        <v>1</v>
      </c>
      <c r="J2187" t="str">
        <f t="shared" si="138"/>
        <v>Jan</v>
      </c>
      <c r="K2187" t="str">
        <f t="shared" si="139"/>
        <v>Fri</v>
      </c>
    </row>
    <row r="2188" spans="1:11" x14ac:dyDescent="0.35">
      <c r="A2188" s="1">
        <v>38740</v>
      </c>
      <c r="B2188">
        <v>2.2090001106262198</v>
      </c>
      <c r="C2188">
        <v>2.2374999523162802</v>
      </c>
      <c r="D2188">
        <v>2.1749999523162802</v>
      </c>
      <c r="E2188">
        <v>2.1865000724792401</v>
      </c>
      <c r="F2188">
        <v>2.1865000724792401</v>
      </c>
      <c r="G2188">
        <v>115056000</v>
      </c>
      <c r="H2188">
        <f t="shared" si="136"/>
        <v>2006</v>
      </c>
      <c r="I2188">
        <f t="shared" si="137"/>
        <v>1</v>
      </c>
      <c r="J2188" t="str">
        <f t="shared" si="138"/>
        <v>Jan</v>
      </c>
      <c r="K2188" t="str">
        <f t="shared" si="139"/>
        <v>Mon</v>
      </c>
    </row>
    <row r="2189" spans="1:11" x14ac:dyDescent="0.35">
      <c r="A2189" s="1">
        <v>38741</v>
      </c>
      <c r="B2189">
        <v>2.18300008773803</v>
      </c>
      <c r="C2189">
        <v>2.2214999198913499</v>
      </c>
      <c r="D2189">
        <v>2.1710000038146902</v>
      </c>
      <c r="E2189">
        <v>2.2009999752044598</v>
      </c>
      <c r="F2189">
        <v>2.2009999752044598</v>
      </c>
      <c r="G2189">
        <v>86848000</v>
      </c>
      <c r="H2189">
        <f t="shared" si="136"/>
        <v>2006</v>
      </c>
      <c r="I2189">
        <f t="shared" si="137"/>
        <v>1</v>
      </c>
      <c r="J2189" t="str">
        <f t="shared" si="138"/>
        <v>Jan</v>
      </c>
      <c r="K2189" t="str">
        <f t="shared" si="139"/>
        <v>Tue</v>
      </c>
    </row>
    <row r="2190" spans="1:11" x14ac:dyDescent="0.35">
      <c r="A2190" s="1">
        <v>38742</v>
      </c>
      <c r="B2190">
        <v>2.2025001049041699</v>
      </c>
      <c r="C2190">
        <v>2.22350001335144</v>
      </c>
      <c r="D2190">
        <v>2.1670000553131099</v>
      </c>
      <c r="E2190">
        <v>2.1800000667571999</v>
      </c>
      <c r="F2190">
        <v>2.1800000667571999</v>
      </c>
      <c r="G2190">
        <v>85742000</v>
      </c>
      <c r="H2190">
        <f t="shared" si="136"/>
        <v>2006</v>
      </c>
      <c r="I2190">
        <f t="shared" si="137"/>
        <v>1</v>
      </c>
      <c r="J2190" t="str">
        <f t="shared" si="138"/>
        <v>Jan</v>
      </c>
      <c r="K2190" t="str">
        <f t="shared" si="139"/>
        <v>Wed</v>
      </c>
    </row>
    <row r="2191" spans="1:11" x14ac:dyDescent="0.35">
      <c r="A2191" s="1">
        <v>38743</v>
      </c>
      <c r="B2191">
        <v>2.1974999904632502</v>
      </c>
      <c r="C2191">
        <v>2.2390000820159899</v>
      </c>
      <c r="D2191">
        <v>2.1895000934600799</v>
      </c>
      <c r="E2191">
        <v>2.2339999675750701</v>
      </c>
      <c r="F2191">
        <v>2.2339999675750701</v>
      </c>
      <c r="G2191">
        <v>97790000</v>
      </c>
      <c r="H2191">
        <f t="shared" si="136"/>
        <v>2006</v>
      </c>
      <c r="I2191">
        <f t="shared" si="137"/>
        <v>1</v>
      </c>
      <c r="J2191" t="str">
        <f t="shared" si="138"/>
        <v>Jan</v>
      </c>
      <c r="K2191" t="str">
        <f t="shared" si="139"/>
        <v>Thu</v>
      </c>
    </row>
    <row r="2192" spans="1:11" x14ac:dyDescent="0.35">
      <c r="A2192" s="1">
        <v>38744</v>
      </c>
      <c r="B2192">
        <v>2.2274999618530198</v>
      </c>
      <c r="C2192">
        <v>2.2609999179839999</v>
      </c>
      <c r="D2192">
        <v>2.2265000343322701</v>
      </c>
      <c r="E2192">
        <v>2.2609999179839999</v>
      </c>
      <c r="F2192">
        <v>2.2609999179839999</v>
      </c>
      <c r="G2192">
        <v>83480000</v>
      </c>
      <c r="H2192">
        <f t="shared" si="136"/>
        <v>2006</v>
      </c>
      <c r="I2192">
        <f t="shared" si="137"/>
        <v>1</v>
      </c>
      <c r="J2192" t="str">
        <f t="shared" si="138"/>
        <v>Jan</v>
      </c>
      <c r="K2192" t="str">
        <f t="shared" si="139"/>
        <v>Fri</v>
      </c>
    </row>
    <row r="2193" spans="1:11" x14ac:dyDescent="0.35">
      <c r="A2193" s="1">
        <v>38747</v>
      </c>
      <c r="B2193">
        <v>2.2704999446868799</v>
      </c>
      <c r="C2193">
        <v>2.29850006103515</v>
      </c>
      <c r="D2193">
        <v>2.2369999885559002</v>
      </c>
      <c r="E2193">
        <v>2.2479999065399099</v>
      </c>
      <c r="F2193">
        <v>2.2479999065399099</v>
      </c>
      <c r="G2193">
        <v>81996000</v>
      </c>
      <c r="H2193">
        <f t="shared" si="136"/>
        <v>2006</v>
      </c>
      <c r="I2193">
        <f t="shared" si="137"/>
        <v>1</v>
      </c>
      <c r="J2193" t="str">
        <f t="shared" si="138"/>
        <v>Jan</v>
      </c>
      <c r="K2193" t="str">
        <f t="shared" si="139"/>
        <v>Mon</v>
      </c>
    </row>
    <row r="2194" spans="1:11" x14ac:dyDescent="0.35">
      <c r="A2194" s="1">
        <v>38748</v>
      </c>
      <c r="B2194">
        <v>2.2379999160766602</v>
      </c>
      <c r="C2194">
        <v>2.2604999542236301</v>
      </c>
      <c r="D2194">
        <v>2.2125000953674299</v>
      </c>
      <c r="E2194">
        <v>2.2409999370574898</v>
      </c>
      <c r="F2194">
        <v>2.2409999370574898</v>
      </c>
      <c r="G2194">
        <v>81120000</v>
      </c>
      <c r="H2194">
        <f t="shared" si="136"/>
        <v>2006</v>
      </c>
      <c r="I2194">
        <f t="shared" si="137"/>
        <v>1</v>
      </c>
      <c r="J2194" t="str">
        <f t="shared" si="138"/>
        <v>Jan</v>
      </c>
      <c r="K2194" t="str">
        <f t="shared" si="139"/>
        <v>Tue</v>
      </c>
    </row>
    <row r="2195" spans="1:11" x14ac:dyDescent="0.35">
      <c r="A2195" s="1">
        <v>38749</v>
      </c>
      <c r="B2195">
        <v>2.19600009918212</v>
      </c>
      <c r="C2195">
        <v>2.2344999313354399</v>
      </c>
      <c r="D2195">
        <v>2.1749999523162802</v>
      </c>
      <c r="E2195">
        <v>2.1989998817443799</v>
      </c>
      <c r="F2195">
        <v>2.1989998817443799</v>
      </c>
      <c r="G2195">
        <v>150028000</v>
      </c>
      <c r="H2195">
        <f t="shared" si="136"/>
        <v>2006</v>
      </c>
      <c r="I2195">
        <f t="shared" si="137"/>
        <v>2</v>
      </c>
      <c r="J2195" t="str">
        <f t="shared" si="138"/>
        <v>Feb</v>
      </c>
      <c r="K2195" t="str">
        <f t="shared" si="139"/>
        <v>Wed</v>
      </c>
    </row>
    <row r="2196" spans="1:11" x14ac:dyDescent="0.35">
      <c r="A2196" s="1">
        <v>38750</v>
      </c>
      <c r="B2196">
        <v>2.1919999122619598</v>
      </c>
      <c r="C2196">
        <v>2.20199990272521</v>
      </c>
      <c r="D2196">
        <v>1.9900000095367401</v>
      </c>
      <c r="E2196">
        <v>2.1370000839233398</v>
      </c>
      <c r="F2196">
        <v>2.1370000839233398</v>
      </c>
      <c r="G2196">
        <v>474186000</v>
      </c>
      <c r="H2196">
        <f t="shared" si="136"/>
        <v>2006</v>
      </c>
      <c r="I2196">
        <f t="shared" si="137"/>
        <v>2</v>
      </c>
      <c r="J2196" t="str">
        <f t="shared" si="138"/>
        <v>Feb</v>
      </c>
      <c r="K2196" t="str">
        <f t="shared" si="139"/>
        <v>Thu</v>
      </c>
    </row>
    <row r="2197" spans="1:11" x14ac:dyDescent="0.35">
      <c r="A2197" s="1">
        <v>38751</v>
      </c>
      <c r="B2197">
        <v>1.88499999046325</v>
      </c>
      <c r="C2197">
        <v>1.92499995231628</v>
      </c>
      <c r="D2197">
        <v>1.8684999942779501</v>
      </c>
      <c r="E2197">
        <v>1.9164999723434399</v>
      </c>
      <c r="F2197">
        <v>1.9164999723434399</v>
      </c>
      <c r="G2197">
        <v>670626000</v>
      </c>
      <c r="H2197">
        <f t="shared" si="136"/>
        <v>2006</v>
      </c>
      <c r="I2197">
        <f t="shared" si="137"/>
        <v>2</v>
      </c>
      <c r="J2197" t="str">
        <f t="shared" si="138"/>
        <v>Feb</v>
      </c>
      <c r="K2197" t="str">
        <f t="shared" si="139"/>
        <v>Fri</v>
      </c>
    </row>
    <row r="2198" spans="1:11" x14ac:dyDescent="0.35">
      <c r="A2198" s="1">
        <v>38754</v>
      </c>
      <c r="B2198">
        <v>1.9170000553131099</v>
      </c>
      <c r="C2198">
        <v>1.9170000553131099</v>
      </c>
      <c r="D2198">
        <v>1.88849997520446</v>
      </c>
      <c r="E2198">
        <v>1.89750003814697</v>
      </c>
      <c r="F2198">
        <v>1.89750003814697</v>
      </c>
      <c r="G2198">
        <v>170064000</v>
      </c>
      <c r="H2198">
        <f t="shared" si="136"/>
        <v>2006</v>
      </c>
      <c r="I2198">
        <f t="shared" si="137"/>
        <v>2</v>
      </c>
      <c r="J2198" t="str">
        <f t="shared" si="138"/>
        <v>Feb</v>
      </c>
      <c r="K2198" t="str">
        <f t="shared" si="139"/>
        <v>Mon</v>
      </c>
    </row>
    <row r="2199" spans="1:11" x14ac:dyDescent="0.35">
      <c r="A2199" s="1">
        <v>38755</v>
      </c>
      <c r="B2199">
        <v>1.9045000076293901</v>
      </c>
      <c r="C2199">
        <v>1.90999996662139</v>
      </c>
      <c r="D2199">
        <v>1.8600000143051101</v>
      </c>
      <c r="E2199">
        <v>1.8760000467300399</v>
      </c>
      <c r="F2199">
        <v>1.8760000467300399</v>
      </c>
      <c r="G2199">
        <v>148072000</v>
      </c>
      <c r="H2199">
        <f t="shared" si="136"/>
        <v>2006</v>
      </c>
      <c r="I2199">
        <f t="shared" si="137"/>
        <v>2</v>
      </c>
      <c r="J2199" t="str">
        <f t="shared" si="138"/>
        <v>Feb</v>
      </c>
      <c r="K2199" t="str">
        <f t="shared" si="139"/>
        <v>Tue</v>
      </c>
    </row>
    <row r="2200" spans="1:11" x14ac:dyDescent="0.35">
      <c r="A2200" s="1">
        <v>38756</v>
      </c>
      <c r="B2200">
        <v>1.88499999046325</v>
      </c>
      <c r="C2200">
        <v>1.91949999332427</v>
      </c>
      <c r="D2200">
        <v>1.8554999828338601</v>
      </c>
      <c r="E2200">
        <v>1.9084999561309799</v>
      </c>
      <c r="F2200">
        <v>1.9084999561309799</v>
      </c>
      <c r="G2200">
        <v>150874000</v>
      </c>
      <c r="H2200">
        <f t="shared" si="136"/>
        <v>2006</v>
      </c>
      <c r="I2200">
        <f t="shared" si="137"/>
        <v>2</v>
      </c>
      <c r="J2200" t="str">
        <f t="shared" si="138"/>
        <v>Feb</v>
      </c>
      <c r="K2200" t="str">
        <f t="shared" si="139"/>
        <v>Wed</v>
      </c>
    </row>
    <row r="2201" spans="1:11" x14ac:dyDescent="0.35">
      <c r="A2201" s="1">
        <v>38757</v>
      </c>
      <c r="B2201">
        <v>1.9305000305175699</v>
      </c>
      <c r="C2201">
        <v>1.95000004768371</v>
      </c>
      <c r="D2201">
        <v>1.89649999141693</v>
      </c>
      <c r="E2201">
        <v>1.8995000123977599</v>
      </c>
      <c r="F2201">
        <v>1.8995000123977599</v>
      </c>
      <c r="G2201">
        <v>138656000</v>
      </c>
      <c r="H2201">
        <f t="shared" si="136"/>
        <v>2006</v>
      </c>
      <c r="I2201">
        <f t="shared" si="137"/>
        <v>2</v>
      </c>
      <c r="J2201" t="str">
        <f t="shared" si="138"/>
        <v>Feb</v>
      </c>
      <c r="K2201" t="str">
        <f t="shared" si="139"/>
        <v>Thu</v>
      </c>
    </row>
    <row r="2202" spans="1:11" x14ac:dyDescent="0.35">
      <c r="A2202" s="1">
        <v>38758</v>
      </c>
      <c r="B2202">
        <v>1.8990000486373899</v>
      </c>
      <c r="C2202">
        <v>1.9259999990463199</v>
      </c>
      <c r="D2202">
        <v>1.8684999942779501</v>
      </c>
      <c r="E2202">
        <v>1.9259999990463199</v>
      </c>
      <c r="F2202">
        <v>1.9259999990463199</v>
      </c>
      <c r="G2202">
        <v>100236000</v>
      </c>
      <c r="H2202">
        <f t="shared" si="136"/>
        <v>2006</v>
      </c>
      <c r="I2202">
        <f t="shared" si="137"/>
        <v>2</v>
      </c>
      <c r="J2202" t="str">
        <f t="shared" si="138"/>
        <v>Feb</v>
      </c>
      <c r="K2202" t="str">
        <f t="shared" si="139"/>
        <v>Fri</v>
      </c>
    </row>
    <row r="2203" spans="1:11" x14ac:dyDescent="0.35">
      <c r="A2203" s="1">
        <v>38761</v>
      </c>
      <c r="B2203">
        <v>1.9125000238418499</v>
      </c>
      <c r="C2203">
        <v>1.9210000038146899</v>
      </c>
      <c r="D2203">
        <v>1.8765000104904099</v>
      </c>
      <c r="E2203">
        <v>1.89300000667572</v>
      </c>
      <c r="F2203">
        <v>1.89300000667572</v>
      </c>
      <c r="G2203">
        <v>95008000</v>
      </c>
      <c r="H2203">
        <f t="shared" si="136"/>
        <v>2006</v>
      </c>
      <c r="I2203">
        <f t="shared" si="137"/>
        <v>2</v>
      </c>
      <c r="J2203" t="str">
        <f t="shared" si="138"/>
        <v>Feb</v>
      </c>
      <c r="K2203" t="str">
        <f t="shared" si="139"/>
        <v>Mon</v>
      </c>
    </row>
    <row r="2204" spans="1:11" x14ac:dyDescent="0.35">
      <c r="A2204" s="1">
        <v>38762</v>
      </c>
      <c r="B2204">
        <v>1.90199995040893</v>
      </c>
      <c r="C2204">
        <v>1.9244999885559</v>
      </c>
      <c r="D2204">
        <v>1.8689999580383301</v>
      </c>
      <c r="E2204">
        <v>1.9125000238418499</v>
      </c>
      <c r="F2204">
        <v>1.9125000238418499</v>
      </c>
      <c r="G2204">
        <v>90284000</v>
      </c>
      <c r="H2204">
        <f t="shared" si="136"/>
        <v>2006</v>
      </c>
      <c r="I2204">
        <f t="shared" si="137"/>
        <v>2</v>
      </c>
      <c r="J2204" t="str">
        <f t="shared" si="138"/>
        <v>Feb</v>
      </c>
      <c r="K2204" t="str">
        <f t="shared" si="139"/>
        <v>Tue</v>
      </c>
    </row>
    <row r="2205" spans="1:11" x14ac:dyDescent="0.35">
      <c r="A2205" s="1">
        <v>38763</v>
      </c>
      <c r="B2205">
        <v>1.9119999408721899</v>
      </c>
      <c r="C2205">
        <v>1.96399998664855</v>
      </c>
      <c r="D2205">
        <v>1.9049999713897701</v>
      </c>
      <c r="E2205">
        <v>1.9630000591278001</v>
      </c>
      <c r="F2205">
        <v>1.9630000591278001</v>
      </c>
      <c r="G2205">
        <v>138054000</v>
      </c>
      <c r="H2205">
        <f t="shared" si="136"/>
        <v>2006</v>
      </c>
      <c r="I2205">
        <f t="shared" si="137"/>
        <v>2</v>
      </c>
      <c r="J2205" t="str">
        <f t="shared" si="138"/>
        <v>Feb</v>
      </c>
      <c r="K2205" t="str">
        <f t="shared" si="139"/>
        <v>Wed</v>
      </c>
    </row>
    <row r="2206" spans="1:11" x14ac:dyDescent="0.35">
      <c r="A2206" s="1">
        <v>38764</v>
      </c>
      <c r="B2206">
        <v>1.96850001811981</v>
      </c>
      <c r="C2206">
        <v>2</v>
      </c>
      <c r="D2206">
        <v>1.94149994850158</v>
      </c>
      <c r="E2206">
        <v>1.9574999809265099</v>
      </c>
      <c r="F2206">
        <v>1.9574999809265099</v>
      </c>
      <c r="G2206">
        <v>112760000</v>
      </c>
      <c r="H2206">
        <f t="shared" si="136"/>
        <v>2006</v>
      </c>
      <c r="I2206">
        <f t="shared" si="137"/>
        <v>2</v>
      </c>
      <c r="J2206" t="str">
        <f t="shared" si="138"/>
        <v>Feb</v>
      </c>
      <c r="K2206" t="str">
        <f t="shared" si="139"/>
        <v>Thu</v>
      </c>
    </row>
    <row r="2207" spans="1:11" x14ac:dyDescent="0.35">
      <c r="A2207" s="1">
        <v>38765</v>
      </c>
      <c r="B2207">
        <v>1.94649994373321</v>
      </c>
      <c r="C2207">
        <v>1.96899998188018</v>
      </c>
      <c r="D2207">
        <v>1.94550001621246</v>
      </c>
      <c r="E2207">
        <v>1.9594999551773</v>
      </c>
      <c r="F2207">
        <v>1.9594999551773</v>
      </c>
      <c r="G2207">
        <v>91636000</v>
      </c>
      <c r="H2207">
        <f t="shared" si="136"/>
        <v>2006</v>
      </c>
      <c r="I2207">
        <f t="shared" si="137"/>
        <v>2</v>
      </c>
      <c r="J2207" t="str">
        <f t="shared" si="138"/>
        <v>Feb</v>
      </c>
      <c r="K2207" t="str">
        <f t="shared" si="139"/>
        <v>Fri</v>
      </c>
    </row>
    <row r="2208" spans="1:11" x14ac:dyDescent="0.35">
      <c r="A2208" s="1">
        <v>38769</v>
      </c>
      <c r="B2208">
        <v>1.95050001144409</v>
      </c>
      <c r="C2208">
        <v>1.95550000667572</v>
      </c>
      <c r="D2208">
        <v>1.9129999876022299</v>
      </c>
      <c r="E2208">
        <v>1.91449999809265</v>
      </c>
      <c r="F2208">
        <v>1.91449999809265</v>
      </c>
      <c r="G2208">
        <v>101122000</v>
      </c>
      <c r="H2208">
        <f t="shared" si="136"/>
        <v>2006</v>
      </c>
      <c r="I2208">
        <f t="shared" si="137"/>
        <v>2</v>
      </c>
      <c r="J2208" t="str">
        <f t="shared" si="138"/>
        <v>Feb</v>
      </c>
      <c r="K2208" t="str">
        <f t="shared" si="139"/>
        <v>Tue</v>
      </c>
    </row>
    <row r="2209" spans="1:11" x14ac:dyDescent="0.35">
      <c r="A2209" s="1">
        <v>38770</v>
      </c>
      <c r="B2209">
        <v>1.91550004482269</v>
      </c>
      <c r="C2209">
        <v>1.95500004291534</v>
      </c>
      <c r="D2209">
        <v>1.8854999542236299</v>
      </c>
      <c r="E2209">
        <v>1.9359999895095801</v>
      </c>
      <c r="F2209">
        <v>1.9359999895095801</v>
      </c>
      <c r="G2209">
        <v>147138000</v>
      </c>
      <c r="H2209">
        <f t="shared" si="136"/>
        <v>2006</v>
      </c>
      <c r="I2209">
        <f t="shared" si="137"/>
        <v>2</v>
      </c>
      <c r="J2209" t="str">
        <f t="shared" si="138"/>
        <v>Feb</v>
      </c>
      <c r="K2209" t="str">
        <f t="shared" si="139"/>
        <v>Wed</v>
      </c>
    </row>
    <row r="2210" spans="1:11" x14ac:dyDescent="0.35">
      <c r="A2210" s="1">
        <v>38771</v>
      </c>
      <c r="B2210">
        <v>1.9309999942779501</v>
      </c>
      <c r="C2210">
        <v>1.9375</v>
      </c>
      <c r="D2210">
        <v>1.89349997043609</v>
      </c>
      <c r="E2210">
        <v>1.8949999809265099</v>
      </c>
      <c r="F2210">
        <v>1.8949999809265099</v>
      </c>
      <c r="G2210">
        <v>185750000</v>
      </c>
      <c r="H2210">
        <f t="shared" si="136"/>
        <v>2006</v>
      </c>
      <c r="I2210">
        <f t="shared" si="137"/>
        <v>2</v>
      </c>
      <c r="J2210" t="str">
        <f t="shared" si="138"/>
        <v>Feb</v>
      </c>
      <c r="K2210" t="str">
        <f t="shared" si="139"/>
        <v>Thu</v>
      </c>
    </row>
    <row r="2211" spans="1:11" x14ac:dyDescent="0.35">
      <c r="A2211" s="1">
        <v>38772</v>
      </c>
      <c r="B2211">
        <v>1.9125000238418499</v>
      </c>
      <c r="C2211">
        <v>1.92050004005432</v>
      </c>
      <c r="D2211">
        <v>1.89300000667572</v>
      </c>
      <c r="E2211">
        <v>1.9175000190734801</v>
      </c>
      <c r="F2211">
        <v>1.9175000190734801</v>
      </c>
      <c r="G2211">
        <v>74400000</v>
      </c>
      <c r="H2211">
        <f t="shared" si="136"/>
        <v>2006</v>
      </c>
      <c r="I2211">
        <f t="shared" si="137"/>
        <v>2</v>
      </c>
      <c r="J2211" t="str">
        <f t="shared" si="138"/>
        <v>Feb</v>
      </c>
      <c r="K2211" t="str">
        <f t="shared" si="139"/>
        <v>Fri</v>
      </c>
    </row>
    <row r="2212" spans="1:11" x14ac:dyDescent="0.35">
      <c r="A2212" s="1">
        <v>38775</v>
      </c>
      <c r="B2212">
        <v>1.91999995708465</v>
      </c>
      <c r="C2212">
        <v>1.9390000104904099</v>
      </c>
      <c r="D2212">
        <v>1.89649999141693</v>
      </c>
      <c r="E2212">
        <v>1.9005000591278001</v>
      </c>
      <c r="F2212">
        <v>1.9005000591278001</v>
      </c>
      <c r="G2212">
        <v>88982000</v>
      </c>
      <c r="H2212">
        <f t="shared" si="136"/>
        <v>2006</v>
      </c>
      <c r="I2212">
        <f t="shared" si="137"/>
        <v>2</v>
      </c>
      <c r="J2212" t="str">
        <f t="shared" si="138"/>
        <v>Feb</v>
      </c>
      <c r="K2212" t="str">
        <f t="shared" si="139"/>
        <v>Mon</v>
      </c>
    </row>
    <row r="2213" spans="1:11" x14ac:dyDescent="0.35">
      <c r="A2213" s="1">
        <v>38776</v>
      </c>
      <c r="B2213">
        <v>1.8895000219345</v>
      </c>
      <c r="C2213">
        <v>1.9045000076293901</v>
      </c>
      <c r="D2213">
        <v>1.85249996185302</v>
      </c>
      <c r="E2213">
        <v>1.8719999790191599</v>
      </c>
      <c r="F2213">
        <v>1.8719999790191599</v>
      </c>
      <c r="G2213">
        <v>183018000</v>
      </c>
      <c r="H2213">
        <f t="shared" si="136"/>
        <v>2006</v>
      </c>
      <c r="I2213">
        <f t="shared" si="137"/>
        <v>2</v>
      </c>
      <c r="J2213" t="str">
        <f t="shared" si="138"/>
        <v>Feb</v>
      </c>
      <c r="K2213" t="str">
        <f t="shared" si="139"/>
        <v>Tue</v>
      </c>
    </row>
    <row r="2214" spans="1:11" x14ac:dyDescent="0.35">
      <c r="A2214" s="1">
        <v>38777</v>
      </c>
      <c r="B2214">
        <v>1.8724999427795399</v>
      </c>
      <c r="C2214">
        <v>1.88450002670288</v>
      </c>
      <c r="D2214">
        <v>1.8424999713897701</v>
      </c>
      <c r="E2214">
        <v>1.8559999465942301</v>
      </c>
      <c r="F2214">
        <v>1.8559999465942301</v>
      </c>
      <c r="G2214">
        <v>139630000</v>
      </c>
      <c r="H2214">
        <f t="shared" si="136"/>
        <v>2006</v>
      </c>
      <c r="I2214">
        <f t="shared" si="137"/>
        <v>3</v>
      </c>
      <c r="J2214" t="str">
        <f t="shared" si="138"/>
        <v>Mar</v>
      </c>
      <c r="K2214" t="str">
        <f t="shared" si="139"/>
        <v>Wed</v>
      </c>
    </row>
    <row r="2215" spans="1:11" x14ac:dyDescent="0.35">
      <c r="A2215" s="1">
        <v>38778</v>
      </c>
      <c r="B2215">
        <v>1.78199994564056</v>
      </c>
      <c r="C2215">
        <v>1.8500000238418499</v>
      </c>
      <c r="D2215">
        <v>1.76849997043609</v>
      </c>
      <c r="E2215">
        <v>1.84399998188018</v>
      </c>
      <c r="F2215">
        <v>1.84399998188018</v>
      </c>
      <c r="G2215">
        <v>231674000</v>
      </c>
      <c r="H2215">
        <f t="shared" si="136"/>
        <v>2006</v>
      </c>
      <c r="I2215">
        <f t="shared" si="137"/>
        <v>3</v>
      </c>
      <c r="J2215" t="str">
        <f t="shared" si="138"/>
        <v>Mar</v>
      </c>
      <c r="K2215" t="str">
        <f t="shared" si="139"/>
        <v>Thu</v>
      </c>
    </row>
    <row r="2216" spans="1:11" x14ac:dyDescent="0.35">
      <c r="A2216" s="1">
        <v>38779</v>
      </c>
      <c r="B2216">
        <v>1.84449994564056</v>
      </c>
      <c r="C2216">
        <v>1.8914999961853001</v>
      </c>
      <c r="D2216">
        <v>1.8335000276565501</v>
      </c>
      <c r="E2216">
        <v>1.8604999780654901</v>
      </c>
      <c r="F2216">
        <v>1.8604999780654901</v>
      </c>
      <c r="G2216">
        <v>120898000</v>
      </c>
      <c r="H2216">
        <f t="shared" si="136"/>
        <v>2006</v>
      </c>
      <c r="I2216">
        <f t="shared" si="137"/>
        <v>3</v>
      </c>
      <c r="J2216" t="str">
        <f t="shared" si="138"/>
        <v>Mar</v>
      </c>
      <c r="K2216" t="str">
        <f t="shared" si="139"/>
        <v>Fri</v>
      </c>
    </row>
    <row r="2217" spans="1:11" x14ac:dyDescent="0.35">
      <c r="A2217" s="1">
        <v>38782</v>
      </c>
      <c r="B2217">
        <v>1.86600005626678</v>
      </c>
      <c r="C2217">
        <v>1.87899994850158</v>
      </c>
      <c r="D2217">
        <v>1.83850002288818</v>
      </c>
      <c r="E2217">
        <v>1.84300005435943</v>
      </c>
      <c r="F2217">
        <v>1.84300005435943</v>
      </c>
      <c r="G2217">
        <v>85166000</v>
      </c>
      <c r="H2217">
        <f t="shared" si="136"/>
        <v>2006</v>
      </c>
      <c r="I2217">
        <f t="shared" si="137"/>
        <v>3</v>
      </c>
      <c r="J2217" t="str">
        <f t="shared" si="138"/>
        <v>Mar</v>
      </c>
      <c r="K2217" t="str">
        <f t="shared" si="139"/>
        <v>Mon</v>
      </c>
    </row>
    <row r="2218" spans="1:11" x14ac:dyDescent="0.35">
      <c r="A2218" s="1">
        <v>38783</v>
      </c>
      <c r="B2218">
        <v>1.83550000190734</v>
      </c>
      <c r="C2218">
        <v>1.87100005149841</v>
      </c>
      <c r="D2218">
        <v>1.83500003814697</v>
      </c>
      <c r="E2218">
        <v>1.8465000391006401</v>
      </c>
      <c r="F2218">
        <v>1.8465000391006401</v>
      </c>
      <c r="G2218">
        <v>94446000</v>
      </c>
      <c r="H2218">
        <f t="shared" si="136"/>
        <v>2006</v>
      </c>
      <c r="I2218">
        <f t="shared" si="137"/>
        <v>3</v>
      </c>
      <c r="J2218" t="str">
        <f t="shared" si="138"/>
        <v>Mar</v>
      </c>
      <c r="K2218" t="str">
        <f t="shared" si="139"/>
        <v>Tue</v>
      </c>
    </row>
    <row r="2219" spans="1:11" x14ac:dyDescent="0.35">
      <c r="A2219" s="1">
        <v>38784</v>
      </c>
      <c r="B2219">
        <v>1.8359999656677199</v>
      </c>
      <c r="C2219">
        <v>1.8734999895095801</v>
      </c>
      <c r="D2219">
        <v>1.83050000667572</v>
      </c>
      <c r="E2219">
        <v>1.8404999971389699</v>
      </c>
      <c r="F2219">
        <v>1.8404999971389699</v>
      </c>
      <c r="G2219">
        <v>124732000</v>
      </c>
      <c r="H2219">
        <f t="shared" si="136"/>
        <v>2006</v>
      </c>
      <c r="I2219">
        <f t="shared" si="137"/>
        <v>3</v>
      </c>
      <c r="J2219" t="str">
        <f t="shared" si="138"/>
        <v>Mar</v>
      </c>
      <c r="K2219" t="str">
        <f t="shared" si="139"/>
        <v>Wed</v>
      </c>
    </row>
    <row r="2220" spans="1:11" x14ac:dyDescent="0.35">
      <c r="A2220" s="1">
        <v>38785</v>
      </c>
      <c r="B2220">
        <v>1.8400000333786</v>
      </c>
      <c r="C2220">
        <v>1.84800004959106</v>
      </c>
      <c r="D2220">
        <v>1.79499995708465</v>
      </c>
      <c r="E2220">
        <v>1.8059999942779501</v>
      </c>
      <c r="F2220">
        <v>1.8059999942779501</v>
      </c>
      <c r="G2220">
        <v>144002000</v>
      </c>
      <c r="H2220">
        <f t="shared" si="136"/>
        <v>2006</v>
      </c>
      <c r="I2220">
        <f t="shared" si="137"/>
        <v>3</v>
      </c>
      <c r="J2220" t="str">
        <f t="shared" si="138"/>
        <v>Mar</v>
      </c>
      <c r="K2220" t="str">
        <f t="shared" si="139"/>
        <v>Thu</v>
      </c>
    </row>
    <row r="2221" spans="1:11" x14ac:dyDescent="0.35">
      <c r="A2221" s="1">
        <v>38786</v>
      </c>
      <c r="B2221">
        <v>1.81200003623962</v>
      </c>
      <c r="C2221">
        <v>1.82500004768371</v>
      </c>
      <c r="D2221">
        <v>1.7869999408721899</v>
      </c>
      <c r="E2221">
        <v>1.8109999895095801</v>
      </c>
      <c r="F2221">
        <v>1.8109999895095801</v>
      </c>
      <c r="G2221">
        <v>99454000</v>
      </c>
      <c r="H2221">
        <f t="shared" si="136"/>
        <v>2006</v>
      </c>
      <c r="I2221">
        <f t="shared" si="137"/>
        <v>3</v>
      </c>
      <c r="J2221" t="str">
        <f t="shared" si="138"/>
        <v>Mar</v>
      </c>
      <c r="K2221" t="str">
        <f t="shared" si="139"/>
        <v>Fri</v>
      </c>
    </row>
    <row r="2222" spans="1:11" x14ac:dyDescent="0.35">
      <c r="A2222" s="1">
        <v>38789</v>
      </c>
      <c r="B2222">
        <v>1.8155000209808301</v>
      </c>
      <c r="C2222">
        <v>1.8315000534057599</v>
      </c>
      <c r="D2222">
        <v>1.79849994182586</v>
      </c>
      <c r="E2222">
        <v>1.8094999790191599</v>
      </c>
      <c r="F2222">
        <v>1.8094999790191599</v>
      </c>
      <c r="G2222">
        <v>65562000</v>
      </c>
      <c r="H2222">
        <f t="shared" si="136"/>
        <v>2006</v>
      </c>
      <c r="I2222">
        <f t="shared" si="137"/>
        <v>3</v>
      </c>
      <c r="J2222" t="str">
        <f t="shared" si="138"/>
        <v>Mar</v>
      </c>
      <c r="K2222" t="str">
        <f t="shared" si="139"/>
        <v>Mon</v>
      </c>
    </row>
    <row r="2223" spans="1:11" x14ac:dyDescent="0.35">
      <c r="A2223" s="1">
        <v>38790</v>
      </c>
      <c r="B2223">
        <v>1.8020000457763601</v>
      </c>
      <c r="C2223">
        <v>1.8500000238418499</v>
      </c>
      <c r="D2223">
        <v>1.8005000352859399</v>
      </c>
      <c r="E2223">
        <v>1.8454999923705999</v>
      </c>
      <c r="F2223">
        <v>1.8454999923705999</v>
      </c>
      <c r="G2223">
        <v>83704000</v>
      </c>
      <c r="H2223">
        <f t="shared" si="136"/>
        <v>2006</v>
      </c>
      <c r="I2223">
        <f t="shared" si="137"/>
        <v>3</v>
      </c>
      <c r="J2223" t="str">
        <f t="shared" si="138"/>
        <v>Mar</v>
      </c>
      <c r="K2223" t="str">
        <f t="shared" si="139"/>
        <v>Tue</v>
      </c>
    </row>
    <row r="2224" spans="1:11" x14ac:dyDescent="0.35">
      <c r="A2224" s="1">
        <v>38791</v>
      </c>
      <c r="B2224">
        <v>1.84749996662139</v>
      </c>
      <c r="C2224">
        <v>1.8500000238418499</v>
      </c>
      <c r="D2224">
        <v>1.82149994373321</v>
      </c>
      <c r="E2224">
        <v>1.84449994564056</v>
      </c>
      <c r="F2224">
        <v>1.84449994564056</v>
      </c>
      <c r="G2224">
        <v>56030000</v>
      </c>
      <c r="H2224">
        <f t="shared" si="136"/>
        <v>2006</v>
      </c>
      <c r="I2224">
        <f t="shared" si="137"/>
        <v>3</v>
      </c>
      <c r="J2224" t="str">
        <f t="shared" si="138"/>
        <v>Mar</v>
      </c>
      <c r="K2224" t="str">
        <f t="shared" si="139"/>
        <v>Wed</v>
      </c>
    </row>
    <row r="2225" spans="1:11" x14ac:dyDescent="0.35">
      <c r="A2225" s="1">
        <v>38792</v>
      </c>
      <c r="B2225">
        <v>1.8539999723434399</v>
      </c>
      <c r="C2225">
        <v>1.8695000410079901</v>
      </c>
      <c r="D2225">
        <v>1.8370000123977599</v>
      </c>
      <c r="E2225">
        <v>1.83850002288818</v>
      </c>
      <c r="F2225">
        <v>1.83850002288818</v>
      </c>
      <c r="G2225">
        <v>96456000</v>
      </c>
      <c r="H2225">
        <f t="shared" si="136"/>
        <v>2006</v>
      </c>
      <c r="I2225">
        <f t="shared" si="137"/>
        <v>3</v>
      </c>
      <c r="J2225" t="str">
        <f t="shared" si="138"/>
        <v>Mar</v>
      </c>
      <c r="K2225" t="str">
        <f t="shared" si="139"/>
        <v>Thu</v>
      </c>
    </row>
    <row r="2226" spans="1:11" x14ac:dyDescent="0.35">
      <c r="A2226" s="1">
        <v>38793</v>
      </c>
      <c r="B2226">
        <v>1.84399998188018</v>
      </c>
      <c r="C2226">
        <v>1.84899997711181</v>
      </c>
      <c r="D2226">
        <v>1.7925000190734801</v>
      </c>
      <c r="E2226">
        <v>1.7994999885559</v>
      </c>
      <c r="F2226">
        <v>1.7994999885559</v>
      </c>
      <c r="G2226">
        <v>137724000</v>
      </c>
      <c r="H2226">
        <f t="shared" si="136"/>
        <v>2006</v>
      </c>
      <c r="I2226">
        <f t="shared" si="137"/>
        <v>3</v>
      </c>
      <c r="J2226" t="str">
        <f t="shared" si="138"/>
        <v>Mar</v>
      </c>
      <c r="K2226" t="str">
        <f t="shared" si="139"/>
        <v>Fri</v>
      </c>
    </row>
    <row r="2227" spans="1:11" x14ac:dyDescent="0.35">
      <c r="A2227" s="1">
        <v>38796</v>
      </c>
      <c r="B2227">
        <v>1.7960000038146899</v>
      </c>
      <c r="C2227">
        <v>1.8634999990463199</v>
      </c>
      <c r="D2227">
        <v>1.78999996185302</v>
      </c>
      <c r="E2227">
        <v>1.8114999532699501</v>
      </c>
      <c r="F2227">
        <v>1.8114999532699501</v>
      </c>
      <c r="G2227">
        <v>123416000</v>
      </c>
      <c r="H2227">
        <f t="shared" si="136"/>
        <v>2006</v>
      </c>
      <c r="I2227">
        <f t="shared" si="137"/>
        <v>3</v>
      </c>
      <c r="J2227" t="str">
        <f t="shared" si="138"/>
        <v>Mar</v>
      </c>
      <c r="K2227" t="str">
        <f t="shared" si="139"/>
        <v>Mon</v>
      </c>
    </row>
    <row r="2228" spans="1:11" x14ac:dyDescent="0.35">
      <c r="A2228" s="1">
        <v>38797</v>
      </c>
      <c r="B2228">
        <v>1.7960000038146899</v>
      </c>
      <c r="C2228">
        <v>1.8365000486373899</v>
      </c>
      <c r="D2228">
        <v>1.7829999923705999</v>
      </c>
      <c r="E2228">
        <v>1.7960000038146899</v>
      </c>
      <c r="F2228">
        <v>1.7960000038146899</v>
      </c>
      <c r="G2228">
        <v>133432000</v>
      </c>
      <c r="H2228">
        <f t="shared" si="136"/>
        <v>2006</v>
      </c>
      <c r="I2228">
        <f t="shared" si="137"/>
        <v>3</v>
      </c>
      <c r="J2228" t="str">
        <f t="shared" si="138"/>
        <v>Mar</v>
      </c>
      <c r="K2228" t="str">
        <f t="shared" si="139"/>
        <v>Tue</v>
      </c>
    </row>
    <row r="2229" spans="1:11" x14ac:dyDescent="0.35">
      <c r="A2229" s="1">
        <v>38798</v>
      </c>
      <c r="B2229">
        <v>1.79999995231628</v>
      </c>
      <c r="C2229">
        <v>1.8270000219345</v>
      </c>
      <c r="D2229">
        <v>1.78949999809265</v>
      </c>
      <c r="E2229">
        <v>1.79999995231628</v>
      </c>
      <c r="F2229">
        <v>1.79999995231628</v>
      </c>
      <c r="G2229">
        <v>86016000</v>
      </c>
      <c r="H2229">
        <f t="shared" si="136"/>
        <v>2006</v>
      </c>
      <c r="I2229">
        <f t="shared" si="137"/>
        <v>3</v>
      </c>
      <c r="J2229" t="str">
        <f t="shared" si="138"/>
        <v>Mar</v>
      </c>
      <c r="K2229" t="str">
        <f t="shared" si="139"/>
        <v>Wed</v>
      </c>
    </row>
    <row r="2230" spans="1:11" x14ac:dyDescent="0.35">
      <c r="A2230" s="1">
        <v>38799</v>
      </c>
      <c r="B2230">
        <v>1.7979999780654901</v>
      </c>
      <c r="C2230">
        <v>1.81700003147125</v>
      </c>
      <c r="D2230">
        <v>1.7740000486373899</v>
      </c>
      <c r="E2230">
        <v>1.7840000391006401</v>
      </c>
      <c r="F2230">
        <v>1.7840000391006401</v>
      </c>
      <c r="G2230">
        <v>80718000</v>
      </c>
      <c r="H2230">
        <f t="shared" si="136"/>
        <v>2006</v>
      </c>
      <c r="I2230">
        <f t="shared" si="137"/>
        <v>3</v>
      </c>
      <c r="J2230" t="str">
        <f t="shared" si="138"/>
        <v>Mar</v>
      </c>
      <c r="K2230" t="str">
        <f t="shared" si="139"/>
        <v>Thu</v>
      </c>
    </row>
    <row r="2231" spans="1:11" x14ac:dyDescent="0.35">
      <c r="A2231" s="1">
        <v>38800</v>
      </c>
      <c r="B2231">
        <v>1.78600001335144</v>
      </c>
      <c r="C2231">
        <v>1.8059999942779501</v>
      </c>
      <c r="D2231">
        <v>1.7654999494552599</v>
      </c>
      <c r="E2231">
        <v>1.7734999656677199</v>
      </c>
      <c r="F2231">
        <v>1.7734999656677199</v>
      </c>
      <c r="G2231">
        <v>73640000</v>
      </c>
      <c r="H2231">
        <f t="shared" si="136"/>
        <v>2006</v>
      </c>
      <c r="I2231">
        <f t="shared" si="137"/>
        <v>3</v>
      </c>
      <c r="J2231" t="str">
        <f t="shared" si="138"/>
        <v>Mar</v>
      </c>
      <c r="K2231" t="str">
        <f t="shared" si="139"/>
        <v>Fri</v>
      </c>
    </row>
    <row r="2232" spans="1:11" x14ac:dyDescent="0.35">
      <c r="A2232" s="1">
        <v>38803</v>
      </c>
      <c r="B2232">
        <v>1.7749999761581401</v>
      </c>
      <c r="C2232">
        <v>1.7829999923705999</v>
      </c>
      <c r="D2232">
        <v>1.7569999694824201</v>
      </c>
      <c r="E2232">
        <v>1.76250004768371</v>
      </c>
      <c r="F2232">
        <v>1.76250004768371</v>
      </c>
      <c r="G2232">
        <v>74170000</v>
      </c>
      <c r="H2232">
        <f t="shared" si="136"/>
        <v>2006</v>
      </c>
      <c r="I2232">
        <f t="shared" si="137"/>
        <v>3</v>
      </c>
      <c r="J2232" t="str">
        <f t="shared" si="138"/>
        <v>Mar</v>
      </c>
      <c r="K2232" t="str">
        <f t="shared" si="139"/>
        <v>Mon</v>
      </c>
    </row>
    <row r="2233" spans="1:11" x14ac:dyDescent="0.35">
      <c r="A2233" s="1">
        <v>38804</v>
      </c>
      <c r="B2233">
        <v>1.7604999542236299</v>
      </c>
      <c r="C2233">
        <v>1.8009999990463199</v>
      </c>
      <c r="D2233">
        <v>1.75999999046325</v>
      </c>
      <c r="E2233">
        <v>1.7845000028610201</v>
      </c>
      <c r="F2233">
        <v>1.7845000028610201</v>
      </c>
      <c r="G2233">
        <v>114544000</v>
      </c>
      <c r="H2233">
        <f t="shared" si="136"/>
        <v>2006</v>
      </c>
      <c r="I2233">
        <f t="shared" si="137"/>
        <v>3</v>
      </c>
      <c r="J2233" t="str">
        <f t="shared" si="138"/>
        <v>Mar</v>
      </c>
      <c r="K2233" t="str">
        <f t="shared" si="139"/>
        <v>Tue</v>
      </c>
    </row>
    <row r="2234" spans="1:11" x14ac:dyDescent="0.35">
      <c r="A2234" s="1">
        <v>38805</v>
      </c>
      <c r="B2234">
        <v>1.7845000028610201</v>
      </c>
      <c r="C2234">
        <v>1.8404999971389699</v>
      </c>
      <c r="D2234">
        <v>1.7654999494552599</v>
      </c>
      <c r="E2234">
        <v>1.81599998474121</v>
      </c>
      <c r="F2234">
        <v>1.81599998474121</v>
      </c>
      <c r="G2234">
        <v>143984000</v>
      </c>
      <c r="H2234">
        <f t="shared" si="136"/>
        <v>2006</v>
      </c>
      <c r="I2234">
        <f t="shared" si="137"/>
        <v>3</v>
      </c>
      <c r="J2234" t="str">
        <f t="shared" si="138"/>
        <v>Mar</v>
      </c>
      <c r="K2234" t="str">
        <f t="shared" si="139"/>
        <v>Wed</v>
      </c>
    </row>
    <row r="2235" spans="1:11" x14ac:dyDescent="0.35">
      <c r="A2235" s="1">
        <v>38806</v>
      </c>
      <c r="B2235">
        <v>1.82249999046325</v>
      </c>
      <c r="C2235">
        <v>1.8450000286102199</v>
      </c>
      <c r="D2235">
        <v>1.80900001525878</v>
      </c>
      <c r="E2235">
        <v>1.8335000276565501</v>
      </c>
      <c r="F2235">
        <v>1.8335000276565501</v>
      </c>
      <c r="G2235">
        <v>80984000</v>
      </c>
      <c r="H2235">
        <f t="shared" si="136"/>
        <v>2006</v>
      </c>
      <c r="I2235">
        <f t="shared" si="137"/>
        <v>3</v>
      </c>
      <c r="J2235" t="str">
        <f t="shared" si="138"/>
        <v>Mar</v>
      </c>
      <c r="K2235" t="str">
        <f t="shared" si="139"/>
        <v>Thu</v>
      </c>
    </row>
    <row r="2236" spans="1:11" x14ac:dyDescent="0.35">
      <c r="A2236" s="1">
        <v>38807</v>
      </c>
      <c r="B2236">
        <v>1.83399999141693</v>
      </c>
      <c r="C2236">
        <v>1.83850002288818</v>
      </c>
      <c r="D2236">
        <v>1.8240000009536701</v>
      </c>
      <c r="E2236">
        <v>1.82650005817413</v>
      </c>
      <c r="F2236">
        <v>1.82650005817413</v>
      </c>
      <c r="G2236">
        <v>53180000</v>
      </c>
      <c r="H2236">
        <f t="shared" si="136"/>
        <v>2006</v>
      </c>
      <c r="I2236">
        <f t="shared" si="137"/>
        <v>3</v>
      </c>
      <c r="J2236" t="str">
        <f t="shared" si="138"/>
        <v>Mar</v>
      </c>
      <c r="K2236" t="str">
        <f t="shared" si="139"/>
        <v>Fri</v>
      </c>
    </row>
    <row r="2237" spans="1:11" x14ac:dyDescent="0.35">
      <c r="A2237" s="1">
        <v>38810</v>
      </c>
      <c r="B2237">
        <v>1.8335000276565501</v>
      </c>
      <c r="C2237">
        <v>1.86650002002716</v>
      </c>
      <c r="D2237">
        <v>1.8049999475479099</v>
      </c>
      <c r="E2237">
        <v>1.8070000410079901</v>
      </c>
      <c r="F2237">
        <v>1.8070000410079901</v>
      </c>
      <c r="G2237">
        <v>101080000</v>
      </c>
      <c r="H2237">
        <f t="shared" si="136"/>
        <v>2006</v>
      </c>
      <c r="I2237">
        <f t="shared" si="137"/>
        <v>4</v>
      </c>
      <c r="J2237" t="str">
        <f t="shared" si="138"/>
        <v>Apr</v>
      </c>
      <c r="K2237" t="str">
        <f t="shared" si="139"/>
        <v>Mon</v>
      </c>
    </row>
    <row r="2238" spans="1:11" x14ac:dyDescent="0.35">
      <c r="A2238" s="1">
        <v>38811</v>
      </c>
      <c r="B2238">
        <v>1.8070000410079901</v>
      </c>
      <c r="C2238">
        <v>1.8550000190734801</v>
      </c>
      <c r="D2238">
        <v>1.8009999990463199</v>
      </c>
      <c r="E2238">
        <v>1.83850002288818</v>
      </c>
      <c r="F2238">
        <v>1.83850002288818</v>
      </c>
      <c r="G2238">
        <v>74356000</v>
      </c>
      <c r="H2238">
        <f t="shared" si="136"/>
        <v>2006</v>
      </c>
      <c r="I2238">
        <f t="shared" si="137"/>
        <v>4</v>
      </c>
      <c r="J2238" t="str">
        <f t="shared" si="138"/>
        <v>Apr</v>
      </c>
      <c r="K2238" t="str">
        <f t="shared" si="139"/>
        <v>Tue</v>
      </c>
    </row>
    <row r="2239" spans="1:11" x14ac:dyDescent="0.35">
      <c r="A2239" s="1">
        <v>38812</v>
      </c>
      <c r="B2239">
        <v>1.8329999446868801</v>
      </c>
      <c r="C2239">
        <v>1.86699998378753</v>
      </c>
      <c r="D2239">
        <v>1.8135000467300399</v>
      </c>
      <c r="E2239">
        <v>1.86699998378753</v>
      </c>
      <c r="F2239">
        <v>1.86699998378753</v>
      </c>
      <c r="G2239">
        <v>111190000</v>
      </c>
      <c r="H2239">
        <f t="shared" si="136"/>
        <v>2006</v>
      </c>
      <c r="I2239">
        <f t="shared" si="137"/>
        <v>4</v>
      </c>
      <c r="J2239" t="str">
        <f t="shared" si="138"/>
        <v>Apr</v>
      </c>
      <c r="K2239" t="str">
        <f t="shared" si="139"/>
        <v>Wed</v>
      </c>
    </row>
    <row r="2240" spans="1:11" x14ac:dyDescent="0.35">
      <c r="A2240" s="1">
        <v>38813</v>
      </c>
      <c r="B2240">
        <v>1.8600000143051101</v>
      </c>
      <c r="C2240">
        <v>1.94200003147125</v>
      </c>
      <c r="D2240">
        <v>1.8565000295639</v>
      </c>
      <c r="E2240">
        <v>1.9255000352859399</v>
      </c>
      <c r="F2240">
        <v>1.9255000352859399</v>
      </c>
      <c r="G2240">
        <v>185892000</v>
      </c>
      <c r="H2240">
        <f t="shared" si="136"/>
        <v>2006</v>
      </c>
      <c r="I2240">
        <f t="shared" si="137"/>
        <v>4</v>
      </c>
      <c r="J2240" t="str">
        <f t="shared" si="138"/>
        <v>Apr</v>
      </c>
      <c r="K2240" t="str">
        <f t="shared" si="139"/>
        <v>Thu</v>
      </c>
    </row>
    <row r="2241" spans="1:11" x14ac:dyDescent="0.35">
      <c r="A2241" s="1">
        <v>38814</v>
      </c>
      <c r="B2241">
        <v>1.9275000095367401</v>
      </c>
      <c r="C2241">
        <v>1.93350005149841</v>
      </c>
      <c r="D2241">
        <v>1.8500000238418499</v>
      </c>
      <c r="E2241">
        <v>1.8545000553131099</v>
      </c>
      <c r="F2241">
        <v>1.8545000553131099</v>
      </c>
      <c r="G2241">
        <v>114090000</v>
      </c>
      <c r="H2241">
        <f t="shared" si="136"/>
        <v>2006</v>
      </c>
      <c r="I2241">
        <f t="shared" si="137"/>
        <v>4</v>
      </c>
      <c r="J2241" t="str">
        <f t="shared" si="138"/>
        <v>Apr</v>
      </c>
      <c r="K2241" t="str">
        <f t="shared" si="139"/>
        <v>Fri</v>
      </c>
    </row>
    <row r="2242" spans="1:11" x14ac:dyDescent="0.35">
      <c r="A2242" s="1">
        <v>38817</v>
      </c>
      <c r="B2242">
        <v>1.85749995708465</v>
      </c>
      <c r="C2242">
        <v>1.8639999628067001</v>
      </c>
      <c r="D2242">
        <v>1.8109999895095801</v>
      </c>
      <c r="E2242">
        <v>1.83050000667572</v>
      </c>
      <c r="F2242">
        <v>1.83050000667572</v>
      </c>
      <c r="G2242">
        <v>94950000</v>
      </c>
      <c r="H2242">
        <f t="shared" si="136"/>
        <v>2006</v>
      </c>
      <c r="I2242">
        <f t="shared" si="137"/>
        <v>4</v>
      </c>
      <c r="J2242" t="str">
        <f t="shared" si="138"/>
        <v>Apr</v>
      </c>
      <c r="K2242" t="str">
        <f t="shared" si="139"/>
        <v>Mon</v>
      </c>
    </row>
    <row r="2243" spans="1:11" x14ac:dyDescent="0.35">
      <c r="A2243" s="1">
        <v>38818</v>
      </c>
      <c r="B2243">
        <v>1.83050000667572</v>
      </c>
      <c r="C2243">
        <v>1.8374999761581401</v>
      </c>
      <c r="D2243">
        <v>1.77600002288818</v>
      </c>
      <c r="E2243">
        <v>1.80299997329711</v>
      </c>
      <c r="F2243">
        <v>1.80299997329711</v>
      </c>
      <c r="G2243">
        <v>132112000</v>
      </c>
      <c r="H2243">
        <f t="shared" si="136"/>
        <v>2006</v>
      </c>
      <c r="I2243">
        <f t="shared" si="137"/>
        <v>4</v>
      </c>
      <c r="J2243" t="str">
        <f t="shared" si="138"/>
        <v>Apr</v>
      </c>
      <c r="K2243" t="str">
        <f t="shared" si="139"/>
        <v>Tue</v>
      </c>
    </row>
    <row r="2244" spans="1:11" x14ac:dyDescent="0.35">
      <c r="A2244" s="1">
        <v>38819</v>
      </c>
      <c r="B2244">
        <v>1.79550004005432</v>
      </c>
      <c r="C2244">
        <v>1.82200002670288</v>
      </c>
      <c r="D2244">
        <v>1.79550004005432</v>
      </c>
      <c r="E2244">
        <v>1.8064999580383301</v>
      </c>
      <c r="F2244">
        <v>1.8064999580383301</v>
      </c>
      <c r="G2244">
        <v>57116000</v>
      </c>
      <c r="H2244">
        <f t="shared" ref="H2244:H2307" si="140">YEAR($A2244)</f>
        <v>2006</v>
      </c>
      <c r="I2244">
        <f t="shared" ref="I2244:I2307" si="141">MONTH($A2244)</f>
        <v>4</v>
      </c>
      <c r="J2244" t="str">
        <f t="shared" ref="J2244:J2307" si="142">TEXT($A2244,"mmm")</f>
        <v>Apr</v>
      </c>
      <c r="K2244" t="str">
        <f t="shared" ref="K2244:K2307" si="143">TEXT($A2244,"ddd")</f>
        <v>Wed</v>
      </c>
    </row>
    <row r="2245" spans="1:11" x14ac:dyDescent="0.35">
      <c r="A2245" s="1">
        <v>38820</v>
      </c>
      <c r="B2245">
        <v>1.7975000143051101</v>
      </c>
      <c r="C2245">
        <v>1.8359999656677199</v>
      </c>
      <c r="D2245">
        <v>1.7745000123977599</v>
      </c>
      <c r="E2245">
        <v>1.83099997043609</v>
      </c>
      <c r="F2245">
        <v>1.83099997043609</v>
      </c>
      <c r="G2245">
        <v>74304000</v>
      </c>
      <c r="H2245">
        <f t="shared" si="140"/>
        <v>2006</v>
      </c>
      <c r="I2245">
        <f t="shared" si="141"/>
        <v>4</v>
      </c>
      <c r="J2245" t="str">
        <f t="shared" si="142"/>
        <v>Apr</v>
      </c>
      <c r="K2245" t="str">
        <f t="shared" si="143"/>
        <v>Thu</v>
      </c>
    </row>
    <row r="2246" spans="1:11" x14ac:dyDescent="0.35">
      <c r="A2246" s="1">
        <v>38824</v>
      </c>
      <c r="B2246">
        <v>1.8235000371932899</v>
      </c>
      <c r="C2246">
        <v>1.83099997043609</v>
      </c>
      <c r="D2246">
        <v>1.7525000572204501</v>
      </c>
      <c r="E2246">
        <v>1.76349997520446</v>
      </c>
      <c r="F2246">
        <v>1.76349997520446</v>
      </c>
      <c r="G2246">
        <v>88844000</v>
      </c>
      <c r="H2246">
        <f t="shared" si="140"/>
        <v>2006</v>
      </c>
      <c r="I2246">
        <f t="shared" si="141"/>
        <v>4</v>
      </c>
      <c r="J2246" t="str">
        <f t="shared" si="142"/>
        <v>Apr</v>
      </c>
      <c r="K2246" t="str">
        <f t="shared" si="143"/>
        <v>Mon</v>
      </c>
    </row>
    <row r="2247" spans="1:11" x14ac:dyDescent="0.35">
      <c r="A2247" s="1">
        <v>38825</v>
      </c>
      <c r="B2247">
        <v>1.7695000171661299</v>
      </c>
      <c r="C2247">
        <v>1.82249999046325</v>
      </c>
      <c r="D2247">
        <v>1.75999999046325</v>
      </c>
      <c r="E2247">
        <v>1.8140000104904099</v>
      </c>
      <c r="F2247">
        <v>1.8140000104904099</v>
      </c>
      <c r="G2247">
        <v>91914000</v>
      </c>
      <c r="H2247">
        <f t="shared" si="140"/>
        <v>2006</v>
      </c>
      <c r="I2247">
        <f t="shared" si="141"/>
        <v>4</v>
      </c>
      <c r="J2247" t="str">
        <f t="shared" si="142"/>
        <v>Apr</v>
      </c>
      <c r="K2247" t="str">
        <f t="shared" si="143"/>
        <v>Tue</v>
      </c>
    </row>
    <row r="2248" spans="1:11" x14ac:dyDescent="0.35">
      <c r="A2248" s="1">
        <v>38826</v>
      </c>
      <c r="B2248">
        <v>1.8059999942779501</v>
      </c>
      <c r="C2248">
        <v>1.84800004959106</v>
      </c>
      <c r="D2248">
        <v>1.79449999332427</v>
      </c>
      <c r="E2248">
        <v>1.84449994564056</v>
      </c>
      <c r="F2248">
        <v>1.84449994564056</v>
      </c>
      <c r="G2248">
        <v>85610000</v>
      </c>
      <c r="H2248">
        <f t="shared" si="140"/>
        <v>2006</v>
      </c>
      <c r="I2248">
        <f t="shared" si="141"/>
        <v>4</v>
      </c>
      <c r="J2248" t="str">
        <f t="shared" si="142"/>
        <v>Apr</v>
      </c>
      <c r="K2248" t="str">
        <f t="shared" si="143"/>
        <v>Wed</v>
      </c>
    </row>
    <row r="2249" spans="1:11" x14ac:dyDescent="0.35">
      <c r="A2249" s="1">
        <v>38827</v>
      </c>
      <c r="B2249">
        <v>1.83500003814697</v>
      </c>
      <c r="C2249">
        <v>1.8600000143051101</v>
      </c>
      <c r="D2249">
        <v>1.8114999532699501</v>
      </c>
      <c r="E2249">
        <v>1.81700003147125</v>
      </c>
      <c r="F2249">
        <v>1.81700003147125</v>
      </c>
      <c r="G2249">
        <v>107752000</v>
      </c>
      <c r="H2249">
        <f t="shared" si="140"/>
        <v>2006</v>
      </c>
      <c r="I2249">
        <f t="shared" si="141"/>
        <v>4</v>
      </c>
      <c r="J2249" t="str">
        <f t="shared" si="142"/>
        <v>Apr</v>
      </c>
      <c r="K2249" t="str">
        <f t="shared" si="143"/>
        <v>Thu</v>
      </c>
    </row>
    <row r="2250" spans="1:11" x14ac:dyDescent="0.35">
      <c r="A2250" s="1">
        <v>38828</v>
      </c>
      <c r="B2250">
        <v>1.83099997043609</v>
      </c>
      <c r="C2250">
        <v>1.83899998664855</v>
      </c>
      <c r="D2250">
        <v>1.78600001335144</v>
      </c>
      <c r="E2250">
        <v>1.8014999628067001</v>
      </c>
      <c r="F2250">
        <v>1.8014999628067001</v>
      </c>
      <c r="G2250">
        <v>88470000</v>
      </c>
      <c r="H2250">
        <f t="shared" si="140"/>
        <v>2006</v>
      </c>
      <c r="I2250">
        <f t="shared" si="141"/>
        <v>4</v>
      </c>
      <c r="J2250" t="str">
        <f t="shared" si="142"/>
        <v>Apr</v>
      </c>
      <c r="K2250" t="str">
        <f t="shared" si="143"/>
        <v>Fri</v>
      </c>
    </row>
    <row r="2251" spans="1:11" x14ac:dyDescent="0.35">
      <c r="A2251" s="1">
        <v>38831</v>
      </c>
      <c r="B2251">
        <v>1.8059999942779501</v>
      </c>
      <c r="C2251">
        <v>1.8059999942779501</v>
      </c>
      <c r="D2251">
        <v>1.7660000324249201</v>
      </c>
      <c r="E2251">
        <v>1.78949999809265</v>
      </c>
      <c r="F2251">
        <v>1.78949999809265</v>
      </c>
      <c r="G2251">
        <v>61752000</v>
      </c>
      <c r="H2251">
        <f t="shared" si="140"/>
        <v>2006</v>
      </c>
      <c r="I2251">
        <f t="shared" si="141"/>
        <v>4</v>
      </c>
      <c r="J2251" t="str">
        <f t="shared" si="142"/>
        <v>Apr</v>
      </c>
      <c r="K2251" t="str">
        <f t="shared" si="143"/>
        <v>Mon</v>
      </c>
    </row>
    <row r="2252" spans="1:11" x14ac:dyDescent="0.35">
      <c r="A2252" s="1">
        <v>38832</v>
      </c>
      <c r="B2252">
        <v>1.7795000076293901</v>
      </c>
      <c r="C2252">
        <v>1.7884999513626001</v>
      </c>
      <c r="D2252">
        <v>1.75049996376037</v>
      </c>
      <c r="E2252">
        <v>1.7775000333786</v>
      </c>
      <c r="F2252">
        <v>1.7775000333786</v>
      </c>
      <c r="G2252">
        <v>255810000</v>
      </c>
      <c r="H2252">
        <f t="shared" si="140"/>
        <v>2006</v>
      </c>
      <c r="I2252">
        <f t="shared" si="141"/>
        <v>4</v>
      </c>
      <c r="J2252" t="str">
        <f t="shared" si="142"/>
        <v>Apr</v>
      </c>
      <c r="K2252" t="str">
        <f t="shared" si="143"/>
        <v>Tue</v>
      </c>
    </row>
    <row r="2253" spans="1:11" x14ac:dyDescent="0.35">
      <c r="A2253" s="1">
        <v>38833</v>
      </c>
      <c r="B2253">
        <v>1.7669999599456701</v>
      </c>
      <c r="C2253">
        <v>1.81749999523162</v>
      </c>
      <c r="D2253">
        <v>1.7575000524520801</v>
      </c>
      <c r="E2253">
        <v>1.78949999809265</v>
      </c>
      <c r="F2253">
        <v>1.78949999809265</v>
      </c>
      <c r="G2253">
        <v>221430000</v>
      </c>
      <c r="H2253">
        <f t="shared" si="140"/>
        <v>2006</v>
      </c>
      <c r="I2253">
        <f t="shared" si="141"/>
        <v>4</v>
      </c>
      <c r="J2253" t="str">
        <f t="shared" si="142"/>
        <v>Apr</v>
      </c>
      <c r="K2253" t="str">
        <f t="shared" si="143"/>
        <v>Wed</v>
      </c>
    </row>
    <row r="2254" spans="1:11" x14ac:dyDescent="0.35">
      <c r="A2254" s="1">
        <v>38834</v>
      </c>
      <c r="B2254">
        <v>1.7755000591278001</v>
      </c>
      <c r="C2254">
        <v>1.7934999465942301</v>
      </c>
      <c r="D2254">
        <v>1.7649999856948799</v>
      </c>
      <c r="E2254">
        <v>1.7869999408721899</v>
      </c>
      <c r="F2254">
        <v>1.7869999408721899</v>
      </c>
      <c r="G2254">
        <v>118650000</v>
      </c>
      <c r="H2254">
        <f t="shared" si="140"/>
        <v>2006</v>
      </c>
      <c r="I2254">
        <f t="shared" si="141"/>
        <v>4</v>
      </c>
      <c r="J2254" t="str">
        <f t="shared" si="142"/>
        <v>Apr</v>
      </c>
      <c r="K2254" t="str">
        <f t="shared" si="143"/>
        <v>Thu</v>
      </c>
    </row>
    <row r="2255" spans="1:11" x14ac:dyDescent="0.35">
      <c r="A2255" s="1">
        <v>38835</v>
      </c>
      <c r="B2255">
        <v>1.7884999513626001</v>
      </c>
      <c r="C2255">
        <v>1.79449999332427</v>
      </c>
      <c r="D2255">
        <v>1.7569999694824201</v>
      </c>
      <c r="E2255">
        <v>1.7604999542236299</v>
      </c>
      <c r="F2255">
        <v>1.7604999542236299</v>
      </c>
      <c r="G2255">
        <v>69850000</v>
      </c>
      <c r="H2255">
        <f t="shared" si="140"/>
        <v>2006</v>
      </c>
      <c r="I2255">
        <f t="shared" si="141"/>
        <v>4</v>
      </c>
      <c r="J2255" t="str">
        <f t="shared" si="142"/>
        <v>Apr</v>
      </c>
      <c r="K2255" t="str">
        <f t="shared" si="143"/>
        <v>Fri</v>
      </c>
    </row>
    <row r="2256" spans="1:11" x14ac:dyDescent="0.35">
      <c r="A2256" s="1">
        <v>38838</v>
      </c>
      <c r="B2256">
        <v>1.75950002670288</v>
      </c>
      <c r="C2256">
        <v>1.7784999608993499</v>
      </c>
      <c r="D2256">
        <v>1.7220000028610201</v>
      </c>
      <c r="E2256">
        <v>1.7295000553131099</v>
      </c>
      <c r="F2256">
        <v>1.7295000553131099</v>
      </c>
      <c r="G2256">
        <v>141454000</v>
      </c>
      <c r="H2256">
        <f t="shared" si="140"/>
        <v>2006</v>
      </c>
      <c r="I2256">
        <f t="shared" si="141"/>
        <v>5</v>
      </c>
      <c r="J2256" t="str">
        <f t="shared" si="142"/>
        <v>May</v>
      </c>
      <c r="K2256" t="str">
        <f t="shared" si="143"/>
        <v>Mon</v>
      </c>
    </row>
    <row r="2257" spans="1:11" x14ac:dyDescent="0.35">
      <c r="A2257" s="1">
        <v>38839</v>
      </c>
      <c r="B2257">
        <v>1.73199999332427</v>
      </c>
      <c r="C2257">
        <v>1.7469999790191599</v>
      </c>
      <c r="D2257">
        <v>1.7115000486373899</v>
      </c>
      <c r="E2257">
        <v>1.71899998188018</v>
      </c>
      <c r="F2257">
        <v>1.71899998188018</v>
      </c>
      <c r="G2257">
        <v>117140000</v>
      </c>
      <c r="H2257">
        <f t="shared" si="140"/>
        <v>2006</v>
      </c>
      <c r="I2257">
        <f t="shared" si="141"/>
        <v>5</v>
      </c>
      <c r="J2257" t="str">
        <f t="shared" si="142"/>
        <v>May</v>
      </c>
      <c r="K2257" t="str">
        <f t="shared" si="143"/>
        <v>Tue</v>
      </c>
    </row>
    <row r="2258" spans="1:11" x14ac:dyDescent="0.35">
      <c r="A2258" s="1">
        <v>38840</v>
      </c>
      <c r="B2258">
        <v>1.71449995040893</v>
      </c>
      <c r="C2258">
        <v>1.71949994564056</v>
      </c>
      <c r="D2258">
        <v>1.6755000352859399</v>
      </c>
      <c r="E2258">
        <v>1.6979999542236299</v>
      </c>
      <c r="F2258">
        <v>1.6979999542236299</v>
      </c>
      <c r="G2258">
        <v>151718000</v>
      </c>
      <c r="H2258">
        <f t="shared" si="140"/>
        <v>2006</v>
      </c>
      <c r="I2258">
        <f t="shared" si="141"/>
        <v>5</v>
      </c>
      <c r="J2258" t="str">
        <f t="shared" si="142"/>
        <v>May</v>
      </c>
      <c r="K2258" t="str">
        <f t="shared" si="143"/>
        <v>Wed</v>
      </c>
    </row>
    <row r="2259" spans="1:11" x14ac:dyDescent="0.35">
      <c r="A2259" s="1">
        <v>38841</v>
      </c>
      <c r="B2259">
        <v>1.7309999465942301</v>
      </c>
      <c r="C2259">
        <v>1.73599994182586</v>
      </c>
      <c r="D2259">
        <v>1.71899998188018</v>
      </c>
      <c r="E2259">
        <v>1.72350001335144</v>
      </c>
      <c r="F2259">
        <v>1.72350001335144</v>
      </c>
      <c r="G2259">
        <v>119958000</v>
      </c>
      <c r="H2259">
        <f t="shared" si="140"/>
        <v>2006</v>
      </c>
      <c r="I2259">
        <f t="shared" si="141"/>
        <v>5</v>
      </c>
      <c r="J2259" t="str">
        <f t="shared" si="142"/>
        <v>May</v>
      </c>
      <c r="K2259" t="str">
        <f t="shared" si="143"/>
        <v>Thu</v>
      </c>
    </row>
    <row r="2260" spans="1:11" x14ac:dyDescent="0.35">
      <c r="A2260" s="1">
        <v>38842</v>
      </c>
      <c r="B2260">
        <v>1.73249995708465</v>
      </c>
      <c r="C2260">
        <v>1.7519999742507899</v>
      </c>
      <c r="D2260">
        <v>1.7074999809265099</v>
      </c>
      <c r="E2260">
        <v>1.7519999742507899</v>
      </c>
      <c r="F2260">
        <v>1.7519999742507899</v>
      </c>
      <c r="G2260">
        <v>114818000</v>
      </c>
      <c r="H2260">
        <f t="shared" si="140"/>
        <v>2006</v>
      </c>
      <c r="I2260">
        <f t="shared" si="141"/>
        <v>5</v>
      </c>
      <c r="J2260" t="str">
        <f t="shared" si="142"/>
        <v>May</v>
      </c>
      <c r="K2260" t="str">
        <f t="shared" si="143"/>
        <v>Fri</v>
      </c>
    </row>
    <row r="2261" spans="1:11" x14ac:dyDescent="0.35">
      <c r="A2261" s="1">
        <v>38845</v>
      </c>
      <c r="B2261">
        <v>1.74950003623962</v>
      </c>
      <c r="C2261">
        <v>1.7654999494552599</v>
      </c>
      <c r="D2261">
        <v>1.72350001335144</v>
      </c>
      <c r="E2261">
        <v>1.7345000505447301</v>
      </c>
      <c r="F2261">
        <v>1.7345000505447301</v>
      </c>
      <c r="G2261">
        <v>84736000</v>
      </c>
      <c r="H2261">
        <f t="shared" si="140"/>
        <v>2006</v>
      </c>
      <c r="I2261">
        <f t="shared" si="141"/>
        <v>5</v>
      </c>
      <c r="J2261" t="str">
        <f t="shared" si="142"/>
        <v>May</v>
      </c>
      <c r="K2261" t="str">
        <f t="shared" si="143"/>
        <v>Mon</v>
      </c>
    </row>
    <row r="2262" spans="1:11" x14ac:dyDescent="0.35">
      <c r="A2262" s="1">
        <v>38846</v>
      </c>
      <c r="B2262">
        <v>1.7209999561309799</v>
      </c>
      <c r="C2262">
        <v>1.76300001144409</v>
      </c>
      <c r="D2262">
        <v>1.71050000190734</v>
      </c>
      <c r="E2262">
        <v>1.74199998378753</v>
      </c>
      <c r="F2262">
        <v>1.74199998378753</v>
      </c>
      <c r="G2262">
        <v>109694000</v>
      </c>
      <c r="H2262">
        <f t="shared" si="140"/>
        <v>2006</v>
      </c>
      <c r="I2262">
        <f t="shared" si="141"/>
        <v>5</v>
      </c>
      <c r="J2262" t="str">
        <f t="shared" si="142"/>
        <v>May</v>
      </c>
      <c r="K2262" t="str">
        <f t="shared" si="143"/>
        <v>Tue</v>
      </c>
    </row>
    <row r="2263" spans="1:11" x14ac:dyDescent="0.35">
      <c r="A2263" s="1">
        <v>38847</v>
      </c>
      <c r="B2263">
        <v>1.7339999675750699</v>
      </c>
      <c r="C2263">
        <v>1.75</v>
      </c>
      <c r="D2263">
        <v>1.70500004291534</v>
      </c>
      <c r="E2263">
        <v>1.7079999446868801</v>
      </c>
      <c r="F2263">
        <v>1.7079999446868801</v>
      </c>
      <c r="G2263">
        <v>66006000</v>
      </c>
      <c r="H2263">
        <f t="shared" si="140"/>
        <v>2006</v>
      </c>
      <c r="I2263">
        <f t="shared" si="141"/>
        <v>5</v>
      </c>
      <c r="J2263" t="str">
        <f t="shared" si="142"/>
        <v>May</v>
      </c>
      <c r="K2263" t="str">
        <f t="shared" si="143"/>
        <v>Wed</v>
      </c>
    </row>
    <row r="2264" spans="1:11" x14ac:dyDescent="0.35">
      <c r="A2264" s="1">
        <v>38848</v>
      </c>
      <c r="B2264">
        <v>1.70599997043609</v>
      </c>
      <c r="C2264">
        <v>1.7074999809265099</v>
      </c>
      <c r="D2264">
        <v>1.6540000438690099</v>
      </c>
      <c r="E2264">
        <v>1.6764999628067001</v>
      </c>
      <c r="F2264">
        <v>1.6764999628067001</v>
      </c>
      <c r="G2264">
        <v>153920000</v>
      </c>
      <c r="H2264">
        <f t="shared" si="140"/>
        <v>2006</v>
      </c>
      <c r="I2264">
        <f t="shared" si="141"/>
        <v>5</v>
      </c>
      <c r="J2264" t="str">
        <f t="shared" si="142"/>
        <v>May</v>
      </c>
      <c r="K2264" t="str">
        <f t="shared" si="143"/>
        <v>Thu</v>
      </c>
    </row>
    <row r="2265" spans="1:11" x14ac:dyDescent="0.35">
      <c r="A2265" s="1">
        <v>38849</v>
      </c>
      <c r="B2265">
        <v>1.67799997329711</v>
      </c>
      <c r="C2265">
        <v>1.6890000104904099</v>
      </c>
      <c r="D2265">
        <v>1.6275000572204501</v>
      </c>
      <c r="E2265">
        <v>1.6365000009536701</v>
      </c>
      <c r="F2265">
        <v>1.6365000009536701</v>
      </c>
      <c r="G2265">
        <v>97472000</v>
      </c>
      <c r="H2265">
        <f t="shared" si="140"/>
        <v>2006</v>
      </c>
      <c r="I2265">
        <f t="shared" si="141"/>
        <v>5</v>
      </c>
      <c r="J2265" t="str">
        <f t="shared" si="142"/>
        <v>May</v>
      </c>
      <c r="K2265" t="str">
        <f t="shared" si="143"/>
        <v>Fri</v>
      </c>
    </row>
    <row r="2266" spans="1:11" x14ac:dyDescent="0.35">
      <c r="A2266" s="1">
        <v>38852</v>
      </c>
      <c r="B2266">
        <v>1.6275000572204501</v>
      </c>
      <c r="C2266">
        <v>1.64250004291534</v>
      </c>
      <c r="D2266">
        <v>1.6104999780654901</v>
      </c>
      <c r="E2266">
        <v>1.63900005817413</v>
      </c>
      <c r="F2266">
        <v>1.63900005817413</v>
      </c>
      <c r="G2266">
        <v>86100000</v>
      </c>
      <c r="H2266">
        <f t="shared" si="140"/>
        <v>2006</v>
      </c>
      <c r="I2266">
        <f t="shared" si="141"/>
        <v>5</v>
      </c>
      <c r="J2266" t="str">
        <f t="shared" si="142"/>
        <v>May</v>
      </c>
      <c r="K2266" t="str">
        <f t="shared" si="143"/>
        <v>Mon</v>
      </c>
    </row>
    <row r="2267" spans="1:11" x14ac:dyDescent="0.35">
      <c r="A2267" s="1">
        <v>38853</v>
      </c>
      <c r="B2267">
        <v>1.6419999599456701</v>
      </c>
      <c r="C2267">
        <v>1.65100002288818</v>
      </c>
      <c r="D2267">
        <v>1.61600005626678</v>
      </c>
      <c r="E2267">
        <v>1.63800001144409</v>
      </c>
      <c r="F2267">
        <v>1.63800001144409</v>
      </c>
      <c r="G2267">
        <v>104432000</v>
      </c>
      <c r="H2267">
        <f t="shared" si="140"/>
        <v>2006</v>
      </c>
      <c r="I2267">
        <f t="shared" si="141"/>
        <v>5</v>
      </c>
      <c r="J2267" t="str">
        <f t="shared" si="142"/>
        <v>May</v>
      </c>
      <c r="K2267" t="str">
        <f t="shared" si="143"/>
        <v>Tue</v>
      </c>
    </row>
    <row r="2268" spans="1:11" x14ac:dyDescent="0.35">
      <c r="A2268" s="1">
        <v>38854</v>
      </c>
      <c r="B2268">
        <v>1.6224999427795399</v>
      </c>
      <c r="C2268">
        <v>1.63499999046325</v>
      </c>
      <c r="D2268">
        <v>1.57650005817413</v>
      </c>
      <c r="E2268">
        <v>1.58050000667572</v>
      </c>
      <c r="F2268">
        <v>1.58050000667572</v>
      </c>
      <c r="G2268">
        <v>134082000</v>
      </c>
      <c r="H2268">
        <f t="shared" si="140"/>
        <v>2006</v>
      </c>
      <c r="I2268">
        <f t="shared" si="141"/>
        <v>5</v>
      </c>
      <c r="J2268" t="str">
        <f t="shared" si="142"/>
        <v>May</v>
      </c>
      <c r="K2268" t="str">
        <f t="shared" si="143"/>
        <v>Wed</v>
      </c>
    </row>
    <row r="2269" spans="1:11" x14ac:dyDescent="0.35">
      <c r="A2269" s="1">
        <v>38855</v>
      </c>
      <c r="B2269">
        <v>1.58550000190734</v>
      </c>
      <c r="C2269">
        <v>1.6820000410079901</v>
      </c>
      <c r="D2269">
        <v>1.57599997520446</v>
      </c>
      <c r="E2269">
        <v>1.630499958992</v>
      </c>
      <c r="F2269">
        <v>1.630499958992</v>
      </c>
      <c r="G2269">
        <v>240544000</v>
      </c>
      <c r="H2269">
        <f t="shared" si="140"/>
        <v>2006</v>
      </c>
      <c r="I2269">
        <f t="shared" si="141"/>
        <v>5</v>
      </c>
      <c r="J2269" t="str">
        <f t="shared" si="142"/>
        <v>May</v>
      </c>
      <c r="K2269" t="str">
        <f t="shared" si="143"/>
        <v>Thu</v>
      </c>
    </row>
    <row r="2270" spans="1:11" x14ac:dyDescent="0.35">
      <c r="A2270" s="1">
        <v>38856</v>
      </c>
      <c r="B2270">
        <v>1.63300001621246</v>
      </c>
      <c r="C2270">
        <v>1.70000004768371</v>
      </c>
      <c r="D2270">
        <v>1.6015000343322701</v>
      </c>
      <c r="E2270">
        <v>1.69700002670288</v>
      </c>
      <c r="F2270">
        <v>1.69700002670288</v>
      </c>
      <c r="G2270">
        <v>196344000</v>
      </c>
      <c r="H2270">
        <f t="shared" si="140"/>
        <v>2006</v>
      </c>
      <c r="I2270">
        <f t="shared" si="141"/>
        <v>5</v>
      </c>
      <c r="J2270" t="str">
        <f t="shared" si="142"/>
        <v>May</v>
      </c>
      <c r="K2270" t="str">
        <f t="shared" si="143"/>
        <v>Fri</v>
      </c>
    </row>
    <row r="2271" spans="1:11" x14ac:dyDescent="0.35">
      <c r="A2271" s="1">
        <v>38859</v>
      </c>
      <c r="B2271">
        <v>1.6979999542236299</v>
      </c>
      <c r="C2271">
        <v>1.74950003623962</v>
      </c>
      <c r="D2271">
        <v>1.6590000391006401</v>
      </c>
      <c r="E2271">
        <v>1.74150002002716</v>
      </c>
      <c r="F2271">
        <v>1.74150002002716</v>
      </c>
      <c r="G2271">
        <v>222458000</v>
      </c>
      <c r="H2271">
        <f t="shared" si="140"/>
        <v>2006</v>
      </c>
      <c r="I2271">
        <f t="shared" si="141"/>
        <v>5</v>
      </c>
      <c r="J2271" t="str">
        <f t="shared" si="142"/>
        <v>May</v>
      </c>
      <c r="K2271" t="str">
        <f t="shared" si="143"/>
        <v>Mon</v>
      </c>
    </row>
    <row r="2272" spans="1:11" x14ac:dyDescent="0.35">
      <c r="A2272" s="1">
        <v>38860</v>
      </c>
      <c r="B2272">
        <v>1.75</v>
      </c>
      <c r="C2272">
        <v>1.79999995231628</v>
      </c>
      <c r="D2272">
        <v>1.68799996376037</v>
      </c>
      <c r="E2272">
        <v>1.68799996376037</v>
      </c>
      <c r="F2272">
        <v>1.68799996376037</v>
      </c>
      <c r="G2272">
        <v>176454000</v>
      </c>
      <c r="H2272">
        <f t="shared" si="140"/>
        <v>2006</v>
      </c>
      <c r="I2272">
        <f t="shared" si="141"/>
        <v>5</v>
      </c>
      <c r="J2272" t="str">
        <f t="shared" si="142"/>
        <v>May</v>
      </c>
      <c r="K2272" t="str">
        <f t="shared" si="143"/>
        <v>Tue</v>
      </c>
    </row>
    <row r="2273" spans="1:11" x14ac:dyDescent="0.35">
      <c r="A2273" s="1">
        <v>38861</v>
      </c>
      <c r="B2273">
        <v>1.67050004005432</v>
      </c>
      <c r="C2273">
        <v>1.7615000009536701</v>
      </c>
      <c r="D2273">
        <v>1.6684999465942301</v>
      </c>
      <c r="E2273">
        <v>1.75950002670288</v>
      </c>
      <c r="F2273">
        <v>1.75950002670288</v>
      </c>
      <c r="G2273">
        <v>190842000</v>
      </c>
      <c r="H2273">
        <f t="shared" si="140"/>
        <v>2006</v>
      </c>
      <c r="I2273">
        <f t="shared" si="141"/>
        <v>5</v>
      </c>
      <c r="J2273" t="str">
        <f t="shared" si="142"/>
        <v>May</v>
      </c>
      <c r="K2273" t="str">
        <f t="shared" si="143"/>
        <v>Wed</v>
      </c>
    </row>
    <row r="2274" spans="1:11" x14ac:dyDescent="0.35">
      <c r="A2274" s="1">
        <v>38862</v>
      </c>
      <c r="B2274">
        <v>1.76800000667572</v>
      </c>
      <c r="C2274">
        <v>1.7845000028610201</v>
      </c>
      <c r="D2274">
        <v>1.7300000190734801</v>
      </c>
      <c r="E2274">
        <v>1.78149998188018</v>
      </c>
      <c r="F2274">
        <v>1.78149998188018</v>
      </c>
      <c r="G2274">
        <v>116914000</v>
      </c>
      <c r="H2274">
        <f t="shared" si="140"/>
        <v>2006</v>
      </c>
      <c r="I2274">
        <f t="shared" si="141"/>
        <v>5</v>
      </c>
      <c r="J2274" t="str">
        <f t="shared" si="142"/>
        <v>May</v>
      </c>
      <c r="K2274" t="str">
        <f t="shared" si="143"/>
        <v>Thu</v>
      </c>
    </row>
    <row r="2275" spans="1:11" x14ac:dyDescent="0.35">
      <c r="A2275" s="1">
        <v>38863</v>
      </c>
      <c r="B2275">
        <v>1.7829999923705999</v>
      </c>
      <c r="C2275">
        <v>1.82500004768371</v>
      </c>
      <c r="D2275">
        <v>1.77300000190734</v>
      </c>
      <c r="E2275">
        <v>1.80350005626678</v>
      </c>
      <c r="F2275">
        <v>1.80350005626678</v>
      </c>
      <c r="G2275">
        <v>90486000</v>
      </c>
      <c r="H2275">
        <f t="shared" si="140"/>
        <v>2006</v>
      </c>
      <c r="I2275">
        <f t="shared" si="141"/>
        <v>5</v>
      </c>
      <c r="J2275" t="str">
        <f t="shared" si="142"/>
        <v>May</v>
      </c>
      <c r="K2275" t="str">
        <f t="shared" si="143"/>
        <v>Fri</v>
      </c>
    </row>
    <row r="2276" spans="1:11" x14ac:dyDescent="0.35">
      <c r="A2276" s="1">
        <v>38867</v>
      </c>
      <c r="B2276">
        <v>1.78649997711181</v>
      </c>
      <c r="C2276">
        <v>1.7875000238418499</v>
      </c>
      <c r="D2276">
        <v>1.7220000028610201</v>
      </c>
      <c r="E2276">
        <v>1.73199999332427</v>
      </c>
      <c r="F2276">
        <v>1.73199999332427</v>
      </c>
      <c r="G2276">
        <v>118416000</v>
      </c>
      <c r="H2276">
        <f t="shared" si="140"/>
        <v>2006</v>
      </c>
      <c r="I2276">
        <f t="shared" si="141"/>
        <v>5</v>
      </c>
      <c r="J2276" t="str">
        <f t="shared" si="142"/>
        <v>May</v>
      </c>
      <c r="K2276" t="str">
        <f t="shared" si="143"/>
        <v>Tue</v>
      </c>
    </row>
    <row r="2277" spans="1:11" x14ac:dyDescent="0.35">
      <c r="A2277" s="1">
        <v>38868</v>
      </c>
      <c r="B2277">
        <v>1.7369999885559</v>
      </c>
      <c r="C2277">
        <v>1.7469999790191599</v>
      </c>
      <c r="D2277">
        <v>1.6864999532699501</v>
      </c>
      <c r="E2277">
        <v>1.7304999828338601</v>
      </c>
      <c r="F2277">
        <v>1.7304999828338601</v>
      </c>
      <c r="G2277">
        <v>103932000</v>
      </c>
      <c r="H2277">
        <f t="shared" si="140"/>
        <v>2006</v>
      </c>
      <c r="I2277">
        <f t="shared" si="141"/>
        <v>5</v>
      </c>
      <c r="J2277" t="str">
        <f t="shared" si="142"/>
        <v>May</v>
      </c>
      <c r="K2277" t="str">
        <f t="shared" si="143"/>
        <v>Wed</v>
      </c>
    </row>
    <row r="2278" spans="1:11" x14ac:dyDescent="0.35">
      <c r="A2278" s="1">
        <v>38869</v>
      </c>
      <c r="B2278">
        <v>1.7315000295639</v>
      </c>
      <c r="C2278">
        <v>1.77250003814697</v>
      </c>
      <c r="D2278">
        <v>1.7150000333786</v>
      </c>
      <c r="E2278">
        <v>1.75349998474121</v>
      </c>
      <c r="F2278">
        <v>1.75349998474121</v>
      </c>
      <c r="G2278">
        <v>118640000</v>
      </c>
      <c r="H2278">
        <f t="shared" si="140"/>
        <v>2006</v>
      </c>
      <c r="I2278">
        <f t="shared" si="141"/>
        <v>6</v>
      </c>
      <c r="J2278" t="str">
        <f t="shared" si="142"/>
        <v>Jun</v>
      </c>
      <c r="K2278" t="str">
        <f t="shared" si="143"/>
        <v>Thu</v>
      </c>
    </row>
    <row r="2279" spans="1:11" x14ac:dyDescent="0.35">
      <c r="A2279" s="1">
        <v>38870</v>
      </c>
      <c r="B2279">
        <v>1.75950002670288</v>
      </c>
      <c r="C2279">
        <v>1.7610000371932899</v>
      </c>
      <c r="D2279">
        <v>1.7024999856948799</v>
      </c>
      <c r="E2279">
        <v>1.7380000352859399</v>
      </c>
      <c r="F2279">
        <v>1.7380000352859399</v>
      </c>
      <c r="G2279">
        <v>108858000</v>
      </c>
      <c r="H2279">
        <f t="shared" si="140"/>
        <v>2006</v>
      </c>
      <c r="I2279">
        <f t="shared" si="141"/>
        <v>6</v>
      </c>
      <c r="J2279" t="str">
        <f t="shared" si="142"/>
        <v>Jun</v>
      </c>
      <c r="K2279" t="str">
        <f t="shared" si="143"/>
        <v>Fri</v>
      </c>
    </row>
    <row r="2280" spans="1:11" x14ac:dyDescent="0.35">
      <c r="A2280" s="1">
        <v>38873</v>
      </c>
      <c r="B2280">
        <v>1.72300004959106</v>
      </c>
      <c r="C2280">
        <v>1.72699999809265</v>
      </c>
      <c r="D2280">
        <v>1.6634999513626001</v>
      </c>
      <c r="E2280">
        <v>1.6744999885559</v>
      </c>
      <c r="F2280">
        <v>1.6744999885559</v>
      </c>
      <c r="G2280">
        <v>100988000</v>
      </c>
      <c r="H2280">
        <f t="shared" si="140"/>
        <v>2006</v>
      </c>
      <c r="I2280">
        <f t="shared" si="141"/>
        <v>6</v>
      </c>
      <c r="J2280" t="str">
        <f t="shared" si="142"/>
        <v>Jun</v>
      </c>
      <c r="K2280" t="str">
        <f t="shared" si="143"/>
        <v>Mon</v>
      </c>
    </row>
    <row r="2281" spans="1:11" x14ac:dyDescent="0.35">
      <c r="A2281" s="1">
        <v>38874</v>
      </c>
      <c r="B2281">
        <v>1.67900002002716</v>
      </c>
      <c r="C2281">
        <v>1.6900000572204501</v>
      </c>
      <c r="D2281">
        <v>1.64649999141693</v>
      </c>
      <c r="E2281">
        <v>1.67050004005432</v>
      </c>
      <c r="F2281">
        <v>1.67050004005432</v>
      </c>
      <c r="G2281">
        <v>85532000</v>
      </c>
      <c r="H2281">
        <f t="shared" si="140"/>
        <v>2006</v>
      </c>
      <c r="I2281">
        <f t="shared" si="141"/>
        <v>6</v>
      </c>
      <c r="J2281" t="str">
        <f t="shared" si="142"/>
        <v>Jun</v>
      </c>
      <c r="K2281" t="str">
        <f t="shared" si="143"/>
        <v>Tue</v>
      </c>
    </row>
    <row r="2282" spans="1:11" x14ac:dyDescent="0.35">
      <c r="A2282" s="1">
        <v>38875</v>
      </c>
      <c r="B2282">
        <v>1.66999995708465</v>
      </c>
      <c r="C2282">
        <v>1.72699999809265</v>
      </c>
      <c r="D2282">
        <v>1.6454999446868801</v>
      </c>
      <c r="E2282">
        <v>1.6885000467300399</v>
      </c>
      <c r="F2282">
        <v>1.6885000467300399</v>
      </c>
      <c r="G2282">
        <v>106076000</v>
      </c>
      <c r="H2282">
        <f t="shared" si="140"/>
        <v>2006</v>
      </c>
      <c r="I2282">
        <f t="shared" si="141"/>
        <v>6</v>
      </c>
      <c r="J2282" t="str">
        <f t="shared" si="142"/>
        <v>Jun</v>
      </c>
      <c r="K2282" t="str">
        <f t="shared" si="143"/>
        <v>Wed</v>
      </c>
    </row>
    <row r="2283" spans="1:11" x14ac:dyDescent="0.35">
      <c r="A2283" s="1">
        <v>38876</v>
      </c>
      <c r="B2283">
        <v>1.6775000095367401</v>
      </c>
      <c r="C2283">
        <v>1.7029999494552599</v>
      </c>
      <c r="D2283">
        <v>1.62100005149841</v>
      </c>
      <c r="E2283">
        <v>1.6775000095367401</v>
      </c>
      <c r="F2283">
        <v>1.6775000095367401</v>
      </c>
      <c r="G2283">
        <v>166220000</v>
      </c>
      <c r="H2283">
        <f t="shared" si="140"/>
        <v>2006</v>
      </c>
      <c r="I2283">
        <f t="shared" si="141"/>
        <v>6</v>
      </c>
      <c r="J2283" t="str">
        <f t="shared" si="142"/>
        <v>Jun</v>
      </c>
      <c r="K2283" t="str">
        <f t="shared" si="143"/>
        <v>Thu</v>
      </c>
    </row>
    <row r="2284" spans="1:11" x14ac:dyDescent="0.35">
      <c r="A2284" s="1">
        <v>38877</v>
      </c>
      <c r="B2284">
        <v>1.67499995231628</v>
      </c>
      <c r="C2284">
        <v>1.7174999713897701</v>
      </c>
      <c r="D2284">
        <v>1.6725000143051101</v>
      </c>
      <c r="E2284">
        <v>1.6890000104904099</v>
      </c>
      <c r="F2284">
        <v>1.6890000104904099</v>
      </c>
      <c r="G2284">
        <v>104652000</v>
      </c>
      <c r="H2284">
        <f t="shared" si="140"/>
        <v>2006</v>
      </c>
      <c r="I2284">
        <f t="shared" si="141"/>
        <v>6</v>
      </c>
      <c r="J2284" t="str">
        <f t="shared" si="142"/>
        <v>Jun</v>
      </c>
      <c r="K2284" t="str">
        <f t="shared" si="143"/>
        <v>Fri</v>
      </c>
    </row>
    <row r="2285" spans="1:11" x14ac:dyDescent="0.35">
      <c r="A2285" s="1">
        <v>38880</v>
      </c>
      <c r="B2285">
        <v>1.70000004768371</v>
      </c>
      <c r="C2285">
        <v>1.72249996662139</v>
      </c>
      <c r="D2285">
        <v>1.6744999885559</v>
      </c>
      <c r="E2285">
        <v>1.6799999475479099</v>
      </c>
      <c r="F2285">
        <v>1.6799999475479099</v>
      </c>
      <c r="G2285">
        <v>83916000</v>
      </c>
      <c r="H2285">
        <f t="shared" si="140"/>
        <v>2006</v>
      </c>
      <c r="I2285">
        <f t="shared" si="141"/>
        <v>6</v>
      </c>
      <c r="J2285" t="str">
        <f t="shared" si="142"/>
        <v>Jun</v>
      </c>
      <c r="K2285" t="str">
        <f t="shared" si="143"/>
        <v>Mon</v>
      </c>
    </row>
    <row r="2286" spans="1:11" x14ac:dyDescent="0.35">
      <c r="A2286" s="1">
        <v>38881</v>
      </c>
      <c r="B2286">
        <v>1.6744999885559</v>
      </c>
      <c r="C2286">
        <v>1.7085000276565501</v>
      </c>
      <c r="D2286">
        <v>1.65649998188018</v>
      </c>
      <c r="E2286">
        <v>1.67349994182586</v>
      </c>
      <c r="F2286">
        <v>1.67349994182586</v>
      </c>
      <c r="G2286">
        <v>108060000</v>
      </c>
      <c r="H2286">
        <f t="shared" si="140"/>
        <v>2006</v>
      </c>
      <c r="I2286">
        <f t="shared" si="141"/>
        <v>6</v>
      </c>
      <c r="J2286" t="str">
        <f t="shared" si="142"/>
        <v>Jun</v>
      </c>
      <c r="K2286" t="str">
        <f t="shared" si="143"/>
        <v>Tue</v>
      </c>
    </row>
    <row r="2287" spans="1:11" x14ac:dyDescent="0.35">
      <c r="A2287" s="1">
        <v>38882</v>
      </c>
      <c r="B2287">
        <v>1.67499995231628</v>
      </c>
      <c r="C2287">
        <v>1.6994999647140501</v>
      </c>
      <c r="D2287">
        <v>1.6540000438690099</v>
      </c>
      <c r="E2287">
        <v>1.68400001525878</v>
      </c>
      <c r="F2287">
        <v>1.68400001525878</v>
      </c>
      <c r="G2287">
        <v>97382000</v>
      </c>
      <c r="H2287">
        <f t="shared" si="140"/>
        <v>2006</v>
      </c>
      <c r="I2287">
        <f t="shared" si="141"/>
        <v>6</v>
      </c>
      <c r="J2287" t="str">
        <f t="shared" si="142"/>
        <v>Jun</v>
      </c>
      <c r="K2287" t="str">
        <f t="shared" si="143"/>
        <v>Wed</v>
      </c>
    </row>
    <row r="2288" spans="1:11" x14ac:dyDescent="0.35">
      <c r="A2288" s="1">
        <v>38883</v>
      </c>
      <c r="B2288">
        <v>1.69200003147125</v>
      </c>
      <c r="C2288">
        <v>1.75849997997283</v>
      </c>
      <c r="D2288">
        <v>1.68350005149841</v>
      </c>
      <c r="E2288">
        <v>1.7480000257492001</v>
      </c>
      <c r="F2288">
        <v>1.7480000257492001</v>
      </c>
      <c r="G2288">
        <v>124122000</v>
      </c>
      <c r="H2288">
        <f t="shared" si="140"/>
        <v>2006</v>
      </c>
      <c r="I2288">
        <f t="shared" si="141"/>
        <v>6</v>
      </c>
      <c r="J2288" t="str">
        <f t="shared" si="142"/>
        <v>Jun</v>
      </c>
      <c r="K2288" t="str">
        <f t="shared" si="143"/>
        <v>Thu</v>
      </c>
    </row>
    <row r="2289" spans="1:11" x14ac:dyDescent="0.35">
      <c r="A2289" s="1">
        <v>38884</v>
      </c>
      <c r="B2289">
        <v>1.7439999580383301</v>
      </c>
      <c r="C2289">
        <v>1.76300001144409</v>
      </c>
      <c r="D2289">
        <v>1.7350000143051101</v>
      </c>
      <c r="E2289">
        <v>1.75450003147125</v>
      </c>
      <c r="F2289">
        <v>1.75450003147125</v>
      </c>
      <c r="G2289">
        <v>102702000</v>
      </c>
      <c r="H2289">
        <f t="shared" si="140"/>
        <v>2006</v>
      </c>
      <c r="I2289">
        <f t="shared" si="141"/>
        <v>6</v>
      </c>
      <c r="J2289" t="str">
        <f t="shared" si="142"/>
        <v>Jun</v>
      </c>
      <c r="K2289" t="str">
        <f t="shared" si="143"/>
        <v>Fri</v>
      </c>
    </row>
    <row r="2290" spans="1:11" x14ac:dyDescent="0.35">
      <c r="A2290" s="1">
        <v>38887</v>
      </c>
      <c r="B2290">
        <v>1.75999999046325</v>
      </c>
      <c r="C2290">
        <v>1.7740000486373899</v>
      </c>
      <c r="D2290">
        <v>1.7519999742507899</v>
      </c>
      <c r="E2290">
        <v>1.75349998474121</v>
      </c>
      <c r="F2290">
        <v>1.75349998474121</v>
      </c>
      <c r="G2290">
        <v>84232000</v>
      </c>
      <c r="H2290">
        <f t="shared" si="140"/>
        <v>2006</v>
      </c>
      <c r="I2290">
        <f t="shared" si="141"/>
        <v>6</v>
      </c>
      <c r="J2290" t="str">
        <f t="shared" si="142"/>
        <v>Jun</v>
      </c>
      <c r="K2290" t="str">
        <f t="shared" si="143"/>
        <v>Mon</v>
      </c>
    </row>
    <row r="2291" spans="1:11" x14ac:dyDescent="0.35">
      <c r="A2291" s="1">
        <v>38888</v>
      </c>
      <c r="B2291">
        <v>1.75049996376037</v>
      </c>
      <c r="C2291">
        <v>1.7825000286102199</v>
      </c>
      <c r="D2291">
        <v>1.7439999580383301</v>
      </c>
      <c r="E2291">
        <v>1.7740000486373899</v>
      </c>
      <c r="F2291">
        <v>1.7740000486373899</v>
      </c>
      <c r="G2291">
        <v>89310000</v>
      </c>
      <c r="H2291">
        <f t="shared" si="140"/>
        <v>2006</v>
      </c>
      <c r="I2291">
        <f t="shared" si="141"/>
        <v>6</v>
      </c>
      <c r="J2291" t="str">
        <f t="shared" si="142"/>
        <v>Jun</v>
      </c>
      <c r="K2291" t="str">
        <f t="shared" si="143"/>
        <v>Tue</v>
      </c>
    </row>
    <row r="2292" spans="1:11" x14ac:dyDescent="0.35">
      <c r="A2292" s="1">
        <v>38889</v>
      </c>
      <c r="B2292">
        <v>1.7669999599456701</v>
      </c>
      <c r="C2292">
        <v>1.85249996185302</v>
      </c>
      <c r="D2292">
        <v>1.7669999599456701</v>
      </c>
      <c r="E2292">
        <v>1.8324999809265099</v>
      </c>
      <c r="F2292">
        <v>1.8324999809265099</v>
      </c>
      <c r="G2292">
        <v>157306000</v>
      </c>
      <c r="H2292">
        <f t="shared" si="140"/>
        <v>2006</v>
      </c>
      <c r="I2292">
        <f t="shared" si="141"/>
        <v>6</v>
      </c>
      <c r="J2292" t="str">
        <f t="shared" si="142"/>
        <v>Jun</v>
      </c>
      <c r="K2292" t="str">
        <f t="shared" si="143"/>
        <v>Wed</v>
      </c>
    </row>
    <row r="2293" spans="1:11" x14ac:dyDescent="0.35">
      <c r="A2293" s="1">
        <v>38890</v>
      </c>
      <c r="B2293">
        <v>1.8274999856948799</v>
      </c>
      <c r="C2293">
        <v>1.8424999713897701</v>
      </c>
      <c r="D2293">
        <v>1.8055000305175699</v>
      </c>
      <c r="E2293">
        <v>1.8185000419616699</v>
      </c>
      <c r="F2293">
        <v>1.8185000419616699</v>
      </c>
      <c r="G2293">
        <v>94640000</v>
      </c>
      <c r="H2293">
        <f t="shared" si="140"/>
        <v>2006</v>
      </c>
      <c r="I2293">
        <f t="shared" si="141"/>
        <v>6</v>
      </c>
      <c r="J2293" t="str">
        <f t="shared" si="142"/>
        <v>Jun</v>
      </c>
      <c r="K2293" t="str">
        <f t="shared" si="143"/>
        <v>Thu</v>
      </c>
    </row>
    <row r="2294" spans="1:11" x14ac:dyDescent="0.35">
      <c r="A2294" s="1">
        <v>38891</v>
      </c>
      <c r="B2294">
        <v>1.8229999542236299</v>
      </c>
      <c r="C2294">
        <v>1.8324999809265099</v>
      </c>
      <c r="D2294">
        <v>1.8009999990463199</v>
      </c>
      <c r="E2294">
        <v>1.8274999856948799</v>
      </c>
      <c r="F2294">
        <v>1.8274999856948799</v>
      </c>
      <c r="G2294">
        <v>78468000</v>
      </c>
      <c r="H2294">
        <f t="shared" si="140"/>
        <v>2006</v>
      </c>
      <c r="I2294">
        <f t="shared" si="141"/>
        <v>6</v>
      </c>
      <c r="J2294" t="str">
        <f t="shared" si="142"/>
        <v>Jun</v>
      </c>
      <c r="K2294" t="str">
        <f t="shared" si="143"/>
        <v>Fri</v>
      </c>
    </row>
    <row r="2295" spans="1:11" x14ac:dyDescent="0.35">
      <c r="A2295" s="1">
        <v>38894</v>
      </c>
      <c r="B2295">
        <v>1.8274999856948799</v>
      </c>
      <c r="C2295">
        <v>1.8585000038146899</v>
      </c>
      <c r="D2295">
        <v>1.82149994373321</v>
      </c>
      <c r="E2295">
        <v>1.83850002288818</v>
      </c>
      <c r="F2295">
        <v>1.83850002288818</v>
      </c>
      <c r="G2295">
        <v>72116000</v>
      </c>
      <c r="H2295">
        <f t="shared" si="140"/>
        <v>2006</v>
      </c>
      <c r="I2295">
        <f t="shared" si="141"/>
        <v>6</v>
      </c>
      <c r="J2295" t="str">
        <f t="shared" si="142"/>
        <v>Jun</v>
      </c>
      <c r="K2295" t="str">
        <f t="shared" si="143"/>
        <v>Mon</v>
      </c>
    </row>
    <row r="2296" spans="1:11" x14ac:dyDescent="0.35">
      <c r="A2296" s="1">
        <v>38895</v>
      </c>
      <c r="B2296">
        <v>1.8359999656677199</v>
      </c>
      <c r="C2296">
        <v>1.875</v>
      </c>
      <c r="D2296">
        <v>1.80850005149841</v>
      </c>
      <c r="E2296">
        <v>1.8240000009536701</v>
      </c>
      <c r="F2296">
        <v>1.8240000009536701</v>
      </c>
      <c r="G2296">
        <v>112820000</v>
      </c>
      <c r="H2296">
        <f t="shared" si="140"/>
        <v>2006</v>
      </c>
      <c r="I2296">
        <f t="shared" si="141"/>
        <v>6</v>
      </c>
      <c r="J2296" t="str">
        <f t="shared" si="142"/>
        <v>Jun</v>
      </c>
      <c r="K2296" t="str">
        <f t="shared" si="143"/>
        <v>Tue</v>
      </c>
    </row>
    <row r="2297" spans="1:11" x14ac:dyDescent="0.35">
      <c r="A2297" s="1">
        <v>38896</v>
      </c>
      <c r="B2297">
        <v>1.83500003814697</v>
      </c>
      <c r="C2297">
        <v>1.8554999828338601</v>
      </c>
      <c r="D2297">
        <v>1.8240000009536701</v>
      </c>
      <c r="E2297">
        <v>1.83500003814697</v>
      </c>
      <c r="F2297">
        <v>1.83500003814697</v>
      </c>
      <c r="G2297">
        <v>75034000</v>
      </c>
      <c r="H2297">
        <f t="shared" si="140"/>
        <v>2006</v>
      </c>
      <c r="I2297">
        <f t="shared" si="141"/>
        <v>6</v>
      </c>
      <c r="J2297" t="str">
        <f t="shared" si="142"/>
        <v>Jun</v>
      </c>
      <c r="K2297" t="str">
        <f t="shared" si="143"/>
        <v>Wed</v>
      </c>
    </row>
    <row r="2298" spans="1:11" x14ac:dyDescent="0.35">
      <c r="A2298" s="1">
        <v>38897</v>
      </c>
      <c r="B2298">
        <v>1.8409999608993499</v>
      </c>
      <c r="C2298">
        <v>1.92850005626678</v>
      </c>
      <c r="D2298">
        <v>1.83500003814697</v>
      </c>
      <c r="E2298">
        <v>1.9259999990463199</v>
      </c>
      <c r="F2298">
        <v>1.9259999990463199</v>
      </c>
      <c r="G2298">
        <v>127450000</v>
      </c>
      <c r="H2298">
        <f t="shared" si="140"/>
        <v>2006</v>
      </c>
      <c r="I2298">
        <f t="shared" si="141"/>
        <v>6</v>
      </c>
      <c r="J2298" t="str">
        <f t="shared" si="142"/>
        <v>Jun</v>
      </c>
      <c r="K2298" t="str">
        <f t="shared" si="143"/>
        <v>Thu</v>
      </c>
    </row>
    <row r="2299" spans="1:11" x14ac:dyDescent="0.35">
      <c r="A2299" s="1">
        <v>38898</v>
      </c>
      <c r="B2299">
        <v>1.92900002002716</v>
      </c>
      <c r="C2299">
        <v>1.94200003147125</v>
      </c>
      <c r="D2299">
        <v>1.8914999961853001</v>
      </c>
      <c r="E2299">
        <v>1.93400001525878</v>
      </c>
      <c r="F2299">
        <v>1.93400001525878</v>
      </c>
      <c r="G2299">
        <v>103824000</v>
      </c>
      <c r="H2299">
        <f t="shared" si="140"/>
        <v>2006</v>
      </c>
      <c r="I2299">
        <f t="shared" si="141"/>
        <v>6</v>
      </c>
      <c r="J2299" t="str">
        <f t="shared" si="142"/>
        <v>Jun</v>
      </c>
      <c r="K2299" t="str">
        <f t="shared" si="143"/>
        <v>Fri</v>
      </c>
    </row>
    <row r="2300" spans="1:11" x14ac:dyDescent="0.35">
      <c r="A2300" s="1">
        <v>38901</v>
      </c>
      <c r="B2300">
        <v>1.9259999990463199</v>
      </c>
      <c r="C2300">
        <v>1.9309999942779501</v>
      </c>
      <c r="D2300">
        <v>1.91149997711181</v>
      </c>
      <c r="E2300">
        <v>1.9305000305175699</v>
      </c>
      <c r="F2300">
        <v>1.9305000305175699</v>
      </c>
      <c r="G2300">
        <v>28726000</v>
      </c>
      <c r="H2300">
        <f t="shared" si="140"/>
        <v>2006</v>
      </c>
      <c r="I2300">
        <f t="shared" si="141"/>
        <v>7</v>
      </c>
      <c r="J2300" t="str">
        <f t="shared" si="142"/>
        <v>Jul</v>
      </c>
      <c r="K2300" t="str">
        <f t="shared" si="143"/>
        <v>Mon</v>
      </c>
    </row>
    <row r="2301" spans="1:11" x14ac:dyDescent="0.35">
      <c r="A2301" s="1">
        <v>38903</v>
      </c>
      <c r="B2301">
        <v>1.9140000343322701</v>
      </c>
      <c r="C2301">
        <v>1.9214999675750699</v>
      </c>
      <c r="D2301">
        <v>1.83899998664855</v>
      </c>
      <c r="E2301">
        <v>1.8554999828338601</v>
      </c>
      <c r="F2301">
        <v>1.8554999828338601</v>
      </c>
      <c r="G2301">
        <v>114680000</v>
      </c>
      <c r="H2301">
        <f t="shared" si="140"/>
        <v>2006</v>
      </c>
      <c r="I2301">
        <f t="shared" si="141"/>
        <v>7</v>
      </c>
      <c r="J2301" t="str">
        <f t="shared" si="142"/>
        <v>Jul</v>
      </c>
      <c r="K2301" t="str">
        <f t="shared" si="143"/>
        <v>Wed</v>
      </c>
    </row>
    <row r="2302" spans="1:11" x14ac:dyDescent="0.35">
      <c r="A2302" s="1">
        <v>38904</v>
      </c>
      <c r="B2302">
        <v>1.85350000858306</v>
      </c>
      <c r="C2302">
        <v>1.8869999647140501</v>
      </c>
      <c r="D2302">
        <v>1.82599997520446</v>
      </c>
      <c r="E2302">
        <v>1.8400000333786</v>
      </c>
      <c r="F2302">
        <v>1.8400000333786</v>
      </c>
      <c r="G2302">
        <v>87454000</v>
      </c>
      <c r="H2302">
        <f t="shared" si="140"/>
        <v>2006</v>
      </c>
      <c r="I2302">
        <f t="shared" si="141"/>
        <v>7</v>
      </c>
      <c r="J2302" t="str">
        <f t="shared" si="142"/>
        <v>Jul</v>
      </c>
      <c r="K2302" t="str">
        <f t="shared" si="143"/>
        <v>Thu</v>
      </c>
    </row>
    <row r="2303" spans="1:11" x14ac:dyDescent="0.35">
      <c r="A2303" s="1">
        <v>38905</v>
      </c>
      <c r="B2303">
        <v>1.83550000190734</v>
      </c>
      <c r="C2303">
        <v>1.8639999628067001</v>
      </c>
      <c r="D2303">
        <v>1.7875000238418499</v>
      </c>
      <c r="E2303">
        <v>1.8055000305175699</v>
      </c>
      <c r="F2303">
        <v>1.8055000305175699</v>
      </c>
      <c r="G2303">
        <v>100082000</v>
      </c>
      <c r="H2303">
        <f t="shared" si="140"/>
        <v>2006</v>
      </c>
      <c r="I2303">
        <f t="shared" si="141"/>
        <v>7</v>
      </c>
      <c r="J2303" t="str">
        <f t="shared" si="142"/>
        <v>Jul</v>
      </c>
      <c r="K2303" t="str">
        <f t="shared" si="143"/>
        <v>Fri</v>
      </c>
    </row>
    <row r="2304" spans="1:11" x14ac:dyDescent="0.35">
      <c r="A2304" s="1">
        <v>38908</v>
      </c>
      <c r="B2304">
        <v>1.8150000572204501</v>
      </c>
      <c r="C2304">
        <v>1.83500003814697</v>
      </c>
      <c r="D2304">
        <v>1.7699999809265099</v>
      </c>
      <c r="E2304">
        <v>1.78949999809265</v>
      </c>
      <c r="F2304">
        <v>1.78949999809265</v>
      </c>
      <c r="G2304">
        <v>77534000</v>
      </c>
      <c r="H2304">
        <f t="shared" si="140"/>
        <v>2006</v>
      </c>
      <c r="I2304">
        <f t="shared" si="141"/>
        <v>7</v>
      </c>
      <c r="J2304" t="str">
        <f t="shared" si="142"/>
        <v>Jul</v>
      </c>
      <c r="K2304" t="str">
        <f t="shared" si="143"/>
        <v>Mon</v>
      </c>
    </row>
    <row r="2305" spans="1:11" x14ac:dyDescent="0.35">
      <c r="A2305" s="1">
        <v>38909</v>
      </c>
      <c r="B2305">
        <v>1.7869999408721899</v>
      </c>
      <c r="C2305">
        <v>1.7960000038146899</v>
      </c>
      <c r="D2305">
        <v>1.75049996376037</v>
      </c>
      <c r="E2305">
        <v>1.7829999923705999</v>
      </c>
      <c r="F2305">
        <v>1.7829999923705999</v>
      </c>
      <c r="G2305">
        <v>121772000</v>
      </c>
      <c r="H2305">
        <f t="shared" si="140"/>
        <v>2006</v>
      </c>
      <c r="I2305">
        <f t="shared" si="141"/>
        <v>7</v>
      </c>
      <c r="J2305" t="str">
        <f t="shared" si="142"/>
        <v>Jul</v>
      </c>
      <c r="K2305" t="str">
        <f t="shared" si="143"/>
        <v>Tue</v>
      </c>
    </row>
    <row r="2306" spans="1:11" x14ac:dyDescent="0.35">
      <c r="A2306" s="1">
        <v>38910</v>
      </c>
      <c r="B2306">
        <v>1.7799999713897701</v>
      </c>
      <c r="C2306">
        <v>1.79499995708465</v>
      </c>
      <c r="D2306">
        <v>1.72850000858306</v>
      </c>
      <c r="E2306">
        <v>1.7315000295639</v>
      </c>
      <c r="F2306">
        <v>1.7315000295639</v>
      </c>
      <c r="G2306">
        <v>97894000</v>
      </c>
      <c r="H2306">
        <f t="shared" si="140"/>
        <v>2006</v>
      </c>
      <c r="I2306">
        <f t="shared" si="141"/>
        <v>7</v>
      </c>
      <c r="J2306" t="str">
        <f t="shared" si="142"/>
        <v>Jul</v>
      </c>
      <c r="K2306" t="str">
        <f t="shared" si="143"/>
        <v>Wed</v>
      </c>
    </row>
    <row r="2307" spans="1:11" x14ac:dyDescent="0.35">
      <c r="A2307" s="1">
        <v>38911</v>
      </c>
      <c r="B2307">
        <v>1.7165000438690099</v>
      </c>
      <c r="C2307">
        <v>1.7315000295639</v>
      </c>
      <c r="D2307">
        <v>1.6855000257492001</v>
      </c>
      <c r="E2307">
        <v>1.6864999532699501</v>
      </c>
      <c r="F2307">
        <v>1.6864999532699501</v>
      </c>
      <c r="G2307">
        <v>129110000</v>
      </c>
      <c r="H2307">
        <f t="shared" si="140"/>
        <v>2006</v>
      </c>
      <c r="I2307">
        <f t="shared" si="141"/>
        <v>7</v>
      </c>
      <c r="J2307" t="str">
        <f t="shared" si="142"/>
        <v>Jul</v>
      </c>
      <c r="K2307" t="str">
        <f t="shared" si="143"/>
        <v>Thu</v>
      </c>
    </row>
    <row r="2308" spans="1:11" x14ac:dyDescent="0.35">
      <c r="A2308" s="1">
        <v>38912</v>
      </c>
      <c r="B2308">
        <v>1.6755000352859399</v>
      </c>
      <c r="C2308">
        <v>1.6864999532699501</v>
      </c>
      <c r="D2308">
        <v>1.6399999856948799</v>
      </c>
      <c r="E2308">
        <v>1.6460000276565501</v>
      </c>
      <c r="F2308">
        <v>1.6460000276565501</v>
      </c>
      <c r="G2308">
        <v>161896000</v>
      </c>
      <c r="H2308">
        <f t="shared" ref="H2308:H2371" si="144">YEAR($A2308)</f>
        <v>2006</v>
      </c>
      <c r="I2308">
        <f t="shared" ref="I2308:I2371" si="145">MONTH($A2308)</f>
        <v>7</v>
      </c>
      <c r="J2308" t="str">
        <f t="shared" ref="J2308:J2371" si="146">TEXT($A2308,"mmm")</f>
        <v>Jul</v>
      </c>
      <c r="K2308" t="str">
        <f t="shared" ref="K2308:K2371" si="147">TEXT($A2308,"ddd")</f>
        <v>Fri</v>
      </c>
    </row>
    <row r="2309" spans="1:11" x14ac:dyDescent="0.35">
      <c r="A2309" s="1">
        <v>38915</v>
      </c>
      <c r="B2309">
        <v>1.6395000219345</v>
      </c>
      <c r="C2309">
        <v>1.69649994373321</v>
      </c>
      <c r="D2309">
        <v>1.6395000219345</v>
      </c>
      <c r="E2309">
        <v>1.68350005149841</v>
      </c>
      <c r="F2309">
        <v>1.68350005149841</v>
      </c>
      <c r="G2309">
        <v>143946000</v>
      </c>
      <c r="H2309">
        <f t="shared" si="144"/>
        <v>2006</v>
      </c>
      <c r="I2309">
        <f t="shared" si="145"/>
        <v>7</v>
      </c>
      <c r="J2309" t="str">
        <f t="shared" si="146"/>
        <v>Jul</v>
      </c>
      <c r="K2309" t="str">
        <f t="shared" si="147"/>
        <v>Mon</v>
      </c>
    </row>
    <row r="2310" spans="1:11" x14ac:dyDescent="0.35">
      <c r="A2310" s="1">
        <v>38916</v>
      </c>
      <c r="B2310">
        <v>1.68250000476837</v>
      </c>
      <c r="C2310">
        <v>1.71449995040893</v>
      </c>
      <c r="D2310">
        <v>1.64800000190734</v>
      </c>
      <c r="E2310">
        <v>1.6744999885559</v>
      </c>
      <c r="F2310">
        <v>1.6744999885559</v>
      </c>
      <c r="G2310">
        <v>104300000</v>
      </c>
      <c r="H2310">
        <f t="shared" si="144"/>
        <v>2006</v>
      </c>
      <c r="I2310">
        <f t="shared" si="145"/>
        <v>7</v>
      </c>
      <c r="J2310" t="str">
        <f t="shared" si="146"/>
        <v>Jul</v>
      </c>
      <c r="K2310" t="str">
        <f t="shared" si="147"/>
        <v>Tue</v>
      </c>
    </row>
    <row r="2311" spans="1:11" x14ac:dyDescent="0.35">
      <c r="A2311" s="1">
        <v>38917</v>
      </c>
      <c r="B2311">
        <v>1.67499995231628</v>
      </c>
      <c r="C2311">
        <v>1.7384999990463199</v>
      </c>
      <c r="D2311">
        <v>1.66949999332427</v>
      </c>
      <c r="E2311">
        <v>1.72399997711181</v>
      </c>
      <c r="F2311">
        <v>1.72399997711181</v>
      </c>
      <c r="G2311">
        <v>177326000</v>
      </c>
      <c r="H2311">
        <f t="shared" si="144"/>
        <v>2006</v>
      </c>
      <c r="I2311">
        <f t="shared" si="145"/>
        <v>7</v>
      </c>
      <c r="J2311" t="str">
        <f t="shared" si="146"/>
        <v>Jul</v>
      </c>
      <c r="K2311" t="str">
        <f t="shared" si="147"/>
        <v>Wed</v>
      </c>
    </row>
    <row r="2312" spans="1:11" x14ac:dyDescent="0.35">
      <c r="A2312" s="1">
        <v>38918</v>
      </c>
      <c r="B2312">
        <v>1.71949994564056</v>
      </c>
      <c r="C2312">
        <v>1.74049997329711</v>
      </c>
      <c r="D2312">
        <v>1.69149994850158</v>
      </c>
      <c r="E2312">
        <v>1.70899999141693</v>
      </c>
      <c r="F2312">
        <v>1.70899999141693</v>
      </c>
      <c r="G2312">
        <v>116724000</v>
      </c>
      <c r="H2312">
        <f t="shared" si="144"/>
        <v>2006</v>
      </c>
      <c r="I2312">
        <f t="shared" si="145"/>
        <v>7</v>
      </c>
      <c r="J2312" t="str">
        <f t="shared" si="146"/>
        <v>Jul</v>
      </c>
      <c r="K2312" t="str">
        <f t="shared" si="147"/>
        <v>Thu</v>
      </c>
    </row>
    <row r="2313" spans="1:11" x14ac:dyDescent="0.35">
      <c r="A2313" s="1">
        <v>38919</v>
      </c>
      <c r="B2313">
        <v>1.69249999523162</v>
      </c>
      <c r="C2313">
        <v>1.6985000371932899</v>
      </c>
      <c r="D2313">
        <v>1.6460000276565501</v>
      </c>
      <c r="E2313">
        <v>1.6595000028610201</v>
      </c>
      <c r="F2313">
        <v>1.6595000028610201</v>
      </c>
      <c r="G2313">
        <v>142732000</v>
      </c>
      <c r="H2313">
        <f t="shared" si="144"/>
        <v>2006</v>
      </c>
      <c r="I2313">
        <f t="shared" si="145"/>
        <v>7</v>
      </c>
      <c r="J2313" t="str">
        <f t="shared" si="146"/>
        <v>Jul</v>
      </c>
      <c r="K2313" t="str">
        <f t="shared" si="147"/>
        <v>Fri</v>
      </c>
    </row>
    <row r="2314" spans="1:11" x14ac:dyDescent="0.35">
      <c r="A2314" s="1">
        <v>38922</v>
      </c>
      <c r="B2314">
        <v>1.6675000190734801</v>
      </c>
      <c r="C2314">
        <v>1.7339999675750699</v>
      </c>
      <c r="D2314">
        <v>1.6670000553131099</v>
      </c>
      <c r="E2314">
        <v>1.7154999971389699</v>
      </c>
      <c r="F2314">
        <v>1.7154999971389699</v>
      </c>
      <c r="G2314">
        <v>147708000</v>
      </c>
      <c r="H2314">
        <f t="shared" si="144"/>
        <v>2006</v>
      </c>
      <c r="I2314">
        <f t="shared" si="145"/>
        <v>7</v>
      </c>
      <c r="J2314" t="str">
        <f t="shared" si="146"/>
        <v>Jul</v>
      </c>
      <c r="K2314" t="str">
        <f t="shared" si="147"/>
        <v>Mon</v>
      </c>
    </row>
    <row r="2315" spans="1:11" x14ac:dyDescent="0.35">
      <c r="A2315" s="1">
        <v>38923</v>
      </c>
      <c r="B2315">
        <v>1.70000004768371</v>
      </c>
      <c r="C2315">
        <v>1.7079999446868801</v>
      </c>
      <c r="D2315">
        <v>1.66949999332427</v>
      </c>
      <c r="E2315">
        <v>1.67949998378753</v>
      </c>
      <c r="F2315">
        <v>1.67949998378753</v>
      </c>
      <c r="G2315">
        <v>344600000</v>
      </c>
      <c r="H2315">
        <f t="shared" si="144"/>
        <v>2006</v>
      </c>
      <c r="I2315">
        <f t="shared" si="145"/>
        <v>7</v>
      </c>
      <c r="J2315" t="str">
        <f t="shared" si="146"/>
        <v>Jul</v>
      </c>
      <c r="K2315" t="str">
        <f t="shared" si="147"/>
        <v>Tue</v>
      </c>
    </row>
    <row r="2316" spans="1:11" x14ac:dyDescent="0.35">
      <c r="A2316" s="1">
        <v>38924</v>
      </c>
      <c r="B2316">
        <v>1.43799996376037</v>
      </c>
      <c r="C2316">
        <v>1.45000004768371</v>
      </c>
      <c r="D2316">
        <v>1.2979999780654901</v>
      </c>
      <c r="E2316">
        <v>1.31299996376037</v>
      </c>
      <c r="F2316">
        <v>1.31299996376037</v>
      </c>
      <c r="G2316">
        <v>1539704000</v>
      </c>
      <c r="H2316">
        <f t="shared" si="144"/>
        <v>2006</v>
      </c>
      <c r="I2316">
        <f t="shared" si="145"/>
        <v>7</v>
      </c>
      <c r="J2316" t="str">
        <f t="shared" si="146"/>
        <v>Jul</v>
      </c>
      <c r="K2316" t="str">
        <f t="shared" si="147"/>
        <v>Wed</v>
      </c>
    </row>
    <row r="2317" spans="1:11" x14ac:dyDescent="0.35">
      <c r="A2317" s="1">
        <v>38925</v>
      </c>
      <c r="B2317">
        <v>1.32249999046325</v>
      </c>
      <c r="C2317">
        <v>1.3400000333786</v>
      </c>
      <c r="D2317">
        <v>1.3105000257492001</v>
      </c>
      <c r="E2317">
        <v>1.3279999494552599</v>
      </c>
      <c r="F2317">
        <v>1.3279999494552599</v>
      </c>
      <c r="G2317">
        <v>527876000</v>
      </c>
      <c r="H2317">
        <f t="shared" si="144"/>
        <v>2006</v>
      </c>
      <c r="I2317">
        <f t="shared" si="145"/>
        <v>7</v>
      </c>
      <c r="J2317" t="str">
        <f t="shared" si="146"/>
        <v>Jul</v>
      </c>
      <c r="K2317" t="str">
        <f t="shared" si="147"/>
        <v>Thu</v>
      </c>
    </row>
    <row r="2318" spans="1:11" x14ac:dyDescent="0.35">
      <c r="A2318" s="1">
        <v>38926</v>
      </c>
      <c r="B2318">
        <v>1.3400000333786</v>
      </c>
      <c r="C2318">
        <v>1.3589999675750699</v>
      </c>
      <c r="D2318">
        <v>1.3285000324249201</v>
      </c>
      <c r="E2318">
        <v>1.3585000038146899</v>
      </c>
      <c r="F2318">
        <v>1.3585000038146899</v>
      </c>
      <c r="G2318">
        <v>248440000</v>
      </c>
      <c r="H2318">
        <f t="shared" si="144"/>
        <v>2006</v>
      </c>
      <c r="I2318">
        <f t="shared" si="145"/>
        <v>7</v>
      </c>
      <c r="J2318" t="str">
        <f t="shared" si="146"/>
        <v>Jul</v>
      </c>
      <c r="K2318" t="str">
        <f t="shared" si="147"/>
        <v>Fri</v>
      </c>
    </row>
    <row r="2319" spans="1:11" x14ac:dyDescent="0.35">
      <c r="A2319" s="1">
        <v>38929</v>
      </c>
      <c r="B2319">
        <v>1.3509999513626001</v>
      </c>
      <c r="C2319">
        <v>1.3645000457763601</v>
      </c>
      <c r="D2319">
        <v>1.3370000123977599</v>
      </c>
      <c r="E2319">
        <v>1.34449994564056</v>
      </c>
      <c r="F2319">
        <v>1.34449994564056</v>
      </c>
      <c r="G2319">
        <v>160764000</v>
      </c>
      <c r="H2319">
        <f t="shared" si="144"/>
        <v>2006</v>
      </c>
      <c r="I2319">
        <f t="shared" si="145"/>
        <v>7</v>
      </c>
      <c r="J2319" t="str">
        <f t="shared" si="146"/>
        <v>Jul</v>
      </c>
      <c r="K2319" t="str">
        <f t="shared" si="147"/>
        <v>Mon</v>
      </c>
    </row>
    <row r="2320" spans="1:11" x14ac:dyDescent="0.35">
      <c r="A2320" s="1">
        <v>38930</v>
      </c>
      <c r="B2320">
        <v>1.3274999856948799</v>
      </c>
      <c r="C2320">
        <v>1.3320000171661299</v>
      </c>
      <c r="D2320">
        <v>1.2920000553131099</v>
      </c>
      <c r="E2320">
        <v>1.31599998474121</v>
      </c>
      <c r="F2320">
        <v>1.31599998474121</v>
      </c>
      <c r="G2320">
        <v>262576000</v>
      </c>
      <c r="H2320">
        <f t="shared" si="144"/>
        <v>2006</v>
      </c>
      <c r="I2320">
        <f t="shared" si="145"/>
        <v>8</v>
      </c>
      <c r="J2320" t="str">
        <f t="shared" si="146"/>
        <v>Aug</v>
      </c>
      <c r="K2320" t="str">
        <f t="shared" si="147"/>
        <v>Tue</v>
      </c>
    </row>
    <row r="2321" spans="1:11" x14ac:dyDescent="0.35">
      <c r="A2321" s="1">
        <v>38931</v>
      </c>
      <c r="B2321">
        <v>1.30750000476837</v>
      </c>
      <c r="C2321">
        <v>1.3150000572204501</v>
      </c>
      <c r="D2321">
        <v>1.29449999332427</v>
      </c>
      <c r="E2321">
        <v>1.30449998378753</v>
      </c>
      <c r="F2321">
        <v>1.30449998378753</v>
      </c>
      <c r="G2321">
        <v>156208000</v>
      </c>
      <c r="H2321">
        <f t="shared" si="144"/>
        <v>2006</v>
      </c>
      <c r="I2321">
        <f t="shared" si="145"/>
        <v>8</v>
      </c>
      <c r="J2321" t="str">
        <f t="shared" si="146"/>
        <v>Aug</v>
      </c>
      <c r="K2321" t="str">
        <f t="shared" si="147"/>
        <v>Wed</v>
      </c>
    </row>
    <row r="2322" spans="1:11" x14ac:dyDescent="0.35">
      <c r="A2322" s="1">
        <v>38932</v>
      </c>
      <c r="B2322">
        <v>1.30449998378753</v>
      </c>
      <c r="C2322">
        <v>1.3450000286102199</v>
      </c>
      <c r="D2322">
        <v>1.29499995708465</v>
      </c>
      <c r="E2322">
        <v>1.3344999551773</v>
      </c>
      <c r="F2322">
        <v>1.3344999551773</v>
      </c>
      <c r="G2322">
        <v>138822000</v>
      </c>
      <c r="H2322">
        <f t="shared" si="144"/>
        <v>2006</v>
      </c>
      <c r="I2322">
        <f t="shared" si="145"/>
        <v>8</v>
      </c>
      <c r="J2322" t="str">
        <f t="shared" si="146"/>
        <v>Aug</v>
      </c>
      <c r="K2322" t="str">
        <f t="shared" si="147"/>
        <v>Thu</v>
      </c>
    </row>
    <row r="2323" spans="1:11" x14ac:dyDescent="0.35">
      <c r="A2323" s="1">
        <v>38933</v>
      </c>
      <c r="B2323">
        <v>1.3470000028610201</v>
      </c>
      <c r="C2323">
        <v>1.37950003147125</v>
      </c>
      <c r="D2323">
        <v>1.3400000333786</v>
      </c>
      <c r="E2323">
        <v>1.3645000457763601</v>
      </c>
      <c r="F2323">
        <v>1.3645000457763601</v>
      </c>
      <c r="G2323">
        <v>205048000</v>
      </c>
      <c r="H2323">
        <f t="shared" si="144"/>
        <v>2006</v>
      </c>
      <c r="I2323">
        <f t="shared" si="145"/>
        <v>8</v>
      </c>
      <c r="J2323" t="str">
        <f t="shared" si="146"/>
        <v>Aug</v>
      </c>
      <c r="K2323" t="str">
        <f t="shared" si="147"/>
        <v>Fri</v>
      </c>
    </row>
    <row r="2324" spans="1:11" x14ac:dyDescent="0.35">
      <c r="A2324" s="1">
        <v>38936</v>
      </c>
      <c r="B2324">
        <v>1.3595000505447301</v>
      </c>
      <c r="C2324">
        <v>1.3645000457763601</v>
      </c>
      <c r="D2324">
        <v>1.3294999599456701</v>
      </c>
      <c r="E2324">
        <v>1.33899998664855</v>
      </c>
      <c r="F2324">
        <v>1.33899998664855</v>
      </c>
      <c r="G2324">
        <v>109528000</v>
      </c>
      <c r="H2324">
        <f t="shared" si="144"/>
        <v>2006</v>
      </c>
      <c r="I2324">
        <f t="shared" si="145"/>
        <v>8</v>
      </c>
      <c r="J2324" t="str">
        <f t="shared" si="146"/>
        <v>Aug</v>
      </c>
      <c r="K2324" t="str">
        <f t="shared" si="147"/>
        <v>Mon</v>
      </c>
    </row>
    <row r="2325" spans="1:11" x14ac:dyDescent="0.35">
      <c r="A2325" s="1">
        <v>38937</v>
      </c>
      <c r="B2325">
        <v>1.3400000333786</v>
      </c>
      <c r="C2325">
        <v>1.3509999513626001</v>
      </c>
      <c r="D2325">
        <v>1.3094999790191599</v>
      </c>
      <c r="E2325">
        <v>1.317999958992</v>
      </c>
      <c r="F2325">
        <v>1.317999958992</v>
      </c>
      <c r="G2325">
        <v>145204000</v>
      </c>
      <c r="H2325">
        <f t="shared" si="144"/>
        <v>2006</v>
      </c>
      <c r="I2325">
        <f t="shared" si="145"/>
        <v>8</v>
      </c>
      <c r="J2325" t="str">
        <f t="shared" si="146"/>
        <v>Aug</v>
      </c>
      <c r="K2325" t="str">
        <f t="shared" si="147"/>
        <v>Tue</v>
      </c>
    </row>
    <row r="2326" spans="1:11" x14ac:dyDescent="0.35">
      <c r="A2326" s="1">
        <v>38938</v>
      </c>
      <c r="B2326">
        <v>1.3270000219345</v>
      </c>
      <c r="C2326">
        <v>1.33500003814697</v>
      </c>
      <c r="D2326">
        <v>1.29999995231628</v>
      </c>
      <c r="E2326">
        <v>1.3105000257492001</v>
      </c>
      <c r="F2326">
        <v>1.3105000257492001</v>
      </c>
      <c r="G2326">
        <v>138224000</v>
      </c>
      <c r="H2326">
        <f t="shared" si="144"/>
        <v>2006</v>
      </c>
      <c r="I2326">
        <f t="shared" si="145"/>
        <v>8</v>
      </c>
      <c r="J2326" t="str">
        <f t="shared" si="146"/>
        <v>Aug</v>
      </c>
      <c r="K2326" t="str">
        <f t="shared" si="147"/>
        <v>Wed</v>
      </c>
    </row>
    <row r="2327" spans="1:11" x14ac:dyDescent="0.35">
      <c r="A2327" s="1">
        <v>38939</v>
      </c>
      <c r="B2327">
        <v>1.3099999427795399</v>
      </c>
      <c r="C2327">
        <v>1.32599997520446</v>
      </c>
      <c r="D2327">
        <v>1.2940000295639</v>
      </c>
      <c r="E2327">
        <v>1.3244999647140501</v>
      </c>
      <c r="F2327">
        <v>1.3244999647140501</v>
      </c>
      <c r="G2327">
        <v>128112000</v>
      </c>
      <c r="H2327">
        <f t="shared" si="144"/>
        <v>2006</v>
      </c>
      <c r="I2327">
        <f t="shared" si="145"/>
        <v>8</v>
      </c>
      <c r="J2327" t="str">
        <f t="shared" si="146"/>
        <v>Aug</v>
      </c>
      <c r="K2327" t="str">
        <f t="shared" si="147"/>
        <v>Thu</v>
      </c>
    </row>
    <row r="2328" spans="1:11" x14ac:dyDescent="0.35">
      <c r="A2328" s="1">
        <v>38940</v>
      </c>
      <c r="B2328">
        <v>1.32149994373321</v>
      </c>
      <c r="C2328">
        <v>1.32149994373321</v>
      </c>
      <c r="D2328">
        <v>1.2879999876022299</v>
      </c>
      <c r="E2328">
        <v>1.30350005626678</v>
      </c>
      <c r="F2328">
        <v>1.30350005626678</v>
      </c>
      <c r="G2328">
        <v>102318000</v>
      </c>
      <c r="H2328">
        <f t="shared" si="144"/>
        <v>2006</v>
      </c>
      <c r="I2328">
        <f t="shared" si="145"/>
        <v>8</v>
      </c>
      <c r="J2328" t="str">
        <f t="shared" si="146"/>
        <v>Aug</v>
      </c>
      <c r="K2328" t="str">
        <f t="shared" si="147"/>
        <v>Fri</v>
      </c>
    </row>
    <row r="2329" spans="1:11" x14ac:dyDescent="0.35">
      <c r="A2329" s="1">
        <v>38943</v>
      </c>
      <c r="B2329">
        <v>1.3109999895095801</v>
      </c>
      <c r="C2329">
        <v>1.35300004482269</v>
      </c>
      <c r="D2329">
        <v>1.30900001525878</v>
      </c>
      <c r="E2329">
        <v>1.32650005817413</v>
      </c>
      <c r="F2329">
        <v>1.32650005817413</v>
      </c>
      <c r="G2329">
        <v>102560000</v>
      </c>
      <c r="H2329">
        <f t="shared" si="144"/>
        <v>2006</v>
      </c>
      <c r="I2329">
        <f t="shared" si="145"/>
        <v>8</v>
      </c>
      <c r="J2329" t="str">
        <f t="shared" si="146"/>
        <v>Aug</v>
      </c>
      <c r="K2329" t="str">
        <f t="shared" si="147"/>
        <v>Mon</v>
      </c>
    </row>
    <row r="2330" spans="1:11" x14ac:dyDescent="0.35">
      <c r="A2330" s="1">
        <v>38944</v>
      </c>
      <c r="B2330">
        <v>1.34850001335144</v>
      </c>
      <c r="C2330">
        <v>1.39300000667572</v>
      </c>
      <c r="D2330">
        <v>1.33099997043609</v>
      </c>
      <c r="E2330">
        <v>1.38849997520446</v>
      </c>
      <c r="F2330">
        <v>1.38849997520446</v>
      </c>
      <c r="G2330">
        <v>164032000</v>
      </c>
      <c r="H2330">
        <f t="shared" si="144"/>
        <v>2006</v>
      </c>
      <c r="I2330">
        <f t="shared" si="145"/>
        <v>8</v>
      </c>
      <c r="J2330" t="str">
        <f t="shared" si="146"/>
        <v>Aug</v>
      </c>
      <c r="K2330" t="str">
        <f t="shared" si="147"/>
        <v>Tue</v>
      </c>
    </row>
    <row r="2331" spans="1:11" x14ac:dyDescent="0.35">
      <c r="A2331" s="1">
        <v>38945</v>
      </c>
      <c r="B2331">
        <v>1.3984999656677199</v>
      </c>
      <c r="C2331">
        <v>1.40699994564056</v>
      </c>
      <c r="D2331">
        <v>1.3760000467300399</v>
      </c>
      <c r="E2331">
        <v>1.39750003814697</v>
      </c>
      <c r="F2331">
        <v>1.39750003814697</v>
      </c>
      <c r="G2331">
        <v>152732000</v>
      </c>
      <c r="H2331">
        <f t="shared" si="144"/>
        <v>2006</v>
      </c>
      <c r="I2331">
        <f t="shared" si="145"/>
        <v>8</v>
      </c>
      <c r="J2331" t="str">
        <f t="shared" si="146"/>
        <v>Aug</v>
      </c>
      <c r="K2331" t="str">
        <f t="shared" si="147"/>
        <v>Wed</v>
      </c>
    </row>
    <row r="2332" spans="1:11" x14ac:dyDescent="0.35">
      <c r="A2332" s="1">
        <v>38946</v>
      </c>
      <c r="B2332">
        <v>1.39800000190734</v>
      </c>
      <c r="C2332">
        <v>1.48749995231628</v>
      </c>
      <c r="D2332">
        <v>1.3914999961853001</v>
      </c>
      <c r="E2332">
        <v>1.4544999599456701</v>
      </c>
      <c r="F2332">
        <v>1.4544999599456701</v>
      </c>
      <c r="G2332">
        <v>189926000</v>
      </c>
      <c r="H2332">
        <f t="shared" si="144"/>
        <v>2006</v>
      </c>
      <c r="I2332">
        <f t="shared" si="145"/>
        <v>8</v>
      </c>
      <c r="J2332" t="str">
        <f t="shared" si="146"/>
        <v>Aug</v>
      </c>
      <c r="K2332" t="str">
        <f t="shared" si="147"/>
        <v>Thu</v>
      </c>
    </row>
    <row r="2333" spans="1:11" x14ac:dyDescent="0.35">
      <c r="A2333" s="1">
        <v>38947</v>
      </c>
      <c r="B2333">
        <v>1.4544999599456701</v>
      </c>
      <c r="C2333">
        <v>1.4615000486373899</v>
      </c>
      <c r="D2333">
        <v>1.41100001335144</v>
      </c>
      <c r="E2333">
        <v>1.45599997043609</v>
      </c>
      <c r="F2333">
        <v>1.45599997043609</v>
      </c>
      <c r="G2333">
        <v>119972000</v>
      </c>
      <c r="H2333">
        <f t="shared" si="144"/>
        <v>2006</v>
      </c>
      <c r="I2333">
        <f t="shared" si="145"/>
        <v>8</v>
      </c>
      <c r="J2333" t="str">
        <f t="shared" si="146"/>
        <v>Aug</v>
      </c>
      <c r="K2333" t="str">
        <f t="shared" si="147"/>
        <v>Fri</v>
      </c>
    </row>
    <row r="2334" spans="1:11" x14ac:dyDescent="0.35">
      <c r="A2334" s="1">
        <v>38950</v>
      </c>
      <c r="B2334">
        <v>1.4349999427795399</v>
      </c>
      <c r="C2334">
        <v>1.4490000009536701</v>
      </c>
      <c r="D2334">
        <v>1.3984999656677199</v>
      </c>
      <c r="E2334">
        <v>1.40649998188018</v>
      </c>
      <c r="F2334">
        <v>1.40649998188018</v>
      </c>
      <c r="G2334">
        <v>106698000</v>
      </c>
      <c r="H2334">
        <f t="shared" si="144"/>
        <v>2006</v>
      </c>
      <c r="I2334">
        <f t="shared" si="145"/>
        <v>8</v>
      </c>
      <c r="J2334" t="str">
        <f t="shared" si="146"/>
        <v>Aug</v>
      </c>
      <c r="K2334" t="str">
        <f t="shared" si="147"/>
        <v>Mon</v>
      </c>
    </row>
    <row r="2335" spans="1:11" x14ac:dyDescent="0.35">
      <c r="A2335" s="1">
        <v>38951</v>
      </c>
      <c r="B2335">
        <v>1.40699994564056</v>
      </c>
      <c r="C2335">
        <v>1.4444999694824201</v>
      </c>
      <c r="D2335">
        <v>1.4025000333786</v>
      </c>
      <c r="E2335">
        <v>1.4184999465942301</v>
      </c>
      <c r="F2335">
        <v>1.4184999465942301</v>
      </c>
      <c r="G2335">
        <v>91742000</v>
      </c>
      <c r="H2335">
        <f t="shared" si="144"/>
        <v>2006</v>
      </c>
      <c r="I2335">
        <f t="shared" si="145"/>
        <v>8</v>
      </c>
      <c r="J2335" t="str">
        <f t="shared" si="146"/>
        <v>Aug</v>
      </c>
      <c r="K2335" t="str">
        <f t="shared" si="147"/>
        <v>Tue</v>
      </c>
    </row>
    <row r="2336" spans="1:11" x14ac:dyDescent="0.35">
      <c r="A2336" s="1">
        <v>38952</v>
      </c>
      <c r="B2336">
        <v>1.42799997329711</v>
      </c>
      <c r="C2336">
        <v>1.4444999694824201</v>
      </c>
      <c r="D2336">
        <v>1.38849997520446</v>
      </c>
      <c r="E2336">
        <v>1.40699994564056</v>
      </c>
      <c r="F2336">
        <v>1.40699994564056</v>
      </c>
      <c r="G2336">
        <v>94528000</v>
      </c>
      <c r="H2336">
        <f t="shared" si="144"/>
        <v>2006</v>
      </c>
      <c r="I2336">
        <f t="shared" si="145"/>
        <v>8</v>
      </c>
      <c r="J2336" t="str">
        <f t="shared" si="146"/>
        <v>Aug</v>
      </c>
      <c r="K2336" t="str">
        <f t="shared" si="147"/>
        <v>Wed</v>
      </c>
    </row>
    <row r="2337" spans="1:11" x14ac:dyDescent="0.35">
      <c r="A2337" s="1">
        <v>38953</v>
      </c>
      <c r="B2337">
        <v>1.4119999408721899</v>
      </c>
      <c r="C2337">
        <v>1.4125000238418499</v>
      </c>
      <c r="D2337">
        <v>1.3769999742507899</v>
      </c>
      <c r="E2337">
        <v>1.3984999656677199</v>
      </c>
      <c r="F2337">
        <v>1.3984999656677199</v>
      </c>
      <c r="G2337">
        <v>90338000</v>
      </c>
      <c r="H2337">
        <f t="shared" si="144"/>
        <v>2006</v>
      </c>
      <c r="I2337">
        <f t="shared" si="145"/>
        <v>8</v>
      </c>
      <c r="J2337" t="str">
        <f t="shared" si="146"/>
        <v>Aug</v>
      </c>
      <c r="K2337" t="str">
        <f t="shared" si="147"/>
        <v>Thu</v>
      </c>
    </row>
    <row r="2338" spans="1:11" x14ac:dyDescent="0.35">
      <c r="A2338" s="1">
        <v>38954</v>
      </c>
      <c r="B2338">
        <v>1.3895000219345</v>
      </c>
      <c r="C2338">
        <v>1.41149997711181</v>
      </c>
      <c r="D2338">
        <v>1.3810000419616699</v>
      </c>
      <c r="E2338">
        <v>1.40149998664855</v>
      </c>
      <c r="F2338">
        <v>1.40149998664855</v>
      </c>
      <c r="G2338">
        <v>70852000</v>
      </c>
      <c r="H2338">
        <f t="shared" si="144"/>
        <v>2006</v>
      </c>
      <c r="I2338">
        <f t="shared" si="145"/>
        <v>8</v>
      </c>
      <c r="J2338" t="str">
        <f t="shared" si="146"/>
        <v>Aug</v>
      </c>
      <c r="K2338" t="str">
        <f t="shared" si="147"/>
        <v>Fri</v>
      </c>
    </row>
    <row r="2339" spans="1:11" x14ac:dyDescent="0.35">
      <c r="A2339" s="1">
        <v>38957</v>
      </c>
      <c r="B2339">
        <v>1.41999995708465</v>
      </c>
      <c r="C2339">
        <v>1.45000004768371</v>
      </c>
      <c r="D2339">
        <v>1.4134999513626001</v>
      </c>
      <c r="E2339">
        <v>1.44550001621246</v>
      </c>
      <c r="F2339">
        <v>1.44550001621246</v>
      </c>
      <c r="G2339">
        <v>121348000</v>
      </c>
      <c r="H2339">
        <f t="shared" si="144"/>
        <v>2006</v>
      </c>
      <c r="I2339">
        <f t="shared" si="145"/>
        <v>8</v>
      </c>
      <c r="J2339" t="str">
        <f t="shared" si="146"/>
        <v>Aug</v>
      </c>
      <c r="K2339" t="str">
        <f t="shared" si="147"/>
        <v>Mon</v>
      </c>
    </row>
    <row r="2340" spans="1:11" x14ac:dyDescent="0.35">
      <c r="A2340" s="1">
        <v>38958</v>
      </c>
      <c r="B2340">
        <v>1.4485000371932899</v>
      </c>
      <c r="C2340">
        <v>1.48599994182586</v>
      </c>
      <c r="D2340">
        <v>1.4375</v>
      </c>
      <c r="E2340">
        <v>1.4759999513626001</v>
      </c>
      <c r="F2340">
        <v>1.4759999513626001</v>
      </c>
      <c r="G2340">
        <v>147962000</v>
      </c>
      <c r="H2340">
        <f t="shared" si="144"/>
        <v>2006</v>
      </c>
      <c r="I2340">
        <f t="shared" si="145"/>
        <v>8</v>
      </c>
      <c r="J2340" t="str">
        <f t="shared" si="146"/>
        <v>Aug</v>
      </c>
      <c r="K2340" t="str">
        <f t="shared" si="147"/>
        <v>Tue</v>
      </c>
    </row>
    <row r="2341" spans="1:11" x14ac:dyDescent="0.35">
      <c r="A2341" s="1">
        <v>38959</v>
      </c>
      <c r="B2341">
        <v>1.47850000858306</v>
      </c>
      <c r="C2341">
        <v>1.5425000190734801</v>
      </c>
      <c r="D2341">
        <v>1.47399997711181</v>
      </c>
      <c r="E2341">
        <v>1.5334999561309799</v>
      </c>
      <c r="F2341">
        <v>1.5334999561309799</v>
      </c>
      <c r="G2341">
        <v>226066000</v>
      </c>
      <c r="H2341">
        <f t="shared" si="144"/>
        <v>2006</v>
      </c>
      <c r="I2341">
        <f t="shared" si="145"/>
        <v>8</v>
      </c>
      <c r="J2341" t="str">
        <f t="shared" si="146"/>
        <v>Aug</v>
      </c>
      <c r="K2341" t="str">
        <f t="shared" si="147"/>
        <v>Wed</v>
      </c>
    </row>
    <row r="2342" spans="1:11" x14ac:dyDescent="0.35">
      <c r="A2342" s="1">
        <v>38960</v>
      </c>
      <c r="B2342">
        <v>1.5375000238418499</v>
      </c>
      <c r="C2342">
        <v>1.5494999885559</v>
      </c>
      <c r="D2342">
        <v>1.5234999656677199</v>
      </c>
      <c r="E2342">
        <v>1.5414999723434399</v>
      </c>
      <c r="F2342">
        <v>1.5414999723434399</v>
      </c>
      <c r="G2342">
        <v>118940000</v>
      </c>
      <c r="H2342">
        <f t="shared" si="144"/>
        <v>2006</v>
      </c>
      <c r="I2342">
        <f t="shared" si="145"/>
        <v>8</v>
      </c>
      <c r="J2342" t="str">
        <f t="shared" si="146"/>
        <v>Aug</v>
      </c>
      <c r="K2342" t="str">
        <f t="shared" si="147"/>
        <v>Thu</v>
      </c>
    </row>
    <row r="2343" spans="1:11" x14ac:dyDescent="0.35">
      <c r="A2343" s="1">
        <v>38961</v>
      </c>
      <c r="B2343">
        <v>1.5425000190734801</v>
      </c>
      <c r="C2343">
        <v>1.5900000333786</v>
      </c>
      <c r="D2343">
        <v>1.5425000190734801</v>
      </c>
      <c r="E2343">
        <v>1.5880000591278001</v>
      </c>
      <c r="F2343">
        <v>1.5880000591278001</v>
      </c>
      <c r="G2343">
        <v>131264000</v>
      </c>
      <c r="H2343">
        <f t="shared" si="144"/>
        <v>2006</v>
      </c>
      <c r="I2343">
        <f t="shared" si="145"/>
        <v>9</v>
      </c>
      <c r="J2343" t="str">
        <f t="shared" si="146"/>
        <v>Sep</v>
      </c>
      <c r="K2343" t="str">
        <f t="shared" si="147"/>
        <v>Fri</v>
      </c>
    </row>
    <row r="2344" spans="1:11" x14ac:dyDescent="0.35">
      <c r="A2344" s="1">
        <v>38965</v>
      </c>
      <c r="B2344">
        <v>1.58050000667572</v>
      </c>
      <c r="C2344">
        <v>1.6150000095367401</v>
      </c>
      <c r="D2344">
        <v>1.56200003623962</v>
      </c>
      <c r="E2344">
        <v>1.61150002479553</v>
      </c>
      <c r="F2344">
        <v>1.61150002479553</v>
      </c>
      <c r="G2344">
        <v>149354000</v>
      </c>
      <c r="H2344">
        <f t="shared" si="144"/>
        <v>2006</v>
      </c>
      <c r="I2344">
        <f t="shared" si="145"/>
        <v>9</v>
      </c>
      <c r="J2344" t="str">
        <f t="shared" si="146"/>
        <v>Sep</v>
      </c>
      <c r="K2344" t="str">
        <f t="shared" si="147"/>
        <v>Tue</v>
      </c>
    </row>
    <row r="2345" spans="1:11" x14ac:dyDescent="0.35">
      <c r="A2345" s="1">
        <v>38966</v>
      </c>
      <c r="B2345">
        <v>1.5880000591278001</v>
      </c>
      <c r="C2345">
        <v>1.59899997711181</v>
      </c>
      <c r="D2345">
        <v>1.5325000286102199</v>
      </c>
      <c r="E2345">
        <v>1.53999996185302</v>
      </c>
      <c r="F2345">
        <v>1.53999996185302</v>
      </c>
      <c r="G2345">
        <v>182282000</v>
      </c>
      <c r="H2345">
        <f t="shared" si="144"/>
        <v>2006</v>
      </c>
      <c r="I2345">
        <f t="shared" si="145"/>
        <v>9</v>
      </c>
      <c r="J2345" t="str">
        <f t="shared" si="146"/>
        <v>Sep</v>
      </c>
      <c r="K2345" t="str">
        <f t="shared" si="147"/>
        <v>Wed</v>
      </c>
    </row>
    <row r="2346" spans="1:11" x14ac:dyDescent="0.35">
      <c r="A2346" s="1">
        <v>38967</v>
      </c>
      <c r="B2346">
        <v>1.5284999608993499</v>
      </c>
      <c r="C2346">
        <v>1.53199994564056</v>
      </c>
      <c r="D2346">
        <v>1.4839999675750699</v>
      </c>
      <c r="E2346">
        <v>1.48650002479553</v>
      </c>
      <c r="F2346">
        <v>1.48650002479553</v>
      </c>
      <c r="G2346">
        <v>178034000</v>
      </c>
      <c r="H2346">
        <f t="shared" si="144"/>
        <v>2006</v>
      </c>
      <c r="I2346">
        <f t="shared" si="145"/>
        <v>9</v>
      </c>
      <c r="J2346" t="str">
        <f t="shared" si="146"/>
        <v>Sep</v>
      </c>
      <c r="K2346" t="str">
        <f t="shared" si="147"/>
        <v>Thu</v>
      </c>
    </row>
    <row r="2347" spans="1:11" x14ac:dyDescent="0.35">
      <c r="A2347" s="1">
        <v>38968</v>
      </c>
      <c r="B2347">
        <v>1.50950002670288</v>
      </c>
      <c r="C2347">
        <v>1.5329999923705999</v>
      </c>
      <c r="D2347">
        <v>1.4969999790191599</v>
      </c>
      <c r="E2347">
        <v>1.5255000591278001</v>
      </c>
      <c r="F2347">
        <v>1.5255000591278001</v>
      </c>
      <c r="G2347">
        <v>104544000</v>
      </c>
      <c r="H2347">
        <f t="shared" si="144"/>
        <v>2006</v>
      </c>
      <c r="I2347">
        <f t="shared" si="145"/>
        <v>9</v>
      </c>
      <c r="J2347" t="str">
        <f t="shared" si="146"/>
        <v>Sep</v>
      </c>
      <c r="K2347" t="str">
        <f t="shared" si="147"/>
        <v>Fri</v>
      </c>
    </row>
    <row r="2348" spans="1:11" x14ac:dyDescent="0.35">
      <c r="A2348" s="1">
        <v>38971</v>
      </c>
      <c r="B2348">
        <v>1.5115000009536701</v>
      </c>
      <c r="C2348">
        <v>1.5564999580383301</v>
      </c>
      <c r="D2348">
        <v>1.48599994182586</v>
      </c>
      <c r="E2348">
        <v>1.53949999809265</v>
      </c>
      <c r="F2348">
        <v>1.53949999809265</v>
      </c>
      <c r="G2348">
        <v>148076000</v>
      </c>
      <c r="H2348">
        <f t="shared" si="144"/>
        <v>2006</v>
      </c>
      <c r="I2348">
        <f t="shared" si="145"/>
        <v>9</v>
      </c>
      <c r="J2348" t="str">
        <f t="shared" si="146"/>
        <v>Sep</v>
      </c>
      <c r="K2348" t="str">
        <f t="shared" si="147"/>
        <v>Mon</v>
      </c>
    </row>
    <row r="2349" spans="1:11" x14ac:dyDescent="0.35">
      <c r="A2349" s="1">
        <v>38972</v>
      </c>
      <c r="B2349">
        <v>1.5434999465942301</v>
      </c>
      <c r="C2349">
        <v>1.5970000028610201</v>
      </c>
      <c r="D2349">
        <v>1.52649998664855</v>
      </c>
      <c r="E2349">
        <v>1.5859999656677199</v>
      </c>
      <c r="F2349">
        <v>1.5859999656677199</v>
      </c>
      <c r="G2349">
        <v>130548000</v>
      </c>
      <c r="H2349">
        <f t="shared" si="144"/>
        <v>2006</v>
      </c>
      <c r="I2349">
        <f t="shared" si="145"/>
        <v>9</v>
      </c>
      <c r="J2349" t="str">
        <f t="shared" si="146"/>
        <v>Sep</v>
      </c>
      <c r="K2349" t="str">
        <f t="shared" si="147"/>
        <v>Tue</v>
      </c>
    </row>
    <row r="2350" spans="1:11" x14ac:dyDescent="0.35">
      <c r="A2350" s="1">
        <v>38973</v>
      </c>
      <c r="B2350">
        <v>1.5865000486373899</v>
      </c>
      <c r="C2350">
        <v>1.59800004959106</v>
      </c>
      <c r="D2350">
        <v>1.5685000419616699</v>
      </c>
      <c r="E2350">
        <v>1.5835000276565501</v>
      </c>
      <c r="F2350">
        <v>1.5835000276565501</v>
      </c>
      <c r="G2350">
        <v>87408000</v>
      </c>
      <c r="H2350">
        <f t="shared" si="144"/>
        <v>2006</v>
      </c>
      <c r="I2350">
        <f t="shared" si="145"/>
        <v>9</v>
      </c>
      <c r="J2350" t="str">
        <f t="shared" si="146"/>
        <v>Sep</v>
      </c>
      <c r="K2350" t="str">
        <f t="shared" si="147"/>
        <v>Wed</v>
      </c>
    </row>
    <row r="2351" spans="1:11" x14ac:dyDescent="0.35">
      <c r="A2351" s="1">
        <v>38974</v>
      </c>
      <c r="B2351">
        <v>1.5770000219345</v>
      </c>
      <c r="C2351">
        <v>1.59350001811981</v>
      </c>
      <c r="D2351">
        <v>1.55900001525878</v>
      </c>
      <c r="E2351">
        <v>1.5824999809265099</v>
      </c>
      <c r="F2351">
        <v>1.5824999809265099</v>
      </c>
      <c r="G2351">
        <v>74114000</v>
      </c>
      <c r="H2351">
        <f t="shared" si="144"/>
        <v>2006</v>
      </c>
      <c r="I2351">
        <f t="shared" si="145"/>
        <v>9</v>
      </c>
      <c r="J2351" t="str">
        <f t="shared" si="146"/>
        <v>Sep</v>
      </c>
      <c r="K2351" t="str">
        <f t="shared" si="147"/>
        <v>Thu</v>
      </c>
    </row>
    <row r="2352" spans="1:11" x14ac:dyDescent="0.35">
      <c r="A2352" s="1">
        <v>38975</v>
      </c>
      <c r="B2352">
        <v>1.5950000286102199</v>
      </c>
      <c r="C2352">
        <v>1.6369999647140501</v>
      </c>
      <c r="D2352">
        <v>1.5789999961853001</v>
      </c>
      <c r="E2352">
        <v>1.6260000467300399</v>
      </c>
      <c r="F2352">
        <v>1.6260000467300399</v>
      </c>
      <c r="G2352">
        <v>205474000</v>
      </c>
      <c r="H2352">
        <f t="shared" si="144"/>
        <v>2006</v>
      </c>
      <c r="I2352">
        <f t="shared" si="145"/>
        <v>9</v>
      </c>
      <c r="J2352" t="str">
        <f t="shared" si="146"/>
        <v>Sep</v>
      </c>
      <c r="K2352" t="str">
        <f t="shared" si="147"/>
        <v>Fri</v>
      </c>
    </row>
    <row r="2353" spans="1:11" x14ac:dyDescent="0.35">
      <c r="A2353" s="1">
        <v>38978</v>
      </c>
      <c r="B2353">
        <v>1.6224999427795399</v>
      </c>
      <c r="C2353">
        <v>1.63349997997283</v>
      </c>
      <c r="D2353">
        <v>1.59399998188018</v>
      </c>
      <c r="E2353">
        <v>1.6039999723434399</v>
      </c>
      <c r="F2353">
        <v>1.6039999723434399</v>
      </c>
      <c r="G2353">
        <v>102462000</v>
      </c>
      <c r="H2353">
        <f t="shared" si="144"/>
        <v>2006</v>
      </c>
      <c r="I2353">
        <f t="shared" si="145"/>
        <v>9</v>
      </c>
      <c r="J2353" t="str">
        <f t="shared" si="146"/>
        <v>Sep</v>
      </c>
      <c r="K2353" t="str">
        <f t="shared" si="147"/>
        <v>Mon</v>
      </c>
    </row>
    <row r="2354" spans="1:11" x14ac:dyDescent="0.35">
      <c r="A2354" s="1">
        <v>38979</v>
      </c>
      <c r="B2354">
        <v>1.6119999885559</v>
      </c>
      <c r="C2354">
        <v>1.6150000095367401</v>
      </c>
      <c r="D2354">
        <v>1.54100000858306</v>
      </c>
      <c r="E2354">
        <v>1.5789999961853001</v>
      </c>
      <c r="F2354">
        <v>1.5789999961853001</v>
      </c>
      <c r="G2354">
        <v>171440000</v>
      </c>
      <c r="H2354">
        <f t="shared" si="144"/>
        <v>2006</v>
      </c>
      <c r="I2354">
        <f t="shared" si="145"/>
        <v>9</v>
      </c>
      <c r="J2354" t="str">
        <f t="shared" si="146"/>
        <v>Sep</v>
      </c>
      <c r="K2354" t="str">
        <f t="shared" si="147"/>
        <v>Tue</v>
      </c>
    </row>
    <row r="2355" spans="1:11" x14ac:dyDescent="0.35">
      <c r="A2355" s="1">
        <v>38980</v>
      </c>
      <c r="B2355">
        <v>1.5904999971389699</v>
      </c>
      <c r="C2355">
        <v>1.6404999494552599</v>
      </c>
      <c r="D2355">
        <v>1.5900000333786</v>
      </c>
      <c r="E2355">
        <v>1.6059999465942301</v>
      </c>
      <c r="F2355">
        <v>1.6059999465942301</v>
      </c>
      <c r="G2355">
        <v>170978000</v>
      </c>
      <c r="H2355">
        <f t="shared" si="144"/>
        <v>2006</v>
      </c>
      <c r="I2355">
        <f t="shared" si="145"/>
        <v>9</v>
      </c>
      <c r="J2355" t="str">
        <f t="shared" si="146"/>
        <v>Sep</v>
      </c>
      <c r="K2355" t="str">
        <f t="shared" si="147"/>
        <v>Wed</v>
      </c>
    </row>
    <row r="2356" spans="1:11" x14ac:dyDescent="0.35">
      <c r="A2356" s="1">
        <v>38981</v>
      </c>
      <c r="B2356">
        <v>1.6119999885559</v>
      </c>
      <c r="C2356">
        <v>1.6280000209808301</v>
      </c>
      <c r="D2356">
        <v>1.50349998474121</v>
      </c>
      <c r="E2356">
        <v>1.5110000371932899</v>
      </c>
      <c r="F2356">
        <v>1.5110000371932899</v>
      </c>
      <c r="G2356">
        <v>311074000</v>
      </c>
      <c r="H2356">
        <f t="shared" si="144"/>
        <v>2006</v>
      </c>
      <c r="I2356">
        <f t="shared" si="145"/>
        <v>9</v>
      </c>
      <c r="J2356" t="str">
        <f t="shared" si="146"/>
        <v>Sep</v>
      </c>
      <c r="K2356" t="str">
        <f t="shared" si="147"/>
        <v>Thu</v>
      </c>
    </row>
    <row r="2357" spans="1:11" x14ac:dyDescent="0.35">
      <c r="A2357" s="1">
        <v>38982</v>
      </c>
      <c r="B2357">
        <v>1.5110000371932899</v>
      </c>
      <c r="C2357">
        <v>1.5475000143051101</v>
      </c>
      <c r="D2357">
        <v>1.49500000476837</v>
      </c>
      <c r="E2357">
        <v>1.5420000553131099</v>
      </c>
      <c r="F2357">
        <v>1.5420000553131099</v>
      </c>
      <c r="G2357">
        <v>144980000</v>
      </c>
      <c r="H2357">
        <f t="shared" si="144"/>
        <v>2006</v>
      </c>
      <c r="I2357">
        <f t="shared" si="145"/>
        <v>9</v>
      </c>
      <c r="J2357" t="str">
        <f t="shared" si="146"/>
        <v>Sep</v>
      </c>
      <c r="K2357" t="str">
        <f t="shared" si="147"/>
        <v>Fri</v>
      </c>
    </row>
    <row r="2358" spans="1:11" x14ac:dyDescent="0.35">
      <c r="A2358" s="1">
        <v>38985</v>
      </c>
      <c r="B2358">
        <v>1.5525000095367401</v>
      </c>
      <c r="C2358">
        <v>1.59850001335144</v>
      </c>
      <c r="D2358">
        <v>1.5369999408721899</v>
      </c>
      <c r="E2358">
        <v>1.58949995040893</v>
      </c>
      <c r="F2358">
        <v>1.58949995040893</v>
      </c>
      <c r="G2358">
        <v>132392000</v>
      </c>
      <c r="H2358">
        <f t="shared" si="144"/>
        <v>2006</v>
      </c>
      <c r="I2358">
        <f t="shared" si="145"/>
        <v>9</v>
      </c>
      <c r="J2358" t="str">
        <f t="shared" si="146"/>
        <v>Sep</v>
      </c>
      <c r="K2358" t="str">
        <f t="shared" si="147"/>
        <v>Mon</v>
      </c>
    </row>
    <row r="2359" spans="1:11" x14ac:dyDescent="0.35">
      <c r="A2359" s="1">
        <v>38986</v>
      </c>
      <c r="B2359">
        <v>1.59449994564056</v>
      </c>
      <c r="C2359">
        <v>1.62950003147125</v>
      </c>
      <c r="D2359">
        <v>1.5900000333786</v>
      </c>
      <c r="E2359">
        <v>1.625</v>
      </c>
      <c r="F2359">
        <v>1.625</v>
      </c>
      <c r="G2359">
        <v>132022000</v>
      </c>
      <c r="H2359">
        <f t="shared" si="144"/>
        <v>2006</v>
      </c>
      <c r="I2359">
        <f t="shared" si="145"/>
        <v>9</v>
      </c>
      <c r="J2359" t="str">
        <f t="shared" si="146"/>
        <v>Sep</v>
      </c>
      <c r="K2359" t="str">
        <f t="shared" si="147"/>
        <v>Tue</v>
      </c>
    </row>
    <row r="2360" spans="1:11" x14ac:dyDescent="0.35">
      <c r="A2360" s="1">
        <v>38987</v>
      </c>
      <c r="B2360">
        <v>1.6139999628067001</v>
      </c>
      <c r="C2360">
        <v>1.6230000257492001</v>
      </c>
      <c r="D2360">
        <v>1.5965000391006401</v>
      </c>
      <c r="E2360">
        <v>1.61650002002716</v>
      </c>
      <c r="F2360">
        <v>1.61650002002716</v>
      </c>
      <c r="G2360">
        <v>109396000</v>
      </c>
      <c r="H2360">
        <f t="shared" si="144"/>
        <v>2006</v>
      </c>
      <c r="I2360">
        <f t="shared" si="145"/>
        <v>9</v>
      </c>
      <c r="J2360" t="str">
        <f t="shared" si="146"/>
        <v>Sep</v>
      </c>
      <c r="K2360" t="str">
        <f t="shared" si="147"/>
        <v>Wed</v>
      </c>
    </row>
    <row r="2361" spans="1:11" x14ac:dyDescent="0.35">
      <c r="A2361" s="1">
        <v>38988</v>
      </c>
      <c r="B2361">
        <v>1.6134999990463199</v>
      </c>
      <c r="C2361">
        <v>1.61650002002716</v>
      </c>
      <c r="D2361">
        <v>1.5609999895095801</v>
      </c>
      <c r="E2361">
        <v>1.5920000076293901</v>
      </c>
      <c r="F2361">
        <v>1.5920000076293901</v>
      </c>
      <c r="G2361">
        <v>149988000</v>
      </c>
      <c r="H2361">
        <f t="shared" si="144"/>
        <v>2006</v>
      </c>
      <c r="I2361">
        <f t="shared" si="145"/>
        <v>9</v>
      </c>
      <c r="J2361" t="str">
        <f t="shared" si="146"/>
        <v>Sep</v>
      </c>
      <c r="K2361" t="str">
        <f t="shared" si="147"/>
        <v>Thu</v>
      </c>
    </row>
    <row r="2362" spans="1:11" x14ac:dyDescent="0.35">
      <c r="A2362" s="1">
        <v>38989</v>
      </c>
      <c r="B2362">
        <v>1.6004999876022299</v>
      </c>
      <c r="C2362">
        <v>1.61699998378753</v>
      </c>
      <c r="D2362">
        <v>1.5770000219345</v>
      </c>
      <c r="E2362">
        <v>1.6059999465942301</v>
      </c>
      <c r="F2362">
        <v>1.6059999465942301</v>
      </c>
      <c r="G2362">
        <v>104544000</v>
      </c>
      <c r="H2362">
        <f t="shared" si="144"/>
        <v>2006</v>
      </c>
      <c r="I2362">
        <f t="shared" si="145"/>
        <v>9</v>
      </c>
      <c r="J2362" t="str">
        <f t="shared" si="146"/>
        <v>Sep</v>
      </c>
      <c r="K2362" t="str">
        <f t="shared" si="147"/>
        <v>Fri</v>
      </c>
    </row>
    <row r="2363" spans="1:11" x14ac:dyDescent="0.35">
      <c r="A2363" s="1">
        <v>38992</v>
      </c>
      <c r="B2363">
        <v>1.59899997711181</v>
      </c>
      <c r="C2363">
        <v>1.6015000343322701</v>
      </c>
      <c r="D2363">
        <v>1.5414999723434399</v>
      </c>
      <c r="E2363">
        <v>1.5434999465942301</v>
      </c>
      <c r="F2363">
        <v>1.5434999465942301</v>
      </c>
      <c r="G2363">
        <v>136300000</v>
      </c>
      <c r="H2363">
        <f t="shared" si="144"/>
        <v>2006</v>
      </c>
      <c r="I2363">
        <f t="shared" si="145"/>
        <v>10</v>
      </c>
      <c r="J2363" t="str">
        <f t="shared" si="146"/>
        <v>Oct</v>
      </c>
      <c r="K2363" t="str">
        <f t="shared" si="147"/>
        <v>Mon</v>
      </c>
    </row>
    <row r="2364" spans="1:11" x14ac:dyDescent="0.35">
      <c r="A2364" s="1">
        <v>38993</v>
      </c>
      <c r="B2364">
        <v>1.54499995708465</v>
      </c>
      <c r="C2364">
        <v>1.6000000238418499</v>
      </c>
      <c r="D2364">
        <v>1.5290000438690099</v>
      </c>
      <c r="E2364">
        <v>1.58500003814697</v>
      </c>
      <c r="F2364">
        <v>1.58500003814697</v>
      </c>
      <c r="G2364">
        <v>160680000</v>
      </c>
      <c r="H2364">
        <f t="shared" si="144"/>
        <v>2006</v>
      </c>
      <c r="I2364">
        <f t="shared" si="145"/>
        <v>10</v>
      </c>
      <c r="J2364" t="str">
        <f t="shared" si="146"/>
        <v>Oct</v>
      </c>
      <c r="K2364" t="str">
        <f t="shared" si="147"/>
        <v>Tue</v>
      </c>
    </row>
    <row r="2365" spans="1:11" x14ac:dyDescent="0.35">
      <c r="A2365" s="1">
        <v>38994</v>
      </c>
      <c r="B2365">
        <v>1.5874999761581401</v>
      </c>
      <c r="C2365">
        <v>1.6414999961853001</v>
      </c>
      <c r="D2365">
        <v>1.5650000572204501</v>
      </c>
      <c r="E2365">
        <v>1.63800001144409</v>
      </c>
      <c r="F2365">
        <v>1.63800001144409</v>
      </c>
      <c r="G2365">
        <v>141296000</v>
      </c>
      <c r="H2365">
        <f t="shared" si="144"/>
        <v>2006</v>
      </c>
      <c r="I2365">
        <f t="shared" si="145"/>
        <v>10</v>
      </c>
      <c r="J2365" t="str">
        <f t="shared" si="146"/>
        <v>Oct</v>
      </c>
      <c r="K2365" t="str">
        <f t="shared" si="147"/>
        <v>Wed</v>
      </c>
    </row>
    <row r="2366" spans="1:11" x14ac:dyDescent="0.35">
      <c r="A2366" s="1">
        <v>38995</v>
      </c>
      <c r="B2366">
        <v>1.63399994373321</v>
      </c>
      <c r="C2366">
        <v>1.66999995708465</v>
      </c>
      <c r="D2366">
        <v>1.62000000476837</v>
      </c>
      <c r="E2366">
        <v>1.66600000858306</v>
      </c>
      <c r="F2366">
        <v>1.66600000858306</v>
      </c>
      <c r="G2366">
        <v>169118000</v>
      </c>
      <c r="H2366">
        <f t="shared" si="144"/>
        <v>2006</v>
      </c>
      <c r="I2366">
        <f t="shared" si="145"/>
        <v>10</v>
      </c>
      <c r="J2366" t="str">
        <f t="shared" si="146"/>
        <v>Oct</v>
      </c>
      <c r="K2366" t="str">
        <f t="shared" si="147"/>
        <v>Thu</v>
      </c>
    </row>
    <row r="2367" spans="1:11" x14ac:dyDescent="0.35">
      <c r="A2367" s="1">
        <v>38996</v>
      </c>
      <c r="B2367">
        <v>1.6575000286102199</v>
      </c>
      <c r="C2367">
        <v>1.66100001335144</v>
      </c>
      <c r="D2367">
        <v>1.625</v>
      </c>
      <c r="E2367">
        <v>1.62950003147125</v>
      </c>
      <c r="F2367">
        <v>1.62950003147125</v>
      </c>
      <c r="G2367">
        <v>84384000</v>
      </c>
      <c r="H2367">
        <f t="shared" si="144"/>
        <v>2006</v>
      </c>
      <c r="I2367">
        <f t="shared" si="145"/>
        <v>10</v>
      </c>
      <c r="J2367" t="str">
        <f t="shared" si="146"/>
        <v>Oct</v>
      </c>
      <c r="K2367" t="str">
        <f t="shared" si="147"/>
        <v>Fri</v>
      </c>
    </row>
    <row r="2368" spans="1:11" x14ac:dyDescent="0.35">
      <c r="A2368" s="1">
        <v>38999</v>
      </c>
      <c r="B2368">
        <v>1.62450003623962</v>
      </c>
      <c r="C2368">
        <v>1.67400002479553</v>
      </c>
      <c r="D2368">
        <v>1.6224999427795399</v>
      </c>
      <c r="E2368">
        <v>1.6690000295639</v>
      </c>
      <c r="F2368">
        <v>1.6690000295639</v>
      </c>
      <c r="G2368">
        <v>105784000</v>
      </c>
      <c r="H2368">
        <f t="shared" si="144"/>
        <v>2006</v>
      </c>
      <c r="I2368">
        <f t="shared" si="145"/>
        <v>10</v>
      </c>
      <c r="J2368" t="str">
        <f t="shared" si="146"/>
        <v>Oct</v>
      </c>
      <c r="K2368" t="str">
        <f t="shared" si="147"/>
        <v>Mon</v>
      </c>
    </row>
    <row r="2369" spans="1:11" x14ac:dyDescent="0.35">
      <c r="A2369" s="1">
        <v>39000</v>
      </c>
      <c r="B2369">
        <v>1.6634999513626001</v>
      </c>
      <c r="C2369">
        <v>1.67900002002716</v>
      </c>
      <c r="D2369">
        <v>1.62450003623962</v>
      </c>
      <c r="E2369">
        <v>1.6310000419616699</v>
      </c>
      <c r="F2369">
        <v>1.6310000419616699</v>
      </c>
      <c r="G2369">
        <v>126668000</v>
      </c>
      <c r="H2369">
        <f t="shared" si="144"/>
        <v>2006</v>
      </c>
      <c r="I2369">
        <f t="shared" si="145"/>
        <v>10</v>
      </c>
      <c r="J2369" t="str">
        <f t="shared" si="146"/>
        <v>Oct</v>
      </c>
      <c r="K2369" t="str">
        <f t="shared" si="147"/>
        <v>Tue</v>
      </c>
    </row>
    <row r="2370" spans="1:11" x14ac:dyDescent="0.35">
      <c r="A2370" s="1">
        <v>39001</v>
      </c>
      <c r="B2370">
        <v>1.630499958992</v>
      </c>
      <c r="C2370">
        <v>1.6575000286102199</v>
      </c>
      <c r="D2370">
        <v>1.6134999990463199</v>
      </c>
      <c r="E2370">
        <v>1.6454999446868801</v>
      </c>
      <c r="F2370">
        <v>1.6454999446868801</v>
      </c>
      <c r="G2370">
        <v>134570000</v>
      </c>
      <c r="H2370">
        <f t="shared" si="144"/>
        <v>2006</v>
      </c>
      <c r="I2370">
        <f t="shared" si="145"/>
        <v>10</v>
      </c>
      <c r="J2370" t="str">
        <f t="shared" si="146"/>
        <v>Oct</v>
      </c>
      <c r="K2370" t="str">
        <f t="shared" si="147"/>
        <v>Wed</v>
      </c>
    </row>
    <row r="2371" spans="1:11" x14ac:dyDescent="0.35">
      <c r="A2371" s="1">
        <v>39002</v>
      </c>
      <c r="B2371">
        <v>1.6549999713897701</v>
      </c>
      <c r="C2371">
        <v>1.6855000257492001</v>
      </c>
      <c r="D2371">
        <v>1.6315000057220399</v>
      </c>
      <c r="E2371">
        <v>1.6775000095367401</v>
      </c>
      <c r="F2371">
        <v>1.6775000095367401</v>
      </c>
      <c r="G2371">
        <v>119794000</v>
      </c>
      <c r="H2371">
        <f t="shared" si="144"/>
        <v>2006</v>
      </c>
      <c r="I2371">
        <f t="shared" si="145"/>
        <v>10</v>
      </c>
      <c r="J2371" t="str">
        <f t="shared" si="146"/>
        <v>Oct</v>
      </c>
      <c r="K2371" t="str">
        <f t="shared" si="147"/>
        <v>Thu</v>
      </c>
    </row>
    <row r="2372" spans="1:11" x14ac:dyDescent="0.35">
      <c r="A2372" s="1">
        <v>39003</v>
      </c>
      <c r="B2372">
        <v>1.6675000190734801</v>
      </c>
      <c r="C2372">
        <v>1.67900002002716</v>
      </c>
      <c r="D2372">
        <v>1.6540000438690099</v>
      </c>
      <c r="E2372">
        <v>1.66600000858306</v>
      </c>
      <c r="F2372">
        <v>1.66600000858306</v>
      </c>
      <c r="G2372">
        <v>81346000</v>
      </c>
      <c r="H2372">
        <f t="shared" ref="H2372:H2435" si="148">YEAR($A2372)</f>
        <v>2006</v>
      </c>
      <c r="I2372">
        <f t="shared" ref="I2372:I2435" si="149">MONTH($A2372)</f>
        <v>10</v>
      </c>
      <c r="J2372" t="str">
        <f t="shared" ref="J2372:J2435" si="150">TEXT($A2372,"mmm")</f>
        <v>Oct</v>
      </c>
      <c r="K2372" t="str">
        <f t="shared" ref="K2372:K2435" si="151">TEXT($A2372,"ddd")</f>
        <v>Fri</v>
      </c>
    </row>
    <row r="2373" spans="1:11" x14ac:dyDescent="0.35">
      <c r="A2373" s="1">
        <v>39006</v>
      </c>
      <c r="B2373">
        <v>1.64250004291534</v>
      </c>
      <c r="C2373">
        <v>1.65999996662139</v>
      </c>
      <c r="D2373">
        <v>1.6275000572204501</v>
      </c>
      <c r="E2373">
        <v>1.62999999523162</v>
      </c>
      <c r="F2373">
        <v>1.62999999523162</v>
      </c>
      <c r="G2373">
        <v>135388000</v>
      </c>
      <c r="H2373">
        <f t="shared" si="148"/>
        <v>2006</v>
      </c>
      <c r="I2373">
        <f t="shared" si="149"/>
        <v>10</v>
      </c>
      <c r="J2373" t="str">
        <f t="shared" si="150"/>
        <v>Oct</v>
      </c>
      <c r="K2373" t="str">
        <f t="shared" si="151"/>
        <v>Mon</v>
      </c>
    </row>
    <row r="2374" spans="1:11" x14ac:dyDescent="0.35">
      <c r="A2374" s="1">
        <v>39007</v>
      </c>
      <c r="B2374">
        <v>1.6100000143051101</v>
      </c>
      <c r="C2374">
        <v>1.630499958992</v>
      </c>
      <c r="D2374">
        <v>1.5874999761581401</v>
      </c>
      <c r="E2374">
        <v>1.6234999895095801</v>
      </c>
      <c r="F2374">
        <v>1.6234999895095801</v>
      </c>
      <c r="G2374">
        <v>132714000</v>
      </c>
      <c r="H2374">
        <f t="shared" si="148"/>
        <v>2006</v>
      </c>
      <c r="I2374">
        <f t="shared" si="149"/>
        <v>10</v>
      </c>
      <c r="J2374" t="str">
        <f t="shared" si="150"/>
        <v>Oct</v>
      </c>
      <c r="K2374" t="str">
        <f t="shared" si="151"/>
        <v>Tue</v>
      </c>
    </row>
    <row r="2375" spans="1:11" x14ac:dyDescent="0.35">
      <c r="A2375" s="1">
        <v>39008</v>
      </c>
      <c r="B2375">
        <v>1.62849998474121</v>
      </c>
      <c r="C2375">
        <v>1.63900005817413</v>
      </c>
      <c r="D2375">
        <v>1.6000000238418499</v>
      </c>
      <c r="E2375">
        <v>1.61549997329711</v>
      </c>
      <c r="F2375">
        <v>1.61549997329711</v>
      </c>
      <c r="G2375">
        <v>106986000</v>
      </c>
      <c r="H2375">
        <f t="shared" si="148"/>
        <v>2006</v>
      </c>
      <c r="I2375">
        <f t="shared" si="149"/>
        <v>10</v>
      </c>
      <c r="J2375" t="str">
        <f t="shared" si="150"/>
        <v>Oct</v>
      </c>
      <c r="K2375" t="str">
        <f t="shared" si="151"/>
        <v>Wed</v>
      </c>
    </row>
    <row r="2376" spans="1:11" x14ac:dyDescent="0.35">
      <c r="A2376" s="1">
        <v>39009</v>
      </c>
      <c r="B2376">
        <v>1.6085000038146899</v>
      </c>
      <c r="C2376">
        <v>1.6419999599456701</v>
      </c>
      <c r="D2376">
        <v>1.6050000190734801</v>
      </c>
      <c r="E2376">
        <v>1.6269999742507899</v>
      </c>
      <c r="F2376">
        <v>1.6269999742507899</v>
      </c>
      <c r="G2376">
        <v>80752000</v>
      </c>
      <c r="H2376">
        <f t="shared" si="148"/>
        <v>2006</v>
      </c>
      <c r="I2376">
        <f t="shared" si="149"/>
        <v>10</v>
      </c>
      <c r="J2376" t="str">
        <f t="shared" si="150"/>
        <v>Oct</v>
      </c>
      <c r="K2376" t="str">
        <f t="shared" si="151"/>
        <v>Thu</v>
      </c>
    </row>
    <row r="2377" spans="1:11" x14ac:dyDescent="0.35">
      <c r="A2377" s="1">
        <v>39010</v>
      </c>
      <c r="B2377">
        <v>1.63450002670288</v>
      </c>
      <c r="C2377">
        <v>1.63450002670288</v>
      </c>
      <c r="D2377">
        <v>1.6104999780654901</v>
      </c>
      <c r="E2377">
        <v>1.62849998474121</v>
      </c>
      <c r="F2377">
        <v>1.62849998474121</v>
      </c>
      <c r="G2377">
        <v>116788000</v>
      </c>
      <c r="H2377">
        <f t="shared" si="148"/>
        <v>2006</v>
      </c>
      <c r="I2377">
        <f t="shared" si="149"/>
        <v>10</v>
      </c>
      <c r="J2377" t="str">
        <f t="shared" si="150"/>
        <v>Oct</v>
      </c>
      <c r="K2377" t="str">
        <f t="shared" si="151"/>
        <v>Fri</v>
      </c>
    </row>
    <row r="2378" spans="1:11" x14ac:dyDescent="0.35">
      <c r="A2378" s="1">
        <v>39013</v>
      </c>
      <c r="B2378">
        <v>1.6234999895095801</v>
      </c>
      <c r="C2378">
        <v>1.6454999446868801</v>
      </c>
      <c r="D2378">
        <v>1.60699999332427</v>
      </c>
      <c r="E2378">
        <v>1.6440000534057599</v>
      </c>
      <c r="F2378">
        <v>1.6440000534057599</v>
      </c>
      <c r="G2378">
        <v>161186000</v>
      </c>
      <c r="H2378">
        <f t="shared" si="148"/>
        <v>2006</v>
      </c>
      <c r="I2378">
        <f t="shared" si="149"/>
        <v>10</v>
      </c>
      <c r="J2378" t="str">
        <f t="shared" si="150"/>
        <v>Oct</v>
      </c>
      <c r="K2378" t="str">
        <f t="shared" si="151"/>
        <v>Mon</v>
      </c>
    </row>
    <row r="2379" spans="1:11" x14ac:dyDescent="0.35">
      <c r="A2379" s="1">
        <v>39014</v>
      </c>
      <c r="B2379">
        <v>1.64349997043609</v>
      </c>
      <c r="C2379">
        <v>1.8999999761581401</v>
      </c>
      <c r="D2379">
        <v>1.64300000667572</v>
      </c>
      <c r="E2379">
        <v>1.6814999580383301</v>
      </c>
      <c r="F2379">
        <v>1.6814999580383301</v>
      </c>
      <c r="G2379">
        <v>463106000</v>
      </c>
      <c r="H2379">
        <f t="shared" si="148"/>
        <v>2006</v>
      </c>
      <c r="I2379">
        <f t="shared" si="149"/>
        <v>10</v>
      </c>
      <c r="J2379" t="str">
        <f t="shared" si="150"/>
        <v>Oct</v>
      </c>
      <c r="K2379" t="str">
        <f t="shared" si="151"/>
        <v>Tue</v>
      </c>
    </row>
    <row r="2380" spans="1:11" x14ac:dyDescent="0.35">
      <c r="A2380" s="1">
        <v>39015</v>
      </c>
      <c r="B2380">
        <v>1.8650000095367401</v>
      </c>
      <c r="C2380">
        <v>1.8990000486373899</v>
      </c>
      <c r="D2380">
        <v>1.8020000457763601</v>
      </c>
      <c r="E2380">
        <v>1.88399994373321</v>
      </c>
      <c r="F2380">
        <v>1.88399994373321</v>
      </c>
      <c r="G2380">
        <v>930450000</v>
      </c>
      <c r="H2380">
        <f t="shared" si="148"/>
        <v>2006</v>
      </c>
      <c r="I2380">
        <f t="shared" si="149"/>
        <v>10</v>
      </c>
      <c r="J2380" t="str">
        <f t="shared" si="150"/>
        <v>Oct</v>
      </c>
      <c r="K2380" t="str">
        <f t="shared" si="151"/>
        <v>Wed</v>
      </c>
    </row>
    <row r="2381" spans="1:11" x14ac:dyDescent="0.35">
      <c r="A2381" s="1">
        <v>39016</v>
      </c>
      <c r="B2381">
        <v>1.86249995231628</v>
      </c>
      <c r="C2381">
        <v>1.9244999885559</v>
      </c>
      <c r="D2381">
        <v>1.8589999675750699</v>
      </c>
      <c r="E2381">
        <v>1.91499996185302</v>
      </c>
      <c r="F2381">
        <v>1.91499996185302</v>
      </c>
      <c r="G2381">
        <v>341466000</v>
      </c>
      <c r="H2381">
        <f t="shared" si="148"/>
        <v>2006</v>
      </c>
      <c r="I2381">
        <f t="shared" si="149"/>
        <v>10</v>
      </c>
      <c r="J2381" t="str">
        <f t="shared" si="150"/>
        <v>Oct</v>
      </c>
      <c r="K2381" t="str">
        <f t="shared" si="151"/>
        <v>Thu</v>
      </c>
    </row>
    <row r="2382" spans="1:11" x14ac:dyDescent="0.35">
      <c r="A2382" s="1">
        <v>39017</v>
      </c>
      <c r="B2382">
        <v>1.9075000286102199</v>
      </c>
      <c r="C2382">
        <v>1.9190000295639</v>
      </c>
      <c r="D2382">
        <v>1.88300001621246</v>
      </c>
      <c r="E2382">
        <v>1.9119999408721899</v>
      </c>
      <c r="F2382">
        <v>1.9119999408721899</v>
      </c>
      <c r="G2382">
        <v>199068000</v>
      </c>
      <c r="H2382">
        <f t="shared" si="148"/>
        <v>2006</v>
      </c>
      <c r="I2382">
        <f t="shared" si="149"/>
        <v>10</v>
      </c>
      <c r="J2382" t="str">
        <f t="shared" si="150"/>
        <v>Oct</v>
      </c>
      <c r="K2382" t="str">
        <f t="shared" si="151"/>
        <v>Fri</v>
      </c>
    </row>
    <row r="2383" spans="1:11" x14ac:dyDescent="0.35">
      <c r="A2383" s="1">
        <v>39020</v>
      </c>
      <c r="B2383">
        <v>1.9025000333786</v>
      </c>
      <c r="C2383">
        <v>1.9170000553131099</v>
      </c>
      <c r="D2383">
        <v>1.88399994373321</v>
      </c>
      <c r="E2383">
        <v>1.9075000286102199</v>
      </c>
      <c r="F2383">
        <v>1.9075000286102199</v>
      </c>
      <c r="G2383">
        <v>137648000</v>
      </c>
      <c r="H2383">
        <f t="shared" si="148"/>
        <v>2006</v>
      </c>
      <c r="I2383">
        <f t="shared" si="149"/>
        <v>10</v>
      </c>
      <c r="J2383" t="str">
        <f t="shared" si="150"/>
        <v>Oct</v>
      </c>
      <c r="K2383" t="str">
        <f t="shared" si="151"/>
        <v>Mon</v>
      </c>
    </row>
    <row r="2384" spans="1:11" x14ac:dyDescent="0.35">
      <c r="A2384" s="1">
        <v>39021</v>
      </c>
      <c r="B2384">
        <v>1.91100001335144</v>
      </c>
      <c r="C2384">
        <v>1.92949998378753</v>
      </c>
      <c r="D2384">
        <v>1.8899999856948799</v>
      </c>
      <c r="E2384">
        <v>1.9045000076293901</v>
      </c>
      <c r="F2384">
        <v>1.9045000076293901</v>
      </c>
      <c r="G2384">
        <v>124208000</v>
      </c>
      <c r="H2384">
        <f t="shared" si="148"/>
        <v>2006</v>
      </c>
      <c r="I2384">
        <f t="shared" si="149"/>
        <v>10</v>
      </c>
      <c r="J2384" t="str">
        <f t="shared" si="150"/>
        <v>Oct</v>
      </c>
      <c r="K2384" t="str">
        <f t="shared" si="151"/>
        <v>Tue</v>
      </c>
    </row>
    <row r="2385" spans="1:11" x14ac:dyDescent="0.35">
      <c r="A2385" s="1">
        <v>39022</v>
      </c>
      <c r="B2385">
        <v>1.90649998188018</v>
      </c>
      <c r="C2385">
        <v>1.90999996662139</v>
      </c>
      <c r="D2385">
        <v>1.8730000257492001</v>
      </c>
      <c r="E2385">
        <v>1.8780000209808301</v>
      </c>
      <c r="F2385">
        <v>1.8780000209808301</v>
      </c>
      <c r="G2385">
        <v>133378000</v>
      </c>
      <c r="H2385">
        <f t="shared" si="148"/>
        <v>2006</v>
      </c>
      <c r="I2385">
        <f t="shared" si="149"/>
        <v>11</v>
      </c>
      <c r="J2385" t="str">
        <f t="shared" si="150"/>
        <v>Nov</v>
      </c>
      <c r="K2385" t="str">
        <f t="shared" si="151"/>
        <v>Wed</v>
      </c>
    </row>
    <row r="2386" spans="1:11" x14ac:dyDescent="0.35">
      <c r="A2386" s="1">
        <v>39023</v>
      </c>
      <c r="B2386">
        <v>1.86650002002716</v>
      </c>
      <c r="C2386">
        <v>1.88849997520446</v>
      </c>
      <c r="D2386">
        <v>1.8554999828338601</v>
      </c>
      <c r="E2386">
        <v>1.8724999427795399</v>
      </c>
      <c r="F2386">
        <v>1.8724999427795399</v>
      </c>
      <c r="G2386">
        <v>108946000</v>
      </c>
      <c r="H2386">
        <f t="shared" si="148"/>
        <v>2006</v>
      </c>
      <c r="I2386">
        <f t="shared" si="149"/>
        <v>11</v>
      </c>
      <c r="J2386" t="str">
        <f t="shared" si="150"/>
        <v>Nov</v>
      </c>
      <c r="K2386" t="str">
        <f t="shared" si="151"/>
        <v>Thu</v>
      </c>
    </row>
    <row r="2387" spans="1:11" x14ac:dyDescent="0.35">
      <c r="A2387" s="1">
        <v>39024</v>
      </c>
      <c r="B2387">
        <v>1.880499958992</v>
      </c>
      <c r="C2387">
        <v>1.8854999542236299</v>
      </c>
      <c r="D2387">
        <v>1.84350001811981</v>
      </c>
      <c r="E2387">
        <v>1.8730000257492001</v>
      </c>
      <c r="F2387">
        <v>1.8730000257492001</v>
      </c>
      <c r="G2387">
        <v>102482000</v>
      </c>
      <c r="H2387">
        <f t="shared" si="148"/>
        <v>2006</v>
      </c>
      <c r="I2387">
        <f t="shared" si="149"/>
        <v>11</v>
      </c>
      <c r="J2387" t="str">
        <f t="shared" si="150"/>
        <v>Nov</v>
      </c>
      <c r="K2387" t="str">
        <f t="shared" si="151"/>
        <v>Fri</v>
      </c>
    </row>
    <row r="2388" spans="1:11" x14ac:dyDescent="0.35">
      <c r="A2388" s="1">
        <v>39027</v>
      </c>
      <c r="B2388">
        <v>1.8819999694824201</v>
      </c>
      <c r="C2388">
        <v>1.9175000190734801</v>
      </c>
      <c r="D2388">
        <v>1.8765000104904099</v>
      </c>
      <c r="E2388">
        <v>1.91050004959106</v>
      </c>
      <c r="F2388">
        <v>1.91050004959106</v>
      </c>
      <c r="G2388">
        <v>90818000</v>
      </c>
      <c r="H2388">
        <f t="shared" si="148"/>
        <v>2006</v>
      </c>
      <c r="I2388">
        <f t="shared" si="149"/>
        <v>11</v>
      </c>
      <c r="J2388" t="str">
        <f t="shared" si="150"/>
        <v>Nov</v>
      </c>
      <c r="K2388" t="str">
        <f t="shared" si="151"/>
        <v>Mon</v>
      </c>
    </row>
    <row r="2389" spans="1:11" x14ac:dyDescent="0.35">
      <c r="A2389" s="1">
        <v>39028</v>
      </c>
      <c r="B2389">
        <v>1.90999996662139</v>
      </c>
      <c r="C2389">
        <v>1.95000004768371</v>
      </c>
      <c r="D2389">
        <v>1.90199995040893</v>
      </c>
      <c r="E2389">
        <v>1.9385000467300399</v>
      </c>
      <c r="F2389">
        <v>1.9385000467300399</v>
      </c>
      <c r="G2389">
        <v>154902000</v>
      </c>
      <c r="H2389">
        <f t="shared" si="148"/>
        <v>2006</v>
      </c>
      <c r="I2389">
        <f t="shared" si="149"/>
        <v>11</v>
      </c>
      <c r="J2389" t="str">
        <f t="shared" si="150"/>
        <v>Nov</v>
      </c>
      <c r="K2389" t="str">
        <f t="shared" si="151"/>
        <v>Tue</v>
      </c>
    </row>
    <row r="2390" spans="1:11" x14ac:dyDescent="0.35">
      <c r="A2390" s="1">
        <v>39029</v>
      </c>
      <c r="B2390">
        <v>1.92900002002716</v>
      </c>
      <c r="C2390">
        <v>1.97399997711181</v>
      </c>
      <c r="D2390">
        <v>1.9229999780654901</v>
      </c>
      <c r="E2390">
        <v>1.97350001335144</v>
      </c>
      <c r="F2390">
        <v>1.97350001335144</v>
      </c>
      <c r="G2390">
        <v>163198000</v>
      </c>
      <c r="H2390">
        <f t="shared" si="148"/>
        <v>2006</v>
      </c>
      <c r="I2390">
        <f t="shared" si="149"/>
        <v>11</v>
      </c>
      <c r="J2390" t="str">
        <f t="shared" si="150"/>
        <v>Nov</v>
      </c>
      <c r="K2390" t="str">
        <f t="shared" si="151"/>
        <v>Wed</v>
      </c>
    </row>
    <row r="2391" spans="1:11" x14ac:dyDescent="0.35">
      <c r="A2391" s="1">
        <v>39030</v>
      </c>
      <c r="B2391">
        <v>1.9750000238418499</v>
      </c>
      <c r="C2391">
        <v>1.9884999990463199</v>
      </c>
      <c r="D2391">
        <v>1.9405000209808301</v>
      </c>
      <c r="E2391">
        <v>1.94200003147125</v>
      </c>
      <c r="F2391">
        <v>1.94200003147125</v>
      </c>
      <c r="G2391">
        <v>116142000</v>
      </c>
      <c r="H2391">
        <f t="shared" si="148"/>
        <v>2006</v>
      </c>
      <c r="I2391">
        <f t="shared" si="149"/>
        <v>11</v>
      </c>
      <c r="J2391" t="str">
        <f t="shared" si="150"/>
        <v>Nov</v>
      </c>
      <c r="K2391" t="str">
        <f t="shared" si="151"/>
        <v>Thu</v>
      </c>
    </row>
    <row r="2392" spans="1:11" x14ac:dyDescent="0.35">
      <c r="A2392" s="1">
        <v>39031</v>
      </c>
      <c r="B2392">
        <v>1.9394999742507899</v>
      </c>
      <c r="C2392">
        <v>1.96800005435943</v>
      </c>
      <c r="D2392">
        <v>1.93799996376037</v>
      </c>
      <c r="E2392">
        <v>1.9630000591278001</v>
      </c>
      <c r="F2392">
        <v>1.9630000591278001</v>
      </c>
      <c r="G2392">
        <v>89902000</v>
      </c>
      <c r="H2392">
        <f t="shared" si="148"/>
        <v>2006</v>
      </c>
      <c r="I2392">
        <f t="shared" si="149"/>
        <v>11</v>
      </c>
      <c r="J2392" t="str">
        <f t="shared" si="150"/>
        <v>Nov</v>
      </c>
      <c r="K2392" t="str">
        <f t="shared" si="151"/>
        <v>Fri</v>
      </c>
    </row>
    <row r="2393" spans="1:11" x14ac:dyDescent="0.35">
      <c r="A2393" s="1">
        <v>39034</v>
      </c>
      <c r="B2393">
        <v>1.9615000486373899</v>
      </c>
      <c r="C2393">
        <v>2</v>
      </c>
      <c r="D2393">
        <v>1.9565000534057599</v>
      </c>
      <c r="E2393">
        <v>1.99950003623962</v>
      </c>
      <c r="F2393">
        <v>1.99950003623962</v>
      </c>
      <c r="G2393">
        <v>138886000</v>
      </c>
      <c r="H2393">
        <f t="shared" si="148"/>
        <v>2006</v>
      </c>
      <c r="I2393">
        <f t="shared" si="149"/>
        <v>11</v>
      </c>
      <c r="J2393" t="str">
        <f t="shared" si="150"/>
        <v>Nov</v>
      </c>
      <c r="K2393" t="str">
        <f t="shared" si="151"/>
        <v>Mon</v>
      </c>
    </row>
    <row r="2394" spans="1:11" x14ac:dyDescent="0.35">
      <c r="A2394" s="1">
        <v>39035</v>
      </c>
      <c r="B2394">
        <v>2.0055000782012899</v>
      </c>
      <c r="C2394">
        <v>2.0834999084472599</v>
      </c>
      <c r="D2394">
        <v>1.9809999465942301</v>
      </c>
      <c r="E2394">
        <v>2.07550001144409</v>
      </c>
      <c r="F2394">
        <v>2.07550001144409</v>
      </c>
      <c r="G2394">
        <v>219026000</v>
      </c>
      <c r="H2394">
        <f t="shared" si="148"/>
        <v>2006</v>
      </c>
      <c r="I2394">
        <f t="shared" si="149"/>
        <v>11</v>
      </c>
      <c r="J2394" t="str">
        <f t="shared" si="150"/>
        <v>Nov</v>
      </c>
      <c r="K2394" t="str">
        <f t="shared" si="151"/>
        <v>Tue</v>
      </c>
    </row>
    <row r="2395" spans="1:11" x14ac:dyDescent="0.35">
      <c r="A2395" s="1">
        <v>39036</v>
      </c>
      <c r="B2395">
        <v>2.07500004768371</v>
      </c>
      <c r="C2395">
        <v>2.1549999713897701</v>
      </c>
      <c r="D2395">
        <v>2.07500004768371</v>
      </c>
      <c r="E2395">
        <v>2.13000011444091</v>
      </c>
      <c r="F2395">
        <v>2.13000011444091</v>
      </c>
      <c r="G2395">
        <v>271134000</v>
      </c>
      <c r="H2395">
        <f t="shared" si="148"/>
        <v>2006</v>
      </c>
      <c r="I2395">
        <f t="shared" si="149"/>
        <v>11</v>
      </c>
      <c r="J2395" t="str">
        <f t="shared" si="150"/>
        <v>Nov</v>
      </c>
      <c r="K2395" t="str">
        <f t="shared" si="151"/>
        <v>Wed</v>
      </c>
    </row>
    <row r="2396" spans="1:11" x14ac:dyDescent="0.35">
      <c r="A2396" s="1">
        <v>39037</v>
      </c>
      <c r="B2396">
        <v>2.1224999427795401</v>
      </c>
      <c r="C2396">
        <v>2.14750003814697</v>
      </c>
      <c r="D2396">
        <v>2.1199998855590798</v>
      </c>
      <c r="E2396">
        <v>2.1419999599456698</v>
      </c>
      <c r="F2396">
        <v>2.1419999599456698</v>
      </c>
      <c r="G2396">
        <v>220016000</v>
      </c>
      <c r="H2396">
        <f t="shared" si="148"/>
        <v>2006</v>
      </c>
      <c r="I2396">
        <f t="shared" si="149"/>
        <v>11</v>
      </c>
      <c r="J2396" t="str">
        <f t="shared" si="150"/>
        <v>Nov</v>
      </c>
      <c r="K2396" t="str">
        <f t="shared" si="151"/>
        <v>Thu</v>
      </c>
    </row>
    <row r="2397" spans="1:11" x14ac:dyDescent="0.35">
      <c r="A2397" s="1">
        <v>39038</v>
      </c>
      <c r="B2397">
        <v>2.1275000572204501</v>
      </c>
      <c r="C2397">
        <v>2.13350009918212</v>
      </c>
      <c r="D2397">
        <v>2.11100006103515</v>
      </c>
      <c r="E2397">
        <v>2.1275000572204501</v>
      </c>
      <c r="F2397">
        <v>2.1275000572204501</v>
      </c>
      <c r="G2397">
        <v>130604000</v>
      </c>
      <c r="H2397">
        <f t="shared" si="148"/>
        <v>2006</v>
      </c>
      <c r="I2397">
        <f t="shared" si="149"/>
        <v>11</v>
      </c>
      <c r="J2397" t="str">
        <f t="shared" si="150"/>
        <v>Nov</v>
      </c>
      <c r="K2397" t="str">
        <f t="shared" si="151"/>
        <v>Fri</v>
      </c>
    </row>
    <row r="2398" spans="1:11" x14ac:dyDescent="0.35">
      <c r="A2398" s="1">
        <v>39041</v>
      </c>
      <c r="B2398">
        <v>2.1175000667571999</v>
      </c>
      <c r="C2398">
        <v>2.1275000572204501</v>
      </c>
      <c r="D2398">
        <v>2.0969998836517298</v>
      </c>
      <c r="E2398">
        <v>2.1219999790191602</v>
      </c>
      <c r="F2398">
        <v>2.1219999790191602</v>
      </c>
      <c r="G2398">
        <v>115928000</v>
      </c>
      <c r="H2398">
        <f t="shared" si="148"/>
        <v>2006</v>
      </c>
      <c r="I2398">
        <f t="shared" si="149"/>
        <v>11</v>
      </c>
      <c r="J2398" t="str">
        <f t="shared" si="150"/>
        <v>Nov</v>
      </c>
      <c r="K2398" t="str">
        <f t="shared" si="151"/>
        <v>Mon</v>
      </c>
    </row>
    <row r="2399" spans="1:11" x14ac:dyDescent="0.35">
      <c r="A2399" s="1">
        <v>39042</v>
      </c>
      <c r="B2399">
        <v>2.1275000572204501</v>
      </c>
      <c r="C2399">
        <v>2.1624999046325599</v>
      </c>
      <c r="D2399">
        <v>2.1059999465942298</v>
      </c>
      <c r="E2399">
        <v>2.1270000934600799</v>
      </c>
      <c r="F2399">
        <v>2.1270000934600799</v>
      </c>
      <c r="G2399">
        <v>139688000</v>
      </c>
      <c r="H2399">
        <f t="shared" si="148"/>
        <v>2006</v>
      </c>
      <c r="I2399">
        <f t="shared" si="149"/>
        <v>11</v>
      </c>
      <c r="J2399" t="str">
        <f t="shared" si="150"/>
        <v>Nov</v>
      </c>
      <c r="K2399" t="str">
        <f t="shared" si="151"/>
        <v>Tue</v>
      </c>
    </row>
    <row r="2400" spans="1:11" x14ac:dyDescent="0.35">
      <c r="A2400" s="1">
        <v>39043</v>
      </c>
      <c r="B2400">
        <v>2.125</v>
      </c>
      <c r="C2400">
        <v>2.1489999294281001</v>
      </c>
      <c r="D2400">
        <v>2.1089999675750701</v>
      </c>
      <c r="E2400">
        <v>2.1480000019073402</v>
      </c>
      <c r="F2400">
        <v>2.1480000019073402</v>
      </c>
      <c r="G2400">
        <v>90712000</v>
      </c>
      <c r="H2400">
        <f t="shared" si="148"/>
        <v>2006</v>
      </c>
      <c r="I2400">
        <f t="shared" si="149"/>
        <v>11</v>
      </c>
      <c r="J2400" t="str">
        <f t="shared" si="150"/>
        <v>Nov</v>
      </c>
      <c r="K2400" t="str">
        <f t="shared" si="151"/>
        <v>Wed</v>
      </c>
    </row>
    <row r="2401" spans="1:11" x14ac:dyDescent="0.35">
      <c r="A2401" s="1">
        <v>39045</v>
      </c>
      <c r="B2401">
        <v>2.1280000209808301</v>
      </c>
      <c r="C2401">
        <v>2.14700007438659</v>
      </c>
      <c r="D2401">
        <v>2.1154999732971098</v>
      </c>
      <c r="E2401">
        <v>2.12050008773803</v>
      </c>
      <c r="F2401">
        <v>2.12050008773803</v>
      </c>
      <c r="G2401">
        <v>44826000</v>
      </c>
      <c r="H2401">
        <f t="shared" si="148"/>
        <v>2006</v>
      </c>
      <c r="I2401">
        <f t="shared" si="149"/>
        <v>11</v>
      </c>
      <c r="J2401" t="str">
        <f t="shared" si="150"/>
        <v>Nov</v>
      </c>
      <c r="K2401" t="str">
        <f t="shared" si="151"/>
        <v>Fri</v>
      </c>
    </row>
    <row r="2402" spans="1:11" x14ac:dyDescent="0.35">
      <c r="A2402" s="1">
        <v>39048</v>
      </c>
      <c r="B2402">
        <v>2.1089999675750701</v>
      </c>
      <c r="C2402">
        <v>2.1400001049041699</v>
      </c>
      <c r="D2402">
        <v>2.03600001335144</v>
      </c>
      <c r="E2402">
        <v>2.0425000190734801</v>
      </c>
      <c r="F2402">
        <v>2.0425000190734801</v>
      </c>
      <c r="G2402">
        <v>179456000</v>
      </c>
      <c r="H2402">
        <f t="shared" si="148"/>
        <v>2006</v>
      </c>
      <c r="I2402">
        <f t="shared" si="149"/>
        <v>11</v>
      </c>
      <c r="J2402" t="str">
        <f t="shared" si="150"/>
        <v>Nov</v>
      </c>
      <c r="K2402" t="str">
        <f t="shared" si="151"/>
        <v>Mon</v>
      </c>
    </row>
    <row r="2403" spans="1:11" x14ac:dyDescent="0.35">
      <c r="A2403" s="1">
        <v>39049</v>
      </c>
      <c r="B2403">
        <v>2.0374999046325599</v>
      </c>
      <c r="C2403">
        <v>2.0534999370574898</v>
      </c>
      <c r="D2403">
        <v>2.0150001049041699</v>
      </c>
      <c r="E2403">
        <v>2.0460000038146902</v>
      </c>
      <c r="F2403">
        <v>2.0460000038146902</v>
      </c>
      <c r="G2403">
        <v>141986000</v>
      </c>
      <c r="H2403">
        <f t="shared" si="148"/>
        <v>2006</v>
      </c>
      <c r="I2403">
        <f t="shared" si="149"/>
        <v>11</v>
      </c>
      <c r="J2403" t="str">
        <f t="shared" si="150"/>
        <v>Nov</v>
      </c>
      <c r="K2403" t="str">
        <f t="shared" si="151"/>
        <v>Tue</v>
      </c>
    </row>
    <row r="2404" spans="1:11" x14ac:dyDescent="0.35">
      <c r="A2404" s="1">
        <v>39050</v>
      </c>
      <c r="B2404">
        <v>2.0239999294281001</v>
      </c>
      <c r="C2404">
        <v>2.0550000667571999</v>
      </c>
      <c r="D2404">
        <v>2</v>
      </c>
      <c r="E2404">
        <v>2.03150010108947</v>
      </c>
      <c r="F2404">
        <v>2.03150010108947</v>
      </c>
      <c r="G2404">
        <v>157092000</v>
      </c>
      <c r="H2404">
        <f t="shared" si="148"/>
        <v>2006</v>
      </c>
      <c r="I2404">
        <f t="shared" si="149"/>
        <v>11</v>
      </c>
      <c r="J2404" t="str">
        <f t="shared" si="150"/>
        <v>Nov</v>
      </c>
      <c r="K2404" t="str">
        <f t="shared" si="151"/>
        <v>Wed</v>
      </c>
    </row>
    <row r="2405" spans="1:11" x14ac:dyDescent="0.35">
      <c r="A2405" s="1">
        <v>39051</v>
      </c>
      <c r="B2405">
        <v>2.0209999084472599</v>
      </c>
      <c r="C2405">
        <v>2.03200006484985</v>
      </c>
      <c r="D2405">
        <v>1.9924999475479099</v>
      </c>
      <c r="E2405">
        <v>2.0169999599456698</v>
      </c>
      <c r="F2405">
        <v>2.0169999599456698</v>
      </c>
      <c r="G2405">
        <v>126926000</v>
      </c>
      <c r="H2405">
        <f t="shared" si="148"/>
        <v>2006</v>
      </c>
      <c r="I2405">
        <f t="shared" si="149"/>
        <v>11</v>
      </c>
      <c r="J2405" t="str">
        <f t="shared" si="150"/>
        <v>Nov</v>
      </c>
      <c r="K2405" t="str">
        <f t="shared" si="151"/>
        <v>Thu</v>
      </c>
    </row>
    <row r="2406" spans="1:11" x14ac:dyDescent="0.35">
      <c r="A2406" s="1">
        <v>39052</v>
      </c>
      <c r="B2406">
        <v>2.01300001144409</v>
      </c>
      <c r="C2406">
        <v>2.0269999504089302</v>
      </c>
      <c r="D2406">
        <v>1.9544999599456701</v>
      </c>
      <c r="E2406">
        <v>1.9704999923705999</v>
      </c>
      <c r="F2406">
        <v>1.9704999923705999</v>
      </c>
      <c r="G2406">
        <v>166122000</v>
      </c>
      <c r="H2406">
        <f t="shared" si="148"/>
        <v>2006</v>
      </c>
      <c r="I2406">
        <f t="shared" si="149"/>
        <v>12</v>
      </c>
      <c r="J2406" t="str">
        <f t="shared" si="150"/>
        <v>Dec</v>
      </c>
      <c r="K2406" t="str">
        <f t="shared" si="151"/>
        <v>Fri</v>
      </c>
    </row>
    <row r="2407" spans="1:11" x14ac:dyDescent="0.35">
      <c r="A2407" s="1">
        <v>39055</v>
      </c>
      <c r="B2407">
        <v>1.9654999971389699</v>
      </c>
      <c r="C2407">
        <v>1.97399997711181</v>
      </c>
      <c r="D2407">
        <v>1.9435000419616699</v>
      </c>
      <c r="E2407">
        <v>1.95500004291534</v>
      </c>
      <c r="F2407">
        <v>1.95500004291534</v>
      </c>
      <c r="G2407">
        <v>194414000</v>
      </c>
      <c r="H2407">
        <f t="shared" si="148"/>
        <v>2006</v>
      </c>
      <c r="I2407">
        <f t="shared" si="149"/>
        <v>12</v>
      </c>
      <c r="J2407" t="str">
        <f t="shared" si="150"/>
        <v>Dec</v>
      </c>
      <c r="K2407" t="str">
        <f t="shared" si="151"/>
        <v>Mon</v>
      </c>
    </row>
    <row r="2408" spans="1:11" x14ac:dyDescent="0.35">
      <c r="A2408" s="1">
        <v>39056</v>
      </c>
      <c r="B2408">
        <v>1.9565000534057599</v>
      </c>
      <c r="C2408">
        <v>1.9650000333786</v>
      </c>
      <c r="D2408">
        <v>1.9359999895095801</v>
      </c>
      <c r="E2408">
        <v>1.9490000009536701</v>
      </c>
      <c r="F2408">
        <v>1.9490000009536701</v>
      </c>
      <c r="G2408">
        <v>114754000</v>
      </c>
      <c r="H2408">
        <f t="shared" si="148"/>
        <v>2006</v>
      </c>
      <c r="I2408">
        <f t="shared" si="149"/>
        <v>12</v>
      </c>
      <c r="J2408" t="str">
        <f t="shared" si="150"/>
        <v>Dec</v>
      </c>
      <c r="K2408" t="str">
        <f t="shared" si="151"/>
        <v>Tue</v>
      </c>
    </row>
    <row r="2409" spans="1:11" x14ac:dyDescent="0.35">
      <c r="A2409" s="1">
        <v>39057</v>
      </c>
      <c r="B2409">
        <v>1.9385000467300399</v>
      </c>
      <c r="C2409">
        <v>1.9789999723434399</v>
      </c>
      <c r="D2409">
        <v>1.9320000410079901</v>
      </c>
      <c r="E2409">
        <v>1.9450000524520801</v>
      </c>
      <c r="F2409">
        <v>1.9450000524520801</v>
      </c>
      <c r="G2409">
        <v>115538000</v>
      </c>
      <c r="H2409">
        <f t="shared" si="148"/>
        <v>2006</v>
      </c>
      <c r="I2409">
        <f t="shared" si="149"/>
        <v>12</v>
      </c>
      <c r="J2409" t="str">
        <f t="shared" si="150"/>
        <v>Dec</v>
      </c>
      <c r="K2409" t="str">
        <f t="shared" si="151"/>
        <v>Wed</v>
      </c>
    </row>
    <row r="2410" spans="1:11" x14ac:dyDescent="0.35">
      <c r="A2410" s="1">
        <v>39058</v>
      </c>
      <c r="B2410">
        <v>1.94649994373321</v>
      </c>
      <c r="C2410">
        <v>1.9544999599456701</v>
      </c>
      <c r="D2410">
        <v>1.9025000333786</v>
      </c>
      <c r="E2410">
        <v>1.90600001811981</v>
      </c>
      <c r="F2410">
        <v>1.90600001811981</v>
      </c>
      <c r="G2410">
        <v>132430000</v>
      </c>
      <c r="H2410">
        <f t="shared" si="148"/>
        <v>2006</v>
      </c>
      <c r="I2410">
        <f t="shared" si="149"/>
        <v>12</v>
      </c>
      <c r="J2410" t="str">
        <f t="shared" si="150"/>
        <v>Dec</v>
      </c>
      <c r="K2410" t="str">
        <f t="shared" si="151"/>
        <v>Thu</v>
      </c>
    </row>
    <row r="2411" spans="1:11" x14ac:dyDescent="0.35">
      <c r="A2411" s="1">
        <v>39059</v>
      </c>
      <c r="B2411">
        <v>1.8960000276565501</v>
      </c>
      <c r="C2411">
        <v>1.94749999046325</v>
      </c>
      <c r="D2411">
        <v>1.88499999046325</v>
      </c>
      <c r="E2411">
        <v>1.9229999780654901</v>
      </c>
      <c r="F2411">
        <v>1.9229999780654901</v>
      </c>
      <c r="G2411">
        <v>102794000</v>
      </c>
      <c r="H2411">
        <f t="shared" si="148"/>
        <v>2006</v>
      </c>
      <c r="I2411">
        <f t="shared" si="149"/>
        <v>12</v>
      </c>
      <c r="J2411" t="str">
        <f t="shared" si="150"/>
        <v>Dec</v>
      </c>
      <c r="K2411" t="str">
        <f t="shared" si="151"/>
        <v>Fri</v>
      </c>
    </row>
    <row r="2412" spans="1:11" x14ac:dyDescent="0.35">
      <c r="A2412" s="1">
        <v>39062</v>
      </c>
      <c r="B2412">
        <v>1.91100001335144</v>
      </c>
      <c r="C2412">
        <v>1.9574999809265099</v>
      </c>
      <c r="D2412">
        <v>1.9040000438690099</v>
      </c>
      <c r="E2412">
        <v>1.9344999790191599</v>
      </c>
      <c r="F2412">
        <v>1.9344999790191599</v>
      </c>
      <c r="G2412">
        <v>96972000</v>
      </c>
      <c r="H2412">
        <f t="shared" si="148"/>
        <v>2006</v>
      </c>
      <c r="I2412">
        <f t="shared" si="149"/>
        <v>12</v>
      </c>
      <c r="J2412" t="str">
        <f t="shared" si="150"/>
        <v>Dec</v>
      </c>
      <c r="K2412" t="str">
        <f t="shared" si="151"/>
        <v>Mon</v>
      </c>
    </row>
    <row r="2413" spans="1:11" x14ac:dyDescent="0.35">
      <c r="A2413" s="1">
        <v>39063</v>
      </c>
      <c r="B2413">
        <v>1.9220000505447301</v>
      </c>
      <c r="C2413">
        <v>1.94700002670288</v>
      </c>
      <c r="D2413">
        <v>1.9075000286102199</v>
      </c>
      <c r="E2413">
        <v>1.9229999780654901</v>
      </c>
      <c r="F2413">
        <v>1.9229999780654901</v>
      </c>
      <c r="G2413">
        <v>101664000</v>
      </c>
      <c r="H2413">
        <f t="shared" si="148"/>
        <v>2006</v>
      </c>
      <c r="I2413">
        <f t="shared" si="149"/>
        <v>12</v>
      </c>
      <c r="J2413" t="str">
        <f t="shared" si="150"/>
        <v>Dec</v>
      </c>
      <c r="K2413" t="str">
        <f t="shared" si="151"/>
        <v>Tue</v>
      </c>
    </row>
    <row r="2414" spans="1:11" x14ac:dyDescent="0.35">
      <c r="A2414" s="1">
        <v>39064</v>
      </c>
      <c r="B2414">
        <v>1.9305000305175699</v>
      </c>
      <c r="C2414">
        <v>1.9594999551773</v>
      </c>
      <c r="D2414">
        <v>1.9095000028610201</v>
      </c>
      <c r="E2414">
        <v>1.92499995231628</v>
      </c>
      <c r="F2414">
        <v>1.92499995231628</v>
      </c>
      <c r="G2414">
        <v>93556000</v>
      </c>
      <c r="H2414">
        <f t="shared" si="148"/>
        <v>2006</v>
      </c>
      <c r="I2414">
        <f t="shared" si="149"/>
        <v>12</v>
      </c>
      <c r="J2414" t="str">
        <f t="shared" si="150"/>
        <v>Dec</v>
      </c>
      <c r="K2414" t="str">
        <f t="shared" si="151"/>
        <v>Wed</v>
      </c>
    </row>
    <row r="2415" spans="1:11" x14ac:dyDescent="0.35">
      <c r="A2415" s="1">
        <v>39065</v>
      </c>
      <c r="B2415">
        <v>1.93700003623962</v>
      </c>
      <c r="C2415">
        <v>1.97699999809265</v>
      </c>
      <c r="D2415">
        <v>1.9299999475479099</v>
      </c>
      <c r="E2415">
        <v>1.95099997520446</v>
      </c>
      <c r="F2415">
        <v>1.95099997520446</v>
      </c>
      <c r="G2415">
        <v>125922000</v>
      </c>
      <c r="H2415">
        <f t="shared" si="148"/>
        <v>2006</v>
      </c>
      <c r="I2415">
        <f t="shared" si="149"/>
        <v>12</v>
      </c>
      <c r="J2415" t="str">
        <f t="shared" si="150"/>
        <v>Dec</v>
      </c>
      <c r="K2415" t="str">
        <f t="shared" si="151"/>
        <v>Thu</v>
      </c>
    </row>
    <row r="2416" spans="1:11" x14ac:dyDescent="0.35">
      <c r="A2416" s="1">
        <v>39066</v>
      </c>
      <c r="B2416">
        <v>1.96899998188018</v>
      </c>
      <c r="C2416">
        <v>2.00950002670288</v>
      </c>
      <c r="D2416">
        <v>1.9615000486373899</v>
      </c>
      <c r="E2416">
        <v>2.0004999637603702</v>
      </c>
      <c r="F2416">
        <v>2.0004999637603702</v>
      </c>
      <c r="G2416">
        <v>163070000</v>
      </c>
      <c r="H2416">
        <f t="shared" si="148"/>
        <v>2006</v>
      </c>
      <c r="I2416">
        <f t="shared" si="149"/>
        <v>12</v>
      </c>
      <c r="J2416" t="str">
        <f t="shared" si="150"/>
        <v>Dec</v>
      </c>
      <c r="K2416" t="str">
        <f t="shared" si="151"/>
        <v>Fri</v>
      </c>
    </row>
    <row r="2417" spans="1:11" x14ac:dyDescent="0.35">
      <c r="A2417" s="1">
        <v>39069</v>
      </c>
      <c r="B2417">
        <v>2.0099999904632502</v>
      </c>
      <c r="C2417">
        <v>2.03200006484985</v>
      </c>
      <c r="D2417">
        <v>1.942999958992</v>
      </c>
      <c r="E2417">
        <v>1.9630000591278001</v>
      </c>
      <c r="F2417">
        <v>1.9630000591278001</v>
      </c>
      <c r="G2417">
        <v>129734000</v>
      </c>
      <c r="H2417">
        <f t="shared" si="148"/>
        <v>2006</v>
      </c>
      <c r="I2417">
        <f t="shared" si="149"/>
        <v>12</v>
      </c>
      <c r="J2417" t="str">
        <f t="shared" si="150"/>
        <v>Dec</v>
      </c>
      <c r="K2417" t="str">
        <f t="shared" si="151"/>
        <v>Mon</v>
      </c>
    </row>
    <row r="2418" spans="1:11" x14ac:dyDescent="0.35">
      <c r="A2418" s="1">
        <v>39070</v>
      </c>
      <c r="B2418">
        <v>1.9390000104904099</v>
      </c>
      <c r="C2418">
        <v>1.98599994182586</v>
      </c>
      <c r="D2418">
        <v>1.91149997711181</v>
      </c>
      <c r="E2418">
        <v>1.9709999561309799</v>
      </c>
      <c r="F2418">
        <v>1.9709999561309799</v>
      </c>
      <c r="G2418">
        <v>150400000</v>
      </c>
      <c r="H2418">
        <f t="shared" si="148"/>
        <v>2006</v>
      </c>
      <c r="I2418">
        <f t="shared" si="149"/>
        <v>12</v>
      </c>
      <c r="J2418" t="str">
        <f t="shared" si="150"/>
        <v>Dec</v>
      </c>
      <c r="K2418" t="str">
        <f t="shared" si="151"/>
        <v>Tue</v>
      </c>
    </row>
    <row r="2419" spans="1:11" x14ac:dyDescent="0.35">
      <c r="A2419" s="1">
        <v>39071</v>
      </c>
      <c r="B2419">
        <v>1.9715000391006401</v>
      </c>
      <c r="C2419">
        <v>2.0150001049041699</v>
      </c>
      <c r="D2419">
        <v>1.96949994564056</v>
      </c>
      <c r="E2419">
        <v>2.0004999637603702</v>
      </c>
      <c r="F2419">
        <v>2.0004999637603702</v>
      </c>
      <c r="G2419">
        <v>155686000</v>
      </c>
      <c r="H2419">
        <f t="shared" si="148"/>
        <v>2006</v>
      </c>
      <c r="I2419">
        <f t="shared" si="149"/>
        <v>12</v>
      </c>
      <c r="J2419" t="str">
        <f t="shared" si="150"/>
        <v>Dec</v>
      </c>
      <c r="K2419" t="str">
        <f t="shared" si="151"/>
        <v>Wed</v>
      </c>
    </row>
    <row r="2420" spans="1:11" x14ac:dyDescent="0.35">
      <c r="A2420" s="1">
        <v>39072</v>
      </c>
      <c r="B2420">
        <v>1.9934999942779501</v>
      </c>
      <c r="C2420">
        <v>2.0169999599456698</v>
      </c>
      <c r="D2420">
        <v>1.98249995708465</v>
      </c>
      <c r="E2420">
        <v>1.9945000410079901</v>
      </c>
      <c r="F2420">
        <v>1.9945000410079901</v>
      </c>
      <c r="G2420">
        <v>131004000</v>
      </c>
      <c r="H2420">
        <f t="shared" si="148"/>
        <v>2006</v>
      </c>
      <c r="I2420">
        <f t="shared" si="149"/>
        <v>12</v>
      </c>
      <c r="J2420" t="str">
        <f t="shared" si="150"/>
        <v>Dec</v>
      </c>
      <c r="K2420" t="str">
        <f t="shared" si="151"/>
        <v>Thu</v>
      </c>
    </row>
    <row r="2421" spans="1:11" x14ac:dyDescent="0.35">
      <c r="A2421" s="1">
        <v>39073</v>
      </c>
      <c r="B2421">
        <v>1.9989999532699501</v>
      </c>
      <c r="C2421">
        <v>2.0255000591278001</v>
      </c>
      <c r="D2421">
        <v>1.99549996852874</v>
      </c>
      <c r="E2421">
        <v>2.0120000839233398</v>
      </c>
      <c r="F2421">
        <v>2.0120000839233398</v>
      </c>
      <c r="G2421">
        <v>111702000</v>
      </c>
      <c r="H2421">
        <f t="shared" si="148"/>
        <v>2006</v>
      </c>
      <c r="I2421">
        <f t="shared" si="149"/>
        <v>12</v>
      </c>
      <c r="J2421" t="str">
        <f t="shared" si="150"/>
        <v>Dec</v>
      </c>
      <c r="K2421" t="str">
        <f t="shared" si="151"/>
        <v>Fri</v>
      </c>
    </row>
    <row r="2422" spans="1:11" x14ac:dyDescent="0.35">
      <c r="A2422" s="1">
        <v>39077</v>
      </c>
      <c r="B2422">
        <v>2.0065000057220401</v>
      </c>
      <c r="C2422">
        <v>2.0065000057220401</v>
      </c>
      <c r="D2422">
        <v>1.9709999561309799</v>
      </c>
      <c r="E2422">
        <v>1.9900000095367401</v>
      </c>
      <c r="F2422">
        <v>1.9900000095367401</v>
      </c>
      <c r="G2422">
        <v>89472000</v>
      </c>
      <c r="H2422">
        <f t="shared" si="148"/>
        <v>2006</v>
      </c>
      <c r="I2422">
        <f t="shared" si="149"/>
        <v>12</v>
      </c>
      <c r="J2422" t="str">
        <f t="shared" si="150"/>
        <v>Dec</v>
      </c>
      <c r="K2422" t="str">
        <f t="shared" si="151"/>
        <v>Tue</v>
      </c>
    </row>
    <row r="2423" spans="1:11" x14ac:dyDescent="0.35">
      <c r="A2423" s="1">
        <v>39078</v>
      </c>
      <c r="B2423">
        <v>1.9930000305175699</v>
      </c>
      <c r="C2423">
        <v>2.0234999656677202</v>
      </c>
      <c r="D2423">
        <v>1.9900000095367401</v>
      </c>
      <c r="E2423">
        <v>2.01449990272521</v>
      </c>
      <c r="F2423">
        <v>2.01449990272521</v>
      </c>
      <c r="G2423">
        <v>70730000</v>
      </c>
      <c r="H2423">
        <f t="shared" si="148"/>
        <v>2006</v>
      </c>
      <c r="I2423">
        <f t="shared" si="149"/>
        <v>12</v>
      </c>
      <c r="J2423" t="str">
        <f t="shared" si="150"/>
        <v>Dec</v>
      </c>
      <c r="K2423" t="str">
        <f t="shared" si="151"/>
        <v>Wed</v>
      </c>
    </row>
    <row r="2424" spans="1:11" x14ac:dyDescent="0.35">
      <c r="A2424" s="1">
        <v>39079</v>
      </c>
      <c r="B2424">
        <v>2.0190000534057599</v>
      </c>
      <c r="C2424">
        <v>2.03150010108947</v>
      </c>
      <c r="D2424">
        <v>1.99600005149841</v>
      </c>
      <c r="E2424">
        <v>2.0104999542236301</v>
      </c>
      <c r="F2424">
        <v>2.0104999542236301</v>
      </c>
      <c r="G2424">
        <v>90910000</v>
      </c>
      <c r="H2424">
        <f t="shared" si="148"/>
        <v>2006</v>
      </c>
      <c r="I2424">
        <f t="shared" si="149"/>
        <v>12</v>
      </c>
      <c r="J2424" t="str">
        <f t="shared" si="150"/>
        <v>Dec</v>
      </c>
      <c r="K2424" t="str">
        <f t="shared" si="151"/>
        <v>Thu</v>
      </c>
    </row>
    <row r="2425" spans="1:11" x14ac:dyDescent="0.35">
      <c r="A2425" s="1">
        <v>39080</v>
      </c>
      <c r="B2425">
        <v>2.0030000209808301</v>
      </c>
      <c r="C2425">
        <v>2.01250004768371</v>
      </c>
      <c r="D2425">
        <v>1.9674999713897701</v>
      </c>
      <c r="E2425">
        <v>1.97300004959106</v>
      </c>
      <c r="F2425">
        <v>1.97300004959106</v>
      </c>
      <c r="G2425">
        <v>83940000</v>
      </c>
      <c r="H2425">
        <f t="shared" si="148"/>
        <v>2006</v>
      </c>
      <c r="I2425">
        <f t="shared" si="149"/>
        <v>12</v>
      </c>
      <c r="J2425" t="str">
        <f t="shared" si="150"/>
        <v>Dec</v>
      </c>
      <c r="K2425" t="str">
        <f t="shared" si="151"/>
        <v>Fri</v>
      </c>
    </row>
    <row r="2426" spans="1:11" x14ac:dyDescent="0.35">
      <c r="A2426" s="1">
        <v>39085</v>
      </c>
      <c r="B2426">
        <v>1.93400001525878</v>
      </c>
      <c r="C2426">
        <v>1.9529999494552599</v>
      </c>
      <c r="D2426">
        <v>1.9025000333786</v>
      </c>
      <c r="E2426">
        <v>1.9349999427795399</v>
      </c>
      <c r="F2426">
        <v>1.9349999427795399</v>
      </c>
      <c r="G2426">
        <v>248102000</v>
      </c>
      <c r="H2426">
        <f t="shared" si="148"/>
        <v>2007</v>
      </c>
      <c r="I2426">
        <f t="shared" si="149"/>
        <v>1</v>
      </c>
      <c r="J2426" t="str">
        <f t="shared" si="150"/>
        <v>Jan</v>
      </c>
      <c r="K2426" t="str">
        <f t="shared" si="151"/>
        <v>Wed</v>
      </c>
    </row>
    <row r="2427" spans="1:11" x14ac:dyDescent="0.35">
      <c r="A2427" s="1">
        <v>39086</v>
      </c>
      <c r="B2427">
        <v>1.92949998378753</v>
      </c>
      <c r="C2427">
        <v>1.9570000171661299</v>
      </c>
      <c r="D2427">
        <v>1.9129999876022299</v>
      </c>
      <c r="E2427">
        <v>1.9450000524520801</v>
      </c>
      <c r="F2427">
        <v>1.9450000524520801</v>
      </c>
      <c r="G2427">
        <v>126368000</v>
      </c>
      <c r="H2427">
        <f t="shared" si="148"/>
        <v>2007</v>
      </c>
      <c r="I2427">
        <f t="shared" si="149"/>
        <v>1</v>
      </c>
      <c r="J2427" t="str">
        <f t="shared" si="150"/>
        <v>Jan</v>
      </c>
      <c r="K2427" t="str">
        <f t="shared" si="151"/>
        <v>Thu</v>
      </c>
    </row>
    <row r="2428" spans="1:11" x14ac:dyDescent="0.35">
      <c r="A2428" s="1">
        <v>39087</v>
      </c>
      <c r="B2428">
        <v>1.9359999895095801</v>
      </c>
      <c r="C2428">
        <v>1.9394999742507899</v>
      </c>
      <c r="D2428">
        <v>1.87999999523162</v>
      </c>
      <c r="E2428">
        <v>1.9184999465942301</v>
      </c>
      <c r="F2428">
        <v>1.9184999465942301</v>
      </c>
      <c r="G2428">
        <v>132394000</v>
      </c>
      <c r="H2428">
        <f t="shared" si="148"/>
        <v>2007</v>
      </c>
      <c r="I2428">
        <f t="shared" si="149"/>
        <v>1</v>
      </c>
      <c r="J2428" t="str">
        <f t="shared" si="150"/>
        <v>Jan</v>
      </c>
      <c r="K2428" t="str">
        <f t="shared" si="151"/>
        <v>Fri</v>
      </c>
    </row>
    <row r="2429" spans="1:11" x14ac:dyDescent="0.35">
      <c r="A2429" s="1">
        <v>39090</v>
      </c>
      <c r="B2429">
        <v>1.91100001335144</v>
      </c>
      <c r="C2429">
        <v>1.91550004482269</v>
      </c>
      <c r="D2429">
        <v>1.8585000038146899</v>
      </c>
      <c r="E2429">
        <v>1.875</v>
      </c>
      <c r="F2429">
        <v>1.875</v>
      </c>
      <c r="G2429">
        <v>135660000</v>
      </c>
      <c r="H2429">
        <f t="shared" si="148"/>
        <v>2007</v>
      </c>
      <c r="I2429">
        <f t="shared" si="149"/>
        <v>1</v>
      </c>
      <c r="J2429" t="str">
        <f t="shared" si="150"/>
        <v>Jan</v>
      </c>
      <c r="K2429" t="str">
        <f t="shared" si="151"/>
        <v>Mon</v>
      </c>
    </row>
    <row r="2430" spans="1:11" x14ac:dyDescent="0.35">
      <c r="A2430" s="1">
        <v>39091</v>
      </c>
      <c r="B2430">
        <v>1.87999999523162</v>
      </c>
      <c r="C2430">
        <v>1.9029999971389699</v>
      </c>
      <c r="D2430">
        <v>1.86699998378753</v>
      </c>
      <c r="E2430">
        <v>1.88900005817413</v>
      </c>
      <c r="F2430">
        <v>1.88900005817413</v>
      </c>
      <c r="G2430">
        <v>114060000</v>
      </c>
      <c r="H2430">
        <f t="shared" si="148"/>
        <v>2007</v>
      </c>
      <c r="I2430">
        <f t="shared" si="149"/>
        <v>1</v>
      </c>
      <c r="J2430" t="str">
        <f t="shared" si="150"/>
        <v>Jan</v>
      </c>
      <c r="K2430" t="str">
        <f t="shared" si="151"/>
        <v>Tue</v>
      </c>
    </row>
    <row r="2431" spans="1:11" x14ac:dyDescent="0.35">
      <c r="A2431" s="1">
        <v>39092</v>
      </c>
      <c r="B2431">
        <v>1.87450003623962</v>
      </c>
      <c r="C2431">
        <v>1.88499999046325</v>
      </c>
      <c r="D2431">
        <v>1.85350000858306</v>
      </c>
      <c r="E2431">
        <v>1.85749995708465</v>
      </c>
      <c r="F2431">
        <v>1.85749995708465</v>
      </c>
      <c r="G2431">
        <v>130550000</v>
      </c>
      <c r="H2431">
        <f t="shared" si="148"/>
        <v>2007</v>
      </c>
      <c r="I2431">
        <f t="shared" si="149"/>
        <v>1</v>
      </c>
      <c r="J2431" t="str">
        <f t="shared" si="150"/>
        <v>Jan</v>
      </c>
      <c r="K2431" t="str">
        <f t="shared" si="151"/>
        <v>Wed</v>
      </c>
    </row>
    <row r="2432" spans="1:11" x14ac:dyDescent="0.35">
      <c r="A2432" s="1">
        <v>39093</v>
      </c>
      <c r="B2432">
        <v>1.8585000038146899</v>
      </c>
      <c r="C2432">
        <v>1.8999999761581401</v>
      </c>
      <c r="D2432">
        <v>1.8585000038146899</v>
      </c>
      <c r="E2432">
        <v>1.87000000476837</v>
      </c>
      <c r="F2432">
        <v>1.87000000476837</v>
      </c>
      <c r="G2432">
        <v>129312000</v>
      </c>
      <c r="H2432">
        <f t="shared" si="148"/>
        <v>2007</v>
      </c>
      <c r="I2432">
        <f t="shared" si="149"/>
        <v>1</v>
      </c>
      <c r="J2432" t="str">
        <f t="shared" si="150"/>
        <v>Jan</v>
      </c>
      <c r="K2432" t="str">
        <f t="shared" si="151"/>
        <v>Thu</v>
      </c>
    </row>
    <row r="2433" spans="1:11" x14ac:dyDescent="0.35">
      <c r="A2433" s="1">
        <v>39094</v>
      </c>
      <c r="B2433">
        <v>1.8680000305175699</v>
      </c>
      <c r="C2433">
        <v>1.91050004959106</v>
      </c>
      <c r="D2433">
        <v>1.8634999990463199</v>
      </c>
      <c r="E2433">
        <v>1.90999996662139</v>
      </c>
      <c r="F2433">
        <v>1.90999996662139</v>
      </c>
      <c r="G2433">
        <v>89328000</v>
      </c>
      <c r="H2433">
        <f t="shared" si="148"/>
        <v>2007</v>
      </c>
      <c r="I2433">
        <f t="shared" si="149"/>
        <v>1</v>
      </c>
      <c r="J2433" t="str">
        <f t="shared" si="150"/>
        <v>Jan</v>
      </c>
      <c r="K2433" t="str">
        <f t="shared" si="151"/>
        <v>Fri</v>
      </c>
    </row>
    <row r="2434" spans="1:11" x14ac:dyDescent="0.35">
      <c r="A2434" s="1">
        <v>39098</v>
      </c>
      <c r="B2434">
        <v>1.91999995708465</v>
      </c>
      <c r="C2434">
        <v>1.9444999694824201</v>
      </c>
      <c r="D2434">
        <v>1.8984999656677199</v>
      </c>
      <c r="E2434">
        <v>1.93299996852874</v>
      </c>
      <c r="F2434">
        <v>1.93299996852874</v>
      </c>
      <c r="G2434">
        <v>112874000</v>
      </c>
      <c r="H2434">
        <f t="shared" si="148"/>
        <v>2007</v>
      </c>
      <c r="I2434">
        <f t="shared" si="149"/>
        <v>1</v>
      </c>
      <c r="J2434" t="str">
        <f t="shared" si="150"/>
        <v>Jan</v>
      </c>
      <c r="K2434" t="str">
        <f t="shared" si="151"/>
        <v>Tue</v>
      </c>
    </row>
    <row r="2435" spans="1:11" x14ac:dyDescent="0.35">
      <c r="A2435" s="1">
        <v>39099</v>
      </c>
      <c r="B2435">
        <v>1.9349999427795399</v>
      </c>
      <c r="C2435">
        <v>1.95000004768371</v>
      </c>
      <c r="D2435">
        <v>1.88900005817413</v>
      </c>
      <c r="E2435">
        <v>1.8940000534057599</v>
      </c>
      <c r="F2435">
        <v>1.8940000534057599</v>
      </c>
      <c r="G2435">
        <v>100536000</v>
      </c>
      <c r="H2435">
        <f t="shared" si="148"/>
        <v>2007</v>
      </c>
      <c r="I2435">
        <f t="shared" si="149"/>
        <v>1</v>
      </c>
      <c r="J2435" t="str">
        <f t="shared" si="150"/>
        <v>Jan</v>
      </c>
      <c r="K2435" t="str">
        <f t="shared" si="151"/>
        <v>Wed</v>
      </c>
    </row>
    <row r="2436" spans="1:11" x14ac:dyDescent="0.35">
      <c r="A2436" s="1">
        <v>39100</v>
      </c>
      <c r="B2436">
        <v>1.875</v>
      </c>
      <c r="C2436">
        <v>1.8825000524520801</v>
      </c>
      <c r="D2436">
        <v>1.8359999656677199</v>
      </c>
      <c r="E2436">
        <v>1.84899997711181</v>
      </c>
      <c r="F2436">
        <v>1.84899997711181</v>
      </c>
      <c r="G2436">
        <v>182100000</v>
      </c>
      <c r="H2436">
        <f t="shared" ref="H2436:H2499" si="152">YEAR($A2436)</f>
        <v>2007</v>
      </c>
      <c r="I2436">
        <f t="shared" ref="I2436:I2499" si="153">MONTH($A2436)</f>
        <v>1</v>
      </c>
      <c r="J2436" t="str">
        <f t="shared" ref="J2436:J2499" si="154">TEXT($A2436,"mmm")</f>
        <v>Jan</v>
      </c>
      <c r="K2436" t="str">
        <f t="shared" ref="K2436:K2499" si="155">TEXT($A2436,"ddd")</f>
        <v>Thu</v>
      </c>
    </row>
    <row r="2437" spans="1:11" x14ac:dyDescent="0.35">
      <c r="A2437" s="1">
        <v>39101</v>
      </c>
      <c r="B2437">
        <v>1.8344999551773</v>
      </c>
      <c r="C2437">
        <v>1.8739999532699501</v>
      </c>
      <c r="D2437">
        <v>1.83000004291534</v>
      </c>
      <c r="E2437">
        <v>1.8509999513626001</v>
      </c>
      <c r="F2437">
        <v>1.8509999513626001</v>
      </c>
      <c r="G2437">
        <v>121918000</v>
      </c>
      <c r="H2437">
        <f t="shared" si="152"/>
        <v>2007</v>
      </c>
      <c r="I2437">
        <f t="shared" si="153"/>
        <v>1</v>
      </c>
      <c r="J2437" t="str">
        <f t="shared" si="154"/>
        <v>Jan</v>
      </c>
      <c r="K2437" t="str">
        <f t="shared" si="155"/>
        <v>Fri</v>
      </c>
    </row>
    <row r="2438" spans="1:11" x14ac:dyDescent="0.35">
      <c r="A2438" s="1">
        <v>39104</v>
      </c>
      <c r="B2438">
        <v>1.8825000524520801</v>
      </c>
      <c r="C2438">
        <v>1.8949999809265099</v>
      </c>
      <c r="D2438">
        <v>1.8400000333786</v>
      </c>
      <c r="E2438">
        <v>1.84749996662139</v>
      </c>
      <c r="F2438">
        <v>1.84749996662139</v>
      </c>
      <c r="G2438">
        <v>166340000</v>
      </c>
      <c r="H2438">
        <f t="shared" si="152"/>
        <v>2007</v>
      </c>
      <c r="I2438">
        <f t="shared" si="153"/>
        <v>1</v>
      </c>
      <c r="J2438" t="str">
        <f t="shared" si="154"/>
        <v>Jan</v>
      </c>
      <c r="K2438" t="str">
        <f t="shared" si="155"/>
        <v>Mon</v>
      </c>
    </row>
    <row r="2439" spans="1:11" x14ac:dyDescent="0.35">
      <c r="A2439" s="1">
        <v>39105</v>
      </c>
      <c r="B2439">
        <v>1.8450000286102199</v>
      </c>
      <c r="C2439">
        <v>1.85350000858306</v>
      </c>
      <c r="D2439">
        <v>1.8150000572204501</v>
      </c>
      <c r="E2439">
        <v>1.82149994373321</v>
      </c>
      <c r="F2439">
        <v>1.82149994373321</v>
      </c>
      <c r="G2439">
        <v>106272000</v>
      </c>
      <c r="H2439">
        <f t="shared" si="152"/>
        <v>2007</v>
      </c>
      <c r="I2439">
        <f t="shared" si="153"/>
        <v>1</v>
      </c>
      <c r="J2439" t="str">
        <f t="shared" si="154"/>
        <v>Jan</v>
      </c>
      <c r="K2439" t="str">
        <f t="shared" si="155"/>
        <v>Tue</v>
      </c>
    </row>
    <row r="2440" spans="1:11" x14ac:dyDescent="0.35">
      <c r="A2440" s="1">
        <v>39106</v>
      </c>
      <c r="B2440">
        <v>1.82550001144409</v>
      </c>
      <c r="C2440">
        <v>1.8680000305175699</v>
      </c>
      <c r="D2440">
        <v>1.82500004768371</v>
      </c>
      <c r="E2440">
        <v>1.8630000352859399</v>
      </c>
      <c r="F2440">
        <v>1.8630000352859399</v>
      </c>
      <c r="G2440">
        <v>105434000</v>
      </c>
      <c r="H2440">
        <f t="shared" si="152"/>
        <v>2007</v>
      </c>
      <c r="I2440">
        <f t="shared" si="153"/>
        <v>1</v>
      </c>
      <c r="J2440" t="str">
        <f t="shared" si="154"/>
        <v>Jan</v>
      </c>
      <c r="K2440" t="str">
        <f t="shared" si="155"/>
        <v>Wed</v>
      </c>
    </row>
    <row r="2441" spans="1:11" x14ac:dyDescent="0.35">
      <c r="A2441" s="1">
        <v>39107</v>
      </c>
      <c r="B2441">
        <v>1.9040000438690099</v>
      </c>
      <c r="C2441">
        <v>1.91149997711181</v>
      </c>
      <c r="D2441">
        <v>1.83899998664855</v>
      </c>
      <c r="E2441">
        <v>1.8539999723434399</v>
      </c>
      <c r="F2441">
        <v>1.8539999723434399</v>
      </c>
      <c r="G2441">
        <v>134952000</v>
      </c>
      <c r="H2441">
        <f t="shared" si="152"/>
        <v>2007</v>
      </c>
      <c r="I2441">
        <f t="shared" si="153"/>
        <v>1</v>
      </c>
      <c r="J2441" t="str">
        <f t="shared" si="154"/>
        <v>Jan</v>
      </c>
      <c r="K2441" t="str">
        <f t="shared" si="155"/>
        <v>Thu</v>
      </c>
    </row>
    <row r="2442" spans="1:11" x14ac:dyDescent="0.35">
      <c r="A2442" s="1">
        <v>39108</v>
      </c>
      <c r="B2442">
        <v>1.8630000352859399</v>
      </c>
      <c r="C2442">
        <v>1.8630000352859399</v>
      </c>
      <c r="D2442">
        <v>1.8150000572204501</v>
      </c>
      <c r="E2442">
        <v>1.8424999713897701</v>
      </c>
      <c r="F2442">
        <v>1.8424999713897701</v>
      </c>
      <c r="G2442">
        <v>82786000</v>
      </c>
      <c r="H2442">
        <f t="shared" si="152"/>
        <v>2007</v>
      </c>
      <c r="I2442">
        <f t="shared" si="153"/>
        <v>1</v>
      </c>
      <c r="J2442" t="str">
        <f t="shared" si="154"/>
        <v>Jan</v>
      </c>
      <c r="K2442" t="str">
        <f t="shared" si="155"/>
        <v>Fri</v>
      </c>
    </row>
    <row r="2443" spans="1:11" x14ac:dyDescent="0.35">
      <c r="A2443" s="1">
        <v>39111</v>
      </c>
      <c r="B2443">
        <v>1.83500003814697</v>
      </c>
      <c r="C2443">
        <v>1.8724999427795399</v>
      </c>
      <c r="D2443">
        <v>1.8270000219345</v>
      </c>
      <c r="E2443">
        <v>1.87150001525878</v>
      </c>
      <c r="F2443">
        <v>1.87150001525878</v>
      </c>
      <c r="G2443">
        <v>147900000</v>
      </c>
      <c r="H2443">
        <f t="shared" si="152"/>
        <v>2007</v>
      </c>
      <c r="I2443">
        <f t="shared" si="153"/>
        <v>1</v>
      </c>
      <c r="J2443" t="str">
        <f t="shared" si="154"/>
        <v>Jan</v>
      </c>
      <c r="K2443" t="str">
        <f t="shared" si="155"/>
        <v>Mon</v>
      </c>
    </row>
    <row r="2444" spans="1:11" x14ac:dyDescent="0.35">
      <c r="A2444" s="1">
        <v>39112</v>
      </c>
      <c r="B2444">
        <v>1.8645000457763601</v>
      </c>
      <c r="C2444">
        <v>1.87100005149841</v>
      </c>
      <c r="D2444">
        <v>1.8315000534057599</v>
      </c>
      <c r="E2444">
        <v>1.85249996185302</v>
      </c>
      <c r="F2444">
        <v>1.85249996185302</v>
      </c>
      <c r="G2444">
        <v>96270000</v>
      </c>
      <c r="H2444">
        <f t="shared" si="152"/>
        <v>2007</v>
      </c>
      <c r="I2444">
        <f t="shared" si="153"/>
        <v>1</v>
      </c>
      <c r="J2444" t="str">
        <f t="shared" si="154"/>
        <v>Jan</v>
      </c>
      <c r="K2444" t="str">
        <f t="shared" si="155"/>
        <v>Tue</v>
      </c>
    </row>
    <row r="2445" spans="1:11" x14ac:dyDescent="0.35">
      <c r="A2445" s="1">
        <v>39113</v>
      </c>
      <c r="B2445">
        <v>1.84749996662139</v>
      </c>
      <c r="C2445">
        <v>1.9095000028610201</v>
      </c>
      <c r="D2445">
        <v>1.8380000591278001</v>
      </c>
      <c r="E2445">
        <v>1.88349997997283</v>
      </c>
      <c r="F2445">
        <v>1.88349997997283</v>
      </c>
      <c r="G2445">
        <v>145550000</v>
      </c>
      <c r="H2445">
        <f t="shared" si="152"/>
        <v>2007</v>
      </c>
      <c r="I2445">
        <f t="shared" si="153"/>
        <v>1</v>
      </c>
      <c r="J2445" t="str">
        <f t="shared" si="154"/>
        <v>Jan</v>
      </c>
      <c r="K2445" t="str">
        <f t="shared" si="155"/>
        <v>Wed</v>
      </c>
    </row>
    <row r="2446" spans="1:11" x14ac:dyDescent="0.35">
      <c r="A2446" s="1">
        <v>39114</v>
      </c>
      <c r="B2446">
        <v>1.89750003814697</v>
      </c>
      <c r="C2446">
        <v>1.9650000333786</v>
      </c>
      <c r="D2446">
        <v>1.89250004291534</v>
      </c>
      <c r="E2446">
        <v>1.9349999427795399</v>
      </c>
      <c r="F2446">
        <v>1.9349999427795399</v>
      </c>
      <c r="G2446">
        <v>522462000</v>
      </c>
      <c r="H2446">
        <f t="shared" si="152"/>
        <v>2007</v>
      </c>
      <c r="I2446">
        <f t="shared" si="153"/>
        <v>2</v>
      </c>
      <c r="J2446" t="str">
        <f t="shared" si="154"/>
        <v>Feb</v>
      </c>
      <c r="K2446" t="str">
        <f t="shared" si="155"/>
        <v>Thu</v>
      </c>
    </row>
    <row r="2447" spans="1:11" x14ac:dyDescent="0.35">
      <c r="A2447" s="1">
        <v>39115</v>
      </c>
      <c r="B2447">
        <v>1.86150002479553</v>
      </c>
      <c r="C2447">
        <v>1.8869999647140501</v>
      </c>
      <c r="D2447">
        <v>1.83399999141693</v>
      </c>
      <c r="E2447">
        <v>1.8695000410079901</v>
      </c>
      <c r="F2447">
        <v>1.8695000410079901</v>
      </c>
      <c r="G2447">
        <v>517014000</v>
      </c>
      <c r="H2447">
        <f t="shared" si="152"/>
        <v>2007</v>
      </c>
      <c r="I2447">
        <f t="shared" si="153"/>
        <v>2</v>
      </c>
      <c r="J2447" t="str">
        <f t="shared" si="154"/>
        <v>Feb</v>
      </c>
      <c r="K2447" t="str">
        <f t="shared" si="155"/>
        <v>Fri</v>
      </c>
    </row>
    <row r="2448" spans="1:11" x14ac:dyDescent="0.35">
      <c r="A2448" s="1">
        <v>39118</v>
      </c>
      <c r="B2448">
        <v>1.86249995231628</v>
      </c>
      <c r="C2448">
        <v>1.87100005149841</v>
      </c>
      <c r="D2448">
        <v>1.83850002288818</v>
      </c>
      <c r="E2448">
        <v>1.85800004005432</v>
      </c>
      <c r="F2448">
        <v>1.85800004005432</v>
      </c>
      <c r="G2448">
        <v>122218000</v>
      </c>
      <c r="H2448">
        <f t="shared" si="152"/>
        <v>2007</v>
      </c>
      <c r="I2448">
        <f t="shared" si="153"/>
        <v>2</v>
      </c>
      <c r="J2448" t="str">
        <f t="shared" si="154"/>
        <v>Feb</v>
      </c>
      <c r="K2448" t="str">
        <f t="shared" si="155"/>
        <v>Mon</v>
      </c>
    </row>
    <row r="2449" spans="1:11" x14ac:dyDescent="0.35">
      <c r="A2449" s="1">
        <v>39119</v>
      </c>
      <c r="B2449">
        <v>1.8600000143051101</v>
      </c>
      <c r="C2449">
        <v>1.92050004005432</v>
      </c>
      <c r="D2449">
        <v>1.8539999723434399</v>
      </c>
      <c r="E2449">
        <v>1.9134999513626001</v>
      </c>
      <c r="F2449">
        <v>1.9134999513626001</v>
      </c>
      <c r="G2449">
        <v>172254000</v>
      </c>
      <c r="H2449">
        <f t="shared" si="152"/>
        <v>2007</v>
      </c>
      <c r="I2449">
        <f t="shared" si="153"/>
        <v>2</v>
      </c>
      <c r="J2449" t="str">
        <f t="shared" si="154"/>
        <v>Feb</v>
      </c>
      <c r="K2449" t="str">
        <f t="shared" si="155"/>
        <v>Tue</v>
      </c>
    </row>
    <row r="2450" spans="1:11" x14ac:dyDescent="0.35">
      <c r="A2450" s="1">
        <v>39120</v>
      </c>
      <c r="B2450">
        <v>1.9244999885559</v>
      </c>
      <c r="C2450">
        <v>1.9759999513626001</v>
      </c>
      <c r="D2450">
        <v>1.91999995708465</v>
      </c>
      <c r="E2450">
        <v>1.9490000009536701</v>
      </c>
      <c r="F2450">
        <v>1.9490000009536701</v>
      </c>
      <c r="G2450">
        <v>210064000</v>
      </c>
      <c r="H2450">
        <f t="shared" si="152"/>
        <v>2007</v>
      </c>
      <c r="I2450">
        <f t="shared" si="153"/>
        <v>2</v>
      </c>
      <c r="J2450" t="str">
        <f t="shared" si="154"/>
        <v>Feb</v>
      </c>
      <c r="K2450" t="str">
        <f t="shared" si="155"/>
        <v>Wed</v>
      </c>
    </row>
    <row r="2451" spans="1:11" x14ac:dyDescent="0.35">
      <c r="A2451" s="1">
        <v>39121</v>
      </c>
      <c r="B2451">
        <v>1.94749999046325</v>
      </c>
      <c r="C2451">
        <v>1.9754999876022299</v>
      </c>
      <c r="D2451">
        <v>1.93350005149841</v>
      </c>
      <c r="E2451">
        <v>1.95500004291534</v>
      </c>
      <c r="F2451">
        <v>1.95500004291534</v>
      </c>
      <c r="G2451">
        <v>109672000</v>
      </c>
      <c r="H2451">
        <f t="shared" si="152"/>
        <v>2007</v>
      </c>
      <c r="I2451">
        <f t="shared" si="153"/>
        <v>2</v>
      </c>
      <c r="J2451" t="str">
        <f t="shared" si="154"/>
        <v>Feb</v>
      </c>
      <c r="K2451" t="str">
        <f t="shared" si="155"/>
        <v>Thu</v>
      </c>
    </row>
    <row r="2452" spans="1:11" x14ac:dyDescent="0.35">
      <c r="A2452" s="1">
        <v>39122</v>
      </c>
      <c r="B2452">
        <v>1.9594999551773</v>
      </c>
      <c r="C2452">
        <v>1.9654999971389699</v>
      </c>
      <c r="D2452">
        <v>1.93299996852874</v>
      </c>
      <c r="E2452">
        <v>1.9359999895095801</v>
      </c>
      <c r="F2452">
        <v>1.9359999895095801</v>
      </c>
      <c r="G2452">
        <v>119202000</v>
      </c>
      <c r="H2452">
        <f t="shared" si="152"/>
        <v>2007</v>
      </c>
      <c r="I2452">
        <f t="shared" si="153"/>
        <v>2</v>
      </c>
      <c r="J2452" t="str">
        <f t="shared" si="154"/>
        <v>Feb</v>
      </c>
      <c r="K2452" t="str">
        <f t="shared" si="155"/>
        <v>Fri</v>
      </c>
    </row>
    <row r="2453" spans="1:11" x14ac:dyDescent="0.35">
      <c r="A2453" s="1">
        <v>39125</v>
      </c>
      <c r="B2453">
        <v>1.9394999742507899</v>
      </c>
      <c r="C2453">
        <v>1.9494999647140501</v>
      </c>
      <c r="D2453">
        <v>1.9179999828338601</v>
      </c>
      <c r="E2453">
        <v>1.94249999523162</v>
      </c>
      <c r="F2453">
        <v>1.94249999523162</v>
      </c>
      <c r="G2453">
        <v>76714000</v>
      </c>
      <c r="H2453">
        <f t="shared" si="152"/>
        <v>2007</v>
      </c>
      <c r="I2453">
        <f t="shared" si="153"/>
        <v>2</v>
      </c>
      <c r="J2453" t="str">
        <f t="shared" si="154"/>
        <v>Feb</v>
      </c>
      <c r="K2453" t="str">
        <f t="shared" si="155"/>
        <v>Mon</v>
      </c>
    </row>
    <row r="2454" spans="1:11" x14ac:dyDescent="0.35">
      <c r="A2454" s="1">
        <v>39126</v>
      </c>
      <c r="B2454">
        <v>1.94249999523162</v>
      </c>
      <c r="C2454">
        <v>1.9804999828338601</v>
      </c>
      <c r="D2454">
        <v>1.94249999523162</v>
      </c>
      <c r="E2454">
        <v>1.9654999971389699</v>
      </c>
      <c r="F2454">
        <v>1.9654999971389699</v>
      </c>
      <c r="G2454">
        <v>90110000</v>
      </c>
      <c r="H2454">
        <f t="shared" si="152"/>
        <v>2007</v>
      </c>
      <c r="I2454">
        <f t="shared" si="153"/>
        <v>2</v>
      </c>
      <c r="J2454" t="str">
        <f t="shared" si="154"/>
        <v>Feb</v>
      </c>
      <c r="K2454" t="str">
        <f t="shared" si="155"/>
        <v>Tue</v>
      </c>
    </row>
    <row r="2455" spans="1:11" x14ac:dyDescent="0.35">
      <c r="A2455" s="1">
        <v>39127</v>
      </c>
      <c r="B2455">
        <v>1.9615000486373899</v>
      </c>
      <c r="C2455">
        <v>2.0139999389648402</v>
      </c>
      <c r="D2455">
        <v>1.9570000171661299</v>
      </c>
      <c r="E2455">
        <v>2.0069999694824201</v>
      </c>
      <c r="F2455">
        <v>2.0069999694824201</v>
      </c>
      <c r="G2455">
        <v>136282000</v>
      </c>
      <c r="H2455">
        <f t="shared" si="152"/>
        <v>2007</v>
      </c>
      <c r="I2455">
        <f t="shared" si="153"/>
        <v>2</v>
      </c>
      <c r="J2455" t="str">
        <f t="shared" si="154"/>
        <v>Feb</v>
      </c>
      <c r="K2455" t="str">
        <f t="shared" si="155"/>
        <v>Wed</v>
      </c>
    </row>
    <row r="2456" spans="1:11" x14ac:dyDescent="0.35">
      <c r="A2456" s="1">
        <v>39128</v>
      </c>
      <c r="B2456">
        <v>2.0069999694824201</v>
      </c>
      <c r="C2456">
        <v>2.0160000324249201</v>
      </c>
      <c r="D2456">
        <v>1.9930000305175699</v>
      </c>
      <c r="E2456">
        <v>2.0030000209808301</v>
      </c>
      <c r="F2456">
        <v>2.0030000209808301</v>
      </c>
      <c r="G2456">
        <v>101764000</v>
      </c>
      <c r="H2456">
        <f t="shared" si="152"/>
        <v>2007</v>
      </c>
      <c r="I2456">
        <f t="shared" si="153"/>
        <v>2</v>
      </c>
      <c r="J2456" t="str">
        <f t="shared" si="154"/>
        <v>Feb</v>
      </c>
      <c r="K2456" t="str">
        <f t="shared" si="155"/>
        <v>Thu</v>
      </c>
    </row>
    <row r="2457" spans="1:11" x14ac:dyDescent="0.35">
      <c r="A2457" s="1">
        <v>39129</v>
      </c>
      <c r="B2457">
        <v>1.99500000476837</v>
      </c>
      <c r="C2457">
        <v>2.02200007438659</v>
      </c>
      <c r="D2457">
        <v>1.9934999942779501</v>
      </c>
      <c r="E2457">
        <v>2.0164999961853001</v>
      </c>
      <c r="F2457">
        <v>2.0164999961853001</v>
      </c>
      <c r="G2457">
        <v>93580000</v>
      </c>
      <c r="H2457">
        <f t="shared" si="152"/>
        <v>2007</v>
      </c>
      <c r="I2457">
        <f t="shared" si="153"/>
        <v>2</v>
      </c>
      <c r="J2457" t="str">
        <f t="shared" si="154"/>
        <v>Feb</v>
      </c>
      <c r="K2457" t="str">
        <f t="shared" si="155"/>
        <v>Fri</v>
      </c>
    </row>
    <row r="2458" spans="1:11" x14ac:dyDescent="0.35">
      <c r="A2458" s="1">
        <v>39133</v>
      </c>
      <c r="B2458">
        <v>2.0065000057220401</v>
      </c>
      <c r="C2458">
        <v>2.0869998931884699</v>
      </c>
      <c r="D2458">
        <v>2</v>
      </c>
      <c r="E2458">
        <v>2.07550001144409</v>
      </c>
      <c r="F2458">
        <v>2.07550001144409</v>
      </c>
      <c r="G2458">
        <v>178068000</v>
      </c>
      <c r="H2458">
        <f t="shared" si="152"/>
        <v>2007</v>
      </c>
      <c r="I2458">
        <f t="shared" si="153"/>
        <v>2</v>
      </c>
      <c r="J2458" t="str">
        <f t="shared" si="154"/>
        <v>Feb</v>
      </c>
      <c r="K2458" t="str">
        <f t="shared" si="155"/>
        <v>Tue</v>
      </c>
    </row>
    <row r="2459" spans="1:11" x14ac:dyDescent="0.35">
      <c r="A2459" s="1">
        <v>39134</v>
      </c>
      <c r="B2459">
        <v>2.0594999790191602</v>
      </c>
      <c r="C2459">
        <v>2.06599998474121</v>
      </c>
      <c r="D2459">
        <v>2.0460000038146902</v>
      </c>
      <c r="E2459">
        <v>2.0629999637603702</v>
      </c>
      <c r="F2459">
        <v>2.0629999637603702</v>
      </c>
      <c r="G2459">
        <v>90168000</v>
      </c>
      <c r="H2459">
        <f t="shared" si="152"/>
        <v>2007</v>
      </c>
      <c r="I2459">
        <f t="shared" si="153"/>
        <v>2</v>
      </c>
      <c r="J2459" t="str">
        <f t="shared" si="154"/>
        <v>Feb</v>
      </c>
      <c r="K2459" t="str">
        <f t="shared" si="155"/>
        <v>Wed</v>
      </c>
    </row>
    <row r="2460" spans="1:11" x14ac:dyDescent="0.35">
      <c r="A2460" s="1">
        <v>39135</v>
      </c>
      <c r="B2460">
        <v>2.0699999332427899</v>
      </c>
      <c r="C2460">
        <v>2.0999999046325599</v>
      </c>
      <c r="D2460">
        <v>2.04450011253356</v>
      </c>
      <c r="E2460">
        <v>2.0499999523162802</v>
      </c>
      <c r="F2460">
        <v>2.0499999523162802</v>
      </c>
      <c r="G2460">
        <v>98522000</v>
      </c>
      <c r="H2460">
        <f t="shared" si="152"/>
        <v>2007</v>
      </c>
      <c r="I2460">
        <f t="shared" si="153"/>
        <v>2</v>
      </c>
      <c r="J2460" t="str">
        <f t="shared" si="154"/>
        <v>Feb</v>
      </c>
      <c r="K2460" t="str">
        <f t="shared" si="155"/>
        <v>Thu</v>
      </c>
    </row>
    <row r="2461" spans="1:11" x14ac:dyDescent="0.35">
      <c r="A2461" s="1">
        <v>39136</v>
      </c>
      <c r="B2461">
        <v>2.0499999523162802</v>
      </c>
      <c r="C2461">
        <v>2.0599999427795401</v>
      </c>
      <c r="D2461">
        <v>2.0369999408721902</v>
      </c>
      <c r="E2461">
        <v>2.0390000343322701</v>
      </c>
      <c r="F2461">
        <v>2.0390000343322701</v>
      </c>
      <c r="G2461">
        <v>109948000</v>
      </c>
      <c r="H2461">
        <f t="shared" si="152"/>
        <v>2007</v>
      </c>
      <c r="I2461">
        <f t="shared" si="153"/>
        <v>2</v>
      </c>
      <c r="J2461" t="str">
        <f t="shared" si="154"/>
        <v>Feb</v>
      </c>
      <c r="K2461" t="str">
        <f t="shared" si="155"/>
        <v>Fri</v>
      </c>
    </row>
    <row r="2462" spans="1:11" x14ac:dyDescent="0.35">
      <c r="A2462" s="1">
        <v>39139</v>
      </c>
      <c r="B2462">
        <v>2.0429999828338601</v>
      </c>
      <c r="C2462">
        <v>2.0599999427795401</v>
      </c>
      <c r="D2462">
        <v>2.0199999809265101</v>
      </c>
      <c r="E2462">
        <v>2.0439999103546098</v>
      </c>
      <c r="F2462">
        <v>2.0439999103546098</v>
      </c>
      <c r="G2462">
        <v>80704000</v>
      </c>
      <c r="H2462">
        <f t="shared" si="152"/>
        <v>2007</v>
      </c>
      <c r="I2462">
        <f t="shared" si="153"/>
        <v>2</v>
      </c>
      <c r="J2462" t="str">
        <f t="shared" si="154"/>
        <v>Feb</v>
      </c>
      <c r="K2462" t="str">
        <f t="shared" si="155"/>
        <v>Mon</v>
      </c>
    </row>
    <row r="2463" spans="1:11" x14ac:dyDescent="0.35">
      <c r="A2463" s="1">
        <v>39140</v>
      </c>
      <c r="B2463">
        <v>2.00950002670288</v>
      </c>
      <c r="C2463">
        <v>2.0269999504089302</v>
      </c>
      <c r="D2463">
        <v>1.9390000104904099</v>
      </c>
      <c r="E2463">
        <v>1.94149994850158</v>
      </c>
      <c r="F2463">
        <v>1.94149994850158</v>
      </c>
      <c r="G2463">
        <v>177014000</v>
      </c>
      <c r="H2463">
        <f t="shared" si="152"/>
        <v>2007</v>
      </c>
      <c r="I2463">
        <f t="shared" si="153"/>
        <v>2</v>
      </c>
      <c r="J2463" t="str">
        <f t="shared" si="154"/>
        <v>Feb</v>
      </c>
      <c r="K2463" t="str">
        <f t="shared" si="155"/>
        <v>Tue</v>
      </c>
    </row>
    <row r="2464" spans="1:11" x14ac:dyDescent="0.35">
      <c r="A2464" s="1">
        <v>39141</v>
      </c>
      <c r="B2464">
        <v>1.94550001621246</v>
      </c>
      <c r="C2464">
        <v>1.9789999723434399</v>
      </c>
      <c r="D2464">
        <v>1.9040000438690099</v>
      </c>
      <c r="E2464">
        <v>1.9570000171661299</v>
      </c>
      <c r="F2464">
        <v>1.9570000171661299</v>
      </c>
      <c r="G2464">
        <v>153748000</v>
      </c>
      <c r="H2464">
        <f t="shared" si="152"/>
        <v>2007</v>
      </c>
      <c r="I2464">
        <f t="shared" si="153"/>
        <v>2</v>
      </c>
      <c r="J2464" t="str">
        <f t="shared" si="154"/>
        <v>Feb</v>
      </c>
      <c r="K2464" t="str">
        <f t="shared" si="155"/>
        <v>Wed</v>
      </c>
    </row>
    <row r="2465" spans="1:11" x14ac:dyDescent="0.35">
      <c r="A2465" s="1">
        <v>39142</v>
      </c>
      <c r="B2465">
        <v>1.9659999608993499</v>
      </c>
      <c r="C2465">
        <v>1.9659999608993499</v>
      </c>
      <c r="D2465">
        <v>1.9025000333786</v>
      </c>
      <c r="E2465">
        <v>1.94249999523162</v>
      </c>
      <c r="F2465">
        <v>1.94249999523162</v>
      </c>
      <c r="G2465">
        <v>185116000</v>
      </c>
      <c r="H2465">
        <f t="shared" si="152"/>
        <v>2007</v>
      </c>
      <c r="I2465">
        <f t="shared" si="153"/>
        <v>3</v>
      </c>
      <c r="J2465" t="str">
        <f t="shared" si="154"/>
        <v>Mar</v>
      </c>
      <c r="K2465" t="str">
        <f t="shared" si="155"/>
        <v>Thu</v>
      </c>
    </row>
    <row r="2466" spans="1:11" x14ac:dyDescent="0.35">
      <c r="A2466" s="1">
        <v>39143</v>
      </c>
      <c r="B2466">
        <v>1.91600000858306</v>
      </c>
      <c r="C2466">
        <v>1.9435000419616699</v>
      </c>
      <c r="D2466">
        <v>1.88450002670288</v>
      </c>
      <c r="E2466">
        <v>1.88450002670288</v>
      </c>
      <c r="F2466">
        <v>1.88450002670288</v>
      </c>
      <c r="G2466">
        <v>155756000</v>
      </c>
      <c r="H2466">
        <f t="shared" si="152"/>
        <v>2007</v>
      </c>
      <c r="I2466">
        <f t="shared" si="153"/>
        <v>3</v>
      </c>
      <c r="J2466" t="str">
        <f t="shared" si="154"/>
        <v>Mar</v>
      </c>
      <c r="K2466" t="str">
        <f t="shared" si="155"/>
        <v>Fri</v>
      </c>
    </row>
    <row r="2467" spans="1:11" x14ac:dyDescent="0.35">
      <c r="A2467" s="1">
        <v>39146</v>
      </c>
      <c r="B2467">
        <v>1.85749995708465</v>
      </c>
      <c r="C2467">
        <v>1.91600000858306</v>
      </c>
      <c r="D2467">
        <v>1.85199999809265</v>
      </c>
      <c r="E2467">
        <v>1.85249996185302</v>
      </c>
      <c r="F2467">
        <v>1.85249996185302</v>
      </c>
      <c r="G2467">
        <v>191312000</v>
      </c>
      <c r="H2467">
        <f t="shared" si="152"/>
        <v>2007</v>
      </c>
      <c r="I2467">
        <f t="shared" si="153"/>
        <v>3</v>
      </c>
      <c r="J2467" t="str">
        <f t="shared" si="154"/>
        <v>Mar</v>
      </c>
      <c r="K2467" t="str">
        <f t="shared" si="155"/>
        <v>Mon</v>
      </c>
    </row>
    <row r="2468" spans="1:11" x14ac:dyDescent="0.35">
      <c r="A2468" s="1">
        <v>39147</v>
      </c>
      <c r="B2468">
        <v>1.88450002670288</v>
      </c>
      <c r="C2468">
        <v>1.93299996852874</v>
      </c>
      <c r="D2468">
        <v>1.87049996852874</v>
      </c>
      <c r="E2468">
        <v>1.92900002002716</v>
      </c>
      <c r="F2468">
        <v>1.92900002002716</v>
      </c>
      <c r="G2468">
        <v>256964000</v>
      </c>
      <c r="H2468">
        <f t="shared" si="152"/>
        <v>2007</v>
      </c>
      <c r="I2468">
        <f t="shared" si="153"/>
        <v>3</v>
      </c>
      <c r="J2468" t="str">
        <f t="shared" si="154"/>
        <v>Mar</v>
      </c>
      <c r="K2468" t="str">
        <f t="shared" si="155"/>
        <v>Tue</v>
      </c>
    </row>
    <row r="2469" spans="1:11" x14ac:dyDescent="0.35">
      <c r="A2469" s="1">
        <v>39148</v>
      </c>
      <c r="B2469">
        <v>1.93400001525878</v>
      </c>
      <c r="C2469">
        <v>1.9659999608993499</v>
      </c>
      <c r="D2469">
        <v>1.9140000343322701</v>
      </c>
      <c r="E2469">
        <v>1.9179999828338601</v>
      </c>
      <c r="F2469">
        <v>1.9179999828338601</v>
      </c>
      <c r="G2469">
        <v>172892000</v>
      </c>
      <c r="H2469">
        <f t="shared" si="152"/>
        <v>2007</v>
      </c>
      <c r="I2469">
        <f t="shared" si="153"/>
        <v>3</v>
      </c>
      <c r="J2469" t="str">
        <f t="shared" si="154"/>
        <v>Mar</v>
      </c>
      <c r="K2469" t="str">
        <f t="shared" si="155"/>
        <v>Wed</v>
      </c>
    </row>
    <row r="2470" spans="1:11" x14ac:dyDescent="0.35">
      <c r="A2470" s="1">
        <v>39149</v>
      </c>
      <c r="B2470">
        <v>1.9385000467300399</v>
      </c>
      <c r="C2470">
        <v>1.9609999656677199</v>
      </c>
      <c r="D2470">
        <v>1.8990000486373899</v>
      </c>
      <c r="E2470">
        <v>1.9049999713897701</v>
      </c>
      <c r="F2470">
        <v>1.9049999713897701</v>
      </c>
      <c r="G2470">
        <v>152586000</v>
      </c>
      <c r="H2470">
        <f t="shared" si="152"/>
        <v>2007</v>
      </c>
      <c r="I2470">
        <f t="shared" si="153"/>
        <v>3</v>
      </c>
      <c r="J2470" t="str">
        <f t="shared" si="154"/>
        <v>Mar</v>
      </c>
      <c r="K2470" t="str">
        <f t="shared" si="155"/>
        <v>Thu</v>
      </c>
    </row>
    <row r="2471" spans="1:11" x14ac:dyDescent="0.35">
      <c r="A2471" s="1">
        <v>39150</v>
      </c>
      <c r="B2471">
        <v>1.92400002479553</v>
      </c>
      <c r="C2471">
        <v>1.9444999694824201</v>
      </c>
      <c r="D2471">
        <v>1.8999999761581401</v>
      </c>
      <c r="E2471">
        <v>1.94200003147125</v>
      </c>
      <c r="F2471">
        <v>1.94200003147125</v>
      </c>
      <c r="G2471">
        <v>124002000</v>
      </c>
      <c r="H2471">
        <f t="shared" si="152"/>
        <v>2007</v>
      </c>
      <c r="I2471">
        <f t="shared" si="153"/>
        <v>3</v>
      </c>
      <c r="J2471" t="str">
        <f t="shared" si="154"/>
        <v>Mar</v>
      </c>
      <c r="K2471" t="str">
        <f t="shared" si="155"/>
        <v>Fri</v>
      </c>
    </row>
    <row r="2472" spans="1:11" x14ac:dyDescent="0.35">
      <c r="A2472" s="1">
        <v>39153</v>
      </c>
      <c r="B2472">
        <v>1.9320000410079901</v>
      </c>
      <c r="C2472">
        <v>1.9524999856948799</v>
      </c>
      <c r="D2472">
        <v>1.9190000295639</v>
      </c>
      <c r="E2472">
        <v>1.9405000209808301</v>
      </c>
      <c r="F2472">
        <v>1.9405000209808301</v>
      </c>
      <c r="G2472">
        <v>97580000</v>
      </c>
      <c r="H2472">
        <f t="shared" si="152"/>
        <v>2007</v>
      </c>
      <c r="I2472">
        <f t="shared" si="153"/>
        <v>3</v>
      </c>
      <c r="J2472" t="str">
        <f t="shared" si="154"/>
        <v>Mar</v>
      </c>
      <c r="K2472" t="str">
        <f t="shared" si="155"/>
        <v>Mon</v>
      </c>
    </row>
    <row r="2473" spans="1:11" x14ac:dyDescent="0.35">
      <c r="A2473" s="1">
        <v>39154</v>
      </c>
      <c r="B2473">
        <v>1.91499996185302</v>
      </c>
      <c r="C2473">
        <v>1.9440000057220399</v>
      </c>
      <c r="D2473">
        <v>1.88450002670288</v>
      </c>
      <c r="E2473">
        <v>1.8910000324249201</v>
      </c>
      <c r="F2473">
        <v>1.8910000324249201</v>
      </c>
      <c r="G2473">
        <v>104082000</v>
      </c>
      <c r="H2473">
        <f t="shared" si="152"/>
        <v>2007</v>
      </c>
      <c r="I2473">
        <f t="shared" si="153"/>
        <v>3</v>
      </c>
      <c r="J2473" t="str">
        <f t="shared" si="154"/>
        <v>Mar</v>
      </c>
      <c r="K2473" t="str">
        <f t="shared" si="155"/>
        <v>Tue</v>
      </c>
    </row>
    <row r="2474" spans="1:11" x14ac:dyDescent="0.35">
      <c r="A2474" s="1">
        <v>39155</v>
      </c>
      <c r="B2474">
        <v>1.88800001144409</v>
      </c>
      <c r="C2474">
        <v>1.91100001335144</v>
      </c>
      <c r="D2474">
        <v>1.8630000352859399</v>
      </c>
      <c r="E2474">
        <v>1.9040000438690099</v>
      </c>
      <c r="F2474">
        <v>1.9040000438690099</v>
      </c>
      <c r="G2474">
        <v>171822000</v>
      </c>
      <c r="H2474">
        <f t="shared" si="152"/>
        <v>2007</v>
      </c>
      <c r="I2474">
        <f t="shared" si="153"/>
        <v>3</v>
      </c>
      <c r="J2474" t="str">
        <f t="shared" si="154"/>
        <v>Mar</v>
      </c>
      <c r="K2474" t="str">
        <f t="shared" si="155"/>
        <v>Wed</v>
      </c>
    </row>
    <row r="2475" spans="1:11" x14ac:dyDescent="0.35">
      <c r="A2475" s="1">
        <v>39156</v>
      </c>
      <c r="B2475">
        <v>1.9049999713897701</v>
      </c>
      <c r="C2475">
        <v>1.91449999809265</v>
      </c>
      <c r="D2475">
        <v>1.8775000572204501</v>
      </c>
      <c r="E2475">
        <v>1.88900005817413</v>
      </c>
      <c r="F2475">
        <v>1.88900005817413</v>
      </c>
      <c r="G2475">
        <v>145314000</v>
      </c>
      <c r="H2475">
        <f t="shared" si="152"/>
        <v>2007</v>
      </c>
      <c r="I2475">
        <f t="shared" si="153"/>
        <v>3</v>
      </c>
      <c r="J2475" t="str">
        <f t="shared" si="154"/>
        <v>Mar</v>
      </c>
      <c r="K2475" t="str">
        <f t="shared" si="155"/>
        <v>Thu</v>
      </c>
    </row>
    <row r="2476" spans="1:11" x14ac:dyDescent="0.35">
      <c r="A2476" s="1">
        <v>39157</v>
      </c>
      <c r="B2476">
        <v>1.8860000371932899</v>
      </c>
      <c r="C2476">
        <v>1.9040000438690099</v>
      </c>
      <c r="D2476">
        <v>1.8760000467300399</v>
      </c>
      <c r="E2476">
        <v>1.89250004291534</v>
      </c>
      <c r="F2476">
        <v>1.89250004291534</v>
      </c>
      <c r="G2476">
        <v>137310000</v>
      </c>
      <c r="H2476">
        <f t="shared" si="152"/>
        <v>2007</v>
      </c>
      <c r="I2476">
        <f t="shared" si="153"/>
        <v>3</v>
      </c>
      <c r="J2476" t="str">
        <f t="shared" si="154"/>
        <v>Mar</v>
      </c>
      <c r="K2476" t="str">
        <f t="shared" si="155"/>
        <v>Fri</v>
      </c>
    </row>
    <row r="2477" spans="1:11" x14ac:dyDescent="0.35">
      <c r="A2477" s="1">
        <v>39160</v>
      </c>
      <c r="B2477">
        <v>1.8999999761581401</v>
      </c>
      <c r="C2477">
        <v>1.9270000457763601</v>
      </c>
      <c r="D2477">
        <v>1.8999999761581401</v>
      </c>
      <c r="E2477">
        <v>1.9225000143051101</v>
      </c>
      <c r="F2477">
        <v>1.9225000143051101</v>
      </c>
      <c r="G2477">
        <v>84532000</v>
      </c>
      <c r="H2477">
        <f t="shared" si="152"/>
        <v>2007</v>
      </c>
      <c r="I2477">
        <f t="shared" si="153"/>
        <v>3</v>
      </c>
      <c r="J2477" t="str">
        <f t="shared" si="154"/>
        <v>Mar</v>
      </c>
      <c r="K2477" t="str">
        <f t="shared" si="155"/>
        <v>Mon</v>
      </c>
    </row>
    <row r="2478" spans="1:11" x14ac:dyDescent="0.35">
      <c r="A2478" s="1">
        <v>39161</v>
      </c>
      <c r="B2478">
        <v>1.9264999628067001</v>
      </c>
      <c r="C2478">
        <v>1.9344999790191599</v>
      </c>
      <c r="D2478">
        <v>1.91149997711181</v>
      </c>
      <c r="E2478">
        <v>1.92900002002716</v>
      </c>
      <c r="F2478">
        <v>1.92900002002716</v>
      </c>
      <c r="G2478">
        <v>76026000</v>
      </c>
      <c r="H2478">
        <f t="shared" si="152"/>
        <v>2007</v>
      </c>
      <c r="I2478">
        <f t="shared" si="153"/>
        <v>3</v>
      </c>
      <c r="J2478" t="str">
        <f t="shared" si="154"/>
        <v>Mar</v>
      </c>
      <c r="K2478" t="str">
        <f t="shared" si="155"/>
        <v>Tue</v>
      </c>
    </row>
    <row r="2479" spans="1:11" x14ac:dyDescent="0.35">
      <c r="A2479" s="1">
        <v>39162</v>
      </c>
      <c r="B2479">
        <v>1.9275000095367401</v>
      </c>
      <c r="C2479">
        <v>1.9900000095367401</v>
      </c>
      <c r="D2479">
        <v>1.91550004482269</v>
      </c>
      <c r="E2479">
        <v>1.9900000095367401</v>
      </c>
      <c r="F2479">
        <v>1.9900000095367401</v>
      </c>
      <c r="G2479">
        <v>99928000</v>
      </c>
      <c r="H2479">
        <f t="shared" si="152"/>
        <v>2007</v>
      </c>
      <c r="I2479">
        <f t="shared" si="153"/>
        <v>3</v>
      </c>
      <c r="J2479" t="str">
        <f t="shared" si="154"/>
        <v>Mar</v>
      </c>
      <c r="K2479" t="str">
        <f t="shared" si="155"/>
        <v>Wed</v>
      </c>
    </row>
    <row r="2480" spans="1:11" x14ac:dyDescent="0.35">
      <c r="A2480" s="1">
        <v>39163</v>
      </c>
      <c r="B2480">
        <v>1.97399997711181</v>
      </c>
      <c r="C2480">
        <v>1.98599994182586</v>
      </c>
      <c r="D2480">
        <v>1.94550001621246</v>
      </c>
      <c r="E2480">
        <v>1.9744999408721899</v>
      </c>
      <c r="F2480">
        <v>1.9744999408721899</v>
      </c>
      <c r="G2480">
        <v>106630000</v>
      </c>
      <c r="H2480">
        <f t="shared" si="152"/>
        <v>2007</v>
      </c>
      <c r="I2480">
        <f t="shared" si="153"/>
        <v>3</v>
      </c>
      <c r="J2480" t="str">
        <f t="shared" si="154"/>
        <v>Mar</v>
      </c>
      <c r="K2480" t="str">
        <f t="shared" si="155"/>
        <v>Thu</v>
      </c>
    </row>
    <row r="2481" spans="1:11" x14ac:dyDescent="0.35">
      <c r="A2481" s="1">
        <v>39164</v>
      </c>
      <c r="B2481">
        <v>1.97800004482269</v>
      </c>
      <c r="C2481">
        <v>1.9800000190734801</v>
      </c>
      <c r="D2481">
        <v>1.9490000009536701</v>
      </c>
      <c r="E2481">
        <v>1.9490000009536701</v>
      </c>
      <c r="F2481">
        <v>1.9490000009536701</v>
      </c>
      <c r="G2481">
        <v>58830000</v>
      </c>
      <c r="H2481">
        <f t="shared" si="152"/>
        <v>2007</v>
      </c>
      <c r="I2481">
        <f t="shared" si="153"/>
        <v>3</v>
      </c>
      <c r="J2481" t="str">
        <f t="shared" si="154"/>
        <v>Mar</v>
      </c>
      <c r="K2481" t="str">
        <f t="shared" si="155"/>
        <v>Fri</v>
      </c>
    </row>
    <row r="2482" spans="1:11" x14ac:dyDescent="0.35">
      <c r="A2482" s="1">
        <v>39167</v>
      </c>
      <c r="B2482">
        <v>1.9490000009536701</v>
      </c>
      <c r="C2482">
        <v>1.9524999856948799</v>
      </c>
      <c r="D2482">
        <v>1.9214999675750699</v>
      </c>
      <c r="E2482">
        <v>1.95050001144409</v>
      </c>
      <c r="F2482">
        <v>1.95050001144409</v>
      </c>
      <c r="G2482">
        <v>70422000</v>
      </c>
      <c r="H2482">
        <f t="shared" si="152"/>
        <v>2007</v>
      </c>
      <c r="I2482">
        <f t="shared" si="153"/>
        <v>3</v>
      </c>
      <c r="J2482" t="str">
        <f t="shared" si="154"/>
        <v>Mar</v>
      </c>
      <c r="K2482" t="str">
        <f t="shared" si="155"/>
        <v>Mon</v>
      </c>
    </row>
    <row r="2483" spans="1:11" x14ac:dyDescent="0.35">
      <c r="A2483" s="1">
        <v>39168</v>
      </c>
      <c r="B2483">
        <v>1.94099998474121</v>
      </c>
      <c r="C2483">
        <v>1.9709999561309799</v>
      </c>
      <c r="D2483">
        <v>1.93799996376037</v>
      </c>
      <c r="E2483">
        <v>1.96850001811981</v>
      </c>
      <c r="F2483">
        <v>1.96850001811981</v>
      </c>
      <c r="G2483">
        <v>79872000</v>
      </c>
      <c r="H2483">
        <f t="shared" si="152"/>
        <v>2007</v>
      </c>
      <c r="I2483">
        <f t="shared" si="153"/>
        <v>3</v>
      </c>
      <c r="J2483" t="str">
        <f t="shared" si="154"/>
        <v>Mar</v>
      </c>
      <c r="K2483" t="str">
        <f t="shared" si="155"/>
        <v>Tue</v>
      </c>
    </row>
    <row r="2484" spans="1:11" x14ac:dyDescent="0.35">
      <c r="A2484" s="1">
        <v>39169</v>
      </c>
      <c r="B2484">
        <v>1.9544999599456701</v>
      </c>
      <c r="C2484">
        <v>1.9754999876022299</v>
      </c>
      <c r="D2484">
        <v>1.93700003623962</v>
      </c>
      <c r="E2484">
        <v>1.9670000076293901</v>
      </c>
      <c r="F2484">
        <v>1.9670000076293901</v>
      </c>
      <c r="G2484">
        <v>124044000</v>
      </c>
      <c r="H2484">
        <f t="shared" si="152"/>
        <v>2007</v>
      </c>
      <c r="I2484">
        <f t="shared" si="153"/>
        <v>3</v>
      </c>
      <c r="J2484" t="str">
        <f t="shared" si="154"/>
        <v>Mar</v>
      </c>
      <c r="K2484" t="str">
        <f t="shared" si="155"/>
        <v>Wed</v>
      </c>
    </row>
    <row r="2485" spans="1:11" x14ac:dyDescent="0.35">
      <c r="A2485" s="1">
        <v>39170</v>
      </c>
      <c r="B2485">
        <v>1.98249995708465</v>
      </c>
      <c r="C2485">
        <v>1.99600005149841</v>
      </c>
      <c r="D2485">
        <v>1.9650000333786</v>
      </c>
      <c r="E2485">
        <v>1.99049997329711</v>
      </c>
      <c r="F2485">
        <v>1.99049997329711</v>
      </c>
      <c r="G2485">
        <v>128104000</v>
      </c>
      <c r="H2485">
        <f t="shared" si="152"/>
        <v>2007</v>
      </c>
      <c r="I2485">
        <f t="shared" si="153"/>
        <v>3</v>
      </c>
      <c r="J2485" t="str">
        <f t="shared" si="154"/>
        <v>Mar</v>
      </c>
      <c r="K2485" t="str">
        <f t="shared" si="155"/>
        <v>Thu</v>
      </c>
    </row>
    <row r="2486" spans="1:11" x14ac:dyDescent="0.35">
      <c r="A2486" s="1">
        <v>39171</v>
      </c>
      <c r="B2486">
        <v>1.98749995231628</v>
      </c>
      <c r="C2486">
        <v>2.0120000839233398</v>
      </c>
      <c r="D2486">
        <v>1.9709999561309799</v>
      </c>
      <c r="E2486">
        <v>1.9895000457763601</v>
      </c>
      <c r="F2486">
        <v>1.9895000457763601</v>
      </c>
      <c r="G2486">
        <v>119938000</v>
      </c>
      <c r="H2486">
        <f t="shared" si="152"/>
        <v>2007</v>
      </c>
      <c r="I2486">
        <f t="shared" si="153"/>
        <v>3</v>
      </c>
      <c r="J2486" t="str">
        <f t="shared" si="154"/>
        <v>Mar</v>
      </c>
      <c r="K2486" t="str">
        <f t="shared" si="155"/>
        <v>Fri</v>
      </c>
    </row>
    <row r="2487" spans="1:11" x14ac:dyDescent="0.35">
      <c r="A2487" s="1">
        <v>39174</v>
      </c>
      <c r="B2487">
        <v>1.9924999475479099</v>
      </c>
      <c r="C2487">
        <v>2.0234999656677202</v>
      </c>
      <c r="D2487">
        <v>1.97749996185302</v>
      </c>
      <c r="E2487">
        <v>2.0209999084472599</v>
      </c>
      <c r="F2487">
        <v>2.0209999084472599</v>
      </c>
      <c r="G2487">
        <v>141826000</v>
      </c>
      <c r="H2487">
        <f t="shared" si="152"/>
        <v>2007</v>
      </c>
      <c r="I2487">
        <f t="shared" si="153"/>
        <v>4</v>
      </c>
      <c r="J2487" t="str">
        <f t="shared" si="154"/>
        <v>Apr</v>
      </c>
      <c r="K2487" t="str">
        <f t="shared" si="155"/>
        <v>Mon</v>
      </c>
    </row>
    <row r="2488" spans="1:11" x14ac:dyDescent="0.35">
      <c r="A2488" s="1">
        <v>39175</v>
      </c>
      <c r="B2488">
        <v>2.0209999084472599</v>
      </c>
      <c r="C2488">
        <v>2.0690000057220401</v>
      </c>
      <c r="D2488">
        <v>2.0199999809265101</v>
      </c>
      <c r="E2488">
        <v>2.0594999790191602</v>
      </c>
      <c r="F2488">
        <v>2.0594999790191602</v>
      </c>
      <c r="G2488">
        <v>119364000</v>
      </c>
      <c r="H2488">
        <f t="shared" si="152"/>
        <v>2007</v>
      </c>
      <c r="I2488">
        <f t="shared" si="153"/>
        <v>4</v>
      </c>
      <c r="J2488" t="str">
        <f t="shared" si="154"/>
        <v>Apr</v>
      </c>
      <c r="K2488" t="str">
        <f t="shared" si="155"/>
        <v>Tue</v>
      </c>
    </row>
    <row r="2489" spans="1:11" x14ac:dyDescent="0.35">
      <c r="A2489" s="1">
        <v>39176</v>
      </c>
      <c r="B2489">
        <v>2.0610001087188698</v>
      </c>
      <c r="C2489">
        <v>2.0775001049041699</v>
      </c>
      <c r="D2489">
        <v>2.0460000038146902</v>
      </c>
      <c r="E2489">
        <v>2.0764999389648402</v>
      </c>
      <c r="F2489">
        <v>2.0764999389648402</v>
      </c>
      <c r="G2489">
        <v>81294000</v>
      </c>
      <c r="H2489">
        <f t="shared" si="152"/>
        <v>2007</v>
      </c>
      <c r="I2489">
        <f t="shared" si="153"/>
        <v>4</v>
      </c>
      <c r="J2489" t="str">
        <f t="shared" si="154"/>
        <v>Apr</v>
      </c>
      <c r="K2489" t="str">
        <f t="shared" si="155"/>
        <v>Wed</v>
      </c>
    </row>
    <row r="2490" spans="1:11" x14ac:dyDescent="0.35">
      <c r="A2490" s="1">
        <v>39177</v>
      </c>
      <c r="B2490">
        <v>2.0785000324249201</v>
      </c>
      <c r="C2490">
        <v>2.0880000591278001</v>
      </c>
      <c r="D2490">
        <v>2.07200002670288</v>
      </c>
      <c r="E2490">
        <v>2.0840001106262198</v>
      </c>
      <c r="F2490">
        <v>2.0840001106262198</v>
      </c>
      <c r="G2490">
        <v>65768000</v>
      </c>
      <c r="H2490">
        <f t="shared" si="152"/>
        <v>2007</v>
      </c>
      <c r="I2490">
        <f t="shared" si="153"/>
        <v>4</v>
      </c>
      <c r="J2490" t="str">
        <f t="shared" si="154"/>
        <v>Apr</v>
      </c>
      <c r="K2490" t="str">
        <f t="shared" si="155"/>
        <v>Thu</v>
      </c>
    </row>
    <row r="2491" spans="1:11" x14ac:dyDescent="0.35">
      <c r="A2491" s="1">
        <v>39181</v>
      </c>
      <c r="B2491">
        <v>2.0859999656677202</v>
      </c>
      <c r="C2491">
        <v>2.10700011253356</v>
      </c>
      <c r="D2491">
        <v>2.0804998874664302</v>
      </c>
      <c r="E2491">
        <v>2.0829999446868799</v>
      </c>
      <c r="F2491">
        <v>2.0829999446868799</v>
      </c>
      <c r="G2491">
        <v>83654000</v>
      </c>
      <c r="H2491">
        <f t="shared" si="152"/>
        <v>2007</v>
      </c>
      <c r="I2491">
        <f t="shared" si="153"/>
        <v>4</v>
      </c>
      <c r="J2491" t="str">
        <f t="shared" si="154"/>
        <v>Apr</v>
      </c>
      <c r="K2491" t="str">
        <f t="shared" si="155"/>
        <v>Mon</v>
      </c>
    </row>
    <row r="2492" spans="1:11" x14ac:dyDescent="0.35">
      <c r="A2492" s="1">
        <v>39182</v>
      </c>
      <c r="B2492">
        <v>2.0785000324249201</v>
      </c>
      <c r="C2492">
        <v>2.09800004959106</v>
      </c>
      <c r="D2492">
        <v>2.0729999542236301</v>
      </c>
      <c r="E2492">
        <v>2.0929999351501398</v>
      </c>
      <c r="F2492">
        <v>2.0929999351501398</v>
      </c>
      <c r="G2492">
        <v>68436000</v>
      </c>
      <c r="H2492">
        <f t="shared" si="152"/>
        <v>2007</v>
      </c>
      <c r="I2492">
        <f t="shared" si="153"/>
        <v>4</v>
      </c>
      <c r="J2492" t="str">
        <f t="shared" si="154"/>
        <v>Apr</v>
      </c>
      <c r="K2492" t="str">
        <f t="shared" si="155"/>
        <v>Tue</v>
      </c>
    </row>
    <row r="2493" spans="1:11" x14ac:dyDescent="0.35">
      <c r="A2493" s="1">
        <v>39183</v>
      </c>
      <c r="B2493">
        <v>2.0864999294281001</v>
      </c>
      <c r="C2493">
        <v>2.0934998989105198</v>
      </c>
      <c r="D2493">
        <v>2.06200003623962</v>
      </c>
      <c r="E2493">
        <v>2.0840001106262198</v>
      </c>
      <c r="F2493">
        <v>2.0840001106262198</v>
      </c>
      <c r="G2493">
        <v>101568000</v>
      </c>
      <c r="H2493">
        <f t="shared" si="152"/>
        <v>2007</v>
      </c>
      <c r="I2493">
        <f t="shared" si="153"/>
        <v>4</v>
      </c>
      <c r="J2493" t="str">
        <f t="shared" si="154"/>
        <v>Apr</v>
      </c>
      <c r="K2493" t="str">
        <f t="shared" si="155"/>
        <v>Wed</v>
      </c>
    </row>
    <row r="2494" spans="1:11" x14ac:dyDescent="0.35">
      <c r="A2494" s="1">
        <v>39184</v>
      </c>
      <c r="B2494">
        <v>2.0864999294281001</v>
      </c>
      <c r="C2494">
        <v>2.1184999942779501</v>
      </c>
      <c r="D2494">
        <v>2.0699999332427899</v>
      </c>
      <c r="E2494">
        <v>2.1135001182556099</v>
      </c>
      <c r="F2494">
        <v>2.1135001182556099</v>
      </c>
      <c r="G2494">
        <v>95090000</v>
      </c>
      <c r="H2494">
        <f t="shared" si="152"/>
        <v>2007</v>
      </c>
      <c r="I2494">
        <f t="shared" si="153"/>
        <v>4</v>
      </c>
      <c r="J2494" t="str">
        <f t="shared" si="154"/>
        <v>Apr</v>
      </c>
      <c r="K2494" t="str">
        <f t="shared" si="155"/>
        <v>Thu</v>
      </c>
    </row>
    <row r="2495" spans="1:11" x14ac:dyDescent="0.35">
      <c r="A2495" s="1">
        <v>39185</v>
      </c>
      <c r="B2495">
        <v>2.1094999313354399</v>
      </c>
      <c r="C2495">
        <v>2.125</v>
      </c>
      <c r="D2495">
        <v>2.0964999198913499</v>
      </c>
      <c r="E2495">
        <v>2.12050008773803</v>
      </c>
      <c r="F2495">
        <v>2.12050008773803</v>
      </c>
      <c r="G2495">
        <v>72200000</v>
      </c>
      <c r="H2495">
        <f t="shared" si="152"/>
        <v>2007</v>
      </c>
      <c r="I2495">
        <f t="shared" si="153"/>
        <v>4</v>
      </c>
      <c r="J2495" t="str">
        <f t="shared" si="154"/>
        <v>Apr</v>
      </c>
      <c r="K2495" t="str">
        <f t="shared" si="155"/>
        <v>Fri</v>
      </c>
    </row>
    <row r="2496" spans="1:11" x14ac:dyDescent="0.35">
      <c r="A2496" s="1">
        <v>39188</v>
      </c>
      <c r="B2496">
        <v>2.1884999275207502</v>
      </c>
      <c r="C2496">
        <v>2.2650001049041699</v>
      </c>
      <c r="D2496">
        <v>2.18350005149841</v>
      </c>
      <c r="E2496">
        <v>2.2599999904632502</v>
      </c>
      <c r="F2496">
        <v>2.2599999904632502</v>
      </c>
      <c r="G2496">
        <v>268880000</v>
      </c>
      <c r="H2496">
        <f t="shared" si="152"/>
        <v>2007</v>
      </c>
      <c r="I2496">
        <f t="shared" si="153"/>
        <v>4</v>
      </c>
      <c r="J2496" t="str">
        <f t="shared" si="154"/>
        <v>Apr</v>
      </c>
      <c r="K2496" t="str">
        <f t="shared" si="155"/>
        <v>Mon</v>
      </c>
    </row>
    <row r="2497" spans="1:11" x14ac:dyDescent="0.35">
      <c r="A2497" s="1">
        <v>39189</v>
      </c>
      <c r="B2497">
        <v>2.2639999389648402</v>
      </c>
      <c r="C2497">
        <v>2.2660000324249201</v>
      </c>
      <c r="D2497">
        <v>2.2374999523162802</v>
      </c>
      <c r="E2497">
        <v>2.25349998474121</v>
      </c>
      <c r="F2497">
        <v>2.25349998474121</v>
      </c>
      <c r="G2497">
        <v>147978000</v>
      </c>
      <c r="H2497">
        <f t="shared" si="152"/>
        <v>2007</v>
      </c>
      <c r="I2497">
        <f t="shared" si="153"/>
        <v>4</v>
      </c>
      <c r="J2497" t="str">
        <f t="shared" si="154"/>
        <v>Apr</v>
      </c>
      <c r="K2497" t="str">
        <f t="shared" si="155"/>
        <v>Tue</v>
      </c>
    </row>
    <row r="2498" spans="1:11" x14ac:dyDescent="0.35">
      <c r="A2498" s="1">
        <v>39190</v>
      </c>
      <c r="B2498">
        <v>2.2400000095367401</v>
      </c>
      <c r="C2498">
        <v>2.2574999332427899</v>
      </c>
      <c r="D2498">
        <v>2.2314999103546098</v>
      </c>
      <c r="E2498">
        <v>2.24950003623962</v>
      </c>
      <c r="F2498">
        <v>2.24950003623962</v>
      </c>
      <c r="G2498">
        <v>99928000</v>
      </c>
      <c r="H2498">
        <f t="shared" si="152"/>
        <v>2007</v>
      </c>
      <c r="I2498">
        <f t="shared" si="153"/>
        <v>4</v>
      </c>
      <c r="J2498" t="str">
        <f t="shared" si="154"/>
        <v>Apr</v>
      </c>
      <c r="K2498" t="str">
        <f t="shared" si="155"/>
        <v>Wed</v>
      </c>
    </row>
    <row r="2499" spans="1:11" x14ac:dyDescent="0.35">
      <c r="A2499" s="1">
        <v>39191</v>
      </c>
      <c r="B2499">
        <v>2.2304999828338601</v>
      </c>
      <c r="C2499">
        <v>2.2574999332427899</v>
      </c>
      <c r="D2499">
        <v>2.2204999923706001</v>
      </c>
      <c r="E2499">
        <v>2.23200011253356</v>
      </c>
      <c r="F2499">
        <v>2.23200011253356</v>
      </c>
      <c r="G2499">
        <v>96194000</v>
      </c>
      <c r="H2499">
        <f t="shared" si="152"/>
        <v>2007</v>
      </c>
      <c r="I2499">
        <f t="shared" si="153"/>
        <v>4</v>
      </c>
      <c r="J2499" t="str">
        <f t="shared" si="154"/>
        <v>Apr</v>
      </c>
      <c r="K2499" t="str">
        <f t="shared" si="155"/>
        <v>Thu</v>
      </c>
    </row>
    <row r="2500" spans="1:11" x14ac:dyDescent="0.35">
      <c r="A2500" s="1">
        <v>39192</v>
      </c>
      <c r="B2500">
        <v>2.2544999122619598</v>
      </c>
      <c r="C2500">
        <v>2.25850009918212</v>
      </c>
      <c r="D2500">
        <v>2.2260000705718901</v>
      </c>
      <c r="E2500">
        <v>2.2474999427795401</v>
      </c>
      <c r="F2500">
        <v>2.2474999427795401</v>
      </c>
      <c r="G2500">
        <v>119610000</v>
      </c>
      <c r="H2500">
        <f t="shared" ref="H2500:H2563" si="156">YEAR($A2500)</f>
        <v>2007</v>
      </c>
      <c r="I2500">
        <f t="shared" ref="I2500:I2563" si="157">MONTH($A2500)</f>
        <v>4</v>
      </c>
      <c r="J2500" t="str">
        <f t="shared" ref="J2500:J2563" si="158">TEXT($A2500,"mmm")</f>
        <v>Apr</v>
      </c>
      <c r="K2500" t="str">
        <f t="shared" ref="K2500:K2563" si="159">TEXT($A2500,"ddd")</f>
        <v>Fri</v>
      </c>
    </row>
    <row r="2501" spans="1:11" x14ac:dyDescent="0.35">
      <c r="A2501" s="1">
        <v>39195</v>
      </c>
      <c r="B2501">
        <v>2.21350002288818</v>
      </c>
      <c r="C2501">
        <v>2.2404999732971098</v>
      </c>
      <c r="D2501">
        <v>2.2079999446868799</v>
      </c>
      <c r="E2501">
        <v>2.2385001182556099</v>
      </c>
      <c r="F2501">
        <v>2.2385001182556099</v>
      </c>
      <c r="G2501">
        <v>141772000</v>
      </c>
      <c r="H2501">
        <f t="shared" si="156"/>
        <v>2007</v>
      </c>
      <c r="I2501">
        <f t="shared" si="157"/>
        <v>4</v>
      </c>
      <c r="J2501" t="str">
        <f t="shared" si="158"/>
        <v>Apr</v>
      </c>
      <c r="K2501" t="str">
        <f t="shared" si="159"/>
        <v>Mon</v>
      </c>
    </row>
    <row r="2502" spans="1:11" x14ac:dyDescent="0.35">
      <c r="A2502" s="1">
        <v>39196</v>
      </c>
      <c r="B2502">
        <v>2.2374999523162802</v>
      </c>
      <c r="C2502">
        <v>2.25</v>
      </c>
      <c r="D2502">
        <v>2.2214999198913499</v>
      </c>
      <c r="E2502">
        <v>2.2374999523162802</v>
      </c>
      <c r="F2502">
        <v>2.2374999523162802</v>
      </c>
      <c r="G2502">
        <v>397752000</v>
      </c>
      <c r="H2502">
        <f t="shared" si="156"/>
        <v>2007</v>
      </c>
      <c r="I2502">
        <f t="shared" si="157"/>
        <v>4</v>
      </c>
      <c r="J2502" t="str">
        <f t="shared" si="158"/>
        <v>Apr</v>
      </c>
      <c r="K2502" t="str">
        <f t="shared" si="159"/>
        <v>Tue</v>
      </c>
    </row>
    <row r="2503" spans="1:11" x14ac:dyDescent="0.35">
      <c r="A2503" s="1">
        <v>39197</v>
      </c>
      <c r="B2503">
        <v>2.6559998989105198</v>
      </c>
      <c r="C2503">
        <v>2.8589999675750701</v>
      </c>
      <c r="D2503">
        <v>2.64750003814697</v>
      </c>
      <c r="E2503">
        <v>2.8405001163482599</v>
      </c>
      <c r="F2503">
        <v>2.8405001163482599</v>
      </c>
      <c r="G2503">
        <v>2086584000</v>
      </c>
      <c r="H2503">
        <f t="shared" si="156"/>
        <v>2007</v>
      </c>
      <c r="I2503">
        <f t="shared" si="157"/>
        <v>4</v>
      </c>
      <c r="J2503" t="str">
        <f t="shared" si="158"/>
        <v>Apr</v>
      </c>
      <c r="K2503" t="str">
        <f t="shared" si="159"/>
        <v>Wed</v>
      </c>
    </row>
    <row r="2504" spans="1:11" x14ac:dyDescent="0.35">
      <c r="A2504" s="1">
        <v>39198</v>
      </c>
      <c r="B2504">
        <v>2.82500004768371</v>
      </c>
      <c r="C2504">
        <v>3.1519999504089302</v>
      </c>
      <c r="D2504">
        <v>2.8034999370574898</v>
      </c>
      <c r="E2504">
        <v>3.1389999389648402</v>
      </c>
      <c r="F2504">
        <v>3.1389999389648402</v>
      </c>
      <c r="G2504">
        <v>1243590000</v>
      </c>
      <c r="H2504">
        <f t="shared" si="156"/>
        <v>2007</v>
      </c>
      <c r="I2504">
        <f t="shared" si="157"/>
        <v>4</v>
      </c>
      <c r="J2504" t="str">
        <f t="shared" si="158"/>
        <v>Apr</v>
      </c>
      <c r="K2504" t="str">
        <f t="shared" si="159"/>
        <v>Thu</v>
      </c>
    </row>
    <row r="2505" spans="1:11" x14ac:dyDescent="0.35">
      <c r="A2505" s="1">
        <v>39199</v>
      </c>
      <c r="B2505">
        <v>3.06200003623962</v>
      </c>
      <c r="C2505">
        <v>3.1919999122619598</v>
      </c>
      <c r="D2505">
        <v>3.0309998989105198</v>
      </c>
      <c r="E2505">
        <v>3.13000011444091</v>
      </c>
      <c r="F2505">
        <v>3.13000011444091</v>
      </c>
      <c r="G2505">
        <v>1014668000</v>
      </c>
      <c r="H2505">
        <f t="shared" si="156"/>
        <v>2007</v>
      </c>
      <c r="I2505">
        <f t="shared" si="157"/>
        <v>4</v>
      </c>
      <c r="J2505" t="str">
        <f t="shared" si="158"/>
        <v>Apr</v>
      </c>
      <c r="K2505" t="str">
        <f t="shared" si="159"/>
        <v>Fri</v>
      </c>
    </row>
    <row r="2506" spans="1:11" x14ac:dyDescent="0.35">
      <c r="A2506" s="1">
        <v>39202</v>
      </c>
      <c r="B2506">
        <v>3.0954999923706001</v>
      </c>
      <c r="C2506">
        <v>3.1219999790191602</v>
      </c>
      <c r="D2506">
        <v>3.0590000152587802</v>
      </c>
      <c r="E2506">
        <v>3.0664999485015798</v>
      </c>
      <c r="F2506">
        <v>3.0664999485015798</v>
      </c>
      <c r="G2506">
        <v>479584000</v>
      </c>
      <c r="H2506">
        <f t="shared" si="156"/>
        <v>2007</v>
      </c>
      <c r="I2506">
        <f t="shared" si="157"/>
        <v>4</v>
      </c>
      <c r="J2506" t="str">
        <f t="shared" si="158"/>
        <v>Apr</v>
      </c>
      <c r="K2506" t="str">
        <f t="shared" si="159"/>
        <v>Mon</v>
      </c>
    </row>
    <row r="2507" spans="1:11" x14ac:dyDescent="0.35">
      <c r="A2507" s="1">
        <v>39203</v>
      </c>
      <c r="B2507">
        <v>3.0559999942779501</v>
      </c>
      <c r="C2507">
        <v>3.10199999809265</v>
      </c>
      <c r="D2507">
        <v>3.0139999389648402</v>
      </c>
      <c r="E2507">
        <v>3.10199999809265</v>
      </c>
      <c r="F2507">
        <v>3.10199999809265</v>
      </c>
      <c r="G2507">
        <v>370380000</v>
      </c>
      <c r="H2507">
        <f t="shared" si="156"/>
        <v>2007</v>
      </c>
      <c r="I2507">
        <f t="shared" si="157"/>
        <v>5</v>
      </c>
      <c r="J2507" t="str">
        <f t="shared" si="158"/>
        <v>May</v>
      </c>
      <c r="K2507" t="str">
        <f t="shared" si="159"/>
        <v>Tue</v>
      </c>
    </row>
    <row r="2508" spans="1:11" x14ac:dyDescent="0.35">
      <c r="A2508" s="1">
        <v>39204</v>
      </c>
      <c r="B2508">
        <v>3.0840001106262198</v>
      </c>
      <c r="C2508">
        <v>3.1124999523162802</v>
      </c>
      <c r="D2508">
        <v>3.04500007629394</v>
      </c>
      <c r="E2508">
        <v>3.0590000152587802</v>
      </c>
      <c r="F2508">
        <v>3.0590000152587802</v>
      </c>
      <c r="G2508">
        <v>288544000</v>
      </c>
      <c r="H2508">
        <f t="shared" si="156"/>
        <v>2007</v>
      </c>
      <c r="I2508">
        <f t="shared" si="157"/>
        <v>5</v>
      </c>
      <c r="J2508" t="str">
        <f t="shared" si="158"/>
        <v>May</v>
      </c>
      <c r="K2508" t="str">
        <f t="shared" si="159"/>
        <v>Wed</v>
      </c>
    </row>
    <row r="2509" spans="1:11" x14ac:dyDescent="0.35">
      <c r="A2509" s="1">
        <v>39205</v>
      </c>
      <c r="B2509">
        <v>3.0539999008178702</v>
      </c>
      <c r="C2509">
        <v>3.1270000934600799</v>
      </c>
      <c r="D2509">
        <v>3.0380001068115199</v>
      </c>
      <c r="E2509">
        <v>3.1094999313354399</v>
      </c>
      <c r="F2509">
        <v>3.1094999313354399</v>
      </c>
      <c r="G2509">
        <v>269640000</v>
      </c>
      <c r="H2509">
        <f t="shared" si="156"/>
        <v>2007</v>
      </c>
      <c r="I2509">
        <f t="shared" si="157"/>
        <v>5</v>
      </c>
      <c r="J2509" t="str">
        <f t="shared" si="158"/>
        <v>May</v>
      </c>
      <c r="K2509" t="str">
        <f t="shared" si="159"/>
        <v>Thu</v>
      </c>
    </row>
    <row r="2510" spans="1:11" x14ac:dyDescent="0.35">
      <c r="A2510" s="1">
        <v>39206</v>
      </c>
      <c r="B2510">
        <v>3.1194999217986998</v>
      </c>
      <c r="C2510">
        <v>3.1875</v>
      </c>
      <c r="D2510">
        <v>3.1175000667571999</v>
      </c>
      <c r="E2510">
        <v>3.1614999771118102</v>
      </c>
      <c r="F2510">
        <v>3.1614999771118102</v>
      </c>
      <c r="G2510">
        <v>285986000</v>
      </c>
      <c r="H2510">
        <f t="shared" si="156"/>
        <v>2007</v>
      </c>
      <c r="I2510">
        <f t="shared" si="157"/>
        <v>5</v>
      </c>
      <c r="J2510" t="str">
        <f t="shared" si="158"/>
        <v>May</v>
      </c>
      <c r="K2510" t="str">
        <f t="shared" si="159"/>
        <v>Fri</v>
      </c>
    </row>
    <row r="2511" spans="1:11" x14ac:dyDescent="0.35">
      <c r="A2511" s="1">
        <v>39209</v>
      </c>
      <c r="B2511">
        <v>3.1215000152587802</v>
      </c>
      <c r="C2511">
        <v>3.1614999771118102</v>
      </c>
      <c r="D2511">
        <v>3.03550004959106</v>
      </c>
      <c r="E2511">
        <v>3.04099988937377</v>
      </c>
      <c r="F2511">
        <v>3.04099988937377</v>
      </c>
      <c r="G2511">
        <v>296166000</v>
      </c>
      <c r="H2511">
        <f t="shared" si="156"/>
        <v>2007</v>
      </c>
      <c r="I2511">
        <f t="shared" si="157"/>
        <v>5</v>
      </c>
      <c r="J2511" t="str">
        <f t="shared" si="158"/>
        <v>May</v>
      </c>
      <c r="K2511" t="str">
        <f t="shared" si="159"/>
        <v>Mon</v>
      </c>
    </row>
    <row r="2512" spans="1:11" x14ac:dyDescent="0.35">
      <c r="A2512" s="1">
        <v>39210</v>
      </c>
      <c r="B2512">
        <v>3.0269999504089302</v>
      </c>
      <c r="C2512">
        <v>3.0920000076293901</v>
      </c>
      <c r="D2512">
        <v>2.9849998950958199</v>
      </c>
      <c r="E2512">
        <v>3.0915000438690101</v>
      </c>
      <c r="F2512">
        <v>3.0915000438690101</v>
      </c>
      <c r="G2512">
        <v>271022000</v>
      </c>
      <c r="H2512">
        <f t="shared" si="156"/>
        <v>2007</v>
      </c>
      <c r="I2512">
        <f t="shared" si="157"/>
        <v>5</v>
      </c>
      <c r="J2512" t="str">
        <f t="shared" si="158"/>
        <v>May</v>
      </c>
      <c r="K2512" t="str">
        <f t="shared" si="159"/>
        <v>Tue</v>
      </c>
    </row>
    <row r="2513" spans="1:11" x14ac:dyDescent="0.35">
      <c r="A2513" s="1">
        <v>39211</v>
      </c>
      <c r="B2513">
        <v>3.0999999046325599</v>
      </c>
      <c r="C2513">
        <v>3.14750003814697</v>
      </c>
      <c r="D2513">
        <v>3.0650000572204501</v>
      </c>
      <c r="E2513">
        <v>3.1424999237060498</v>
      </c>
      <c r="F2513">
        <v>3.1424999237060498</v>
      </c>
      <c r="G2513">
        <v>177498000</v>
      </c>
      <c r="H2513">
        <f t="shared" si="156"/>
        <v>2007</v>
      </c>
      <c r="I2513">
        <f t="shared" si="157"/>
        <v>5</v>
      </c>
      <c r="J2513" t="str">
        <f t="shared" si="158"/>
        <v>May</v>
      </c>
      <c r="K2513" t="str">
        <f t="shared" si="159"/>
        <v>Wed</v>
      </c>
    </row>
    <row r="2514" spans="1:11" x14ac:dyDescent="0.35">
      <c r="A2514" s="1">
        <v>39212</v>
      </c>
      <c r="B2514">
        <v>3.1219999790191602</v>
      </c>
      <c r="C2514">
        <v>3.1324999332427899</v>
      </c>
      <c r="D2514">
        <v>3.0425000190734801</v>
      </c>
      <c r="E2514">
        <v>3.0460000038146902</v>
      </c>
      <c r="F2514">
        <v>3.0460000038146902</v>
      </c>
      <c r="G2514">
        <v>201040000</v>
      </c>
      <c r="H2514">
        <f t="shared" si="156"/>
        <v>2007</v>
      </c>
      <c r="I2514">
        <f t="shared" si="157"/>
        <v>5</v>
      </c>
      <c r="J2514" t="str">
        <f t="shared" si="158"/>
        <v>May</v>
      </c>
      <c r="K2514" t="str">
        <f t="shared" si="159"/>
        <v>Thu</v>
      </c>
    </row>
    <row r="2515" spans="1:11" x14ac:dyDescent="0.35">
      <c r="A2515" s="1">
        <v>39213</v>
      </c>
      <c r="B2515">
        <v>3.0480000972747798</v>
      </c>
      <c r="C2515">
        <v>3.0799999237060498</v>
      </c>
      <c r="D2515">
        <v>3.0280001163482599</v>
      </c>
      <c r="E2515">
        <v>3.0780000686645499</v>
      </c>
      <c r="F2515">
        <v>3.0780000686645499</v>
      </c>
      <c r="G2515">
        <v>158382000</v>
      </c>
      <c r="H2515">
        <f t="shared" si="156"/>
        <v>2007</v>
      </c>
      <c r="I2515">
        <f t="shared" si="157"/>
        <v>5</v>
      </c>
      <c r="J2515" t="str">
        <f t="shared" si="158"/>
        <v>May</v>
      </c>
      <c r="K2515" t="str">
        <f t="shared" si="159"/>
        <v>Fri</v>
      </c>
    </row>
    <row r="2516" spans="1:11" x14ac:dyDescent="0.35">
      <c r="A2516" s="1">
        <v>39216</v>
      </c>
      <c r="B2516">
        <v>3.0840001106262198</v>
      </c>
      <c r="C2516">
        <v>3.0869998931884699</v>
      </c>
      <c r="D2516">
        <v>3.0299999713897701</v>
      </c>
      <c r="E2516">
        <v>3.08500003814697</v>
      </c>
      <c r="F2516">
        <v>3.08500003814697</v>
      </c>
      <c r="G2516">
        <v>155208000</v>
      </c>
      <c r="H2516">
        <f t="shared" si="156"/>
        <v>2007</v>
      </c>
      <c r="I2516">
        <f t="shared" si="157"/>
        <v>5</v>
      </c>
      <c r="J2516" t="str">
        <f t="shared" si="158"/>
        <v>May</v>
      </c>
      <c r="K2516" t="str">
        <f t="shared" si="159"/>
        <v>Mon</v>
      </c>
    </row>
    <row r="2517" spans="1:11" x14ac:dyDescent="0.35">
      <c r="A2517" s="1">
        <v>39217</v>
      </c>
      <c r="B2517">
        <v>3.0699999332427899</v>
      </c>
      <c r="C2517">
        <v>3.09850001335144</v>
      </c>
      <c r="D2517">
        <v>3.02600002288818</v>
      </c>
      <c r="E2517">
        <v>3.0290000438690101</v>
      </c>
      <c r="F2517">
        <v>3.0290000438690101</v>
      </c>
      <c r="G2517">
        <v>174042000</v>
      </c>
      <c r="H2517">
        <f t="shared" si="156"/>
        <v>2007</v>
      </c>
      <c r="I2517">
        <f t="shared" si="157"/>
        <v>5</v>
      </c>
      <c r="J2517" t="str">
        <f t="shared" si="158"/>
        <v>May</v>
      </c>
      <c r="K2517" t="str">
        <f t="shared" si="159"/>
        <v>Tue</v>
      </c>
    </row>
    <row r="2518" spans="1:11" x14ac:dyDescent="0.35">
      <c r="A2518" s="1">
        <v>39218</v>
      </c>
      <c r="B2518">
        <v>3.0510001182556099</v>
      </c>
      <c r="C2518">
        <v>3.1670000553131099</v>
      </c>
      <c r="D2518">
        <v>3.00500011444091</v>
      </c>
      <c r="E2518">
        <v>3.16100001335144</v>
      </c>
      <c r="F2518">
        <v>3.16100001335144</v>
      </c>
      <c r="G2518">
        <v>289708000</v>
      </c>
      <c r="H2518">
        <f t="shared" si="156"/>
        <v>2007</v>
      </c>
      <c r="I2518">
        <f t="shared" si="157"/>
        <v>5</v>
      </c>
      <c r="J2518" t="str">
        <f t="shared" si="158"/>
        <v>May</v>
      </c>
      <c r="K2518" t="str">
        <f t="shared" si="159"/>
        <v>Wed</v>
      </c>
    </row>
    <row r="2519" spans="1:11" x14ac:dyDescent="0.35">
      <c r="A2519" s="1">
        <v>39219</v>
      </c>
      <c r="B2519">
        <v>3.1440000534057599</v>
      </c>
      <c r="C2519">
        <v>3.1760001182556099</v>
      </c>
      <c r="D2519">
        <v>3.1010000705718901</v>
      </c>
      <c r="E2519">
        <v>3.1085000038146902</v>
      </c>
      <c r="F2519">
        <v>3.1085000038146902</v>
      </c>
      <c r="G2519">
        <v>237418000</v>
      </c>
      <c r="H2519">
        <f t="shared" si="156"/>
        <v>2007</v>
      </c>
      <c r="I2519">
        <f t="shared" si="157"/>
        <v>5</v>
      </c>
      <c r="J2519" t="str">
        <f t="shared" si="158"/>
        <v>May</v>
      </c>
      <c r="K2519" t="str">
        <f t="shared" si="159"/>
        <v>Thu</v>
      </c>
    </row>
    <row r="2520" spans="1:11" x14ac:dyDescent="0.35">
      <c r="A2520" s="1">
        <v>39220</v>
      </c>
      <c r="B2520">
        <v>3.1240000724792401</v>
      </c>
      <c r="C2520">
        <v>3.1649999618530198</v>
      </c>
      <c r="D2520">
        <v>3.1140000820159899</v>
      </c>
      <c r="E2520">
        <v>3.1649999618530198</v>
      </c>
      <c r="F2520">
        <v>3.1649999618530198</v>
      </c>
      <c r="G2520">
        <v>195984000</v>
      </c>
      <c r="H2520">
        <f t="shared" si="156"/>
        <v>2007</v>
      </c>
      <c r="I2520">
        <f t="shared" si="157"/>
        <v>5</v>
      </c>
      <c r="J2520" t="str">
        <f t="shared" si="158"/>
        <v>May</v>
      </c>
      <c r="K2520" t="str">
        <f t="shared" si="159"/>
        <v>Fri</v>
      </c>
    </row>
    <row r="2521" spans="1:11" x14ac:dyDescent="0.35">
      <c r="A2521" s="1">
        <v>39223</v>
      </c>
      <c r="B2521">
        <v>3.1789999008178702</v>
      </c>
      <c r="C2521">
        <v>3.4340000152587802</v>
      </c>
      <c r="D2521">
        <v>3.1649999618530198</v>
      </c>
      <c r="E2521">
        <v>3.4149999618530198</v>
      </c>
      <c r="F2521">
        <v>3.4149999618530198</v>
      </c>
      <c r="G2521">
        <v>729376000</v>
      </c>
      <c r="H2521">
        <f t="shared" si="156"/>
        <v>2007</v>
      </c>
      <c r="I2521">
        <f t="shared" si="157"/>
        <v>5</v>
      </c>
      <c r="J2521" t="str">
        <f t="shared" si="158"/>
        <v>May</v>
      </c>
      <c r="K2521" t="str">
        <f t="shared" si="159"/>
        <v>Mon</v>
      </c>
    </row>
    <row r="2522" spans="1:11" x14ac:dyDescent="0.35">
      <c r="A2522" s="1">
        <v>39224</v>
      </c>
      <c r="B2522">
        <v>3.42400002479553</v>
      </c>
      <c r="C2522">
        <v>3.4535000324249201</v>
      </c>
      <c r="D2522">
        <v>3.3605000972747798</v>
      </c>
      <c r="E2522">
        <v>3.4440000057220401</v>
      </c>
      <c r="F2522">
        <v>3.4440000057220401</v>
      </c>
      <c r="G2522">
        <v>344226000</v>
      </c>
      <c r="H2522">
        <f t="shared" si="156"/>
        <v>2007</v>
      </c>
      <c r="I2522">
        <f t="shared" si="157"/>
        <v>5</v>
      </c>
      <c r="J2522" t="str">
        <f t="shared" si="158"/>
        <v>May</v>
      </c>
      <c r="K2522" t="str">
        <f t="shared" si="159"/>
        <v>Tue</v>
      </c>
    </row>
    <row r="2523" spans="1:11" x14ac:dyDescent="0.35">
      <c r="A2523" s="1">
        <v>39225</v>
      </c>
      <c r="B2523">
        <v>3.4605000019073402</v>
      </c>
      <c r="C2523">
        <v>3.6654999256134002</v>
      </c>
      <c r="D2523">
        <v>3.4395000934600799</v>
      </c>
      <c r="E2523">
        <v>3.45000004768371</v>
      </c>
      <c r="F2523">
        <v>3.45000004768371</v>
      </c>
      <c r="G2523">
        <v>851650000</v>
      </c>
      <c r="H2523">
        <f t="shared" si="156"/>
        <v>2007</v>
      </c>
      <c r="I2523">
        <f t="shared" si="157"/>
        <v>5</v>
      </c>
      <c r="J2523" t="str">
        <f t="shared" si="158"/>
        <v>May</v>
      </c>
      <c r="K2523" t="str">
        <f t="shared" si="159"/>
        <v>Wed</v>
      </c>
    </row>
    <row r="2524" spans="1:11" x14ac:dyDescent="0.35">
      <c r="A2524" s="1">
        <v>39226</v>
      </c>
      <c r="B2524">
        <v>3.45199990272521</v>
      </c>
      <c r="C2524">
        <v>3.5209999084472599</v>
      </c>
      <c r="D2524">
        <v>3.3854999542236301</v>
      </c>
      <c r="E2524">
        <v>3.4674999713897701</v>
      </c>
      <c r="F2524">
        <v>3.4674999713897701</v>
      </c>
      <c r="G2524">
        <v>476492000</v>
      </c>
      <c r="H2524">
        <f t="shared" si="156"/>
        <v>2007</v>
      </c>
      <c r="I2524">
        <f t="shared" si="157"/>
        <v>5</v>
      </c>
      <c r="J2524" t="str">
        <f t="shared" si="158"/>
        <v>May</v>
      </c>
      <c r="K2524" t="str">
        <f t="shared" si="159"/>
        <v>Thu</v>
      </c>
    </row>
    <row r="2525" spans="1:11" x14ac:dyDescent="0.35">
      <c r="A2525" s="1">
        <v>39227</v>
      </c>
      <c r="B2525">
        <v>3.4844999313354399</v>
      </c>
      <c r="C2525">
        <v>3.4849998950958199</v>
      </c>
      <c r="D2525">
        <v>3.4124999046325599</v>
      </c>
      <c r="E2525">
        <v>3.4275000095367401</v>
      </c>
      <c r="F2525">
        <v>3.4275000095367401</v>
      </c>
      <c r="G2525">
        <v>199744000</v>
      </c>
      <c r="H2525">
        <f t="shared" si="156"/>
        <v>2007</v>
      </c>
      <c r="I2525">
        <f t="shared" si="157"/>
        <v>5</v>
      </c>
      <c r="J2525" t="str">
        <f t="shared" si="158"/>
        <v>May</v>
      </c>
      <c r="K2525" t="str">
        <f t="shared" si="159"/>
        <v>Fri</v>
      </c>
    </row>
    <row r="2526" spans="1:11" x14ac:dyDescent="0.35">
      <c r="A2526" s="1">
        <v>39231</v>
      </c>
      <c r="B2526">
        <v>3.4214999675750701</v>
      </c>
      <c r="C2526">
        <v>3.4890000820159899</v>
      </c>
      <c r="D2526">
        <v>3.3859999179839999</v>
      </c>
      <c r="E2526">
        <v>3.4814999103546098</v>
      </c>
      <c r="F2526">
        <v>3.4814999103546098</v>
      </c>
      <c r="G2526">
        <v>234616000</v>
      </c>
      <c r="H2526">
        <f t="shared" si="156"/>
        <v>2007</v>
      </c>
      <c r="I2526">
        <f t="shared" si="157"/>
        <v>5</v>
      </c>
      <c r="J2526" t="str">
        <f t="shared" si="158"/>
        <v>May</v>
      </c>
      <c r="K2526" t="str">
        <f t="shared" si="159"/>
        <v>Tue</v>
      </c>
    </row>
    <row r="2527" spans="1:11" x14ac:dyDescent="0.35">
      <c r="A2527" s="1">
        <v>39232</v>
      </c>
      <c r="B2527">
        <v>3.4530000686645499</v>
      </c>
      <c r="C2527">
        <v>3.5039999485015798</v>
      </c>
      <c r="D2527">
        <v>3.4430000782012899</v>
      </c>
      <c r="E2527">
        <v>3.4930000305175701</v>
      </c>
      <c r="F2527">
        <v>3.4930000305175701</v>
      </c>
      <c r="G2527">
        <v>211522000</v>
      </c>
      <c r="H2527">
        <f t="shared" si="156"/>
        <v>2007</v>
      </c>
      <c r="I2527">
        <f t="shared" si="157"/>
        <v>5</v>
      </c>
      <c r="J2527" t="str">
        <f t="shared" si="158"/>
        <v>May</v>
      </c>
      <c r="K2527" t="str">
        <f t="shared" si="159"/>
        <v>Wed</v>
      </c>
    </row>
    <row r="2528" spans="1:11" x14ac:dyDescent="0.35">
      <c r="A2528" s="1">
        <v>39233</v>
      </c>
      <c r="B2528">
        <v>3.5339999198913499</v>
      </c>
      <c r="C2528">
        <v>3.5369999408721902</v>
      </c>
      <c r="D2528">
        <v>3.4284999370574898</v>
      </c>
      <c r="E2528">
        <v>3.4570000171661301</v>
      </c>
      <c r="F2528">
        <v>3.4570000171661301</v>
      </c>
      <c r="G2528">
        <v>186204000</v>
      </c>
      <c r="H2528">
        <f t="shared" si="156"/>
        <v>2007</v>
      </c>
      <c r="I2528">
        <f t="shared" si="157"/>
        <v>5</v>
      </c>
      <c r="J2528" t="str">
        <f t="shared" si="158"/>
        <v>May</v>
      </c>
      <c r="K2528" t="str">
        <f t="shared" si="159"/>
        <v>Thu</v>
      </c>
    </row>
    <row r="2529" spans="1:11" x14ac:dyDescent="0.35">
      <c r="A2529" s="1">
        <v>39234</v>
      </c>
      <c r="B2529">
        <v>3.4449999332427899</v>
      </c>
      <c r="C2529">
        <v>3.4649999141693102</v>
      </c>
      <c r="D2529">
        <v>3.4175000190734801</v>
      </c>
      <c r="E2529">
        <v>3.4289999008178702</v>
      </c>
      <c r="F2529">
        <v>3.4289999008178702</v>
      </c>
      <c r="G2529">
        <v>140290000</v>
      </c>
      <c r="H2529">
        <f t="shared" si="156"/>
        <v>2007</v>
      </c>
      <c r="I2529">
        <f t="shared" si="157"/>
        <v>6</v>
      </c>
      <c r="J2529" t="str">
        <f t="shared" si="158"/>
        <v>Jun</v>
      </c>
      <c r="K2529" t="str">
        <f t="shared" si="159"/>
        <v>Fri</v>
      </c>
    </row>
    <row r="2530" spans="1:11" x14ac:dyDescent="0.35">
      <c r="A2530" s="1">
        <v>39237</v>
      </c>
      <c r="B2530">
        <v>3.4124999046325599</v>
      </c>
      <c r="C2530">
        <v>3.5325000286102202</v>
      </c>
      <c r="D2530">
        <v>3.3824999332427899</v>
      </c>
      <c r="E2530">
        <v>3.5209999084472599</v>
      </c>
      <c r="F2530">
        <v>3.5209999084472599</v>
      </c>
      <c r="G2530">
        <v>227610000</v>
      </c>
      <c r="H2530">
        <f t="shared" si="156"/>
        <v>2007</v>
      </c>
      <c r="I2530">
        <f t="shared" si="157"/>
        <v>6</v>
      </c>
      <c r="J2530" t="str">
        <f t="shared" si="158"/>
        <v>Jun</v>
      </c>
      <c r="K2530" t="str">
        <f t="shared" si="159"/>
        <v>Mon</v>
      </c>
    </row>
    <row r="2531" spans="1:11" x14ac:dyDescent="0.35">
      <c r="A2531" s="1">
        <v>39238</v>
      </c>
      <c r="B2531">
        <v>3.5550000667571999</v>
      </c>
      <c r="C2531">
        <v>3.7119998931884699</v>
      </c>
      <c r="D2531">
        <v>3.5429999828338601</v>
      </c>
      <c r="E2531">
        <v>3.6824998855590798</v>
      </c>
      <c r="F2531">
        <v>3.6824998855590798</v>
      </c>
      <c r="G2531">
        <v>608850000</v>
      </c>
      <c r="H2531">
        <f t="shared" si="156"/>
        <v>2007</v>
      </c>
      <c r="I2531">
        <f t="shared" si="157"/>
        <v>6</v>
      </c>
      <c r="J2531" t="str">
        <f t="shared" si="158"/>
        <v>Jun</v>
      </c>
      <c r="K2531" t="str">
        <f t="shared" si="159"/>
        <v>Tue</v>
      </c>
    </row>
    <row r="2532" spans="1:11" x14ac:dyDescent="0.35">
      <c r="A2532" s="1">
        <v>39239</v>
      </c>
      <c r="B2532">
        <v>3.65700006484985</v>
      </c>
      <c r="C2532">
        <v>3.6875</v>
      </c>
      <c r="D2532">
        <v>3.5929999351501398</v>
      </c>
      <c r="E2532">
        <v>3.6145000457763601</v>
      </c>
      <c r="F2532">
        <v>3.6145000457763601</v>
      </c>
      <c r="G2532">
        <v>311820000</v>
      </c>
      <c r="H2532">
        <f t="shared" si="156"/>
        <v>2007</v>
      </c>
      <c r="I2532">
        <f t="shared" si="157"/>
        <v>6</v>
      </c>
      <c r="J2532" t="str">
        <f t="shared" si="158"/>
        <v>Jun</v>
      </c>
      <c r="K2532" t="str">
        <f t="shared" si="159"/>
        <v>Wed</v>
      </c>
    </row>
    <row r="2533" spans="1:11" x14ac:dyDescent="0.35">
      <c r="A2533" s="1">
        <v>39240</v>
      </c>
      <c r="B2533">
        <v>3.62849998474121</v>
      </c>
      <c r="C2533">
        <v>3.73600006103515</v>
      </c>
      <c r="D2533">
        <v>3.5439999103546098</v>
      </c>
      <c r="E2533">
        <v>3.60199999809265</v>
      </c>
      <c r="F2533">
        <v>3.60199999809265</v>
      </c>
      <c r="G2533">
        <v>482764000</v>
      </c>
      <c r="H2533">
        <f t="shared" si="156"/>
        <v>2007</v>
      </c>
      <c r="I2533">
        <f t="shared" si="157"/>
        <v>6</v>
      </c>
      <c r="J2533" t="str">
        <f t="shared" si="158"/>
        <v>Jun</v>
      </c>
      <c r="K2533" t="str">
        <f t="shared" si="159"/>
        <v>Thu</v>
      </c>
    </row>
    <row r="2534" spans="1:11" x14ac:dyDescent="0.35">
      <c r="A2534" s="1">
        <v>39241</v>
      </c>
      <c r="B2534">
        <v>3.6235001087188698</v>
      </c>
      <c r="C2534">
        <v>3.6619999408721902</v>
      </c>
      <c r="D2534">
        <v>3.5525000095367401</v>
      </c>
      <c r="E2534">
        <v>3.6619999408721902</v>
      </c>
      <c r="F2534">
        <v>3.6619999408721902</v>
      </c>
      <c r="G2534">
        <v>204090000</v>
      </c>
      <c r="H2534">
        <f t="shared" si="156"/>
        <v>2007</v>
      </c>
      <c r="I2534">
        <f t="shared" si="157"/>
        <v>6</v>
      </c>
      <c r="J2534" t="str">
        <f t="shared" si="158"/>
        <v>Jun</v>
      </c>
      <c r="K2534" t="str">
        <f t="shared" si="159"/>
        <v>Fri</v>
      </c>
    </row>
    <row r="2535" spans="1:11" x14ac:dyDescent="0.35">
      <c r="A2535" s="1">
        <v>39244</v>
      </c>
      <c r="B2535">
        <v>3.6500000953674299</v>
      </c>
      <c r="C2535">
        <v>3.6524999141693102</v>
      </c>
      <c r="D2535">
        <v>3.5499999523162802</v>
      </c>
      <c r="E2535">
        <v>3.55850005149841</v>
      </c>
      <c r="F2535">
        <v>3.55850005149841</v>
      </c>
      <c r="G2535">
        <v>223182000</v>
      </c>
      <c r="H2535">
        <f t="shared" si="156"/>
        <v>2007</v>
      </c>
      <c r="I2535">
        <f t="shared" si="157"/>
        <v>6</v>
      </c>
      <c r="J2535" t="str">
        <f t="shared" si="158"/>
        <v>Jun</v>
      </c>
      <c r="K2535" t="str">
        <f t="shared" si="159"/>
        <v>Mon</v>
      </c>
    </row>
    <row r="2536" spans="1:11" x14ac:dyDescent="0.35">
      <c r="A2536" s="1">
        <v>39245</v>
      </c>
      <c r="B2536">
        <v>3.52200007438659</v>
      </c>
      <c r="C2536">
        <v>3.5380001068115199</v>
      </c>
      <c r="D2536">
        <v>3.4709999561309801</v>
      </c>
      <c r="E2536">
        <v>3.50349998474121</v>
      </c>
      <c r="F2536">
        <v>3.50349998474121</v>
      </c>
      <c r="G2536">
        <v>236590000</v>
      </c>
      <c r="H2536">
        <f t="shared" si="156"/>
        <v>2007</v>
      </c>
      <c r="I2536">
        <f t="shared" si="157"/>
        <v>6</v>
      </c>
      <c r="J2536" t="str">
        <f t="shared" si="158"/>
        <v>Jun</v>
      </c>
      <c r="K2536" t="str">
        <f t="shared" si="159"/>
        <v>Tue</v>
      </c>
    </row>
    <row r="2537" spans="1:11" x14ac:dyDescent="0.35">
      <c r="A2537" s="1">
        <v>39246</v>
      </c>
      <c r="B2537">
        <v>3.54500007629394</v>
      </c>
      <c r="C2537">
        <v>3.59450006484985</v>
      </c>
      <c r="D2537">
        <v>3.4625000953674299</v>
      </c>
      <c r="E2537">
        <v>3.54450011253356</v>
      </c>
      <c r="F2537">
        <v>3.54450011253356</v>
      </c>
      <c r="G2537">
        <v>238358000</v>
      </c>
      <c r="H2537">
        <f t="shared" si="156"/>
        <v>2007</v>
      </c>
      <c r="I2537">
        <f t="shared" si="157"/>
        <v>6</v>
      </c>
      <c r="J2537" t="str">
        <f t="shared" si="158"/>
        <v>Jun</v>
      </c>
      <c r="K2537" t="str">
        <f t="shared" si="159"/>
        <v>Wed</v>
      </c>
    </row>
    <row r="2538" spans="1:11" x14ac:dyDescent="0.35">
      <c r="A2538" s="1">
        <v>39247</v>
      </c>
      <c r="B2538">
        <v>3.54500007629394</v>
      </c>
      <c r="C2538">
        <v>3.6059999465942298</v>
      </c>
      <c r="D2538">
        <v>3.5399999618530198</v>
      </c>
      <c r="E2538">
        <v>3.5969998836517298</v>
      </c>
      <c r="F2538">
        <v>3.5969998836517298</v>
      </c>
      <c r="G2538">
        <v>164906000</v>
      </c>
      <c r="H2538">
        <f t="shared" si="156"/>
        <v>2007</v>
      </c>
      <c r="I2538">
        <f t="shared" si="157"/>
        <v>6</v>
      </c>
      <c r="J2538" t="str">
        <f t="shared" si="158"/>
        <v>Jun</v>
      </c>
      <c r="K2538" t="str">
        <f t="shared" si="159"/>
        <v>Thu</v>
      </c>
    </row>
    <row r="2539" spans="1:11" x14ac:dyDescent="0.35">
      <c r="A2539" s="1">
        <v>39248</v>
      </c>
      <c r="B2539">
        <v>3.6424999237060498</v>
      </c>
      <c r="C2539">
        <v>3.64350008964538</v>
      </c>
      <c r="D2539">
        <v>3.5594999790191602</v>
      </c>
      <c r="E2539">
        <v>3.6199998855590798</v>
      </c>
      <c r="F2539">
        <v>3.6199998855590798</v>
      </c>
      <c r="G2539">
        <v>196664000</v>
      </c>
      <c r="H2539">
        <f t="shared" si="156"/>
        <v>2007</v>
      </c>
      <c r="I2539">
        <f t="shared" si="157"/>
        <v>6</v>
      </c>
      <c r="J2539" t="str">
        <f t="shared" si="158"/>
        <v>Jun</v>
      </c>
      <c r="K2539" t="str">
        <f t="shared" si="159"/>
        <v>Fri</v>
      </c>
    </row>
    <row r="2540" spans="1:11" x14ac:dyDescent="0.35">
      <c r="A2540" s="1">
        <v>39251</v>
      </c>
      <c r="B2540">
        <v>3.61700010299682</v>
      </c>
      <c r="C2540">
        <v>3.6319999694824201</v>
      </c>
      <c r="D2540">
        <v>3.5699999332427899</v>
      </c>
      <c r="E2540">
        <v>3.5915000438690101</v>
      </c>
      <c r="F2540">
        <v>3.5915000438690101</v>
      </c>
      <c r="G2540">
        <v>156272000</v>
      </c>
      <c r="H2540">
        <f t="shared" si="156"/>
        <v>2007</v>
      </c>
      <c r="I2540">
        <f t="shared" si="157"/>
        <v>6</v>
      </c>
      <c r="J2540" t="str">
        <f t="shared" si="158"/>
        <v>Jun</v>
      </c>
      <c r="K2540" t="str">
        <f t="shared" si="159"/>
        <v>Mon</v>
      </c>
    </row>
    <row r="2541" spans="1:11" x14ac:dyDescent="0.35">
      <c r="A2541" s="1">
        <v>39252</v>
      </c>
      <c r="B2541">
        <v>3.5775001049041699</v>
      </c>
      <c r="C2541">
        <v>3.5829999446868799</v>
      </c>
      <c r="D2541">
        <v>3.4839999675750701</v>
      </c>
      <c r="E2541">
        <v>3.4904999732971098</v>
      </c>
      <c r="F2541">
        <v>3.4904999732971098</v>
      </c>
      <c r="G2541">
        <v>237420000</v>
      </c>
      <c r="H2541">
        <f t="shared" si="156"/>
        <v>2007</v>
      </c>
      <c r="I2541">
        <f t="shared" si="157"/>
        <v>6</v>
      </c>
      <c r="J2541" t="str">
        <f t="shared" si="158"/>
        <v>Jun</v>
      </c>
      <c r="K2541" t="str">
        <f t="shared" si="159"/>
        <v>Tue</v>
      </c>
    </row>
    <row r="2542" spans="1:11" x14ac:dyDescent="0.35">
      <c r="A2542" s="1">
        <v>39253</v>
      </c>
      <c r="B2542">
        <v>3.51250004768371</v>
      </c>
      <c r="C2542">
        <v>3.5250000953674299</v>
      </c>
      <c r="D2542">
        <v>3.4525001049041699</v>
      </c>
      <c r="E2542">
        <v>3.4549999237060498</v>
      </c>
      <c r="F2542">
        <v>3.4549999237060498</v>
      </c>
      <c r="G2542">
        <v>183452000</v>
      </c>
      <c r="H2542">
        <f t="shared" si="156"/>
        <v>2007</v>
      </c>
      <c r="I2542">
        <f t="shared" si="157"/>
        <v>6</v>
      </c>
      <c r="J2542" t="str">
        <f t="shared" si="158"/>
        <v>Jun</v>
      </c>
      <c r="K2542" t="str">
        <f t="shared" si="159"/>
        <v>Wed</v>
      </c>
    </row>
    <row r="2543" spans="1:11" x14ac:dyDescent="0.35">
      <c r="A2543" s="1">
        <v>39254</v>
      </c>
      <c r="B2543">
        <v>3.4579999446868799</v>
      </c>
      <c r="C2543">
        <v>3.4885001182556099</v>
      </c>
      <c r="D2543">
        <v>3.43300008773803</v>
      </c>
      <c r="E2543">
        <v>3.4835000038146902</v>
      </c>
      <c r="F2543">
        <v>3.4835000038146902</v>
      </c>
      <c r="G2543">
        <v>152194000</v>
      </c>
      <c r="H2543">
        <f t="shared" si="156"/>
        <v>2007</v>
      </c>
      <c r="I2543">
        <f t="shared" si="157"/>
        <v>6</v>
      </c>
      <c r="J2543" t="str">
        <f t="shared" si="158"/>
        <v>Jun</v>
      </c>
      <c r="K2543" t="str">
        <f t="shared" si="159"/>
        <v>Thu</v>
      </c>
    </row>
    <row r="2544" spans="1:11" x14ac:dyDescent="0.35">
      <c r="A2544" s="1">
        <v>39255</v>
      </c>
      <c r="B2544">
        <v>3.4774999618530198</v>
      </c>
      <c r="C2544">
        <v>3.4939999580383301</v>
      </c>
      <c r="D2544">
        <v>3.4210000038146902</v>
      </c>
      <c r="E2544">
        <v>3.4430000782012899</v>
      </c>
      <c r="F2544">
        <v>3.4430000782012899</v>
      </c>
      <c r="G2544">
        <v>167652000</v>
      </c>
      <c r="H2544">
        <f t="shared" si="156"/>
        <v>2007</v>
      </c>
      <c r="I2544">
        <f t="shared" si="157"/>
        <v>6</v>
      </c>
      <c r="J2544" t="str">
        <f t="shared" si="158"/>
        <v>Jun</v>
      </c>
      <c r="K2544" t="str">
        <f t="shared" si="159"/>
        <v>Fri</v>
      </c>
    </row>
    <row r="2545" spans="1:11" x14ac:dyDescent="0.35">
      <c r="A2545" s="1">
        <v>39258</v>
      </c>
      <c r="B2545">
        <v>3.4674999713897701</v>
      </c>
      <c r="C2545">
        <v>3.4814999103546098</v>
      </c>
      <c r="D2545">
        <v>3.4149999618530198</v>
      </c>
      <c r="E2545">
        <v>3.43300008773803</v>
      </c>
      <c r="F2545">
        <v>3.43300008773803</v>
      </c>
      <c r="G2545">
        <v>151870000</v>
      </c>
      <c r="H2545">
        <f t="shared" si="156"/>
        <v>2007</v>
      </c>
      <c r="I2545">
        <f t="shared" si="157"/>
        <v>6</v>
      </c>
      <c r="J2545" t="str">
        <f t="shared" si="158"/>
        <v>Jun</v>
      </c>
      <c r="K2545" t="str">
        <f t="shared" si="159"/>
        <v>Mon</v>
      </c>
    </row>
    <row r="2546" spans="1:11" x14ac:dyDescent="0.35">
      <c r="A2546" s="1">
        <v>39259</v>
      </c>
      <c r="B2546">
        <v>3.4265000820159899</v>
      </c>
      <c r="C2546">
        <v>3.4314999580383301</v>
      </c>
      <c r="D2546">
        <v>3.3689999580383301</v>
      </c>
      <c r="E2546">
        <v>3.3740000724792401</v>
      </c>
      <c r="F2546">
        <v>3.3740000724792401</v>
      </c>
      <c r="G2546">
        <v>224956000</v>
      </c>
      <c r="H2546">
        <f t="shared" si="156"/>
        <v>2007</v>
      </c>
      <c r="I2546">
        <f t="shared" si="157"/>
        <v>6</v>
      </c>
      <c r="J2546" t="str">
        <f t="shared" si="158"/>
        <v>Jun</v>
      </c>
      <c r="K2546" t="str">
        <f t="shared" si="159"/>
        <v>Tue</v>
      </c>
    </row>
    <row r="2547" spans="1:11" x14ac:dyDescent="0.35">
      <c r="A2547" s="1">
        <v>39260</v>
      </c>
      <c r="B2547">
        <v>3.34800004959106</v>
      </c>
      <c r="C2547">
        <v>3.41050004959106</v>
      </c>
      <c r="D2547">
        <v>3.3355000019073402</v>
      </c>
      <c r="E2547">
        <v>3.40700006484985</v>
      </c>
      <c r="F2547">
        <v>3.40700006484985</v>
      </c>
      <c r="G2547">
        <v>164858000</v>
      </c>
      <c r="H2547">
        <f t="shared" si="156"/>
        <v>2007</v>
      </c>
      <c r="I2547">
        <f t="shared" si="157"/>
        <v>6</v>
      </c>
      <c r="J2547" t="str">
        <f t="shared" si="158"/>
        <v>Jun</v>
      </c>
      <c r="K2547" t="str">
        <f t="shared" si="159"/>
        <v>Wed</v>
      </c>
    </row>
    <row r="2548" spans="1:11" x14ac:dyDescent="0.35">
      <c r="A2548" s="1">
        <v>39261</v>
      </c>
      <c r="B2548">
        <v>3.4230000972747798</v>
      </c>
      <c r="C2548">
        <v>3.5114998817443799</v>
      </c>
      <c r="D2548">
        <v>3.4075000286102202</v>
      </c>
      <c r="E2548">
        <v>3.4444999694824201</v>
      </c>
      <c r="F2548">
        <v>3.4444999694824201</v>
      </c>
      <c r="G2548">
        <v>195644000</v>
      </c>
      <c r="H2548">
        <f t="shared" si="156"/>
        <v>2007</v>
      </c>
      <c r="I2548">
        <f t="shared" si="157"/>
        <v>6</v>
      </c>
      <c r="J2548" t="str">
        <f t="shared" si="158"/>
        <v>Jun</v>
      </c>
      <c r="K2548" t="str">
        <f t="shared" si="159"/>
        <v>Thu</v>
      </c>
    </row>
    <row r="2549" spans="1:11" x14ac:dyDescent="0.35">
      <c r="A2549" s="1">
        <v>39262</v>
      </c>
      <c r="B2549">
        <v>3.4514999389648402</v>
      </c>
      <c r="C2549">
        <v>3.45950007438659</v>
      </c>
      <c r="D2549">
        <v>3.4075000286102202</v>
      </c>
      <c r="E2549">
        <v>3.42050004005432</v>
      </c>
      <c r="F2549">
        <v>3.42050004005432</v>
      </c>
      <c r="G2549">
        <v>106332000</v>
      </c>
      <c r="H2549">
        <f t="shared" si="156"/>
        <v>2007</v>
      </c>
      <c r="I2549">
        <f t="shared" si="157"/>
        <v>6</v>
      </c>
      <c r="J2549" t="str">
        <f t="shared" si="158"/>
        <v>Jun</v>
      </c>
      <c r="K2549" t="str">
        <f t="shared" si="159"/>
        <v>Fri</v>
      </c>
    </row>
    <row r="2550" spans="1:11" x14ac:dyDescent="0.35">
      <c r="A2550" s="1">
        <v>39265</v>
      </c>
      <c r="B2550">
        <v>3.4405000209808301</v>
      </c>
      <c r="C2550">
        <v>3.4855000972747798</v>
      </c>
      <c r="D2550">
        <v>3.41000008583068</v>
      </c>
      <c r="E2550">
        <v>3.4804999828338601</v>
      </c>
      <c r="F2550">
        <v>3.4804999828338601</v>
      </c>
      <c r="G2550">
        <v>98122000</v>
      </c>
      <c r="H2550">
        <f t="shared" si="156"/>
        <v>2007</v>
      </c>
      <c r="I2550">
        <f t="shared" si="157"/>
        <v>7</v>
      </c>
      <c r="J2550" t="str">
        <f t="shared" si="158"/>
        <v>Jul</v>
      </c>
      <c r="K2550" t="str">
        <f t="shared" si="159"/>
        <v>Mon</v>
      </c>
    </row>
    <row r="2551" spans="1:11" x14ac:dyDescent="0.35">
      <c r="A2551" s="1">
        <v>39266</v>
      </c>
      <c r="B2551">
        <v>3.5020000934600799</v>
      </c>
      <c r="C2551">
        <v>3.5025000572204501</v>
      </c>
      <c r="D2551">
        <v>3.4509999752044598</v>
      </c>
      <c r="E2551">
        <v>3.47250008583068</v>
      </c>
      <c r="F2551">
        <v>3.47250008583068</v>
      </c>
      <c r="G2551">
        <v>44470000</v>
      </c>
      <c r="H2551">
        <f t="shared" si="156"/>
        <v>2007</v>
      </c>
      <c r="I2551">
        <f t="shared" si="157"/>
        <v>7</v>
      </c>
      <c r="J2551" t="str">
        <f t="shared" si="158"/>
        <v>Jul</v>
      </c>
      <c r="K2551" t="str">
        <f t="shared" si="159"/>
        <v>Tue</v>
      </c>
    </row>
    <row r="2552" spans="1:11" x14ac:dyDescent="0.35">
      <c r="A2552" s="1">
        <v>39268</v>
      </c>
      <c r="B2552">
        <v>3.4679999351501398</v>
      </c>
      <c r="C2552">
        <v>3.48250007629394</v>
      </c>
      <c r="D2552">
        <v>3.4030001163482599</v>
      </c>
      <c r="E2552">
        <v>3.4365000724792401</v>
      </c>
      <c r="F2552">
        <v>3.4365000724792401</v>
      </c>
      <c r="G2552">
        <v>89758000</v>
      </c>
      <c r="H2552">
        <f t="shared" si="156"/>
        <v>2007</v>
      </c>
      <c r="I2552">
        <f t="shared" si="157"/>
        <v>7</v>
      </c>
      <c r="J2552" t="str">
        <f t="shared" si="158"/>
        <v>Jul</v>
      </c>
      <c r="K2552" t="str">
        <f t="shared" si="159"/>
        <v>Thu</v>
      </c>
    </row>
    <row r="2553" spans="1:11" x14ac:dyDescent="0.35">
      <c r="A2553" s="1">
        <v>39269</v>
      </c>
      <c r="B2553">
        <v>3.4375</v>
      </c>
      <c r="C2553">
        <v>3.4649999141693102</v>
      </c>
      <c r="D2553">
        <v>3.4005000591278001</v>
      </c>
      <c r="E2553">
        <v>3.4484999179839999</v>
      </c>
      <c r="F2553">
        <v>3.4484999179839999</v>
      </c>
      <c r="G2553">
        <v>92306000</v>
      </c>
      <c r="H2553">
        <f t="shared" si="156"/>
        <v>2007</v>
      </c>
      <c r="I2553">
        <f t="shared" si="157"/>
        <v>7</v>
      </c>
      <c r="J2553" t="str">
        <f t="shared" si="158"/>
        <v>Jul</v>
      </c>
      <c r="K2553" t="str">
        <f t="shared" si="159"/>
        <v>Fri</v>
      </c>
    </row>
    <row r="2554" spans="1:11" x14ac:dyDescent="0.35">
      <c r="A2554" s="1">
        <v>39272</v>
      </c>
      <c r="B2554">
        <v>3.46900010108947</v>
      </c>
      <c r="C2554">
        <v>3.6175000667571999</v>
      </c>
      <c r="D2554">
        <v>3.4509999752044598</v>
      </c>
      <c r="E2554">
        <v>3.60349988937377</v>
      </c>
      <c r="F2554">
        <v>3.60349988937377</v>
      </c>
      <c r="G2554">
        <v>296338000</v>
      </c>
      <c r="H2554">
        <f t="shared" si="156"/>
        <v>2007</v>
      </c>
      <c r="I2554">
        <f t="shared" si="157"/>
        <v>7</v>
      </c>
      <c r="J2554" t="str">
        <f t="shared" si="158"/>
        <v>Jul</v>
      </c>
      <c r="K2554" t="str">
        <f t="shared" si="159"/>
        <v>Mon</v>
      </c>
    </row>
    <row r="2555" spans="1:11" x14ac:dyDescent="0.35">
      <c r="A2555" s="1">
        <v>39273</v>
      </c>
      <c r="B2555">
        <v>3.5824999809265101</v>
      </c>
      <c r="C2555">
        <v>3.5969998836517298</v>
      </c>
      <c r="D2555">
        <v>3.50349998474121</v>
      </c>
      <c r="E2555">
        <v>3.5139999389648402</v>
      </c>
      <c r="F2555">
        <v>3.5139999389648402</v>
      </c>
      <c r="G2555">
        <v>177708000</v>
      </c>
      <c r="H2555">
        <f t="shared" si="156"/>
        <v>2007</v>
      </c>
      <c r="I2555">
        <f t="shared" si="157"/>
        <v>7</v>
      </c>
      <c r="J2555" t="str">
        <f t="shared" si="158"/>
        <v>Jul</v>
      </c>
      <c r="K2555" t="str">
        <f t="shared" si="159"/>
        <v>Tue</v>
      </c>
    </row>
    <row r="2556" spans="1:11" x14ac:dyDescent="0.35">
      <c r="A2556" s="1">
        <v>39274</v>
      </c>
      <c r="B2556">
        <v>3.5290000438690101</v>
      </c>
      <c r="C2556">
        <v>3.5824999809265101</v>
      </c>
      <c r="D2556">
        <v>3.5074999332427899</v>
      </c>
      <c r="E2556">
        <v>3.5364999771118102</v>
      </c>
      <c r="F2556">
        <v>3.5364999771118102</v>
      </c>
      <c r="G2556">
        <v>131872000</v>
      </c>
      <c r="H2556">
        <f t="shared" si="156"/>
        <v>2007</v>
      </c>
      <c r="I2556">
        <f t="shared" si="157"/>
        <v>7</v>
      </c>
      <c r="J2556" t="str">
        <f t="shared" si="158"/>
        <v>Jul</v>
      </c>
      <c r="K2556" t="str">
        <f t="shared" si="159"/>
        <v>Wed</v>
      </c>
    </row>
    <row r="2557" spans="1:11" x14ac:dyDescent="0.35">
      <c r="A2557" s="1">
        <v>39275</v>
      </c>
      <c r="B2557">
        <v>3.5655000209808301</v>
      </c>
      <c r="C2557">
        <v>3.6784999370574898</v>
      </c>
      <c r="D2557">
        <v>3.5364999771118102</v>
      </c>
      <c r="E2557">
        <v>3.63949990272521</v>
      </c>
      <c r="F2557">
        <v>3.63949990272521</v>
      </c>
      <c r="G2557">
        <v>229032000</v>
      </c>
      <c r="H2557">
        <f t="shared" si="156"/>
        <v>2007</v>
      </c>
      <c r="I2557">
        <f t="shared" si="157"/>
        <v>7</v>
      </c>
      <c r="J2557" t="str">
        <f t="shared" si="158"/>
        <v>Jul</v>
      </c>
      <c r="K2557" t="str">
        <f t="shared" si="159"/>
        <v>Thu</v>
      </c>
    </row>
    <row r="2558" spans="1:11" x14ac:dyDescent="0.35">
      <c r="A2558" s="1">
        <v>39276</v>
      </c>
      <c r="B2558">
        <v>3.6540000438690101</v>
      </c>
      <c r="C2558">
        <v>3.7674999237060498</v>
      </c>
      <c r="D2558">
        <v>3.6484999656677202</v>
      </c>
      <c r="E2558">
        <v>3.75500011444091</v>
      </c>
      <c r="F2558">
        <v>3.75500011444091</v>
      </c>
      <c r="G2558">
        <v>250040000</v>
      </c>
      <c r="H2558">
        <f t="shared" si="156"/>
        <v>2007</v>
      </c>
      <c r="I2558">
        <f t="shared" si="157"/>
        <v>7</v>
      </c>
      <c r="J2558" t="str">
        <f t="shared" si="158"/>
        <v>Jul</v>
      </c>
      <c r="K2558" t="str">
        <f t="shared" si="159"/>
        <v>Fri</v>
      </c>
    </row>
    <row r="2559" spans="1:11" x14ac:dyDescent="0.35">
      <c r="A2559" s="1">
        <v>39279</v>
      </c>
      <c r="B2559">
        <v>3.73650002479553</v>
      </c>
      <c r="C2559">
        <v>3.74200010299682</v>
      </c>
      <c r="D2559">
        <v>3.6500000953674299</v>
      </c>
      <c r="E2559">
        <v>3.6844999790191602</v>
      </c>
      <c r="F2559">
        <v>3.6844999790191602</v>
      </c>
      <c r="G2559">
        <v>166698000</v>
      </c>
      <c r="H2559">
        <f t="shared" si="156"/>
        <v>2007</v>
      </c>
      <c r="I2559">
        <f t="shared" si="157"/>
        <v>7</v>
      </c>
      <c r="J2559" t="str">
        <f t="shared" si="158"/>
        <v>Jul</v>
      </c>
      <c r="K2559" t="str">
        <f t="shared" si="159"/>
        <v>Mon</v>
      </c>
    </row>
    <row r="2560" spans="1:11" x14ac:dyDescent="0.35">
      <c r="A2560" s="1">
        <v>39280</v>
      </c>
      <c r="B2560">
        <v>3.71950006484985</v>
      </c>
      <c r="C2560">
        <v>3.7260000705718901</v>
      </c>
      <c r="D2560">
        <v>3.67950010299682</v>
      </c>
      <c r="E2560">
        <v>3.6895000934600799</v>
      </c>
      <c r="F2560">
        <v>3.6895000934600799</v>
      </c>
      <c r="G2560">
        <v>121688000</v>
      </c>
      <c r="H2560">
        <f t="shared" si="156"/>
        <v>2007</v>
      </c>
      <c r="I2560">
        <f t="shared" si="157"/>
        <v>7</v>
      </c>
      <c r="J2560" t="str">
        <f t="shared" si="158"/>
        <v>Jul</v>
      </c>
      <c r="K2560" t="str">
        <f t="shared" si="159"/>
        <v>Tue</v>
      </c>
    </row>
    <row r="2561" spans="1:11" x14ac:dyDescent="0.35">
      <c r="A2561" s="1">
        <v>39281</v>
      </c>
      <c r="B2561">
        <v>3.6635000705718901</v>
      </c>
      <c r="C2561">
        <v>3.6744999885559002</v>
      </c>
      <c r="D2561">
        <v>3.6124999523162802</v>
      </c>
      <c r="E2561">
        <v>3.66599988937377</v>
      </c>
      <c r="F2561">
        <v>3.66599988937377</v>
      </c>
      <c r="G2561">
        <v>125794000</v>
      </c>
      <c r="H2561">
        <f t="shared" si="156"/>
        <v>2007</v>
      </c>
      <c r="I2561">
        <f t="shared" si="157"/>
        <v>7</v>
      </c>
      <c r="J2561" t="str">
        <f t="shared" si="158"/>
        <v>Jul</v>
      </c>
      <c r="K2561" t="str">
        <f t="shared" si="159"/>
        <v>Wed</v>
      </c>
    </row>
    <row r="2562" spans="1:11" x14ac:dyDescent="0.35">
      <c r="A2562" s="1">
        <v>39282</v>
      </c>
      <c r="B2562">
        <v>3.7119998931884699</v>
      </c>
      <c r="C2562">
        <v>3.7160000801086399</v>
      </c>
      <c r="D2562">
        <v>3.6559998989105198</v>
      </c>
      <c r="E2562">
        <v>3.6675000190734801</v>
      </c>
      <c r="F2562">
        <v>3.6675000190734801</v>
      </c>
      <c r="G2562">
        <v>105470000</v>
      </c>
      <c r="H2562">
        <f t="shared" si="156"/>
        <v>2007</v>
      </c>
      <c r="I2562">
        <f t="shared" si="157"/>
        <v>7</v>
      </c>
      <c r="J2562" t="str">
        <f t="shared" si="158"/>
        <v>Jul</v>
      </c>
      <c r="K2562" t="str">
        <f t="shared" si="159"/>
        <v>Thu</v>
      </c>
    </row>
    <row r="2563" spans="1:11" x14ac:dyDescent="0.35">
      <c r="A2563" s="1">
        <v>39283</v>
      </c>
      <c r="B2563">
        <v>3.6310000419616699</v>
      </c>
      <c r="C2563">
        <v>3.6480000019073402</v>
      </c>
      <c r="D2563">
        <v>3.5250000953674299</v>
      </c>
      <c r="E2563">
        <v>3.5815000534057599</v>
      </c>
      <c r="F2563">
        <v>3.5815000534057599</v>
      </c>
      <c r="G2563">
        <v>182614000</v>
      </c>
      <c r="H2563">
        <f t="shared" si="156"/>
        <v>2007</v>
      </c>
      <c r="I2563">
        <f t="shared" si="157"/>
        <v>7</v>
      </c>
      <c r="J2563" t="str">
        <f t="shared" si="158"/>
        <v>Jul</v>
      </c>
      <c r="K2563" t="str">
        <f t="shared" si="159"/>
        <v>Fri</v>
      </c>
    </row>
    <row r="2564" spans="1:11" x14ac:dyDescent="0.35">
      <c r="A2564" s="1">
        <v>39286</v>
      </c>
      <c r="B2564">
        <v>3.5889999866485498</v>
      </c>
      <c r="C2564">
        <v>3.63350009918212</v>
      </c>
      <c r="D2564">
        <v>3.5425000190734801</v>
      </c>
      <c r="E2564">
        <v>3.5869998931884699</v>
      </c>
      <c r="F2564">
        <v>3.5869998931884699</v>
      </c>
      <c r="G2564">
        <v>185356000</v>
      </c>
      <c r="H2564">
        <f t="shared" ref="H2564:H2627" si="160">YEAR($A2564)</f>
        <v>2007</v>
      </c>
      <c r="I2564">
        <f t="shared" ref="I2564:I2627" si="161">MONTH($A2564)</f>
        <v>7</v>
      </c>
      <c r="J2564" t="str">
        <f t="shared" ref="J2564:J2627" si="162">TEXT($A2564,"mmm")</f>
        <v>Jul</v>
      </c>
      <c r="K2564" t="str">
        <f t="shared" ref="K2564:K2627" si="163">TEXT($A2564,"ddd")</f>
        <v>Mon</v>
      </c>
    </row>
    <row r="2565" spans="1:11" x14ac:dyDescent="0.35">
      <c r="A2565" s="1">
        <v>39287</v>
      </c>
      <c r="B2565">
        <v>3.5520000457763601</v>
      </c>
      <c r="C2565">
        <v>3.60800004005432</v>
      </c>
      <c r="D2565">
        <v>3.44250011444091</v>
      </c>
      <c r="E2565">
        <v>3.4625000953674299</v>
      </c>
      <c r="F2565">
        <v>3.4625000953674299</v>
      </c>
      <c r="G2565">
        <v>506846000</v>
      </c>
      <c r="H2565">
        <f t="shared" si="160"/>
        <v>2007</v>
      </c>
      <c r="I2565">
        <f t="shared" si="161"/>
        <v>7</v>
      </c>
      <c r="J2565" t="str">
        <f t="shared" si="162"/>
        <v>Jul</v>
      </c>
      <c r="K2565" t="str">
        <f t="shared" si="163"/>
        <v>Tue</v>
      </c>
    </row>
    <row r="2566" spans="1:11" x14ac:dyDescent="0.35">
      <c r="A2566" s="1">
        <v>39288</v>
      </c>
      <c r="B2566">
        <v>4.2329998016357404</v>
      </c>
      <c r="C2566">
        <v>4.4400000572204501</v>
      </c>
      <c r="D2566">
        <v>4.1824998855590803</v>
      </c>
      <c r="E2566">
        <v>4.3090000152587802</v>
      </c>
      <c r="F2566">
        <v>4.3090000152587802</v>
      </c>
      <c r="G2566">
        <v>1209048000</v>
      </c>
      <c r="H2566">
        <f t="shared" si="160"/>
        <v>2007</v>
      </c>
      <c r="I2566">
        <f t="shared" si="161"/>
        <v>7</v>
      </c>
      <c r="J2566" t="str">
        <f t="shared" si="162"/>
        <v>Jul</v>
      </c>
      <c r="K2566" t="str">
        <f t="shared" si="163"/>
        <v>Wed</v>
      </c>
    </row>
    <row r="2567" spans="1:11" x14ac:dyDescent="0.35">
      <c r="A2567" s="1">
        <v>39289</v>
      </c>
      <c r="B2567">
        <v>4.2509999275207502</v>
      </c>
      <c r="C2567">
        <v>4.4499998092651296</v>
      </c>
      <c r="D2567">
        <v>4.1715002059936497</v>
      </c>
      <c r="E2567">
        <v>4.20050001144409</v>
      </c>
      <c r="F2567">
        <v>4.20050001144409</v>
      </c>
      <c r="G2567">
        <v>465342000</v>
      </c>
      <c r="H2567">
        <f t="shared" si="160"/>
        <v>2007</v>
      </c>
      <c r="I2567">
        <f t="shared" si="161"/>
        <v>7</v>
      </c>
      <c r="J2567" t="str">
        <f t="shared" si="162"/>
        <v>Jul</v>
      </c>
      <c r="K2567" t="str">
        <f t="shared" si="163"/>
        <v>Thu</v>
      </c>
    </row>
    <row r="2568" spans="1:11" x14ac:dyDescent="0.35">
      <c r="A2568" s="1">
        <v>39290</v>
      </c>
      <c r="B2568">
        <v>4.21350002288818</v>
      </c>
      <c r="C2568">
        <v>4.2664999961853001</v>
      </c>
      <c r="D2568">
        <v>4.1240000724792401</v>
      </c>
      <c r="E2568">
        <v>4.2020001411437899</v>
      </c>
      <c r="F2568">
        <v>4.2020001411437899</v>
      </c>
      <c r="G2568">
        <v>278852000</v>
      </c>
      <c r="H2568">
        <f t="shared" si="160"/>
        <v>2007</v>
      </c>
      <c r="I2568">
        <f t="shared" si="161"/>
        <v>7</v>
      </c>
      <c r="J2568" t="str">
        <f t="shared" si="162"/>
        <v>Jul</v>
      </c>
      <c r="K2568" t="str">
        <f t="shared" si="163"/>
        <v>Fri</v>
      </c>
    </row>
    <row r="2569" spans="1:11" x14ac:dyDescent="0.35">
      <c r="A2569" s="1">
        <v>39293</v>
      </c>
      <c r="B2569">
        <v>4.1500000953674299</v>
      </c>
      <c r="C2569">
        <v>4.2024998664855904</v>
      </c>
      <c r="D2569">
        <v>4.07550001144409</v>
      </c>
      <c r="E2569">
        <v>4.1350002288818297</v>
      </c>
      <c r="F2569">
        <v>4.1350002288818297</v>
      </c>
      <c r="G2569">
        <v>257112000</v>
      </c>
      <c r="H2569">
        <f t="shared" si="160"/>
        <v>2007</v>
      </c>
      <c r="I2569">
        <f t="shared" si="161"/>
        <v>7</v>
      </c>
      <c r="J2569" t="str">
        <f t="shared" si="162"/>
        <v>Jul</v>
      </c>
      <c r="K2569" t="str">
        <f t="shared" si="163"/>
        <v>Mon</v>
      </c>
    </row>
    <row r="2570" spans="1:11" x14ac:dyDescent="0.35">
      <c r="A2570" s="1">
        <v>39294</v>
      </c>
      <c r="B2570">
        <v>4.1849999427795401</v>
      </c>
      <c r="C2570">
        <v>4.1865000724792401</v>
      </c>
      <c r="D2570">
        <v>3.9000000953674299</v>
      </c>
      <c r="E2570">
        <v>3.9270000457763601</v>
      </c>
      <c r="F2570">
        <v>3.9270000457763601</v>
      </c>
      <c r="G2570">
        <v>282090000</v>
      </c>
      <c r="H2570">
        <f t="shared" si="160"/>
        <v>2007</v>
      </c>
      <c r="I2570">
        <f t="shared" si="161"/>
        <v>7</v>
      </c>
      <c r="J2570" t="str">
        <f t="shared" si="162"/>
        <v>Jul</v>
      </c>
      <c r="K2570" t="str">
        <f t="shared" si="163"/>
        <v>Tue</v>
      </c>
    </row>
    <row r="2571" spans="1:11" x14ac:dyDescent="0.35">
      <c r="A2571" s="1">
        <v>39295</v>
      </c>
      <c r="B2571">
        <v>3.9049999713897701</v>
      </c>
      <c r="C2571">
        <v>3.9075000286102202</v>
      </c>
      <c r="D2571">
        <v>3.7530000209808301</v>
      </c>
      <c r="E2571">
        <v>3.8654999732971098</v>
      </c>
      <c r="F2571">
        <v>3.8654999732971098</v>
      </c>
      <c r="G2571">
        <v>338360000</v>
      </c>
      <c r="H2571">
        <f t="shared" si="160"/>
        <v>2007</v>
      </c>
      <c r="I2571">
        <f t="shared" si="161"/>
        <v>8</v>
      </c>
      <c r="J2571" t="str">
        <f t="shared" si="162"/>
        <v>Aug</v>
      </c>
      <c r="K2571" t="str">
        <f t="shared" si="163"/>
        <v>Wed</v>
      </c>
    </row>
    <row r="2572" spans="1:11" x14ac:dyDescent="0.35">
      <c r="A2572" s="1">
        <v>39296</v>
      </c>
      <c r="B2572">
        <v>3.8929998874664302</v>
      </c>
      <c r="C2572">
        <v>3.9879999160766602</v>
      </c>
      <c r="D2572">
        <v>3.8059999942779501</v>
      </c>
      <c r="E2572">
        <v>3.9855000972747798</v>
      </c>
      <c r="F2572">
        <v>3.9855000972747798</v>
      </c>
      <c r="G2572">
        <v>207232000</v>
      </c>
      <c r="H2572">
        <f t="shared" si="160"/>
        <v>2007</v>
      </c>
      <c r="I2572">
        <f t="shared" si="161"/>
        <v>8</v>
      </c>
      <c r="J2572" t="str">
        <f t="shared" si="162"/>
        <v>Aug</v>
      </c>
      <c r="K2572" t="str">
        <f t="shared" si="163"/>
        <v>Thu</v>
      </c>
    </row>
    <row r="2573" spans="1:11" x14ac:dyDescent="0.35">
      <c r="A2573" s="1">
        <v>39297</v>
      </c>
      <c r="B2573">
        <v>3.97699999809265</v>
      </c>
      <c r="C2573">
        <v>4.0374999046325604</v>
      </c>
      <c r="D2573">
        <v>3.8355000019073402</v>
      </c>
      <c r="E2573">
        <v>3.8399999141693102</v>
      </c>
      <c r="F2573">
        <v>3.8399999141693102</v>
      </c>
      <c r="G2573">
        <v>159750000</v>
      </c>
      <c r="H2573">
        <f t="shared" si="160"/>
        <v>2007</v>
      </c>
      <c r="I2573">
        <f t="shared" si="161"/>
        <v>8</v>
      </c>
      <c r="J2573" t="str">
        <f t="shared" si="162"/>
        <v>Aug</v>
      </c>
      <c r="K2573" t="str">
        <f t="shared" si="163"/>
        <v>Fri</v>
      </c>
    </row>
    <row r="2574" spans="1:11" x14ac:dyDescent="0.35">
      <c r="A2574" s="1">
        <v>39300</v>
      </c>
      <c r="B2574">
        <v>3.8529999256134002</v>
      </c>
      <c r="C2574">
        <v>3.95000004768371</v>
      </c>
      <c r="D2574">
        <v>3.8299999237060498</v>
      </c>
      <c r="E2574">
        <v>3.95000004768371</v>
      </c>
      <c r="F2574">
        <v>3.95000004768371</v>
      </c>
      <c r="G2574">
        <v>180058000</v>
      </c>
      <c r="H2574">
        <f t="shared" si="160"/>
        <v>2007</v>
      </c>
      <c r="I2574">
        <f t="shared" si="161"/>
        <v>8</v>
      </c>
      <c r="J2574" t="str">
        <f t="shared" si="162"/>
        <v>Aug</v>
      </c>
      <c r="K2574" t="str">
        <f t="shared" si="163"/>
        <v>Mon</v>
      </c>
    </row>
    <row r="2575" spans="1:11" x14ac:dyDescent="0.35">
      <c r="A2575" s="1">
        <v>39301</v>
      </c>
      <c r="B2575">
        <v>3.9275000095367401</v>
      </c>
      <c r="C2575">
        <v>4</v>
      </c>
      <c r="D2575">
        <v>3.8945000171661301</v>
      </c>
      <c r="E2575">
        <v>3.9570000171661301</v>
      </c>
      <c r="F2575">
        <v>3.9570000171661301</v>
      </c>
      <c r="G2575">
        <v>161186000</v>
      </c>
      <c r="H2575">
        <f t="shared" si="160"/>
        <v>2007</v>
      </c>
      <c r="I2575">
        <f t="shared" si="161"/>
        <v>8</v>
      </c>
      <c r="J2575" t="str">
        <f t="shared" si="162"/>
        <v>Aug</v>
      </c>
      <c r="K2575" t="str">
        <f t="shared" si="163"/>
        <v>Tue</v>
      </c>
    </row>
    <row r="2576" spans="1:11" x14ac:dyDescent="0.35">
      <c r="A2576" s="1">
        <v>39302</v>
      </c>
      <c r="B2576">
        <v>3.9885001182556099</v>
      </c>
      <c r="C2576">
        <v>3.9939999580383301</v>
      </c>
      <c r="D2576">
        <v>3.8280000686645499</v>
      </c>
      <c r="E2576">
        <v>3.8889999389648402</v>
      </c>
      <c r="F2576">
        <v>3.8889999389648402</v>
      </c>
      <c r="G2576">
        <v>164896000</v>
      </c>
      <c r="H2576">
        <f t="shared" si="160"/>
        <v>2007</v>
      </c>
      <c r="I2576">
        <f t="shared" si="161"/>
        <v>8</v>
      </c>
      <c r="J2576" t="str">
        <f t="shared" si="162"/>
        <v>Aug</v>
      </c>
      <c r="K2576" t="str">
        <f t="shared" si="163"/>
        <v>Wed</v>
      </c>
    </row>
    <row r="2577" spans="1:11" x14ac:dyDescent="0.35">
      <c r="A2577" s="1">
        <v>39303</v>
      </c>
      <c r="B2577">
        <v>3.8199999332427899</v>
      </c>
      <c r="C2577">
        <v>3.8629999160766602</v>
      </c>
      <c r="D2577">
        <v>3.7054998874664302</v>
      </c>
      <c r="E2577">
        <v>3.7054998874664302</v>
      </c>
      <c r="F2577">
        <v>3.7054998874664302</v>
      </c>
      <c r="G2577">
        <v>166968000</v>
      </c>
      <c r="H2577">
        <f t="shared" si="160"/>
        <v>2007</v>
      </c>
      <c r="I2577">
        <f t="shared" si="161"/>
        <v>8</v>
      </c>
      <c r="J2577" t="str">
        <f t="shared" si="162"/>
        <v>Aug</v>
      </c>
      <c r="K2577" t="str">
        <f t="shared" si="163"/>
        <v>Thu</v>
      </c>
    </row>
    <row r="2578" spans="1:11" x14ac:dyDescent="0.35">
      <c r="A2578" s="1">
        <v>39304</v>
      </c>
      <c r="B2578">
        <v>3.6575000286102202</v>
      </c>
      <c r="C2578">
        <v>3.82500004768371</v>
      </c>
      <c r="D2578">
        <v>3.6184999942779501</v>
      </c>
      <c r="E2578">
        <v>3.7390000820159899</v>
      </c>
      <c r="F2578">
        <v>3.7390000820159899</v>
      </c>
      <c r="G2578">
        <v>181352000</v>
      </c>
      <c r="H2578">
        <f t="shared" si="160"/>
        <v>2007</v>
      </c>
      <c r="I2578">
        <f t="shared" si="161"/>
        <v>8</v>
      </c>
      <c r="J2578" t="str">
        <f t="shared" si="162"/>
        <v>Aug</v>
      </c>
      <c r="K2578" t="str">
        <f t="shared" si="163"/>
        <v>Fri</v>
      </c>
    </row>
    <row r="2579" spans="1:11" x14ac:dyDescent="0.35">
      <c r="A2579" s="1">
        <v>39307</v>
      </c>
      <c r="B2579">
        <v>3.80450010299682</v>
      </c>
      <c r="C2579">
        <v>3.81599998474121</v>
      </c>
      <c r="D2579">
        <v>3.7349998950958199</v>
      </c>
      <c r="E2579">
        <v>3.7434999942779501</v>
      </c>
      <c r="F2579">
        <v>3.7434999942779501</v>
      </c>
      <c r="G2579">
        <v>121372000</v>
      </c>
      <c r="H2579">
        <f t="shared" si="160"/>
        <v>2007</v>
      </c>
      <c r="I2579">
        <f t="shared" si="161"/>
        <v>8</v>
      </c>
      <c r="J2579" t="str">
        <f t="shared" si="162"/>
        <v>Aug</v>
      </c>
      <c r="K2579" t="str">
        <f t="shared" si="163"/>
        <v>Mon</v>
      </c>
    </row>
    <row r="2580" spans="1:11" x14ac:dyDescent="0.35">
      <c r="A2580" s="1">
        <v>39308</v>
      </c>
      <c r="B2580">
        <v>3.7395000457763601</v>
      </c>
      <c r="C2580">
        <v>3.7395000457763601</v>
      </c>
      <c r="D2580">
        <v>3.6459999084472599</v>
      </c>
      <c r="E2580">
        <v>3.6724998950958199</v>
      </c>
      <c r="F2580">
        <v>3.6724998950958199</v>
      </c>
      <c r="G2580">
        <v>118924000</v>
      </c>
      <c r="H2580">
        <f t="shared" si="160"/>
        <v>2007</v>
      </c>
      <c r="I2580">
        <f t="shared" si="161"/>
        <v>8</v>
      </c>
      <c r="J2580" t="str">
        <f t="shared" si="162"/>
        <v>Aug</v>
      </c>
      <c r="K2580" t="str">
        <f t="shared" si="163"/>
        <v>Tue</v>
      </c>
    </row>
    <row r="2581" spans="1:11" x14ac:dyDescent="0.35">
      <c r="A2581" s="1">
        <v>39309</v>
      </c>
      <c r="B2581">
        <v>3.65100002288818</v>
      </c>
      <c r="C2581">
        <v>3.7574999332427899</v>
      </c>
      <c r="D2581">
        <v>3.6129999160766602</v>
      </c>
      <c r="E2581">
        <v>3.6189999580383301</v>
      </c>
      <c r="F2581">
        <v>3.6189999580383301</v>
      </c>
      <c r="G2581">
        <v>127518000</v>
      </c>
      <c r="H2581">
        <f t="shared" si="160"/>
        <v>2007</v>
      </c>
      <c r="I2581">
        <f t="shared" si="161"/>
        <v>8</v>
      </c>
      <c r="J2581" t="str">
        <f t="shared" si="162"/>
        <v>Aug</v>
      </c>
      <c r="K2581" t="str">
        <f t="shared" si="163"/>
        <v>Wed</v>
      </c>
    </row>
    <row r="2582" spans="1:11" x14ac:dyDescent="0.35">
      <c r="A2582" s="1">
        <v>39310</v>
      </c>
      <c r="B2582">
        <v>3.5999999046325599</v>
      </c>
      <c r="C2582">
        <v>3.6619999408721902</v>
      </c>
      <c r="D2582">
        <v>3.5025000572204501</v>
      </c>
      <c r="E2582">
        <v>3.63949990272521</v>
      </c>
      <c r="F2582">
        <v>3.63949990272521</v>
      </c>
      <c r="G2582">
        <v>215746000</v>
      </c>
      <c r="H2582">
        <f t="shared" si="160"/>
        <v>2007</v>
      </c>
      <c r="I2582">
        <f t="shared" si="161"/>
        <v>8</v>
      </c>
      <c r="J2582" t="str">
        <f t="shared" si="162"/>
        <v>Aug</v>
      </c>
      <c r="K2582" t="str">
        <f t="shared" si="163"/>
        <v>Thu</v>
      </c>
    </row>
    <row r="2583" spans="1:11" x14ac:dyDescent="0.35">
      <c r="A2583" s="1">
        <v>39311</v>
      </c>
      <c r="B2583">
        <v>3.7244999408721902</v>
      </c>
      <c r="C2583">
        <v>3.7520000934600799</v>
      </c>
      <c r="D2583">
        <v>3.6554999351501398</v>
      </c>
      <c r="E2583">
        <v>3.7509999275207502</v>
      </c>
      <c r="F2583">
        <v>3.7509999275207502</v>
      </c>
      <c r="G2583">
        <v>144812000</v>
      </c>
      <c r="H2583">
        <f t="shared" si="160"/>
        <v>2007</v>
      </c>
      <c r="I2583">
        <f t="shared" si="161"/>
        <v>8</v>
      </c>
      <c r="J2583" t="str">
        <f t="shared" si="162"/>
        <v>Aug</v>
      </c>
      <c r="K2583" t="str">
        <f t="shared" si="163"/>
        <v>Fri</v>
      </c>
    </row>
    <row r="2584" spans="1:11" x14ac:dyDescent="0.35">
      <c r="A2584" s="1">
        <v>39314</v>
      </c>
      <c r="B2584">
        <v>3.7490000724792401</v>
      </c>
      <c r="C2584">
        <v>3.7639999389648402</v>
      </c>
      <c r="D2584">
        <v>3.6900000572204501</v>
      </c>
      <c r="E2584">
        <v>3.7349998950958199</v>
      </c>
      <c r="F2584">
        <v>3.7349998950958199</v>
      </c>
      <c r="G2584">
        <v>118322000</v>
      </c>
      <c r="H2584">
        <f t="shared" si="160"/>
        <v>2007</v>
      </c>
      <c r="I2584">
        <f t="shared" si="161"/>
        <v>8</v>
      </c>
      <c r="J2584" t="str">
        <f t="shared" si="162"/>
        <v>Aug</v>
      </c>
      <c r="K2584" t="str">
        <f t="shared" si="163"/>
        <v>Mon</v>
      </c>
    </row>
    <row r="2585" spans="1:11" x14ac:dyDescent="0.35">
      <c r="A2585" s="1">
        <v>39315</v>
      </c>
      <c r="B2585">
        <v>3.7105000019073402</v>
      </c>
      <c r="C2585">
        <v>3.8914999961853001</v>
      </c>
      <c r="D2585">
        <v>3.7044999599456698</v>
      </c>
      <c r="E2585">
        <v>3.87450003623962</v>
      </c>
      <c r="F2585">
        <v>3.87450003623962</v>
      </c>
      <c r="G2585">
        <v>168582000</v>
      </c>
      <c r="H2585">
        <f t="shared" si="160"/>
        <v>2007</v>
      </c>
      <c r="I2585">
        <f t="shared" si="161"/>
        <v>8</v>
      </c>
      <c r="J2585" t="str">
        <f t="shared" si="162"/>
        <v>Aug</v>
      </c>
      <c r="K2585" t="str">
        <f t="shared" si="163"/>
        <v>Tue</v>
      </c>
    </row>
    <row r="2586" spans="1:11" x14ac:dyDescent="0.35">
      <c r="A2586" s="1">
        <v>39316</v>
      </c>
      <c r="B2586">
        <v>3.9119999408721902</v>
      </c>
      <c r="C2586">
        <v>3.9744999408721902</v>
      </c>
      <c r="D2586">
        <v>3.8919999599456698</v>
      </c>
      <c r="E2586">
        <v>3.9249999523162802</v>
      </c>
      <c r="F2586">
        <v>3.9249999523162802</v>
      </c>
      <c r="G2586">
        <v>136962000</v>
      </c>
      <c r="H2586">
        <f t="shared" si="160"/>
        <v>2007</v>
      </c>
      <c r="I2586">
        <f t="shared" si="161"/>
        <v>8</v>
      </c>
      <c r="J2586" t="str">
        <f t="shared" si="162"/>
        <v>Aug</v>
      </c>
      <c r="K2586" t="str">
        <f t="shared" si="163"/>
        <v>Wed</v>
      </c>
    </row>
    <row r="2587" spans="1:11" x14ac:dyDescent="0.35">
      <c r="A2587" s="1">
        <v>39317</v>
      </c>
      <c r="B2587">
        <v>3.94700002670288</v>
      </c>
      <c r="C2587">
        <v>3.95000004768371</v>
      </c>
      <c r="D2587">
        <v>3.82550001144409</v>
      </c>
      <c r="E2587">
        <v>3.8650000095367401</v>
      </c>
      <c r="F2587">
        <v>3.8650000095367401</v>
      </c>
      <c r="G2587">
        <v>113300000</v>
      </c>
      <c r="H2587">
        <f t="shared" si="160"/>
        <v>2007</v>
      </c>
      <c r="I2587">
        <f t="shared" si="161"/>
        <v>8</v>
      </c>
      <c r="J2587" t="str">
        <f t="shared" si="162"/>
        <v>Aug</v>
      </c>
      <c r="K2587" t="str">
        <f t="shared" si="163"/>
        <v>Thu</v>
      </c>
    </row>
    <row r="2588" spans="1:11" x14ac:dyDescent="0.35">
      <c r="A2588" s="1">
        <v>39318</v>
      </c>
      <c r="B2588">
        <v>3.8399999141693102</v>
      </c>
      <c r="C2588">
        <v>3.9700000286102202</v>
      </c>
      <c r="D2588">
        <v>3.83450007438659</v>
      </c>
      <c r="E2588">
        <v>3.9625000953674299</v>
      </c>
      <c r="F2588">
        <v>3.9625000953674299</v>
      </c>
      <c r="G2588">
        <v>113314000</v>
      </c>
      <c r="H2588">
        <f t="shared" si="160"/>
        <v>2007</v>
      </c>
      <c r="I2588">
        <f t="shared" si="161"/>
        <v>8</v>
      </c>
      <c r="J2588" t="str">
        <f t="shared" si="162"/>
        <v>Aug</v>
      </c>
      <c r="K2588" t="str">
        <f t="shared" si="163"/>
        <v>Fri</v>
      </c>
    </row>
    <row r="2589" spans="1:11" x14ac:dyDescent="0.35">
      <c r="A2589" s="1">
        <v>39321</v>
      </c>
      <c r="B2589">
        <v>4.0279998779296804</v>
      </c>
      <c r="C2589">
        <v>4.0399999618530202</v>
      </c>
      <c r="D2589">
        <v>3.9210000038146902</v>
      </c>
      <c r="E2589">
        <v>3.9324998855590798</v>
      </c>
      <c r="F2589">
        <v>3.9324998855590798</v>
      </c>
      <c r="G2589">
        <v>139026000</v>
      </c>
      <c r="H2589">
        <f t="shared" si="160"/>
        <v>2007</v>
      </c>
      <c r="I2589">
        <f t="shared" si="161"/>
        <v>8</v>
      </c>
      <c r="J2589" t="str">
        <f t="shared" si="162"/>
        <v>Aug</v>
      </c>
      <c r="K2589" t="str">
        <f t="shared" si="163"/>
        <v>Mon</v>
      </c>
    </row>
    <row r="2590" spans="1:11" x14ac:dyDescent="0.35">
      <c r="A2590" s="1">
        <v>39322</v>
      </c>
      <c r="B2590">
        <v>3.8929998874664302</v>
      </c>
      <c r="C2590">
        <v>3.9324998855590798</v>
      </c>
      <c r="D2590">
        <v>3.8039999008178702</v>
      </c>
      <c r="E2590">
        <v>3.8110001087188698</v>
      </c>
      <c r="F2590">
        <v>3.8110001087188698</v>
      </c>
      <c r="G2590">
        <v>115340000</v>
      </c>
      <c r="H2590">
        <f t="shared" si="160"/>
        <v>2007</v>
      </c>
      <c r="I2590">
        <f t="shared" si="161"/>
        <v>8</v>
      </c>
      <c r="J2590" t="str">
        <f t="shared" si="162"/>
        <v>Aug</v>
      </c>
      <c r="K2590" t="str">
        <f t="shared" si="163"/>
        <v>Tue</v>
      </c>
    </row>
    <row r="2591" spans="1:11" x14ac:dyDescent="0.35">
      <c r="A2591" s="1">
        <v>39323</v>
      </c>
      <c r="B2591">
        <v>3.84800004959106</v>
      </c>
      <c r="C2591">
        <v>3.9525001049041699</v>
      </c>
      <c r="D2591">
        <v>3.8429999351501398</v>
      </c>
      <c r="E2591">
        <v>3.9525001049041699</v>
      </c>
      <c r="F2591">
        <v>3.9525001049041699</v>
      </c>
      <c r="G2591">
        <v>101536000</v>
      </c>
      <c r="H2591">
        <f t="shared" si="160"/>
        <v>2007</v>
      </c>
      <c r="I2591">
        <f t="shared" si="161"/>
        <v>8</v>
      </c>
      <c r="J2591" t="str">
        <f t="shared" si="162"/>
        <v>Aug</v>
      </c>
      <c r="K2591" t="str">
        <f t="shared" si="163"/>
        <v>Wed</v>
      </c>
    </row>
    <row r="2592" spans="1:11" x14ac:dyDescent="0.35">
      <c r="A2592" s="1">
        <v>39324</v>
      </c>
      <c r="B2592">
        <v>3.92000007629394</v>
      </c>
      <c r="C2592">
        <v>4.0054998397827104</v>
      </c>
      <c r="D2592">
        <v>3.9149999618530198</v>
      </c>
      <c r="E2592">
        <v>3.9340000152587802</v>
      </c>
      <c r="F2592">
        <v>3.9340000152587802</v>
      </c>
      <c r="G2592">
        <v>92576000</v>
      </c>
      <c r="H2592">
        <f t="shared" si="160"/>
        <v>2007</v>
      </c>
      <c r="I2592">
        <f t="shared" si="161"/>
        <v>8</v>
      </c>
      <c r="J2592" t="str">
        <f t="shared" si="162"/>
        <v>Aug</v>
      </c>
      <c r="K2592" t="str">
        <f t="shared" si="163"/>
        <v>Thu</v>
      </c>
    </row>
    <row r="2593" spans="1:11" x14ac:dyDescent="0.35">
      <c r="A2593" s="1">
        <v>39325</v>
      </c>
      <c r="B2593">
        <v>4</v>
      </c>
      <c r="C2593">
        <v>4.0265002250671298</v>
      </c>
      <c r="D2593">
        <v>3.9849998950958199</v>
      </c>
      <c r="E2593">
        <v>3.99550008773803</v>
      </c>
      <c r="F2593">
        <v>3.99550008773803</v>
      </c>
      <c r="G2593">
        <v>123148000</v>
      </c>
      <c r="H2593">
        <f t="shared" si="160"/>
        <v>2007</v>
      </c>
      <c r="I2593">
        <f t="shared" si="161"/>
        <v>8</v>
      </c>
      <c r="J2593" t="str">
        <f t="shared" si="162"/>
        <v>Aug</v>
      </c>
      <c r="K2593" t="str">
        <f t="shared" si="163"/>
        <v>Fri</v>
      </c>
    </row>
    <row r="2594" spans="1:11" x14ac:dyDescent="0.35">
      <c r="A2594" s="1">
        <v>39329</v>
      </c>
      <c r="B2594">
        <v>3.9949998855590798</v>
      </c>
      <c r="C2594">
        <v>4.1764998435974103</v>
      </c>
      <c r="D2594">
        <v>3.98650002479553</v>
      </c>
      <c r="E2594">
        <v>4.1350002288818297</v>
      </c>
      <c r="F2594">
        <v>4.1350002288818297</v>
      </c>
      <c r="G2594">
        <v>165320000</v>
      </c>
      <c r="H2594">
        <f t="shared" si="160"/>
        <v>2007</v>
      </c>
      <c r="I2594">
        <f t="shared" si="161"/>
        <v>9</v>
      </c>
      <c r="J2594" t="str">
        <f t="shared" si="162"/>
        <v>Sep</v>
      </c>
      <c r="K2594" t="str">
        <f t="shared" si="163"/>
        <v>Tue</v>
      </c>
    </row>
    <row r="2595" spans="1:11" x14ac:dyDescent="0.35">
      <c r="A2595" s="1">
        <v>39330</v>
      </c>
      <c r="B2595">
        <v>4.1119999885559002</v>
      </c>
      <c r="C2595">
        <v>4.2445001602172798</v>
      </c>
      <c r="D2595">
        <v>4.11100006103515</v>
      </c>
      <c r="E2595">
        <v>4.1875</v>
      </c>
      <c r="F2595">
        <v>4.1875</v>
      </c>
      <c r="G2595">
        <v>181244000</v>
      </c>
      <c r="H2595">
        <f t="shared" si="160"/>
        <v>2007</v>
      </c>
      <c r="I2595">
        <f t="shared" si="161"/>
        <v>9</v>
      </c>
      <c r="J2595" t="str">
        <f t="shared" si="162"/>
        <v>Sep</v>
      </c>
      <c r="K2595" t="str">
        <f t="shared" si="163"/>
        <v>Wed</v>
      </c>
    </row>
    <row r="2596" spans="1:11" x14ac:dyDescent="0.35">
      <c r="A2596" s="1">
        <v>39331</v>
      </c>
      <c r="B2596">
        <v>4.2249999046325604</v>
      </c>
      <c r="C2596">
        <v>4.3229999542236301</v>
      </c>
      <c r="D2596">
        <v>4.1424999237060502</v>
      </c>
      <c r="E2596">
        <v>4.3105001449584899</v>
      </c>
      <c r="F2596">
        <v>4.3105001449584899</v>
      </c>
      <c r="G2596">
        <v>176538000</v>
      </c>
      <c r="H2596">
        <f t="shared" si="160"/>
        <v>2007</v>
      </c>
      <c r="I2596">
        <f t="shared" si="161"/>
        <v>9</v>
      </c>
      <c r="J2596" t="str">
        <f t="shared" si="162"/>
        <v>Sep</v>
      </c>
      <c r="K2596" t="str">
        <f t="shared" si="163"/>
        <v>Thu</v>
      </c>
    </row>
    <row r="2597" spans="1:11" x14ac:dyDescent="0.35">
      <c r="A2597" s="1">
        <v>39332</v>
      </c>
      <c r="B2597">
        <v>4.2350001335143999</v>
      </c>
      <c r="C2597">
        <v>4.2484998703002903</v>
      </c>
      <c r="D2597">
        <v>4.16050004959106</v>
      </c>
      <c r="E2597">
        <v>4.2259998321533203</v>
      </c>
      <c r="F2597">
        <v>4.2259998321533203</v>
      </c>
      <c r="G2597">
        <v>164624000</v>
      </c>
      <c r="H2597">
        <f t="shared" si="160"/>
        <v>2007</v>
      </c>
      <c r="I2597">
        <f t="shared" si="161"/>
        <v>9</v>
      </c>
      <c r="J2597" t="str">
        <f t="shared" si="162"/>
        <v>Sep</v>
      </c>
      <c r="K2597" t="str">
        <f t="shared" si="163"/>
        <v>Fri</v>
      </c>
    </row>
    <row r="2598" spans="1:11" x14ac:dyDescent="0.35">
      <c r="A2598" s="1">
        <v>39335</v>
      </c>
      <c r="B2598">
        <v>4.2465000152587802</v>
      </c>
      <c r="C2598">
        <v>4.2579998970031703</v>
      </c>
      <c r="D2598">
        <v>4.1255002021789497</v>
      </c>
      <c r="E2598">
        <v>4.1669998168945304</v>
      </c>
      <c r="F2598">
        <v>4.1669998168945304</v>
      </c>
      <c r="G2598">
        <v>107338000</v>
      </c>
      <c r="H2598">
        <f t="shared" si="160"/>
        <v>2007</v>
      </c>
      <c r="I2598">
        <f t="shared" si="161"/>
        <v>9</v>
      </c>
      <c r="J2598" t="str">
        <f t="shared" si="162"/>
        <v>Sep</v>
      </c>
      <c r="K2598" t="str">
        <f t="shared" si="163"/>
        <v>Mon</v>
      </c>
    </row>
    <row r="2599" spans="1:11" x14ac:dyDescent="0.35">
      <c r="A2599" s="1">
        <v>39336</v>
      </c>
      <c r="B2599">
        <v>4.2084999084472603</v>
      </c>
      <c r="C2599">
        <v>4.3305001258850098</v>
      </c>
      <c r="D2599">
        <v>4.1764998435974103</v>
      </c>
      <c r="E2599">
        <v>4.3140001296996999</v>
      </c>
      <c r="F2599">
        <v>4.3140001296996999</v>
      </c>
      <c r="G2599">
        <v>137196000</v>
      </c>
      <c r="H2599">
        <f t="shared" si="160"/>
        <v>2007</v>
      </c>
      <c r="I2599">
        <f t="shared" si="161"/>
        <v>9</v>
      </c>
      <c r="J2599" t="str">
        <f t="shared" si="162"/>
        <v>Sep</v>
      </c>
      <c r="K2599" t="str">
        <f t="shared" si="163"/>
        <v>Tue</v>
      </c>
    </row>
    <row r="2600" spans="1:11" x14ac:dyDescent="0.35">
      <c r="A2600" s="1">
        <v>39337</v>
      </c>
      <c r="B2600">
        <v>4.3035001754760698</v>
      </c>
      <c r="C2600">
        <v>4.4444999694824201</v>
      </c>
      <c r="D2600">
        <v>4.29850006103515</v>
      </c>
      <c r="E2600">
        <v>4.3649997711181596</v>
      </c>
      <c r="F2600">
        <v>4.3649997711181596</v>
      </c>
      <c r="G2600">
        <v>180606000</v>
      </c>
      <c r="H2600">
        <f t="shared" si="160"/>
        <v>2007</v>
      </c>
      <c r="I2600">
        <f t="shared" si="161"/>
        <v>9</v>
      </c>
      <c r="J2600" t="str">
        <f t="shared" si="162"/>
        <v>Sep</v>
      </c>
      <c r="K2600" t="str">
        <f t="shared" si="163"/>
        <v>Wed</v>
      </c>
    </row>
    <row r="2601" spans="1:11" x14ac:dyDescent="0.35">
      <c r="A2601" s="1">
        <v>39338</v>
      </c>
      <c r="B2601">
        <v>4.39750003814697</v>
      </c>
      <c r="C2601">
        <v>4.4035000801086399</v>
      </c>
      <c r="D2601">
        <v>4.3249998092651296</v>
      </c>
      <c r="E2601">
        <v>4.3629999160766602</v>
      </c>
      <c r="F2601">
        <v>4.3629999160766602</v>
      </c>
      <c r="G2601">
        <v>119670000</v>
      </c>
      <c r="H2601">
        <f t="shared" si="160"/>
        <v>2007</v>
      </c>
      <c r="I2601">
        <f t="shared" si="161"/>
        <v>9</v>
      </c>
      <c r="J2601" t="str">
        <f t="shared" si="162"/>
        <v>Sep</v>
      </c>
      <c r="K2601" t="str">
        <f t="shared" si="163"/>
        <v>Thu</v>
      </c>
    </row>
    <row r="2602" spans="1:11" x14ac:dyDescent="0.35">
      <c r="A2602" s="1">
        <v>39339</v>
      </c>
      <c r="B2602">
        <v>4.3204998970031703</v>
      </c>
      <c r="C2602">
        <v>4.4045000076293901</v>
      </c>
      <c r="D2602">
        <v>4.3154997825622496</v>
      </c>
      <c r="E2602">
        <v>4.3885002136230398</v>
      </c>
      <c r="F2602">
        <v>4.3885002136230398</v>
      </c>
      <c r="G2602">
        <v>79094000</v>
      </c>
      <c r="H2602">
        <f t="shared" si="160"/>
        <v>2007</v>
      </c>
      <c r="I2602">
        <f t="shared" si="161"/>
        <v>9</v>
      </c>
      <c r="J2602" t="str">
        <f t="shared" si="162"/>
        <v>Sep</v>
      </c>
      <c r="K2602" t="str">
        <f t="shared" si="163"/>
        <v>Fri</v>
      </c>
    </row>
    <row r="2603" spans="1:11" x14ac:dyDescent="0.35">
      <c r="A2603" s="1">
        <v>39342</v>
      </c>
      <c r="B2603">
        <v>4.3489999771118102</v>
      </c>
      <c r="C2603">
        <v>4.36700010299682</v>
      </c>
      <c r="D2603">
        <v>4.2989997863769496</v>
      </c>
      <c r="E2603">
        <v>4.3454999923706001</v>
      </c>
      <c r="F2603">
        <v>4.3454999923706001</v>
      </c>
      <c r="G2603">
        <v>89690000</v>
      </c>
      <c r="H2603">
        <f t="shared" si="160"/>
        <v>2007</v>
      </c>
      <c r="I2603">
        <f t="shared" si="161"/>
        <v>9</v>
      </c>
      <c r="J2603" t="str">
        <f t="shared" si="162"/>
        <v>Sep</v>
      </c>
      <c r="K2603" t="str">
        <f t="shared" si="163"/>
        <v>Mon</v>
      </c>
    </row>
    <row r="2604" spans="1:11" x14ac:dyDescent="0.35">
      <c r="A2604" s="1">
        <v>39343</v>
      </c>
      <c r="B2604">
        <v>4.3689999580383301</v>
      </c>
      <c r="C2604">
        <v>4.5799999237060502</v>
      </c>
      <c r="D2604">
        <v>4.3354997634887598</v>
      </c>
      <c r="E2604">
        <v>4.4375</v>
      </c>
      <c r="F2604">
        <v>4.4375</v>
      </c>
      <c r="G2604">
        <v>178488000</v>
      </c>
      <c r="H2604">
        <f t="shared" si="160"/>
        <v>2007</v>
      </c>
      <c r="I2604">
        <f t="shared" si="161"/>
        <v>9</v>
      </c>
      <c r="J2604" t="str">
        <f t="shared" si="162"/>
        <v>Sep</v>
      </c>
      <c r="K2604" t="str">
        <f t="shared" si="163"/>
        <v>Tue</v>
      </c>
    </row>
    <row r="2605" spans="1:11" x14ac:dyDescent="0.35">
      <c r="A2605" s="1">
        <v>39344</v>
      </c>
      <c r="B2605">
        <v>4.4759998321533203</v>
      </c>
      <c r="C2605">
        <v>4.4910001754760698</v>
      </c>
      <c r="D2605">
        <v>4.4130001068115199</v>
      </c>
      <c r="E2605">
        <v>4.4499998092651296</v>
      </c>
      <c r="F2605">
        <v>4.4499998092651296</v>
      </c>
      <c r="G2605">
        <v>129174000</v>
      </c>
      <c r="H2605">
        <f t="shared" si="160"/>
        <v>2007</v>
      </c>
      <c r="I2605">
        <f t="shared" si="161"/>
        <v>9</v>
      </c>
      <c r="J2605" t="str">
        <f t="shared" si="162"/>
        <v>Sep</v>
      </c>
      <c r="K2605" t="str">
        <f t="shared" si="163"/>
        <v>Wed</v>
      </c>
    </row>
    <row r="2606" spans="1:11" x14ac:dyDescent="0.35">
      <c r="A2606" s="1">
        <v>39345</v>
      </c>
      <c r="B2606">
        <v>4.4450001716613698</v>
      </c>
      <c r="C2606">
        <v>4.5209999084472603</v>
      </c>
      <c r="D2606">
        <v>4.44099998474121</v>
      </c>
      <c r="E2606">
        <v>4.48250007629394</v>
      </c>
      <c r="F2606">
        <v>4.48250007629394</v>
      </c>
      <c r="G2606">
        <v>115616000</v>
      </c>
      <c r="H2606">
        <f t="shared" si="160"/>
        <v>2007</v>
      </c>
      <c r="I2606">
        <f t="shared" si="161"/>
        <v>9</v>
      </c>
      <c r="J2606" t="str">
        <f t="shared" si="162"/>
        <v>Sep</v>
      </c>
      <c r="K2606" t="str">
        <f t="shared" si="163"/>
        <v>Thu</v>
      </c>
    </row>
    <row r="2607" spans="1:11" x14ac:dyDescent="0.35">
      <c r="A2607" s="1">
        <v>39346</v>
      </c>
      <c r="B2607">
        <v>4.5145001411437899</v>
      </c>
      <c r="C2607">
        <v>4.5949997901916504</v>
      </c>
      <c r="D2607">
        <v>4.48250007629394</v>
      </c>
      <c r="E2607">
        <v>4.5650000572204501</v>
      </c>
      <c r="F2607">
        <v>4.5650000572204501</v>
      </c>
      <c r="G2607">
        <v>130490000</v>
      </c>
      <c r="H2607">
        <f t="shared" si="160"/>
        <v>2007</v>
      </c>
      <c r="I2607">
        <f t="shared" si="161"/>
        <v>9</v>
      </c>
      <c r="J2607" t="str">
        <f t="shared" si="162"/>
        <v>Sep</v>
      </c>
      <c r="K2607" t="str">
        <f t="shared" si="163"/>
        <v>Fri</v>
      </c>
    </row>
    <row r="2608" spans="1:11" x14ac:dyDescent="0.35">
      <c r="A2608" s="1">
        <v>39349</v>
      </c>
      <c r="B2608">
        <v>4.5650000572204501</v>
      </c>
      <c r="C2608">
        <v>4.6875</v>
      </c>
      <c r="D2608">
        <v>4.5405001640319798</v>
      </c>
      <c r="E2608">
        <v>4.6294999122619602</v>
      </c>
      <c r="F2608">
        <v>4.6294999122619602</v>
      </c>
      <c r="G2608">
        <v>106436000</v>
      </c>
      <c r="H2608">
        <f t="shared" si="160"/>
        <v>2007</v>
      </c>
      <c r="I2608">
        <f t="shared" si="161"/>
        <v>9</v>
      </c>
      <c r="J2608" t="str">
        <f t="shared" si="162"/>
        <v>Sep</v>
      </c>
      <c r="K2608" t="str">
        <f t="shared" si="163"/>
        <v>Mon</v>
      </c>
    </row>
    <row r="2609" spans="1:11" x14ac:dyDescent="0.35">
      <c r="A2609" s="1">
        <v>39350</v>
      </c>
      <c r="B2609">
        <v>4.5995001792907697</v>
      </c>
      <c r="C2609">
        <v>4.6750001907348597</v>
      </c>
      <c r="D2609">
        <v>4.5475001335143999</v>
      </c>
      <c r="E2609">
        <v>4.6739997863769496</v>
      </c>
      <c r="F2609">
        <v>4.6739997863769496</v>
      </c>
      <c r="G2609">
        <v>116006000</v>
      </c>
      <c r="H2609">
        <f t="shared" si="160"/>
        <v>2007</v>
      </c>
      <c r="I2609">
        <f t="shared" si="161"/>
        <v>9</v>
      </c>
      <c r="J2609" t="str">
        <f t="shared" si="162"/>
        <v>Sep</v>
      </c>
      <c r="K2609" t="str">
        <f t="shared" si="163"/>
        <v>Tue</v>
      </c>
    </row>
    <row r="2610" spans="1:11" x14ac:dyDescent="0.35">
      <c r="A2610" s="1">
        <v>39351</v>
      </c>
      <c r="B2610">
        <v>4.7020001411437899</v>
      </c>
      <c r="C2610">
        <v>4.7129998207092196</v>
      </c>
      <c r="D2610">
        <v>4.6145000457763601</v>
      </c>
      <c r="E2610">
        <v>4.6715002059936497</v>
      </c>
      <c r="F2610">
        <v>4.6715002059936497</v>
      </c>
      <c r="G2610">
        <v>115406000</v>
      </c>
      <c r="H2610">
        <f t="shared" si="160"/>
        <v>2007</v>
      </c>
      <c r="I2610">
        <f t="shared" si="161"/>
        <v>9</v>
      </c>
      <c r="J2610" t="str">
        <f t="shared" si="162"/>
        <v>Sep</v>
      </c>
      <c r="K2610" t="str">
        <f t="shared" si="163"/>
        <v>Wed</v>
      </c>
    </row>
    <row r="2611" spans="1:11" x14ac:dyDescent="0.35">
      <c r="A2611" s="1">
        <v>39352</v>
      </c>
      <c r="B2611">
        <v>4.7034997940063397</v>
      </c>
      <c r="C2611">
        <v>4.7055001258850098</v>
      </c>
      <c r="D2611">
        <v>4.6554999351501403</v>
      </c>
      <c r="E2611">
        <v>4.6690001487731898</v>
      </c>
      <c r="F2611">
        <v>4.6690001487731898</v>
      </c>
      <c r="G2611">
        <v>56254000</v>
      </c>
      <c r="H2611">
        <f t="shared" si="160"/>
        <v>2007</v>
      </c>
      <c r="I2611">
        <f t="shared" si="161"/>
        <v>9</v>
      </c>
      <c r="J2611" t="str">
        <f t="shared" si="162"/>
        <v>Sep</v>
      </c>
      <c r="K2611" t="str">
        <f t="shared" si="163"/>
        <v>Thu</v>
      </c>
    </row>
    <row r="2612" spans="1:11" x14ac:dyDescent="0.35">
      <c r="A2612" s="1">
        <v>39353</v>
      </c>
      <c r="B2612">
        <v>4.6385002136230398</v>
      </c>
      <c r="C2612">
        <v>4.6799998283386204</v>
      </c>
      <c r="D2612">
        <v>4.58500003814697</v>
      </c>
      <c r="E2612">
        <v>4.6574997901916504</v>
      </c>
      <c r="F2612">
        <v>4.6574997901916504</v>
      </c>
      <c r="G2612">
        <v>96274000</v>
      </c>
      <c r="H2612">
        <f t="shared" si="160"/>
        <v>2007</v>
      </c>
      <c r="I2612">
        <f t="shared" si="161"/>
        <v>9</v>
      </c>
      <c r="J2612" t="str">
        <f t="shared" si="162"/>
        <v>Sep</v>
      </c>
      <c r="K2612" t="str">
        <f t="shared" si="163"/>
        <v>Fri</v>
      </c>
    </row>
    <row r="2613" spans="1:11" x14ac:dyDescent="0.35">
      <c r="A2613" s="1">
        <v>39356</v>
      </c>
      <c r="B2613">
        <v>4.6710000038146902</v>
      </c>
      <c r="C2613">
        <v>4.7049999237060502</v>
      </c>
      <c r="D2613">
        <v>4.6414999961853001</v>
      </c>
      <c r="E2613">
        <v>4.6704998016357404</v>
      </c>
      <c r="F2613">
        <v>4.6704998016357404</v>
      </c>
      <c r="G2613">
        <v>107948000</v>
      </c>
      <c r="H2613">
        <f t="shared" si="160"/>
        <v>2007</v>
      </c>
      <c r="I2613">
        <f t="shared" si="161"/>
        <v>10</v>
      </c>
      <c r="J2613" t="str">
        <f t="shared" si="162"/>
        <v>Oct</v>
      </c>
      <c r="K2613" t="str">
        <f t="shared" si="163"/>
        <v>Mon</v>
      </c>
    </row>
    <row r="2614" spans="1:11" x14ac:dyDescent="0.35">
      <c r="A2614" s="1">
        <v>39357</v>
      </c>
      <c r="B2614">
        <v>4.6929998397827104</v>
      </c>
      <c r="C2614">
        <v>4.6950001716613698</v>
      </c>
      <c r="D2614">
        <v>4.5700001716613698</v>
      </c>
      <c r="E2614">
        <v>4.6180000305175701</v>
      </c>
      <c r="F2614">
        <v>4.6180000305175701</v>
      </c>
      <c r="G2614">
        <v>97344000</v>
      </c>
      <c r="H2614">
        <f t="shared" si="160"/>
        <v>2007</v>
      </c>
      <c r="I2614">
        <f t="shared" si="161"/>
        <v>10</v>
      </c>
      <c r="J2614" t="str">
        <f t="shared" si="162"/>
        <v>Oct</v>
      </c>
      <c r="K2614" t="str">
        <f t="shared" si="163"/>
        <v>Tue</v>
      </c>
    </row>
    <row r="2615" spans="1:11" x14ac:dyDescent="0.35">
      <c r="A2615" s="1">
        <v>39358</v>
      </c>
      <c r="B2615">
        <v>4.6094999313354403</v>
      </c>
      <c r="C2615">
        <v>4.6399998664855904</v>
      </c>
      <c r="D2615">
        <v>4.5890002250671298</v>
      </c>
      <c r="E2615">
        <v>4.6230001449584899</v>
      </c>
      <c r="F2615">
        <v>4.6230001449584899</v>
      </c>
      <c r="G2615">
        <v>101044000</v>
      </c>
      <c r="H2615">
        <f t="shared" si="160"/>
        <v>2007</v>
      </c>
      <c r="I2615">
        <f t="shared" si="161"/>
        <v>10</v>
      </c>
      <c r="J2615" t="str">
        <f t="shared" si="162"/>
        <v>Oct</v>
      </c>
      <c r="K2615" t="str">
        <f t="shared" si="163"/>
        <v>Wed</v>
      </c>
    </row>
    <row r="2616" spans="1:11" x14ac:dyDescent="0.35">
      <c r="A2616" s="1">
        <v>39359</v>
      </c>
      <c r="B2616">
        <v>4.6275000572204501</v>
      </c>
      <c r="C2616">
        <v>4.62849998474121</v>
      </c>
      <c r="D2616">
        <v>4.5725002288818297</v>
      </c>
      <c r="E2616">
        <v>4.6129999160766602</v>
      </c>
      <c r="F2616">
        <v>4.6129999160766602</v>
      </c>
      <c r="G2616">
        <v>66366000</v>
      </c>
      <c r="H2616">
        <f t="shared" si="160"/>
        <v>2007</v>
      </c>
      <c r="I2616">
        <f t="shared" si="161"/>
        <v>10</v>
      </c>
      <c r="J2616" t="str">
        <f t="shared" si="162"/>
        <v>Oct</v>
      </c>
      <c r="K2616" t="str">
        <f t="shared" si="163"/>
        <v>Thu</v>
      </c>
    </row>
    <row r="2617" spans="1:11" x14ac:dyDescent="0.35">
      <c r="A2617" s="1">
        <v>39360</v>
      </c>
      <c r="B2617">
        <v>4.6774997711181596</v>
      </c>
      <c r="C2617">
        <v>4.6855001449584899</v>
      </c>
      <c r="D2617">
        <v>4.61700010299682</v>
      </c>
      <c r="E2617">
        <v>4.6715002059936497</v>
      </c>
      <c r="F2617">
        <v>4.6715002059936497</v>
      </c>
      <c r="G2617">
        <v>110470000</v>
      </c>
      <c r="H2617">
        <f t="shared" si="160"/>
        <v>2007</v>
      </c>
      <c r="I2617">
        <f t="shared" si="161"/>
        <v>10</v>
      </c>
      <c r="J2617" t="str">
        <f t="shared" si="162"/>
        <v>Oct</v>
      </c>
      <c r="K2617" t="str">
        <f t="shared" si="163"/>
        <v>Fri</v>
      </c>
    </row>
    <row r="2618" spans="1:11" x14ac:dyDescent="0.35">
      <c r="A2618" s="1">
        <v>39363</v>
      </c>
      <c r="B2618">
        <v>4.7109999656677202</v>
      </c>
      <c r="C2618">
        <v>4.7925000190734801</v>
      </c>
      <c r="D2618">
        <v>4.6999998092651296</v>
      </c>
      <c r="E2618">
        <v>4.7925000190734801</v>
      </c>
      <c r="F2618">
        <v>4.7925000190734801</v>
      </c>
      <c r="G2618">
        <v>148568000</v>
      </c>
      <c r="H2618">
        <f t="shared" si="160"/>
        <v>2007</v>
      </c>
      <c r="I2618">
        <f t="shared" si="161"/>
        <v>10</v>
      </c>
      <c r="J2618" t="str">
        <f t="shared" si="162"/>
        <v>Oct</v>
      </c>
      <c r="K2618" t="str">
        <f t="shared" si="163"/>
        <v>Mon</v>
      </c>
    </row>
    <row r="2619" spans="1:11" x14ac:dyDescent="0.35">
      <c r="A2619" s="1">
        <v>39364</v>
      </c>
      <c r="B2619">
        <v>4.8295001983642498</v>
      </c>
      <c r="C2619">
        <v>4.8365001678466797</v>
      </c>
      <c r="D2619">
        <v>4.7375001907348597</v>
      </c>
      <c r="E2619">
        <v>4.7659997940063397</v>
      </c>
      <c r="F2619">
        <v>4.7659997940063397</v>
      </c>
      <c r="G2619">
        <v>142892000</v>
      </c>
      <c r="H2619">
        <f t="shared" si="160"/>
        <v>2007</v>
      </c>
      <c r="I2619">
        <f t="shared" si="161"/>
        <v>10</v>
      </c>
      <c r="J2619" t="str">
        <f t="shared" si="162"/>
        <v>Oct</v>
      </c>
      <c r="K2619" t="str">
        <f t="shared" si="163"/>
        <v>Tue</v>
      </c>
    </row>
    <row r="2620" spans="1:11" x14ac:dyDescent="0.35">
      <c r="A2620" s="1">
        <v>39365</v>
      </c>
      <c r="B2620">
        <v>4.7750000953674299</v>
      </c>
      <c r="C2620">
        <v>4.7874999046325604</v>
      </c>
      <c r="D2620">
        <v>4.7185001373290998</v>
      </c>
      <c r="E2620">
        <v>4.7329998016357404</v>
      </c>
      <c r="F2620">
        <v>4.7329998016357404</v>
      </c>
      <c r="G2620">
        <v>111356000</v>
      </c>
      <c r="H2620">
        <f t="shared" si="160"/>
        <v>2007</v>
      </c>
      <c r="I2620">
        <f t="shared" si="161"/>
        <v>10</v>
      </c>
      <c r="J2620" t="str">
        <f t="shared" si="162"/>
        <v>Oct</v>
      </c>
      <c r="K2620" t="str">
        <f t="shared" si="163"/>
        <v>Wed</v>
      </c>
    </row>
    <row r="2621" spans="1:11" x14ac:dyDescent="0.35">
      <c r="A2621" s="1">
        <v>39366</v>
      </c>
      <c r="B2621">
        <v>4.7664999961853001</v>
      </c>
      <c r="C2621">
        <v>4.7870001792907697</v>
      </c>
      <c r="D2621">
        <v>4.4064998626708896</v>
      </c>
      <c r="E2621">
        <v>4.4670000076293901</v>
      </c>
      <c r="F2621">
        <v>4.4670000076293901</v>
      </c>
      <c r="G2621">
        <v>196448000</v>
      </c>
      <c r="H2621">
        <f t="shared" si="160"/>
        <v>2007</v>
      </c>
      <c r="I2621">
        <f t="shared" si="161"/>
        <v>10</v>
      </c>
      <c r="J2621" t="str">
        <f t="shared" si="162"/>
        <v>Oct</v>
      </c>
      <c r="K2621" t="str">
        <f t="shared" si="163"/>
        <v>Thu</v>
      </c>
    </row>
    <row r="2622" spans="1:11" x14ac:dyDescent="0.35">
      <c r="A2622" s="1">
        <v>39367</v>
      </c>
      <c r="B2622">
        <v>4.4710001945495597</v>
      </c>
      <c r="C2622">
        <v>4.6195001602172798</v>
      </c>
      <c r="D2622">
        <v>4.44600009918212</v>
      </c>
      <c r="E2622">
        <v>4.6185002326965297</v>
      </c>
      <c r="F2622">
        <v>4.6185002326965297</v>
      </c>
      <c r="G2622">
        <v>167198000</v>
      </c>
      <c r="H2622">
        <f t="shared" si="160"/>
        <v>2007</v>
      </c>
      <c r="I2622">
        <f t="shared" si="161"/>
        <v>10</v>
      </c>
      <c r="J2622" t="str">
        <f t="shared" si="162"/>
        <v>Oct</v>
      </c>
      <c r="K2622" t="str">
        <f t="shared" si="163"/>
        <v>Fri</v>
      </c>
    </row>
    <row r="2623" spans="1:11" x14ac:dyDescent="0.35">
      <c r="A2623" s="1">
        <v>39370</v>
      </c>
      <c r="B2623">
        <v>4.5900001525878897</v>
      </c>
      <c r="C2623">
        <v>4.6059999465942303</v>
      </c>
      <c r="D2623">
        <v>4.50500011444091</v>
      </c>
      <c r="E2623">
        <v>4.5265002250671298</v>
      </c>
      <c r="F2623">
        <v>4.5265002250671298</v>
      </c>
      <c r="G2623">
        <v>112176000</v>
      </c>
      <c r="H2623">
        <f t="shared" si="160"/>
        <v>2007</v>
      </c>
      <c r="I2623">
        <f t="shared" si="161"/>
        <v>10</v>
      </c>
      <c r="J2623" t="str">
        <f t="shared" si="162"/>
        <v>Oct</v>
      </c>
      <c r="K2623" t="str">
        <f t="shared" si="163"/>
        <v>Mon</v>
      </c>
    </row>
    <row r="2624" spans="1:11" x14ac:dyDescent="0.35">
      <c r="A2624" s="1">
        <v>39371</v>
      </c>
      <c r="B2624">
        <v>4.4345002174377397</v>
      </c>
      <c r="C2624">
        <v>4.5025000572204501</v>
      </c>
      <c r="D2624">
        <v>4.4250001907348597</v>
      </c>
      <c r="E2624">
        <v>4.4765000343322701</v>
      </c>
      <c r="F2624">
        <v>4.4765000343322701</v>
      </c>
      <c r="G2624">
        <v>170230000</v>
      </c>
      <c r="H2624">
        <f t="shared" si="160"/>
        <v>2007</v>
      </c>
      <c r="I2624">
        <f t="shared" si="161"/>
        <v>10</v>
      </c>
      <c r="J2624" t="str">
        <f t="shared" si="162"/>
        <v>Oct</v>
      </c>
      <c r="K2624" t="str">
        <f t="shared" si="163"/>
        <v>Tue</v>
      </c>
    </row>
    <row r="2625" spans="1:11" x14ac:dyDescent="0.35">
      <c r="A2625" s="1">
        <v>39372</v>
      </c>
      <c r="B2625">
        <v>4.5949997901916504</v>
      </c>
      <c r="C2625">
        <v>4.5949997901916504</v>
      </c>
      <c r="D2625">
        <v>4.4530000686645499</v>
      </c>
      <c r="E2625">
        <v>4.5275001525878897</v>
      </c>
      <c r="F2625">
        <v>4.5275001525878897</v>
      </c>
      <c r="G2625">
        <v>153574000</v>
      </c>
      <c r="H2625">
        <f t="shared" si="160"/>
        <v>2007</v>
      </c>
      <c r="I2625">
        <f t="shared" si="161"/>
        <v>10</v>
      </c>
      <c r="J2625" t="str">
        <f t="shared" si="162"/>
        <v>Oct</v>
      </c>
      <c r="K2625" t="str">
        <f t="shared" si="163"/>
        <v>Wed</v>
      </c>
    </row>
    <row r="2626" spans="1:11" x14ac:dyDescent="0.35">
      <c r="A2626" s="1">
        <v>39373</v>
      </c>
      <c r="B2626">
        <v>4.4685001373290998</v>
      </c>
      <c r="C2626">
        <v>4.5215001106262198</v>
      </c>
      <c r="D2626">
        <v>4.4574999809265101</v>
      </c>
      <c r="E2626">
        <v>4.4924998283386204</v>
      </c>
      <c r="F2626">
        <v>4.4924998283386204</v>
      </c>
      <c r="G2626">
        <v>106590000</v>
      </c>
      <c r="H2626">
        <f t="shared" si="160"/>
        <v>2007</v>
      </c>
      <c r="I2626">
        <f t="shared" si="161"/>
        <v>10</v>
      </c>
      <c r="J2626" t="str">
        <f t="shared" si="162"/>
        <v>Oct</v>
      </c>
      <c r="K2626" t="str">
        <f t="shared" si="163"/>
        <v>Thu</v>
      </c>
    </row>
    <row r="2627" spans="1:11" x14ac:dyDescent="0.35">
      <c r="A2627" s="1">
        <v>39374</v>
      </c>
      <c r="B2627">
        <v>4.4965000152587802</v>
      </c>
      <c r="C2627">
        <v>4.5324997901916504</v>
      </c>
      <c r="D2627">
        <v>4.4660000801086399</v>
      </c>
      <c r="E2627">
        <v>4.4879999160766602</v>
      </c>
      <c r="F2627">
        <v>4.4879999160766602</v>
      </c>
      <c r="G2627">
        <v>182524000</v>
      </c>
      <c r="H2627">
        <f t="shared" si="160"/>
        <v>2007</v>
      </c>
      <c r="I2627">
        <f t="shared" si="161"/>
        <v>10</v>
      </c>
      <c r="J2627" t="str">
        <f t="shared" si="162"/>
        <v>Oct</v>
      </c>
      <c r="K2627" t="str">
        <f t="shared" si="163"/>
        <v>Fri</v>
      </c>
    </row>
    <row r="2628" spans="1:11" x14ac:dyDescent="0.35">
      <c r="A2628" s="1">
        <v>39377</v>
      </c>
      <c r="B2628">
        <v>4.4625000953674299</v>
      </c>
      <c r="C2628">
        <v>4.5844998359680096</v>
      </c>
      <c r="D2628">
        <v>4.4510002136230398</v>
      </c>
      <c r="E2628">
        <v>4.5644998550415004</v>
      </c>
      <c r="F2628">
        <v>4.5644998550415004</v>
      </c>
      <c r="G2628">
        <v>197368000</v>
      </c>
      <c r="H2628">
        <f t="shared" ref="H2628:H2691" si="164">YEAR($A2628)</f>
        <v>2007</v>
      </c>
      <c r="I2628">
        <f t="shared" ref="I2628:I2691" si="165">MONTH($A2628)</f>
        <v>10</v>
      </c>
      <c r="J2628" t="str">
        <f t="shared" ref="J2628:J2691" si="166">TEXT($A2628,"mmm")</f>
        <v>Oct</v>
      </c>
      <c r="K2628" t="str">
        <f t="shared" ref="K2628:K2691" si="167">TEXT($A2628,"ddd")</f>
        <v>Mon</v>
      </c>
    </row>
    <row r="2629" spans="1:11" x14ac:dyDescent="0.35">
      <c r="A2629" s="1">
        <v>39378</v>
      </c>
      <c r="B2629">
        <v>4.7639999389648402</v>
      </c>
      <c r="C2629">
        <v>5.05450010299682</v>
      </c>
      <c r="D2629">
        <v>4.7104997634887598</v>
      </c>
      <c r="E2629">
        <v>5.0409998893737704</v>
      </c>
      <c r="F2629">
        <v>5.0409998893737704</v>
      </c>
      <c r="G2629">
        <v>835236000</v>
      </c>
      <c r="H2629">
        <f t="shared" si="164"/>
        <v>2007</v>
      </c>
      <c r="I2629">
        <f t="shared" si="165"/>
        <v>10</v>
      </c>
      <c r="J2629" t="str">
        <f t="shared" si="166"/>
        <v>Oct</v>
      </c>
      <c r="K2629" t="str">
        <f t="shared" si="167"/>
        <v>Tue</v>
      </c>
    </row>
    <row r="2630" spans="1:11" x14ac:dyDescent="0.35">
      <c r="A2630" s="1">
        <v>39379</v>
      </c>
      <c r="B2630">
        <v>4.5434999465942303</v>
      </c>
      <c r="C2630">
        <v>4.5440001487731898</v>
      </c>
      <c r="D2630">
        <v>4.1634998321533203</v>
      </c>
      <c r="E2630">
        <v>4.4365000724792401</v>
      </c>
      <c r="F2630">
        <v>4.4365000724792401</v>
      </c>
      <c r="G2630">
        <v>832348000</v>
      </c>
      <c r="H2630">
        <f t="shared" si="164"/>
        <v>2007</v>
      </c>
      <c r="I2630">
        <f t="shared" si="165"/>
        <v>10</v>
      </c>
      <c r="J2630" t="str">
        <f t="shared" si="166"/>
        <v>Oct</v>
      </c>
      <c r="K2630" t="str">
        <f t="shared" si="167"/>
        <v>Wed</v>
      </c>
    </row>
    <row r="2631" spans="1:11" x14ac:dyDescent="0.35">
      <c r="A2631" s="1">
        <v>39380</v>
      </c>
      <c r="B2631">
        <v>4.4114999771118102</v>
      </c>
      <c r="C2631">
        <v>4.4749999046325604</v>
      </c>
      <c r="D2631">
        <v>4.31599998474121</v>
      </c>
      <c r="E2631">
        <v>4.41050004959106</v>
      </c>
      <c r="F2631">
        <v>4.41050004959106</v>
      </c>
      <c r="G2631">
        <v>232618000</v>
      </c>
      <c r="H2631">
        <f t="shared" si="164"/>
        <v>2007</v>
      </c>
      <c r="I2631">
        <f t="shared" si="165"/>
        <v>10</v>
      </c>
      <c r="J2631" t="str">
        <f t="shared" si="166"/>
        <v>Oct</v>
      </c>
      <c r="K2631" t="str">
        <f t="shared" si="167"/>
        <v>Thu</v>
      </c>
    </row>
    <row r="2632" spans="1:11" x14ac:dyDescent="0.35">
      <c r="A2632" s="1">
        <v>39381</v>
      </c>
      <c r="B2632">
        <v>4.4499998092651296</v>
      </c>
      <c r="C2632">
        <v>4.5440001487731898</v>
      </c>
      <c r="D2632">
        <v>4.3850002288818297</v>
      </c>
      <c r="E2632">
        <v>4.5</v>
      </c>
      <c r="F2632">
        <v>4.5</v>
      </c>
      <c r="G2632">
        <v>176524000</v>
      </c>
      <c r="H2632">
        <f t="shared" si="164"/>
        <v>2007</v>
      </c>
      <c r="I2632">
        <f t="shared" si="165"/>
        <v>10</v>
      </c>
      <c r="J2632" t="str">
        <f t="shared" si="166"/>
        <v>Oct</v>
      </c>
      <c r="K2632" t="str">
        <f t="shared" si="167"/>
        <v>Fri</v>
      </c>
    </row>
    <row r="2633" spans="1:11" x14ac:dyDescent="0.35">
      <c r="A2633" s="1">
        <v>39384</v>
      </c>
      <c r="B2633">
        <v>4.5205001831054599</v>
      </c>
      <c r="C2633">
        <v>4.5735001564025799</v>
      </c>
      <c r="D2633">
        <v>4.4739999771118102</v>
      </c>
      <c r="E2633">
        <v>4.50500011444091</v>
      </c>
      <c r="F2633">
        <v>4.50500011444091</v>
      </c>
      <c r="G2633">
        <v>141944000</v>
      </c>
      <c r="H2633">
        <f t="shared" si="164"/>
        <v>2007</v>
      </c>
      <c r="I2633">
        <f t="shared" si="165"/>
        <v>10</v>
      </c>
      <c r="J2633" t="str">
        <f t="shared" si="166"/>
        <v>Oct</v>
      </c>
      <c r="K2633" t="str">
        <f t="shared" si="167"/>
        <v>Mon</v>
      </c>
    </row>
    <row r="2634" spans="1:11" x14ac:dyDescent="0.35">
      <c r="A2634" s="1">
        <v>39385</v>
      </c>
      <c r="B2634">
        <v>4.4835000038146902</v>
      </c>
      <c r="C2634">
        <v>4.5324997901916504</v>
      </c>
      <c r="D2634">
        <v>4.4025001525878897</v>
      </c>
      <c r="E2634">
        <v>4.4120001792907697</v>
      </c>
      <c r="F2634">
        <v>4.4120001792907697</v>
      </c>
      <c r="G2634">
        <v>108108000</v>
      </c>
      <c r="H2634">
        <f t="shared" si="164"/>
        <v>2007</v>
      </c>
      <c r="I2634">
        <f t="shared" si="165"/>
        <v>10</v>
      </c>
      <c r="J2634" t="str">
        <f t="shared" si="166"/>
        <v>Oct</v>
      </c>
      <c r="K2634" t="str">
        <f t="shared" si="167"/>
        <v>Tue</v>
      </c>
    </row>
    <row r="2635" spans="1:11" x14ac:dyDescent="0.35">
      <c r="A2635" s="1">
        <v>39386</v>
      </c>
      <c r="B2635">
        <v>4.4025001525878897</v>
      </c>
      <c r="C2635">
        <v>4.4800000190734801</v>
      </c>
      <c r="D2635">
        <v>4.3499999046325604</v>
      </c>
      <c r="E2635">
        <v>4.4574999809265101</v>
      </c>
      <c r="F2635">
        <v>4.4574999809265101</v>
      </c>
      <c r="G2635">
        <v>140896000</v>
      </c>
      <c r="H2635">
        <f t="shared" si="164"/>
        <v>2007</v>
      </c>
      <c r="I2635">
        <f t="shared" si="165"/>
        <v>10</v>
      </c>
      <c r="J2635" t="str">
        <f t="shared" si="166"/>
        <v>Oct</v>
      </c>
      <c r="K2635" t="str">
        <f t="shared" si="167"/>
        <v>Wed</v>
      </c>
    </row>
    <row r="2636" spans="1:11" x14ac:dyDescent="0.35">
      <c r="A2636" s="1">
        <v>39387</v>
      </c>
      <c r="B2636">
        <v>4.3874998092651296</v>
      </c>
      <c r="C2636">
        <v>4.4790000915527299</v>
      </c>
      <c r="D2636">
        <v>4.3249998092651296</v>
      </c>
      <c r="E2636">
        <v>4.3825001716613698</v>
      </c>
      <c r="F2636">
        <v>4.3825001716613698</v>
      </c>
      <c r="G2636">
        <v>165314000</v>
      </c>
      <c r="H2636">
        <f t="shared" si="164"/>
        <v>2007</v>
      </c>
      <c r="I2636">
        <f t="shared" si="165"/>
        <v>11</v>
      </c>
      <c r="J2636" t="str">
        <f t="shared" si="166"/>
        <v>Nov</v>
      </c>
      <c r="K2636" t="str">
        <f t="shared" si="167"/>
        <v>Thu</v>
      </c>
    </row>
    <row r="2637" spans="1:11" x14ac:dyDescent="0.35">
      <c r="A2637" s="1">
        <v>39388</v>
      </c>
      <c r="B2637">
        <v>4.3984999656677202</v>
      </c>
      <c r="C2637">
        <v>4.4060001373290998</v>
      </c>
      <c r="D2637">
        <v>4.1750001907348597</v>
      </c>
      <c r="E2637">
        <v>4.2989997863769496</v>
      </c>
      <c r="F2637">
        <v>4.2989997863769496</v>
      </c>
      <c r="G2637">
        <v>204610000</v>
      </c>
      <c r="H2637">
        <f t="shared" si="164"/>
        <v>2007</v>
      </c>
      <c r="I2637">
        <f t="shared" si="165"/>
        <v>11</v>
      </c>
      <c r="J2637" t="str">
        <f t="shared" si="166"/>
        <v>Nov</v>
      </c>
      <c r="K2637" t="str">
        <f t="shared" si="167"/>
        <v>Fri</v>
      </c>
    </row>
    <row r="2638" spans="1:11" x14ac:dyDescent="0.35">
      <c r="A2638" s="1">
        <v>39391</v>
      </c>
      <c r="B2638">
        <v>4.2175002098083496</v>
      </c>
      <c r="C2638">
        <v>4.3010001182556099</v>
      </c>
      <c r="D2638">
        <v>4.13800001144409</v>
      </c>
      <c r="E2638">
        <v>4.2185001373290998</v>
      </c>
      <c r="F2638">
        <v>4.2185001373290998</v>
      </c>
      <c r="G2638">
        <v>149062000</v>
      </c>
      <c r="H2638">
        <f t="shared" si="164"/>
        <v>2007</v>
      </c>
      <c r="I2638">
        <f t="shared" si="165"/>
        <v>11</v>
      </c>
      <c r="J2638" t="str">
        <f t="shared" si="166"/>
        <v>Nov</v>
      </c>
      <c r="K2638" t="str">
        <f t="shared" si="167"/>
        <v>Mon</v>
      </c>
    </row>
    <row r="2639" spans="1:11" x14ac:dyDescent="0.35">
      <c r="A2639" s="1">
        <v>39392</v>
      </c>
      <c r="B2639">
        <v>4.2305002212524396</v>
      </c>
      <c r="C2639">
        <v>4.375</v>
      </c>
      <c r="D2639">
        <v>4.2185001373290998</v>
      </c>
      <c r="E2639">
        <v>4.3635001182556099</v>
      </c>
      <c r="F2639">
        <v>4.3635001182556099</v>
      </c>
      <c r="G2639">
        <v>158680000</v>
      </c>
      <c r="H2639">
        <f t="shared" si="164"/>
        <v>2007</v>
      </c>
      <c r="I2639">
        <f t="shared" si="165"/>
        <v>11</v>
      </c>
      <c r="J2639" t="str">
        <f t="shared" si="166"/>
        <v>Nov</v>
      </c>
      <c r="K2639" t="str">
        <f t="shared" si="167"/>
        <v>Tue</v>
      </c>
    </row>
    <row r="2640" spans="1:11" x14ac:dyDescent="0.35">
      <c r="A2640" s="1">
        <v>39393</v>
      </c>
      <c r="B2640">
        <v>4.3204998970031703</v>
      </c>
      <c r="C2640">
        <v>4.4580001831054599</v>
      </c>
      <c r="D2640">
        <v>4.30800008773803</v>
      </c>
      <c r="E2640">
        <v>4.3520002365112296</v>
      </c>
      <c r="F2640">
        <v>4.3520002365112296</v>
      </c>
      <c r="G2640">
        <v>167956000</v>
      </c>
      <c r="H2640">
        <f t="shared" si="164"/>
        <v>2007</v>
      </c>
      <c r="I2640">
        <f t="shared" si="165"/>
        <v>11</v>
      </c>
      <c r="J2640" t="str">
        <f t="shared" si="166"/>
        <v>Nov</v>
      </c>
      <c r="K2640" t="str">
        <f t="shared" si="167"/>
        <v>Wed</v>
      </c>
    </row>
    <row r="2641" spans="1:11" x14ac:dyDescent="0.35">
      <c r="A2641" s="1">
        <v>39394</v>
      </c>
      <c r="B2641">
        <v>4.3400001525878897</v>
      </c>
      <c r="C2641">
        <v>4.34800004959106</v>
      </c>
      <c r="D2641">
        <v>4.0700001716613698</v>
      </c>
      <c r="E2641">
        <v>4.1789999008178702</v>
      </c>
      <c r="F2641">
        <v>4.1789999008178702</v>
      </c>
      <c r="G2641">
        <v>236064000</v>
      </c>
      <c r="H2641">
        <f t="shared" si="164"/>
        <v>2007</v>
      </c>
      <c r="I2641">
        <f t="shared" si="165"/>
        <v>11</v>
      </c>
      <c r="J2641" t="str">
        <f t="shared" si="166"/>
        <v>Nov</v>
      </c>
      <c r="K2641" t="str">
        <f t="shared" si="167"/>
        <v>Thu</v>
      </c>
    </row>
    <row r="2642" spans="1:11" x14ac:dyDescent="0.35">
      <c r="A2642" s="1">
        <v>39395</v>
      </c>
      <c r="B2642">
        <v>4.1209998130798304</v>
      </c>
      <c r="C2642">
        <v>4.1209998130798304</v>
      </c>
      <c r="D2642">
        <v>3.9419999122619598</v>
      </c>
      <c r="E2642">
        <v>3.9444999694824201</v>
      </c>
      <c r="F2642">
        <v>3.9444999694824201</v>
      </c>
      <c r="G2642">
        <v>232404000</v>
      </c>
      <c r="H2642">
        <f t="shared" si="164"/>
        <v>2007</v>
      </c>
      <c r="I2642">
        <f t="shared" si="165"/>
        <v>11</v>
      </c>
      <c r="J2642" t="str">
        <f t="shared" si="166"/>
        <v>Nov</v>
      </c>
      <c r="K2642" t="str">
        <f t="shared" si="167"/>
        <v>Fri</v>
      </c>
    </row>
    <row r="2643" spans="1:11" x14ac:dyDescent="0.35">
      <c r="A2643" s="1">
        <v>39398</v>
      </c>
      <c r="B2643">
        <v>3.9130001068115199</v>
      </c>
      <c r="C2643">
        <v>4.0044999122619602</v>
      </c>
      <c r="D2643">
        <v>3.82500004768371</v>
      </c>
      <c r="E2643">
        <v>3.8499999046325599</v>
      </c>
      <c r="F2643">
        <v>3.8499999046325599</v>
      </c>
      <c r="G2643">
        <v>187938000</v>
      </c>
      <c r="H2643">
        <f t="shared" si="164"/>
        <v>2007</v>
      </c>
      <c r="I2643">
        <f t="shared" si="165"/>
        <v>11</v>
      </c>
      <c r="J2643" t="str">
        <f t="shared" si="166"/>
        <v>Nov</v>
      </c>
      <c r="K2643" t="str">
        <f t="shared" si="167"/>
        <v>Mon</v>
      </c>
    </row>
    <row r="2644" spans="1:11" x14ac:dyDescent="0.35">
      <c r="A2644" s="1">
        <v>39399</v>
      </c>
      <c r="B2644">
        <v>3.8954999446868799</v>
      </c>
      <c r="C2644">
        <v>4.0025000572204501</v>
      </c>
      <c r="D2644">
        <v>3.8900001049041699</v>
      </c>
      <c r="E2644">
        <v>3.9930000305175701</v>
      </c>
      <c r="F2644">
        <v>3.9930000305175701</v>
      </c>
      <c r="G2644">
        <v>189926000</v>
      </c>
      <c r="H2644">
        <f t="shared" si="164"/>
        <v>2007</v>
      </c>
      <c r="I2644">
        <f t="shared" si="165"/>
        <v>11</v>
      </c>
      <c r="J2644" t="str">
        <f t="shared" si="166"/>
        <v>Nov</v>
      </c>
      <c r="K2644" t="str">
        <f t="shared" si="167"/>
        <v>Tue</v>
      </c>
    </row>
    <row r="2645" spans="1:11" x14ac:dyDescent="0.35">
      <c r="A2645" s="1">
        <v>39400</v>
      </c>
      <c r="B2645">
        <v>4.0199999809265101</v>
      </c>
      <c r="C2645">
        <v>4.0574998855590803</v>
      </c>
      <c r="D2645">
        <v>3.9075000286102202</v>
      </c>
      <c r="E2645">
        <v>3.9254999160766602</v>
      </c>
      <c r="F2645">
        <v>3.9254999160766602</v>
      </c>
      <c r="G2645">
        <v>168548000</v>
      </c>
      <c r="H2645">
        <f t="shared" si="164"/>
        <v>2007</v>
      </c>
      <c r="I2645">
        <f t="shared" si="165"/>
        <v>11</v>
      </c>
      <c r="J2645" t="str">
        <f t="shared" si="166"/>
        <v>Nov</v>
      </c>
      <c r="K2645" t="str">
        <f t="shared" si="167"/>
        <v>Wed</v>
      </c>
    </row>
    <row r="2646" spans="1:11" x14ac:dyDescent="0.35">
      <c r="A2646" s="1">
        <v>39401</v>
      </c>
      <c r="B2646">
        <v>3.9714999198913499</v>
      </c>
      <c r="C2646">
        <v>3.98650002479553</v>
      </c>
      <c r="D2646">
        <v>3.83500003814697</v>
      </c>
      <c r="E2646">
        <v>3.8924999237060498</v>
      </c>
      <c r="F2646">
        <v>3.8924999237060498</v>
      </c>
      <c r="G2646">
        <v>156630000</v>
      </c>
      <c r="H2646">
        <f t="shared" si="164"/>
        <v>2007</v>
      </c>
      <c r="I2646">
        <f t="shared" si="165"/>
        <v>11</v>
      </c>
      <c r="J2646" t="str">
        <f t="shared" si="166"/>
        <v>Nov</v>
      </c>
      <c r="K2646" t="str">
        <f t="shared" si="167"/>
        <v>Thu</v>
      </c>
    </row>
    <row r="2647" spans="1:11" x14ac:dyDescent="0.35">
      <c r="A2647" s="1">
        <v>39402</v>
      </c>
      <c r="B2647">
        <v>3.8505001068115199</v>
      </c>
      <c r="C2647">
        <v>3.9495000839233398</v>
      </c>
      <c r="D2647">
        <v>3.8315000534057599</v>
      </c>
      <c r="E2647">
        <v>3.9300000667571999</v>
      </c>
      <c r="F2647">
        <v>3.9300000667571999</v>
      </c>
      <c r="G2647">
        <v>142282000</v>
      </c>
      <c r="H2647">
        <f t="shared" si="164"/>
        <v>2007</v>
      </c>
      <c r="I2647">
        <f t="shared" si="165"/>
        <v>11</v>
      </c>
      <c r="J2647" t="str">
        <f t="shared" si="166"/>
        <v>Nov</v>
      </c>
      <c r="K2647" t="str">
        <f t="shared" si="167"/>
        <v>Fri</v>
      </c>
    </row>
    <row r="2648" spans="1:11" x14ac:dyDescent="0.35">
      <c r="A2648" s="1">
        <v>39405</v>
      </c>
      <c r="B2648">
        <v>3.9414999485015798</v>
      </c>
      <c r="C2648">
        <v>3.9874999523162802</v>
      </c>
      <c r="D2648">
        <v>3.89700007438659</v>
      </c>
      <c r="E2648">
        <v>3.9590001106262198</v>
      </c>
      <c r="F2648">
        <v>3.9590001106262198</v>
      </c>
      <c r="G2648">
        <v>172996000</v>
      </c>
      <c r="H2648">
        <f t="shared" si="164"/>
        <v>2007</v>
      </c>
      <c r="I2648">
        <f t="shared" si="165"/>
        <v>11</v>
      </c>
      <c r="J2648" t="str">
        <f t="shared" si="166"/>
        <v>Nov</v>
      </c>
      <c r="K2648" t="str">
        <f t="shared" si="167"/>
        <v>Mon</v>
      </c>
    </row>
    <row r="2649" spans="1:11" x14ac:dyDescent="0.35">
      <c r="A2649" s="1">
        <v>39406</v>
      </c>
      <c r="B2649">
        <v>3.9930000305175701</v>
      </c>
      <c r="C2649">
        <v>4.0999999046325604</v>
      </c>
      <c r="D2649">
        <v>3.9154999256134002</v>
      </c>
      <c r="E2649">
        <v>4.0194997787475497</v>
      </c>
      <c r="F2649">
        <v>4.0194997787475497</v>
      </c>
      <c r="G2649">
        <v>232200000</v>
      </c>
      <c r="H2649">
        <f t="shared" si="164"/>
        <v>2007</v>
      </c>
      <c r="I2649">
        <f t="shared" si="165"/>
        <v>11</v>
      </c>
      <c r="J2649" t="str">
        <f t="shared" si="166"/>
        <v>Nov</v>
      </c>
      <c r="K2649" t="str">
        <f t="shared" si="167"/>
        <v>Tue</v>
      </c>
    </row>
    <row r="2650" spans="1:11" x14ac:dyDescent="0.35">
      <c r="A2650" s="1">
        <v>39407</v>
      </c>
      <c r="B2650">
        <v>3.9619998931884699</v>
      </c>
      <c r="C2650">
        <v>4.0430002212524396</v>
      </c>
      <c r="D2650">
        <v>3.9324998855590798</v>
      </c>
      <c r="E2650">
        <v>3.9879999160766602</v>
      </c>
      <c r="F2650">
        <v>3.9879999160766602</v>
      </c>
      <c r="G2650">
        <v>133566000</v>
      </c>
      <c r="H2650">
        <f t="shared" si="164"/>
        <v>2007</v>
      </c>
      <c r="I2650">
        <f t="shared" si="165"/>
        <v>11</v>
      </c>
      <c r="J2650" t="str">
        <f t="shared" si="166"/>
        <v>Nov</v>
      </c>
      <c r="K2650" t="str">
        <f t="shared" si="167"/>
        <v>Wed</v>
      </c>
    </row>
    <row r="2651" spans="1:11" x14ac:dyDescent="0.35">
      <c r="A2651" s="1">
        <v>39409</v>
      </c>
      <c r="B2651">
        <v>4.0054998397827104</v>
      </c>
      <c r="C2651">
        <v>4.0725002288818297</v>
      </c>
      <c r="D2651">
        <v>3.9489998817443799</v>
      </c>
      <c r="E2651">
        <v>4.0714998245239196</v>
      </c>
      <c r="F2651">
        <v>4.0714998245239196</v>
      </c>
      <c r="G2651">
        <v>55618000</v>
      </c>
      <c r="H2651">
        <f t="shared" si="164"/>
        <v>2007</v>
      </c>
      <c r="I2651">
        <f t="shared" si="165"/>
        <v>11</v>
      </c>
      <c r="J2651" t="str">
        <f t="shared" si="166"/>
        <v>Nov</v>
      </c>
      <c r="K2651" t="str">
        <f t="shared" si="167"/>
        <v>Fri</v>
      </c>
    </row>
    <row r="2652" spans="1:11" x14ac:dyDescent="0.35">
      <c r="A2652" s="1">
        <v>39412</v>
      </c>
      <c r="B2652">
        <v>4.1149997711181596</v>
      </c>
      <c r="C2652">
        <v>4.2245001792907697</v>
      </c>
      <c r="D2652">
        <v>4.0570001602172798</v>
      </c>
      <c r="E2652">
        <v>4.0650000572204501</v>
      </c>
      <c r="F2652">
        <v>4.0650000572204501</v>
      </c>
      <c r="G2652">
        <v>172210000</v>
      </c>
      <c r="H2652">
        <f t="shared" si="164"/>
        <v>2007</v>
      </c>
      <c r="I2652">
        <f t="shared" si="165"/>
        <v>11</v>
      </c>
      <c r="J2652" t="str">
        <f t="shared" si="166"/>
        <v>Nov</v>
      </c>
      <c r="K2652" t="str">
        <f t="shared" si="167"/>
        <v>Mon</v>
      </c>
    </row>
    <row r="2653" spans="1:11" x14ac:dyDescent="0.35">
      <c r="A2653" s="1">
        <v>39413</v>
      </c>
      <c r="B2653">
        <v>4.1459999084472603</v>
      </c>
      <c r="C2653">
        <v>4.2824997901916504</v>
      </c>
      <c r="D2653">
        <v>4.1104998588562003</v>
      </c>
      <c r="E2653">
        <v>4.2795000076293901</v>
      </c>
      <c r="F2653">
        <v>4.2795000076293901</v>
      </c>
      <c r="G2653">
        <v>172684000</v>
      </c>
      <c r="H2653">
        <f t="shared" si="164"/>
        <v>2007</v>
      </c>
      <c r="I2653">
        <f t="shared" si="165"/>
        <v>11</v>
      </c>
      <c r="J2653" t="str">
        <f t="shared" si="166"/>
        <v>Nov</v>
      </c>
      <c r="K2653" t="str">
        <f t="shared" si="167"/>
        <v>Tue</v>
      </c>
    </row>
    <row r="2654" spans="1:11" x14ac:dyDescent="0.35">
      <c r="A2654" s="1">
        <v>39414</v>
      </c>
      <c r="B2654">
        <v>4.3775000572204501</v>
      </c>
      <c r="C2654">
        <v>4.5285000801086399</v>
      </c>
      <c r="D2654">
        <v>4.3375000953674299</v>
      </c>
      <c r="E2654">
        <v>4.5149998664855904</v>
      </c>
      <c r="F2654">
        <v>4.5149998664855904</v>
      </c>
      <c r="G2654">
        <v>228068000</v>
      </c>
      <c r="H2654">
        <f t="shared" si="164"/>
        <v>2007</v>
      </c>
      <c r="I2654">
        <f t="shared" si="165"/>
        <v>11</v>
      </c>
      <c r="J2654" t="str">
        <f t="shared" si="166"/>
        <v>Nov</v>
      </c>
      <c r="K2654" t="str">
        <f t="shared" si="167"/>
        <v>Wed</v>
      </c>
    </row>
    <row r="2655" spans="1:11" x14ac:dyDescent="0.35">
      <c r="A2655" s="1">
        <v>39415</v>
      </c>
      <c r="B2655">
        <v>4.4945001602172798</v>
      </c>
      <c r="C2655">
        <v>4.5735001564025799</v>
      </c>
      <c r="D2655">
        <v>4.4340000152587802</v>
      </c>
      <c r="E2655">
        <v>4.4574999809265101</v>
      </c>
      <c r="F2655">
        <v>4.4574999809265101</v>
      </c>
      <c r="G2655">
        <v>139542000</v>
      </c>
      <c r="H2655">
        <f t="shared" si="164"/>
        <v>2007</v>
      </c>
      <c r="I2655">
        <f t="shared" si="165"/>
        <v>11</v>
      </c>
      <c r="J2655" t="str">
        <f t="shared" si="166"/>
        <v>Nov</v>
      </c>
      <c r="K2655" t="str">
        <f t="shared" si="167"/>
        <v>Thu</v>
      </c>
    </row>
    <row r="2656" spans="1:11" x14ac:dyDescent="0.35">
      <c r="A2656" s="1">
        <v>39416</v>
      </c>
      <c r="B2656">
        <v>4.5279998779296804</v>
      </c>
      <c r="C2656">
        <v>4.5539999008178702</v>
      </c>
      <c r="D2656">
        <v>4.4155001640319798</v>
      </c>
      <c r="E2656">
        <v>4.5279998779296804</v>
      </c>
      <c r="F2656">
        <v>4.5279998779296804</v>
      </c>
      <c r="G2656">
        <v>137632000</v>
      </c>
      <c r="H2656">
        <f t="shared" si="164"/>
        <v>2007</v>
      </c>
      <c r="I2656">
        <f t="shared" si="165"/>
        <v>11</v>
      </c>
      <c r="J2656" t="str">
        <f t="shared" si="166"/>
        <v>Nov</v>
      </c>
      <c r="K2656" t="str">
        <f t="shared" si="167"/>
        <v>Fri</v>
      </c>
    </row>
    <row r="2657" spans="1:11" x14ac:dyDescent="0.35">
      <c r="A2657" s="1">
        <v>39419</v>
      </c>
      <c r="B2657">
        <v>4.5015001296996999</v>
      </c>
      <c r="C2657">
        <v>4.6125001907348597</v>
      </c>
      <c r="D2657">
        <v>4.4885001182556099</v>
      </c>
      <c r="E2657">
        <v>4.5454998016357404</v>
      </c>
      <c r="F2657">
        <v>4.5454998016357404</v>
      </c>
      <c r="G2657">
        <v>120010000</v>
      </c>
      <c r="H2657">
        <f t="shared" si="164"/>
        <v>2007</v>
      </c>
      <c r="I2657">
        <f t="shared" si="165"/>
        <v>12</v>
      </c>
      <c r="J2657" t="str">
        <f t="shared" si="166"/>
        <v>Dec</v>
      </c>
      <c r="K2657" t="str">
        <f t="shared" si="167"/>
        <v>Mon</v>
      </c>
    </row>
    <row r="2658" spans="1:11" x14ac:dyDescent="0.35">
      <c r="A2658" s="1">
        <v>39420</v>
      </c>
      <c r="B2658">
        <v>4.5019998550415004</v>
      </c>
      <c r="C2658">
        <v>4.7280001640319798</v>
      </c>
      <c r="D2658">
        <v>4.5019998550415004</v>
      </c>
      <c r="E2658">
        <v>4.7204999923706001</v>
      </c>
      <c r="F2658">
        <v>4.7204999923706001</v>
      </c>
      <c r="G2658">
        <v>146758000</v>
      </c>
      <c r="H2658">
        <f t="shared" si="164"/>
        <v>2007</v>
      </c>
      <c r="I2658">
        <f t="shared" si="165"/>
        <v>12</v>
      </c>
      <c r="J2658" t="str">
        <f t="shared" si="166"/>
        <v>Dec</v>
      </c>
      <c r="K2658" t="str">
        <f t="shared" si="167"/>
        <v>Tue</v>
      </c>
    </row>
    <row r="2659" spans="1:11" x14ac:dyDescent="0.35">
      <c r="A2659" s="1">
        <v>39421</v>
      </c>
      <c r="B2659">
        <v>4.7494997978210396</v>
      </c>
      <c r="C2659">
        <v>4.7494997978210396</v>
      </c>
      <c r="D2659">
        <v>4.5989999771118102</v>
      </c>
      <c r="E2659">
        <v>4.6595001220703098</v>
      </c>
      <c r="F2659">
        <v>4.6595001220703098</v>
      </c>
      <c r="G2659">
        <v>132172000</v>
      </c>
      <c r="H2659">
        <f t="shared" si="164"/>
        <v>2007</v>
      </c>
      <c r="I2659">
        <f t="shared" si="165"/>
        <v>12</v>
      </c>
      <c r="J2659" t="str">
        <f t="shared" si="166"/>
        <v>Dec</v>
      </c>
      <c r="K2659" t="str">
        <f t="shared" si="167"/>
        <v>Wed</v>
      </c>
    </row>
    <row r="2660" spans="1:11" x14ac:dyDescent="0.35">
      <c r="A2660" s="1">
        <v>39422</v>
      </c>
      <c r="B2660">
        <v>4.6640000343322701</v>
      </c>
      <c r="C2660">
        <v>4.75</v>
      </c>
      <c r="D2660">
        <v>4.6414999961853001</v>
      </c>
      <c r="E2660">
        <v>4.7104997634887598</v>
      </c>
      <c r="F2660">
        <v>4.7104997634887598</v>
      </c>
      <c r="G2660">
        <v>109454000</v>
      </c>
      <c r="H2660">
        <f t="shared" si="164"/>
        <v>2007</v>
      </c>
      <c r="I2660">
        <f t="shared" si="165"/>
        <v>12</v>
      </c>
      <c r="J2660" t="str">
        <f t="shared" si="166"/>
        <v>Dec</v>
      </c>
      <c r="K2660" t="str">
        <f t="shared" si="167"/>
        <v>Thu</v>
      </c>
    </row>
    <row r="2661" spans="1:11" x14ac:dyDescent="0.35">
      <c r="A2661" s="1">
        <v>39423</v>
      </c>
      <c r="B2661">
        <v>4.7280001640319798</v>
      </c>
      <c r="C2661">
        <v>4.7340002059936497</v>
      </c>
      <c r="D2661">
        <v>4.6455001831054599</v>
      </c>
      <c r="E2661">
        <v>4.7154998779296804</v>
      </c>
      <c r="F2661">
        <v>4.7154998779296804</v>
      </c>
      <c r="G2661">
        <v>78696000</v>
      </c>
      <c r="H2661">
        <f t="shared" si="164"/>
        <v>2007</v>
      </c>
      <c r="I2661">
        <f t="shared" si="165"/>
        <v>12</v>
      </c>
      <c r="J2661" t="str">
        <f t="shared" si="166"/>
        <v>Dec</v>
      </c>
      <c r="K2661" t="str">
        <f t="shared" si="167"/>
        <v>Fri</v>
      </c>
    </row>
    <row r="2662" spans="1:11" x14ac:dyDescent="0.35">
      <c r="A2662" s="1">
        <v>39426</v>
      </c>
      <c r="B2662">
        <v>4.7154998779296804</v>
      </c>
      <c r="C2662">
        <v>4.7175002098083496</v>
      </c>
      <c r="D2662">
        <v>4.6149997711181596</v>
      </c>
      <c r="E2662">
        <v>4.65100002288818</v>
      </c>
      <c r="F2662">
        <v>4.65100002288818</v>
      </c>
      <c r="G2662">
        <v>103612000</v>
      </c>
      <c r="H2662">
        <f t="shared" si="164"/>
        <v>2007</v>
      </c>
      <c r="I2662">
        <f t="shared" si="165"/>
        <v>12</v>
      </c>
      <c r="J2662" t="str">
        <f t="shared" si="166"/>
        <v>Dec</v>
      </c>
      <c r="K2662" t="str">
        <f t="shared" si="167"/>
        <v>Mon</v>
      </c>
    </row>
    <row r="2663" spans="1:11" x14ac:dyDescent="0.35">
      <c r="A2663" s="1">
        <v>39427</v>
      </c>
      <c r="B2663">
        <v>4.6550002098083496</v>
      </c>
      <c r="C2663">
        <v>4.7969999313354403</v>
      </c>
      <c r="D2663">
        <v>4.5374999046325604</v>
      </c>
      <c r="E2663">
        <v>4.5374999046325604</v>
      </c>
      <c r="F2663">
        <v>4.5374999046325604</v>
      </c>
      <c r="G2663">
        <v>205392000</v>
      </c>
      <c r="H2663">
        <f t="shared" si="164"/>
        <v>2007</v>
      </c>
      <c r="I2663">
        <f t="shared" si="165"/>
        <v>12</v>
      </c>
      <c r="J2663" t="str">
        <f t="shared" si="166"/>
        <v>Dec</v>
      </c>
      <c r="K2663" t="str">
        <f t="shared" si="167"/>
        <v>Tue</v>
      </c>
    </row>
    <row r="2664" spans="1:11" x14ac:dyDescent="0.35">
      <c r="A2664" s="1">
        <v>39428</v>
      </c>
      <c r="B2664">
        <v>4.6420001983642498</v>
      </c>
      <c r="C2664">
        <v>4.6875</v>
      </c>
      <c r="D2664">
        <v>4.4660000801086399</v>
      </c>
      <c r="E2664">
        <v>4.5640001296996999</v>
      </c>
      <c r="F2664">
        <v>4.5640001296996999</v>
      </c>
      <c r="G2664">
        <v>144562000</v>
      </c>
      <c r="H2664">
        <f t="shared" si="164"/>
        <v>2007</v>
      </c>
      <c r="I2664">
        <f t="shared" si="165"/>
        <v>12</v>
      </c>
      <c r="J2664" t="str">
        <f t="shared" si="166"/>
        <v>Dec</v>
      </c>
      <c r="K2664" t="str">
        <f t="shared" si="167"/>
        <v>Wed</v>
      </c>
    </row>
    <row r="2665" spans="1:11" x14ac:dyDescent="0.35">
      <c r="A2665" s="1">
        <v>39429</v>
      </c>
      <c r="B2665">
        <v>4.5524997711181596</v>
      </c>
      <c r="C2665">
        <v>4.6500000953674299</v>
      </c>
      <c r="D2665">
        <v>4.5314998626708896</v>
      </c>
      <c r="E2665">
        <v>4.6199998855590803</v>
      </c>
      <c r="F2665">
        <v>4.6199998855590803</v>
      </c>
      <c r="G2665">
        <v>120926000</v>
      </c>
      <c r="H2665">
        <f t="shared" si="164"/>
        <v>2007</v>
      </c>
      <c r="I2665">
        <f t="shared" si="165"/>
        <v>12</v>
      </c>
      <c r="J2665" t="str">
        <f t="shared" si="166"/>
        <v>Dec</v>
      </c>
      <c r="K2665" t="str">
        <f t="shared" si="167"/>
        <v>Thu</v>
      </c>
    </row>
    <row r="2666" spans="1:11" x14ac:dyDescent="0.35">
      <c r="A2666" s="1">
        <v>39430</v>
      </c>
      <c r="B2666">
        <v>4.5384998321533203</v>
      </c>
      <c r="C2666">
        <v>4.5619997978210396</v>
      </c>
      <c r="D2666">
        <v>4.4464998245239196</v>
      </c>
      <c r="E2666">
        <v>4.4539999961853001</v>
      </c>
      <c r="F2666">
        <v>4.4539999961853001</v>
      </c>
      <c r="G2666">
        <v>120046000</v>
      </c>
      <c r="H2666">
        <f t="shared" si="164"/>
        <v>2007</v>
      </c>
      <c r="I2666">
        <f t="shared" si="165"/>
        <v>12</v>
      </c>
      <c r="J2666" t="str">
        <f t="shared" si="166"/>
        <v>Dec</v>
      </c>
      <c r="K2666" t="str">
        <f t="shared" si="167"/>
        <v>Fri</v>
      </c>
    </row>
    <row r="2667" spans="1:11" x14ac:dyDescent="0.35">
      <c r="A2667" s="1">
        <v>39433</v>
      </c>
      <c r="B2667">
        <v>4.45050001144409</v>
      </c>
      <c r="C2667">
        <v>4.4530000686645499</v>
      </c>
      <c r="D2667">
        <v>4.2494997978210396</v>
      </c>
      <c r="E2667">
        <v>4.2544999122619602</v>
      </c>
      <c r="F2667">
        <v>4.2544999122619602</v>
      </c>
      <c r="G2667">
        <v>153954000</v>
      </c>
      <c r="H2667">
        <f t="shared" si="164"/>
        <v>2007</v>
      </c>
      <c r="I2667">
        <f t="shared" si="165"/>
        <v>12</v>
      </c>
      <c r="J2667" t="str">
        <f t="shared" si="166"/>
        <v>Dec</v>
      </c>
      <c r="K2667" t="str">
        <f t="shared" si="167"/>
        <v>Mon</v>
      </c>
    </row>
    <row r="2668" spans="1:11" x14ac:dyDescent="0.35">
      <c r="A2668" s="1">
        <v>39434</v>
      </c>
      <c r="B2668">
        <v>4.2915000915527299</v>
      </c>
      <c r="C2668">
        <v>4.3730001449584899</v>
      </c>
      <c r="D2668">
        <v>4.1929998397827104</v>
      </c>
      <c r="E2668">
        <v>4.34450006484985</v>
      </c>
      <c r="F2668">
        <v>4.34450006484985</v>
      </c>
      <c r="G2668">
        <v>145322000</v>
      </c>
      <c r="H2668">
        <f t="shared" si="164"/>
        <v>2007</v>
      </c>
      <c r="I2668">
        <f t="shared" si="165"/>
        <v>12</v>
      </c>
      <c r="J2668" t="str">
        <f t="shared" si="166"/>
        <v>Dec</v>
      </c>
      <c r="K2668" t="str">
        <f t="shared" si="167"/>
        <v>Tue</v>
      </c>
    </row>
    <row r="2669" spans="1:11" x14ac:dyDescent="0.35">
      <c r="A2669" s="1">
        <v>39435</v>
      </c>
      <c r="B2669">
        <v>4.3470001220703098</v>
      </c>
      <c r="C2669">
        <v>4.4974999427795401</v>
      </c>
      <c r="D2669">
        <v>4.3414998054504297</v>
      </c>
      <c r="E2669">
        <v>4.4689998626708896</v>
      </c>
      <c r="F2669">
        <v>4.4689998626708896</v>
      </c>
      <c r="G2669">
        <v>152324000</v>
      </c>
      <c r="H2669">
        <f t="shared" si="164"/>
        <v>2007</v>
      </c>
      <c r="I2669">
        <f t="shared" si="165"/>
        <v>12</v>
      </c>
      <c r="J2669" t="str">
        <f t="shared" si="166"/>
        <v>Dec</v>
      </c>
      <c r="K2669" t="str">
        <f t="shared" si="167"/>
        <v>Wed</v>
      </c>
    </row>
    <row r="2670" spans="1:11" x14ac:dyDescent="0.35">
      <c r="A2670" s="1">
        <v>39436</v>
      </c>
      <c r="B2670">
        <v>4.5069999694824201</v>
      </c>
      <c r="C2670">
        <v>4.5374999046325604</v>
      </c>
      <c r="D2670">
        <v>4.4545001983642498</v>
      </c>
      <c r="E2670">
        <v>4.5289998054504297</v>
      </c>
      <c r="F2670">
        <v>4.5289998054504297</v>
      </c>
      <c r="G2670">
        <v>117596000</v>
      </c>
      <c r="H2670">
        <f t="shared" si="164"/>
        <v>2007</v>
      </c>
      <c r="I2670">
        <f t="shared" si="165"/>
        <v>12</v>
      </c>
      <c r="J2670" t="str">
        <f t="shared" si="166"/>
        <v>Dec</v>
      </c>
      <c r="K2670" t="str">
        <f t="shared" si="167"/>
        <v>Thu</v>
      </c>
    </row>
    <row r="2671" spans="1:11" x14ac:dyDescent="0.35">
      <c r="A2671" s="1">
        <v>39437</v>
      </c>
      <c r="B2671">
        <v>4.5735001564025799</v>
      </c>
      <c r="C2671">
        <v>4.6139998435974103</v>
      </c>
      <c r="D2671">
        <v>4.5194997787475497</v>
      </c>
      <c r="E2671">
        <v>4.5630002021789497</v>
      </c>
      <c r="F2671">
        <v>4.5630002021789497</v>
      </c>
      <c r="G2671">
        <v>132098000</v>
      </c>
      <c r="H2671">
        <f t="shared" si="164"/>
        <v>2007</v>
      </c>
      <c r="I2671">
        <f t="shared" si="165"/>
        <v>12</v>
      </c>
      <c r="J2671" t="str">
        <f t="shared" si="166"/>
        <v>Dec</v>
      </c>
      <c r="K2671" t="str">
        <f t="shared" si="167"/>
        <v>Fri</v>
      </c>
    </row>
    <row r="2672" spans="1:11" x14ac:dyDescent="0.35">
      <c r="A2672" s="1">
        <v>39440</v>
      </c>
      <c r="B2672">
        <v>4.5524997711181596</v>
      </c>
      <c r="C2672">
        <v>4.5780000686645499</v>
      </c>
      <c r="D2672">
        <v>4.5149998664855904</v>
      </c>
      <c r="E2672">
        <v>4.5504999160766602</v>
      </c>
      <c r="F2672">
        <v>4.5504999160766602</v>
      </c>
      <c r="G2672">
        <v>40342000</v>
      </c>
      <c r="H2672">
        <f t="shared" si="164"/>
        <v>2007</v>
      </c>
      <c r="I2672">
        <f t="shared" si="165"/>
        <v>12</v>
      </c>
      <c r="J2672" t="str">
        <f t="shared" si="166"/>
        <v>Dec</v>
      </c>
      <c r="K2672" t="str">
        <f t="shared" si="167"/>
        <v>Mon</v>
      </c>
    </row>
    <row r="2673" spans="1:11" x14ac:dyDescent="0.35">
      <c r="A2673" s="1">
        <v>39442</v>
      </c>
      <c r="B2673">
        <v>4.5739998817443803</v>
      </c>
      <c r="C2673">
        <v>4.69700002670288</v>
      </c>
      <c r="D2673">
        <v>4.5250000953674299</v>
      </c>
      <c r="E2673">
        <v>4.6424999237060502</v>
      </c>
      <c r="F2673">
        <v>4.6424999237060502</v>
      </c>
      <c r="G2673">
        <v>108844000</v>
      </c>
      <c r="H2673">
        <f t="shared" si="164"/>
        <v>2007</v>
      </c>
      <c r="I2673">
        <f t="shared" si="165"/>
        <v>12</v>
      </c>
      <c r="J2673" t="str">
        <f t="shared" si="166"/>
        <v>Dec</v>
      </c>
      <c r="K2673" t="str">
        <f t="shared" si="167"/>
        <v>Wed</v>
      </c>
    </row>
    <row r="2674" spans="1:11" x14ac:dyDescent="0.35">
      <c r="A2674" s="1">
        <v>39443</v>
      </c>
      <c r="B2674">
        <v>4.63350009918212</v>
      </c>
      <c r="C2674">
        <v>4.7645001411437899</v>
      </c>
      <c r="D2674">
        <v>4.625</v>
      </c>
      <c r="E2674">
        <v>4.7125000953674299</v>
      </c>
      <c r="F2674">
        <v>4.7125000953674299</v>
      </c>
      <c r="G2674">
        <v>142274000</v>
      </c>
      <c r="H2674">
        <f t="shared" si="164"/>
        <v>2007</v>
      </c>
      <c r="I2674">
        <f t="shared" si="165"/>
        <v>12</v>
      </c>
      <c r="J2674" t="str">
        <f t="shared" si="166"/>
        <v>Dec</v>
      </c>
      <c r="K2674" t="str">
        <f t="shared" si="167"/>
        <v>Thu</v>
      </c>
    </row>
    <row r="2675" spans="1:11" x14ac:dyDescent="0.35">
      <c r="A2675" s="1">
        <v>39444</v>
      </c>
      <c r="B2675">
        <v>4.7635002136230398</v>
      </c>
      <c r="C2675">
        <v>4.79500007629394</v>
      </c>
      <c r="D2675">
        <v>4.6050000190734801</v>
      </c>
      <c r="E2675">
        <v>4.7224998474120996</v>
      </c>
      <c r="F2675">
        <v>4.7224998474120996</v>
      </c>
      <c r="G2675">
        <v>151758000</v>
      </c>
      <c r="H2675">
        <f t="shared" si="164"/>
        <v>2007</v>
      </c>
      <c r="I2675">
        <f t="shared" si="165"/>
        <v>12</v>
      </c>
      <c r="J2675" t="str">
        <f t="shared" si="166"/>
        <v>Dec</v>
      </c>
      <c r="K2675" t="str">
        <f t="shared" si="167"/>
        <v>Fri</v>
      </c>
    </row>
    <row r="2676" spans="1:11" x14ac:dyDescent="0.35">
      <c r="A2676" s="1">
        <v>39447</v>
      </c>
      <c r="B2676">
        <v>4.6904997825622496</v>
      </c>
      <c r="C2676">
        <v>4.7185001373290998</v>
      </c>
      <c r="D2676">
        <v>4.6224999427795401</v>
      </c>
      <c r="E2676">
        <v>4.6319999694824201</v>
      </c>
      <c r="F2676">
        <v>4.6319999694824201</v>
      </c>
      <c r="G2676">
        <v>115104000</v>
      </c>
      <c r="H2676">
        <f t="shared" si="164"/>
        <v>2007</v>
      </c>
      <c r="I2676">
        <f t="shared" si="165"/>
        <v>12</v>
      </c>
      <c r="J2676" t="str">
        <f t="shared" si="166"/>
        <v>Dec</v>
      </c>
      <c r="K2676" t="str">
        <f t="shared" si="167"/>
        <v>Mon</v>
      </c>
    </row>
    <row r="2677" spans="1:11" x14ac:dyDescent="0.35">
      <c r="A2677" s="1">
        <v>39449</v>
      </c>
      <c r="B2677">
        <v>4.7674999237060502</v>
      </c>
      <c r="C2677">
        <v>4.8715000152587802</v>
      </c>
      <c r="D2677">
        <v>4.7350001335143999</v>
      </c>
      <c r="E2677">
        <v>4.8125</v>
      </c>
      <c r="F2677">
        <v>4.8125</v>
      </c>
      <c r="G2677">
        <v>277174000</v>
      </c>
      <c r="H2677">
        <f t="shared" si="164"/>
        <v>2008</v>
      </c>
      <c r="I2677">
        <f t="shared" si="165"/>
        <v>1</v>
      </c>
      <c r="J2677" t="str">
        <f t="shared" si="166"/>
        <v>Jan</v>
      </c>
      <c r="K2677" t="str">
        <f t="shared" si="167"/>
        <v>Wed</v>
      </c>
    </row>
    <row r="2678" spans="1:11" x14ac:dyDescent="0.35">
      <c r="A2678" s="1">
        <v>39450</v>
      </c>
      <c r="B2678">
        <v>4.8029999732971103</v>
      </c>
      <c r="C2678">
        <v>4.8625001907348597</v>
      </c>
      <c r="D2678">
        <v>4.7259998321533203</v>
      </c>
      <c r="E2678">
        <v>4.7604999542236301</v>
      </c>
      <c r="F2678">
        <v>4.7604999542236301</v>
      </c>
      <c r="G2678">
        <v>182450000</v>
      </c>
      <c r="H2678">
        <f t="shared" si="164"/>
        <v>2008</v>
      </c>
      <c r="I2678">
        <f t="shared" si="165"/>
        <v>1</v>
      </c>
      <c r="J2678" t="str">
        <f t="shared" si="166"/>
        <v>Jan</v>
      </c>
      <c r="K2678" t="str">
        <f t="shared" si="167"/>
        <v>Thu</v>
      </c>
    </row>
    <row r="2679" spans="1:11" x14ac:dyDescent="0.35">
      <c r="A2679" s="1">
        <v>39451</v>
      </c>
      <c r="B2679">
        <v>4.6630001068115199</v>
      </c>
      <c r="C2679">
        <v>4.67000007629394</v>
      </c>
      <c r="D2679">
        <v>4.4250001907348597</v>
      </c>
      <c r="E2679">
        <v>4.4394998550415004</v>
      </c>
      <c r="F2679">
        <v>4.4394998550415004</v>
      </c>
      <c r="G2679">
        <v>205400000</v>
      </c>
      <c r="H2679">
        <f t="shared" si="164"/>
        <v>2008</v>
      </c>
      <c r="I2679">
        <f t="shared" si="165"/>
        <v>1</v>
      </c>
      <c r="J2679" t="str">
        <f t="shared" si="166"/>
        <v>Jan</v>
      </c>
      <c r="K2679" t="str">
        <f t="shared" si="167"/>
        <v>Fri</v>
      </c>
    </row>
    <row r="2680" spans="1:11" x14ac:dyDescent="0.35">
      <c r="A2680" s="1">
        <v>39454</v>
      </c>
      <c r="B2680">
        <v>4.4310002326965297</v>
      </c>
      <c r="C2680">
        <v>4.5285000801086399</v>
      </c>
      <c r="D2680">
        <v>4.2734999656677202</v>
      </c>
      <c r="E2680">
        <v>4.44099998474121</v>
      </c>
      <c r="F2680">
        <v>4.44099998474121</v>
      </c>
      <c r="G2680">
        <v>199632000</v>
      </c>
      <c r="H2680">
        <f t="shared" si="164"/>
        <v>2008</v>
      </c>
      <c r="I2680">
        <f t="shared" si="165"/>
        <v>1</v>
      </c>
      <c r="J2680" t="str">
        <f t="shared" si="166"/>
        <v>Jan</v>
      </c>
      <c r="K2680" t="str">
        <f t="shared" si="167"/>
        <v>Mon</v>
      </c>
    </row>
    <row r="2681" spans="1:11" x14ac:dyDescent="0.35">
      <c r="A2681" s="1">
        <v>39455</v>
      </c>
      <c r="B2681">
        <v>4.3775000572204501</v>
      </c>
      <c r="C2681">
        <v>4.5914998054504297</v>
      </c>
      <c r="D2681">
        <v>4.3464999198913503</v>
      </c>
      <c r="E2681">
        <v>4.3940000534057599</v>
      </c>
      <c r="F2681">
        <v>4.3940000534057599</v>
      </c>
      <c r="G2681">
        <v>245666000</v>
      </c>
      <c r="H2681">
        <f t="shared" si="164"/>
        <v>2008</v>
      </c>
      <c r="I2681">
        <f t="shared" si="165"/>
        <v>1</v>
      </c>
      <c r="J2681" t="str">
        <f t="shared" si="166"/>
        <v>Jan</v>
      </c>
      <c r="K2681" t="str">
        <f t="shared" si="167"/>
        <v>Tue</v>
      </c>
    </row>
    <row r="2682" spans="1:11" x14ac:dyDescent="0.35">
      <c r="A2682" s="1">
        <v>39456</v>
      </c>
      <c r="B2682">
        <v>4.3779997825622496</v>
      </c>
      <c r="C2682">
        <v>4.3899998664855904</v>
      </c>
      <c r="D2682">
        <v>4.0120000839233398</v>
      </c>
      <c r="E2682">
        <v>4.2610001564025799</v>
      </c>
      <c r="F2682">
        <v>4.2610001564025799</v>
      </c>
      <c r="G2682">
        <v>328218000</v>
      </c>
      <c r="H2682">
        <f t="shared" si="164"/>
        <v>2008</v>
      </c>
      <c r="I2682">
        <f t="shared" si="165"/>
        <v>1</v>
      </c>
      <c r="J2682" t="str">
        <f t="shared" si="166"/>
        <v>Jan</v>
      </c>
      <c r="K2682" t="str">
        <f t="shared" si="167"/>
        <v>Wed</v>
      </c>
    </row>
    <row r="2683" spans="1:11" x14ac:dyDescent="0.35">
      <c r="A2683" s="1">
        <v>39457</v>
      </c>
      <c r="B2683">
        <v>4.1989998817443803</v>
      </c>
      <c r="C2683">
        <v>4.29850006103515</v>
      </c>
      <c r="D2683">
        <v>4.1484999656677202</v>
      </c>
      <c r="E2683">
        <v>4.2129998207092196</v>
      </c>
      <c r="F2683">
        <v>4.2129998207092196</v>
      </c>
      <c r="G2683">
        <v>232198000</v>
      </c>
      <c r="H2683">
        <f t="shared" si="164"/>
        <v>2008</v>
      </c>
      <c r="I2683">
        <f t="shared" si="165"/>
        <v>1</v>
      </c>
      <c r="J2683" t="str">
        <f t="shared" si="166"/>
        <v>Jan</v>
      </c>
      <c r="K2683" t="str">
        <f t="shared" si="167"/>
        <v>Thu</v>
      </c>
    </row>
    <row r="2684" spans="1:11" x14ac:dyDescent="0.35">
      <c r="A2684" s="1">
        <v>39458</v>
      </c>
      <c r="B2684">
        <v>4.2014999389648402</v>
      </c>
      <c r="C2684">
        <v>4.2014999389648402</v>
      </c>
      <c r="D2684">
        <v>4.0145001411437899</v>
      </c>
      <c r="E2684">
        <v>4.0539999008178702</v>
      </c>
      <c r="F2684">
        <v>4.0539999008178702</v>
      </c>
      <c r="G2684">
        <v>212486000</v>
      </c>
      <c r="H2684">
        <f t="shared" si="164"/>
        <v>2008</v>
      </c>
      <c r="I2684">
        <f t="shared" si="165"/>
        <v>1</v>
      </c>
      <c r="J2684" t="str">
        <f t="shared" si="166"/>
        <v>Jan</v>
      </c>
      <c r="K2684" t="str">
        <f t="shared" si="167"/>
        <v>Fri</v>
      </c>
    </row>
    <row r="2685" spans="1:11" x14ac:dyDescent="0.35">
      <c r="A2685" s="1">
        <v>39461</v>
      </c>
      <c r="B2685">
        <v>4.1090002059936497</v>
      </c>
      <c r="C2685">
        <v>4.1659998893737704</v>
      </c>
      <c r="D2685">
        <v>3.9435000419616699</v>
      </c>
      <c r="E2685">
        <v>4.1434998512268004</v>
      </c>
      <c r="F2685">
        <v>4.1434998512268004</v>
      </c>
      <c r="G2685">
        <v>181122000</v>
      </c>
      <c r="H2685">
        <f t="shared" si="164"/>
        <v>2008</v>
      </c>
      <c r="I2685">
        <f t="shared" si="165"/>
        <v>1</v>
      </c>
      <c r="J2685" t="str">
        <f t="shared" si="166"/>
        <v>Jan</v>
      </c>
      <c r="K2685" t="str">
        <f t="shared" si="167"/>
        <v>Mon</v>
      </c>
    </row>
    <row r="2686" spans="1:11" x14ac:dyDescent="0.35">
      <c r="A2686" s="1">
        <v>39462</v>
      </c>
      <c r="B2686">
        <v>4.0244998931884703</v>
      </c>
      <c r="C2686">
        <v>4.0504999160766602</v>
      </c>
      <c r="D2686">
        <v>3.9254999160766602</v>
      </c>
      <c r="E2686">
        <v>4.0120000839233398</v>
      </c>
      <c r="F2686">
        <v>4.0120000839233398</v>
      </c>
      <c r="G2686">
        <v>193118000</v>
      </c>
      <c r="H2686">
        <f t="shared" si="164"/>
        <v>2008</v>
      </c>
      <c r="I2686">
        <f t="shared" si="165"/>
        <v>1</v>
      </c>
      <c r="J2686" t="str">
        <f t="shared" si="166"/>
        <v>Jan</v>
      </c>
      <c r="K2686" t="str">
        <f t="shared" si="167"/>
        <v>Tue</v>
      </c>
    </row>
    <row r="2687" spans="1:11" x14ac:dyDescent="0.35">
      <c r="A2687" s="1">
        <v>39463</v>
      </c>
      <c r="B2687">
        <v>3.9790000915527299</v>
      </c>
      <c r="C2687">
        <v>4.1180000305175701</v>
      </c>
      <c r="D2687">
        <v>3.9219999313354399</v>
      </c>
      <c r="E2687">
        <v>4.0174999237060502</v>
      </c>
      <c r="F2687">
        <v>4.0174999237060502</v>
      </c>
      <c r="G2687">
        <v>248140000</v>
      </c>
      <c r="H2687">
        <f t="shared" si="164"/>
        <v>2008</v>
      </c>
      <c r="I2687">
        <f t="shared" si="165"/>
        <v>1</v>
      </c>
      <c r="J2687" t="str">
        <f t="shared" si="166"/>
        <v>Jan</v>
      </c>
      <c r="K2687" t="str">
        <f t="shared" si="167"/>
        <v>Wed</v>
      </c>
    </row>
    <row r="2688" spans="1:11" x14ac:dyDescent="0.35">
      <c r="A2688" s="1">
        <v>39464</v>
      </c>
      <c r="B2688">
        <v>4.0079998970031703</v>
      </c>
      <c r="C2688">
        <v>4.1125001907348597</v>
      </c>
      <c r="D2688">
        <v>3.97699999809265</v>
      </c>
      <c r="E2688">
        <v>4.0060000419616699</v>
      </c>
      <c r="F2688">
        <v>4.0060000419616699</v>
      </c>
      <c r="G2688">
        <v>198018000</v>
      </c>
      <c r="H2688">
        <f t="shared" si="164"/>
        <v>2008</v>
      </c>
      <c r="I2688">
        <f t="shared" si="165"/>
        <v>1</v>
      </c>
      <c r="J2688" t="str">
        <f t="shared" si="166"/>
        <v>Jan</v>
      </c>
      <c r="K2688" t="str">
        <f t="shared" si="167"/>
        <v>Thu</v>
      </c>
    </row>
    <row r="2689" spans="1:11" x14ac:dyDescent="0.35">
      <c r="A2689" s="1">
        <v>39465</v>
      </c>
      <c r="B2689">
        <v>3.9965000152587802</v>
      </c>
      <c r="C2689">
        <v>4.1154999732971103</v>
      </c>
      <c r="D2689">
        <v>3.9019999504089302</v>
      </c>
      <c r="E2689">
        <v>3.9879999160766602</v>
      </c>
      <c r="F2689">
        <v>3.9879999160766602</v>
      </c>
      <c r="G2689">
        <v>267286000</v>
      </c>
      <c r="H2689">
        <f t="shared" si="164"/>
        <v>2008</v>
      </c>
      <c r="I2689">
        <f t="shared" si="165"/>
        <v>1</v>
      </c>
      <c r="J2689" t="str">
        <f t="shared" si="166"/>
        <v>Jan</v>
      </c>
      <c r="K2689" t="str">
        <f t="shared" si="167"/>
        <v>Fri</v>
      </c>
    </row>
    <row r="2690" spans="1:11" x14ac:dyDescent="0.35">
      <c r="A2690" s="1">
        <v>39469</v>
      </c>
      <c r="B2690">
        <v>3.6789999008178702</v>
      </c>
      <c r="C2690">
        <v>3.98600006103515</v>
      </c>
      <c r="D2690">
        <v>3.61100006103515</v>
      </c>
      <c r="E2690">
        <v>3.92400002479553</v>
      </c>
      <c r="F2690">
        <v>3.92400002479553</v>
      </c>
      <c r="G2690">
        <v>256444000</v>
      </c>
      <c r="H2690">
        <f t="shared" si="164"/>
        <v>2008</v>
      </c>
      <c r="I2690">
        <f t="shared" si="165"/>
        <v>1</v>
      </c>
      <c r="J2690" t="str">
        <f t="shared" si="166"/>
        <v>Jan</v>
      </c>
      <c r="K2690" t="str">
        <f t="shared" si="167"/>
        <v>Tue</v>
      </c>
    </row>
    <row r="2691" spans="1:11" x14ac:dyDescent="0.35">
      <c r="A2691" s="1">
        <v>39470</v>
      </c>
      <c r="B2691">
        <v>3.7799999713897701</v>
      </c>
      <c r="C2691">
        <v>3.8399999141693102</v>
      </c>
      <c r="D2691">
        <v>3.4974999427795401</v>
      </c>
      <c r="E2691">
        <v>3.6984999179839999</v>
      </c>
      <c r="F2691">
        <v>3.6984999179839999</v>
      </c>
      <c r="G2691">
        <v>408114000</v>
      </c>
      <c r="H2691">
        <f t="shared" si="164"/>
        <v>2008</v>
      </c>
      <c r="I2691">
        <f t="shared" si="165"/>
        <v>1</v>
      </c>
      <c r="J2691" t="str">
        <f t="shared" si="166"/>
        <v>Jan</v>
      </c>
      <c r="K2691" t="str">
        <f t="shared" si="167"/>
        <v>Wed</v>
      </c>
    </row>
    <row r="2692" spans="1:11" x14ac:dyDescent="0.35">
      <c r="A2692" s="1">
        <v>39471</v>
      </c>
      <c r="B2692">
        <v>3.7265000343322701</v>
      </c>
      <c r="C2692">
        <v>3.8940000534057599</v>
      </c>
      <c r="D2692">
        <v>3.70950007438659</v>
      </c>
      <c r="E2692">
        <v>3.88350009918212</v>
      </c>
      <c r="F2692">
        <v>3.88350009918212</v>
      </c>
      <c r="G2692">
        <v>197732000</v>
      </c>
      <c r="H2692">
        <f t="shared" ref="H2692:H2755" si="168">YEAR($A2692)</f>
        <v>2008</v>
      </c>
      <c r="I2692">
        <f t="shared" ref="I2692:I2755" si="169">MONTH($A2692)</f>
        <v>1</v>
      </c>
      <c r="J2692" t="str">
        <f t="shared" ref="J2692:J2755" si="170">TEXT($A2692,"mmm")</f>
        <v>Jan</v>
      </c>
      <c r="K2692" t="str">
        <f t="shared" ref="K2692:K2755" si="171">TEXT($A2692,"ddd")</f>
        <v>Thu</v>
      </c>
    </row>
    <row r="2693" spans="1:11" x14ac:dyDescent="0.35">
      <c r="A2693" s="1">
        <v>39472</v>
      </c>
      <c r="B2693">
        <v>3.9344999790191602</v>
      </c>
      <c r="C2693">
        <v>4.0714998245239196</v>
      </c>
      <c r="D2693">
        <v>3.8164999485015798</v>
      </c>
      <c r="E2693">
        <v>3.88000011444091</v>
      </c>
      <c r="F2693">
        <v>3.88000011444091</v>
      </c>
      <c r="G2693">
        <v>200552000</v>
      </c>
      <c r="H2693">
        <f t="shared" si="168"/>
        <v>2008</v>
      </c>
      <c r="I2693">
        <f t="shared" si="169"/>
        <v>1</v>
      </c>
      <c r="J2693" t="str">
        <f t="shared" si="170"/>
        <v>Jan</v>
      </c>
      <c r="K2693" t="str">
        <f t="shared" si="171"/>
        <v>Fri</v>
      </c>
    </row>
    <row r="2694" spans="1:11" x14ac:dyDescent="0.35">
      <c r="A2694" s="1">
        <v>39475</v>
      </c>
      <c r="B2694">
        <v>3.8454999923706001</v>
      </c>
      <c r="C2694">
        <v>3.8699998855590798</v>
      </c>
      <c r="D2694">
        <v>3.7170000076293901</v>
      </c>
      <c r="E2694">
        <v>3.79099988937377</v>
      </c>
      <c r="F2694">
        <v>3.79099988937377</v>
      </c>
      <c r="G2694">
        <v>170106000</v>
      </c>
      <c r="H2694">
        <f t="shared" si="168"/>
        <v>2008</v>
      </c>
      <c r="I2694">
        <f t="shared" si="169"/>
        <v>1</v>
      </c>
      <c r="J2694" t="str">
        <f t="shared" si="170"/>
        <v>Jan</v>
      </c>
      <c r="K2694" t="str">
        <f t="shared" si="171"/>
        <v>Mon</v>
      </c>
    </row>
    <row r="2695" spans="1:11" x14ac:dyDescent="0.35">
      <c r="A2695" s="1">
        <v>39476</v>
      </c>
      <c r="B2695">
        <v>3.7885000705718901</v>
      </c>
      <c r="C2695">
        <v>3.79500007629394</v>
      </c>
      <c r="D2695">
        <v>3.6029999256134002</v>
      </c>
      <c r="E2695">
        <v>3.6974999904632502</v>
      </c>
      <c r="F2695">
        <v>3.6974999904632502</v>
      </c>
      <c r="G2695">
        <v>199160000</v>
      </c>
      <c r="H2695">
        <f t="shared" si="168"/>
        <v>2008</v>
      </c>
      <c r="I2695">
        <f t="shared" si="169"/>
        <v>1</v>
      </c>
      <c r="J2695" t="str">
        <f t="shared" si="170"/>
        <v>Jan</v>
      </c>
      <c r="K2695" t="str">
        <f t="shared" si="171"/>
        <v>Tue</v>
      </c>
    </row>
    <row r="2696" spans="1:11" x14ac:dyDescent="0.35">
      <c r="A2696" s="1">
        <v>39477</v>
      </c>
      <c r="B2696">
        <v>3.6770000457763601</v>
      </c>
      <c r="C2696">
        <v>3.87100005149841</v>
      </c>
      <c r="D2696">
        <v>3.6624999046325599</v>
      </c>
      <c r="E2696">
        <v>3.7105000019073402</v>
      </c>
      <c r="F2696">
        <v>3.7105000019073402</v>
      </c>
      <c r="G2696">
        <v>505974000</v>
      </c>
      <c r="H2696">
        <f t="shared" si="168"/>
        <v>2008</v>
      </c>
      <c r="I2696">
        <f t="shared" si="169"/>
        <v>1</v>
      </c>
      <c r="J2696" t="str">
        <f t="shared" si="170"/>
        <v>Jan</v>
      </c>
      <c r="K2696" t="str">
        <f t="shared" si="171"/>
        <v>Wed</v>
      </c>
    </row>
    <row r="2697" spans="1:11" x14ac:dyDescent="0.35">
      <c r="A2697" s="1">
        <v>39478</v>
      </c>
      <c r="B2697">
        <v>3.4454998970031698</v>
      </c>
      <c r="C2697">
        <v>3.9435000419616699</v>
      </c>
      <c r="D2697">
        <v>3.4419999122619598</v>
      </c>
      <c r="E2697">
        <v>3.8849999904632502</v>
      </c>
      <c r="F2697">
        <v>3.8849999904632502</v>
      </c>
      <c r="G2697">
        <v>857718000</v>
      </c>
      <c r="H2697">
        <f t="shared" si="168"/>
        <v>2008</v>
      </c>
      <c r="I2697">
        <f t="shared" si="169"/>
        <v>1</v>
      </c>
      <c r="J2697" t="str">
        <f t="shared" si="170"/>
        <v>Jan</v>
      </c>
      <c r="K2697" t="str">
        <f t="shared" si="171"/>
        <v>Thu</v>
      </c>
    </row>
    <row r="2698" spans="1:11" x14ac:dyDescent="0.35">
      <c r="A2698" s="1">
        <v>39479</v>
      </c>
      <c r="B2698">
        <v>3.9509999752044598</v>
      </c>
      <c r="C2698">
        <v>3.9700000286102202</v>
      </c>
      <c r="D2698">
        <v>3.6684999465942298</v>
      </c>
      <c r="E2698">
        <v>3.7314999103546098</v>
      </c>
      <c r="F2698">
        <v>3.7314999103546098</v>
      </c>
      <c r="G2698">
        <v>327220000</v>
      </c>
      <c r="H2698">
        <f t="shared" si="168"/>
        <v>2008</v>
      </c>
      <c r="I2698">
        <f t="shared" si="169"/>
        <v>2</v>
      </c>
      <c r="J2698" t="str">
        <f t="shared" si="170"/>
        <v>Feb</v>
      </c>
      <c r="K2698" t="str">
        <f t="shared" si="171"/>
        <v>Fri</v>
      </c>
    </row>
    <row r="2699" spans="1:11" x14ac:dyDescent="0.35">
      <c r="A2699" s="1">
        <v>39482</v>
      </c>
      <c r="B2699">
        <v>3.7249999046325599</v>
      </c>
      <c r="C2699">
        <v>3.8329999446868799</v>
      </c>
      <c r="D2699">
        <v>3.6949999332427899</v>
      </c>
      <c r="E2699">
        <v>3.6974999904632502</v>
      </c>
      <c r="F2699">
        <v>3.6974999904632502</v>
      </c>
      <c r="G2699">
        <v>183104000</v>
      </c>
      <c r="H2699">
        <f t="shared" si="168"/>
        <v>2008</v>
      </c>
      <c r="I2699">
        <f t="shared" si="169"/>
        <v>2</v>
      </c>
      <c r="J2699" t="str">
        <f t="shared" si="170"/>
        <v>Feb</v>
      </c>
      <c r="K2699" t="str">
        <f t="shared" si="171"/>
        <v>Mon</v>
      </c>
    </row>
    <row r="2700" spans="1:11" x14ac:dyDescent="0.35">
      <c r="A2700" s="1">
        <v>39483</v>
      </c>
      <c r="B2700">
        <v>3.6400001049041699</v>
      </c>
      <c r="C2700">
        <v>3.7105000019073402</v>
      </c>
      <c r="D2700">
        <v>3.5999999046325599</v>
      </c>
      <c r="E2700">
        <v>3.6045000553131099</v>
      </c>
      <c r="F2700">
        <v>3.6045000553131099</v>
      </c>
      <c r="G2700">
        <v>192678000</v>
      </c>
      <c r="H2700">
        <f t="shared" si="168"/>
        <v>2008</v>
      </c>
      <c r="I2700">
        <f t="shared" si="169"/>
        <v>2</v>
      </c>
      <c r="J2700" t="str">
        <f t="shared" si="170"/>
        <v>Feb</v>
      </c>
      <c r="K2700" t="str">
        <f t="shared" si="171"/>
        <v>Tue</v>
      </c>
    </row>
    <row r="2701" spans="1:11" x14ac:dyDescent="0.35">
      <c r="A2701" s="1">
        <v>39484</v>
      </c>
      <c r="B2701">
        <v>3.6150000095367401</v>
      </c>
      <c r="C2701">
        <v>3.6215000152587802</v>
      </c>
      <c r="D2701">
        <v>3.4084999561309801</v>
      </c>
      <c r="E2701">
        <v>3.4244999885559002</v>
      </c>
      <c r="F2701">
        <v>3.4244999885559002</v>
      </c>
      <c r="G2701">
        <v>247990000</v>
      </c>
      <c r="H2701">
        <f t="shared" si="168"/>
        <v>2008</v>
      </c>
      <c r="I2701">
        <f t="shared" si="169"/>
        <v>2</v>
      </c>
      <c r="J2701" t="str">
        <f t="shared" si="170"/>
        <v>Feb</v>
      </c>
      <c r="K2701" t="str">
        <f t="shared" si="171"/>
        <v>Wed</v>
      </c>
    </row>
    <row r="2702" spans="1:11" x14ac:dyDescent="0.35">
      <c r="A2702" s="1">
        <v>39485</v>
      </c>
      <c r="B2702">
        <v>3.3684999942779501</v>
      </c>
      <c r="C2702">
        <v>3.6354999542236301</v>
      </c>
      <c r="D2702">
        <v>3.36100006103515</v>
      </c>
      <c r="E2702">
        <v>3.54550004005432</v>
      </c>
      <c r="F2702">
        <v>3.54550004005432</v>
      </c>
      <c r="G2702">
        <v>290034000</v>
      </c>
      <c r="H2702">
        <f t="shared" si="168"/>
        <v>2008</v>
      </c>
      <c r="I2702">
        <f t="shared" si="169"/>
        <v>2</v>
      </c>
      <c r="J2702" t="str">
        <f t="shared" si="170"/>
        <v>Feb</v>
      </c>
      <c r="K2702" t="str">
        <f t="shared" si="171"/>
        <v>Thu</v>
      </c>
    </row>
    <row r="2703" spans="1:11" x14ac:dyDescent="0.35">
      <c r="A2703" s="1">
        <v>39486</v>
      </c>
      <c r="B2703">
        <v>3.67000007629394</v>
      </c>
      <c r="C2703">
        <v>3.7300000190734801</v>
      </c>
      <c r="D2703">
        <v>3.6259999275207502</v>
      </c>
      <c r="E2703">
        <v>3.6749999523162802</v>
      </c>
      <c r="F2703">
        <v>3.6749999523162802</v>
      </c>
      <c r="G2703">
        <v>234008000</v>
      </c>
      <c r="H2703">
        <f t="shared" si="168"/>
        <v>2008</v>
      </c>
      <c r="I2703">
        <f t="shared" si="169"/>
        <v>2</v>
      </c>
      <c r="J2703" t="str">
        <f t="shared" si="170"/>
        <v>Feb</v>
      </c>
      <c r="K2703" t="str">
        <f t="shared" si="171"/>
        <v>Fri</v>
      </c>
    </row>
    <row r="2704" spans="1:11" x14ac:dyDescent="0.35">
      <c r="A2704" s="1">
        <v>39489</v>
      </c>
      <c r="B2704">
        <v>3.65700006484985</v>
      </c>
      <c r="C2704">
        <v>3.7980000972747798</v>
      </c>
      <c r="D2704">
        <v>3.6384999752044598</v>
      </c>
      <c r="E2704">
        <v>3.75950002670288</v>
      </c>
      <c r="F2704">
        <v>3.75950002670288</v>
      </c>
      <c r="G2704">
        <v>155274000</v>
      </c>
      <c r="H2704">
        <f t="shared" si="168"/>
        <v>2008</v>
      </c>
      <c r="I2704">
        <f t="shared" si="169"/>
        <v>2</v>
      </c>
      <c r="J2704" t="str">
        <f t="shared" si="170"/>
        <v>Feb</v>
      </c>
      <c r="K2704" t="str">
        <f t="shared" si="171"/>
        <v>Mon</v>
      </c>
    </row>
    <row r="2705" spans="1:11" x14ac:dyDescent="0.35">
      <c r="A2705" s="1">
        <v>39490</v>
      </c>
      <c r="B2705">
        <v>3.7715001106262198</v>
      </c>
      <c r="C2705">
        <v>3.8524999618530198</v>
      </c>
      <c r="D2705">
        <v>3.6895000934600799</v>
      </c>
      <c r="E2705">
        <v>3.72250008583068</v>
      </c>
      <c r="F2705">
        <v>3.72250008583068</v>
      </c>
      <c r="G2705">
        <v>188980000</v>
      </c>
      <c r="H2705">
        <f t="shared" si="168"/>
        <v>2008</v>
      </c>
      <c r="I2705">
        <f t="shared" si="169"/>
        <v>2</v>
      </c>
      <c r="J2705" t="str">
        <f t="shared" si="170"/>
        <v>Feb</v>
      </c>
      <c r="K2705" t="str">
        <f t="shared" si="171"/>
        <v>Tue</v>
      </c>
    </row>
    <row r="2706" spans="1:11" x14ac:dyDescent="0.35">
      <c r="A2706" s="1">
        <v>39491</v>
      </c>
      <c r="B2706">
        <v>3.74950003623962</v>
      </c>
      <c r="C2706">
        <v>3.94250011444091</v>
      </c>
      <c r="D2706">
        <v>3.6635000705718901</v>
      </c>
      <c r="E2706">
        <v>3.8864998817443799</v>
      </c>
      <c r="F2706">
        <v>3.8864998817443799</v>
      </c>
      <c r="G2706">
        <v>221406000</v>
      </c>
      <c r="H2706">
        <f t="shared" si="168"/>
        <v>2008</v>
      </c>
      <c r="I2706">
        <f t="shared" si="169"/>
        <v>2</v>
      </c>
      <c r="J2706" t="str">
        <f t="shared" si="170"/>
        <v>Feb</v>
      </c>
      <c r="K2706" t="str">
        <f t="shared" si="171"/>
        <v>Wed</v>
      </c>
    </row>
    <row r="2707" spans="1:11" x14ac:dyDescent="0.35">
      <c r="A2707" s="1">
        <v>39492</v>
      </c>
      <c r="B2707">
        <v>3.8864998817443799</v>
      </c>
      <c r="C2707">
        <v>3.8940000534057599</v>
      </c>
      <c r="D2707">
        <v>3.7590000629425</v>
      </c>
      <c r="E2707">
        <v>3.7899999618530198</v>
      </c>
      <c r="F2707">
        <v>3.7899999618530198</v>
      </c>
      <c r="G2707">
        <v>149944000</v>
      </c>
      <c r="H2707">
        <f t="shared" si="168"/>
        <v>2008</v>
      </c>
      <c r="I2707">
        <f t="shared" si="169"/>
        <v>2</v>
      </c>
      <c r="J2707" t="str">
        <f t="shared" si="170"/>
        <v>Feb</v>
      </c>
      <c r="K2707" t="str">
        <f t="shared" si="171"/>
        <v>Thu</v>
      </c>
    </row>
    <row r="2708" spans="1:11" x14ac:dyDescent="0.35">
      <c r="A2708" s="1">
        <v>39493</v>
      </c>
      <c r="B2708">
        <v>3.75</v>
      </c>
      <c r="C2708">
        <v>3.75950002670288</v>
      </c>
      <c r="D2708">
        <v>3.5969998836517298</v>
      </c>
      <c r="E2708">
        <v>3.6480000019073402</v>
      </c>
      <c r="F2708">
        <v>3.6480000019073402</v>
      </c>
      <c r="G2708">
        <v>222402000</v>
      </c>
      <c r="H2708">
        <f t="shared" si="168"/>
        <v>2008</v>
      </c>
      <c r="I2708">
        <f t="shared" si="169"/>
        <v>2</v>
      </c>
      <c r="J2708" t="str">
        <f t="shared" si="170"/>
        <v>Feb</v>
      </c>
      <c r="K2708" t="str">
        <f t="shared" si="171"/>
        <v>Fri</v>
      </c>
    </row>
    <row r="2709" spans="1:11" x14ac:dyDescent="0.35">
      <c r="A2709" s="1">
        <v>39497</v>
      </c>
      <c r="B2709">
        <v>3.6770000457763601</v>
      </c>
      <c r="C2709">
        <v>3.70000004768371</v>
      </c>
      <c r="D2709">
        <v>3.5775001049041699</v>
      </c>
      <c r="E2709">
        <v>3.6040000915527299</v>
      </c>
      <c r="F2709">
        <v>3.6040000915527299</v>
      </c>
      <c r="G2709">
        <v>142184000</v>
      </c>
      <c r="H2709">
        <f t="shared" si="168"/>
        <v>2008</v>
      </c>
      <c r="I2709">
        <f t="shared" si="169"/>
        <v>2</v>
      </c>
      <c r="J2709" t="str">
        <f t="shared" si="170"/>
        <v>Feb</v>
      </c>
      <c r="K2709" t="str">
        <f t="shared" si="171"/>
        <v>Tue</v>
      </c>
    </row>
    <row r="2710" spans="1:11" x14ac:dyDescent="0.35">
      <c r="A2710" s="1">
        <v>39498</v>
      </c>
      <c r="B2710">
        <v>3.5950000286102202</v>
      </c>
      <c r="C2710">
        <v>3.6940000057220401</v>
      </c>
      <c r="D2710">
        <v>3.5550000667571999</v>
      </c>
      <c r="E2710">
        <v>3.6819999217986998</v>
      </c>
      <c r="F2710">
        <v>3.6819999217986998</v>
      </c>
      <c r="G2710">
        <v>129014000</v>
      </c>
      <c r="H2710">
        <f t="shared" si="168"/>
        <v>2008</v>
      </c>
      <c r="I2710">
        <f t="shared" si="169"/>
        <v>2</v>
      </c>
      <c r="J2710" t="str">
        <f t="shared" si="170"/>
        <v>Feb</v>
      </c>
      <c r="K2710" t="str">
        <f t="shared" si="171"/>
        <v>Wed</v>
      </c>
    </row>
    <row r="2711" spans="1:11" x14ac:dyDescent="0.35">
      <c r="A2711" s="1">
        <v>39499</v>
      </c>
      <c r="B2711">
        <v>3.69700002670288</v>
      </c>
      <c r="C2711">
        <v>3.7105000019073402</v>
      </c>
      <c r="D2711">
        <v>3.4684998989105198</v>
      </c>
      <c r="E2711">
        <v>3.4949998855590798</v>
      </c>
      <c r="F2711">
        <v>3.4949998855590798</v>
      </c>
      <c r="G2711">
        <v>263016000</v>
      </c>
      <c r="H2711">
        <f t="shared" si="168"/>
        <v>2008</v>
      </c>
      <c r="I2711">
        <f t="shared" si="169"/>
        <v>2</v>
      </c>
      <c r="J2711" t="str">
        <f t="shared" si="170"/>
        <v>Feb</v>
      </c>
      <c r="K2711" t="str">
        <f t="shared" si="171"/>
        <v>Thu</v>
      </c>
    </row>
    <row r="2712" spans="1:11" x14ac:dyDescent="0.35">
      <c r="A2712" s="1">
        <v>39500</v>
      </c>
      <c r="B2712">
        <v>3.5269999504089302</v>
      </c>
      <c r="C2712">
        <v>3.6105000972747798</v>
      </c>
      <c r="D2712">
        <v>3.4930000305175701</v>
      </c>
      <c r="E2712">
        <v>3.6040000915527299</v>
      </c>
      <c r="F2712">
        <v>3.6040000915527299</v>
      </c>
      <c r="G2712">
        <v>246854000</v>
      </c>
      <c r="H2712">
        <f t="shared" si="168"/>
        <v>2008</v>
      </c>
      <c r="I2712">
        <f t="shared" si="169"/>
        <v>2</v>
      </c>
      <c r="J2712" t="str">
        <f t="shared" si="170"/>
        <v>Feb</v>
      </c>
      <c r="K2712" t="str">
        <f t="shared" si="171"/>
        <v>Fri</v>
      </c>
    </row>
    <row r="2713" spans="1:11" x14ac:dyDescent="0.35">
      <c r="A2713" s="1">
        <v>39503</v>
      </c>
      <c r="B2713">
        <v>3.6175000667571999</v>
      </c>
      <c r="C2713">
        <v>3.6749999523162802</v>
      </c>
      <c r="D2713">
        <v>3.5704998970031698</v>
      </c>
      <c r="E2713">
        <v>3.6635000705718901</v>
      </c>
      <c r="F2713">
        <v>3.6635000705718901</v>
      </c>
      <c r="G2713">
        <v>157164000</v>
      </c>
      <c r="H2713">
        <f t="shared" si="168"/>
        <v>2008</v>
      </c>
      <c r="I2713">
        <f t="shared" si="169"/>
        <v>2</v>
      </c>
      <c r="J2713" t="str">
        <f t="shared" si="170"/>
        <v>Feb</v>
      </c>
      <c r="K2713" t="str">
        <f t="shared" si="171"/>
        <v>Mon</v>
      </c>
    </row>
    <row r="2714" spans="1:11" x14ac:dyDescent="0.35">
      <c r="A2714" s="1">
        <v>39504</v>
      </c>
      <c r="B2714">
        <v>3.5954999923706001</v>
      </c>
      <c r="C2714">
        <v>3.6749999523162802</v>
      </c>
      <c r="D2714">
        <v>3.5139999389648402</v>
      </c>
      <c r="E2714">
        <v>3.58450007438659</v>
      </c>
      <c r="F2714">
        <v>3.58450007438659</v>
      </c>
      <c r="G2714">
        <v>197826000</v>
      </c>
      <c r="H2714">
        <f t="shared" si="168"/>
        <v>2008</v>
      </c>
      <c r="I2714">
        <f t="shared" si="169"/>
        <v>2</v>
      </c>
      <c r="J2714" t="str">
        <f t="shared" si="170"/>
        <v>Feb</v>
      </c>
      <c r="K2714" t="str">
        <f t="shared" si="171"/>
        <v>Tue</v>
      </c>
    </row>
    <row r="2715" spans="1:11" x14ac:dyDescent="0.35">
      <c r="A2715" s="1">
        <v>39505</v>
      </c>
      <c r="B2715">
        <v>3.5339999198913499</v>
      </c>
      <c r="C2715">
        <v>3.5739998817443799</v>
      </c>
      <c r="D2715">
        <v>3.47849988937377</v>
      </c>
      <c r="E2715">
        <v>3.5434999465942298</v>
      </c>
      <c r="F2715">
        <v>3.5434999465942298</v>
      </c>
      <c r="G2715">
        <v>178610000</v>
      </c>
      <c r="H2715">
        <f t="shared" si="168"/>
        <v>2008</v>
      </c>
      <c r="I2715">
        <f t="shared" si="169"/>
        <v>2</v>
      </c>
      <c r="J2715" t="str">
        <f t="shared" si="170"/>
        <v>Feb</v>
      </c>
      <c r="K2715" t="str">
        <f t="shared" si="171"/>
        <v>Wed</v>
      </c>
    </row>
    <row r="2716" spans="1:11" x14ac:dyDescent="0.35">
      <c r="A2716" s="1">
        <v>39506</v>
      </c>
      <c r="B2716">
        <v>3.5150001049041699</v>
      </c>
      <c r="C2716">
        <v>3.5299999713897701</v>
      </c>
      <c r="D2716">
        <v>3.3554999828338601</v>
      </c>
      <c r="E2716">
        <v>3.3924999237060498</v>
      </c>
      <c r="F2716">
        <v>3.3924999237060498</v>
      </c>
      <c r="G2716">
        <v>263356000</v>
      </c>
      <c r="H2716">
        <f t="shared" si="168"/>
        <v>2008</v>
      </c>
      <c r="I2716">
        <f t="shared" si="169"/>
        <v>2</v>
      </c>
      <c r="J2716" t="str">
        <f t="shared" si="170"/>
        <v>Feb</v>
      </c>
      <c r="K2716" t="str">
        <f t="shared" si="171"/>
        <v>Thu</v>
      </c>
    </row>
    <row r="2717" spans="1:11" x14ac:dyDescent="0.35">
      <c r="A2717" s="1">
        <v>39507</v>
      </c>
      <c r="B2717">
        <v>3.3505001068115199</v>
      </c>
      <c r="C2717">
        <v>3.375</v>
      </c>
      <c r="D2717">
        <v>3.1984999179839999</v>
      </c>
      <c r="E2717">
        <v>3.22350001335144</v>
      </c>
      <c r="F2717">
        <v>3.22350001335144</v>
      </c>
      <c r="G2717">
        <v>233292000</v>
      </c>
      <c r="H2717">
        <f t="shared" si="168"/>
        <v>2008</v>
      </c>
      <c r="I2717">
        <f t="shared" si="169"/>
        <v>2</v>
      </c>
      <c r="J2717" t="str">
        <f t="shared" si="170"/>
        <v>Feb</v>
      </c>
      <c r="K2717" t="str">
        <f t="shared" si="171"/>
        <v>Fri</v>
      </c>
    </row>
    <row r="2718" spans="1:11" x14ac:dyDescent="0.35">
      <c r="A2718" s="1">
        <v>39510</v>
      </c>
      <c r="B2718">
        <v>3.17950010299682</v>
      </c>
      <c r="C2718">
        <v>3.2244999408721902</v>
      </c>
      <c r="D2718">
        <v>3.0599999427795401</v>
      </c>
      <c r="E2718">
        <v>3.1215000152587802</v>
      </c>
      <c r="F2718">
        <v>3.1215000152587802</v>
      </c>
      <c r="G2718">
        <v>274422000</v>
      </c>
      <c r="H2718">
        <f t="shared" si="168"/>
        <v>2008</v>
      </c>
      <c r="I2718">
        <f t="shared" si="169"/>
        <v>3</v>
      </c>
      <c r="J2718" t="str">
        <f t="shared" si="170"/>
        <v>Mar</v>
      </c>
      <c r="K2718" t="str">
        <f t="shared" si="171"/>
        <v>Mon</v>
      </c>
    </row>
    <row r="2719" spans="1:11" x14ac:dyDescent="0.35">
      <c r="A2719" s="1">
        <v>39511</v>
      </c>
      <c r="B2719">
        <v>3.0834999084472599</v>
      </c>
      <c r="C2719">
        <v>3.3299999237060498</v>
      </c>
      <c r="D2719">
        <v>3.0615000724792401</v>
      </c>
      <c r="E2719">
        <v>3.2669999599456698</v>
      </c>
      <c r="F2719">
        <v>3.2669999599456698</v>
      </c>
      <c r="G2719">
        <v>334072000</v>
      </c>
      <c r="H2719">
        <f t="shared" si="168"/>
        <v>2008</v>
      </c>
      <c r="I2719">
        <f t="shared" si="169"/>
        <v>3</v>
      </c>
      <c r="J2719" t="str">
        <f t="shared" si="170"/>
        <v>Mar</v>
      </c>
      <c r="K2719" t="str">
        <f t="shared" si="171"/>
        <v>Tue</v>
      </c>
    </row>
    <row r="2720" spans="1:11" x14ac:dyDescent="0.35">
      <c r="A2720" s="1">
        <v>39512</v>
      </c>
      <c r="B2720">
        <v>3.2829999923706001</v>
      </c>
      <c r="C2720">
        <v>3.3169999122619598</v>
      </c>
      <c r="D2720">
        <v>3.19099998474121</v>
      </c>
      <c r="E2720">
        <v>3.24950003623962</v>
      </c>
      <c r="F2720">
        <v>3.24950003623962</v>
      </c>
      <c r="G2720">
        <v>222528000</v>
      </c>
      <c r="H2720">
        <f t="shared" si="168"/>
        <v>2008</v>
      </c>
      <c r="I2720">
        <f t="shared" si="169"/>
        <v>3</v>
      </c>
      <c r="J2720" t="str">
        <f t="shared" si="170"/>
        <v>Mar</v>
      </c>
      <c r="K2720" t="str">
        <f t="shared" si="171"/>
        <v>Wed</v>
      </c>
    </row>
    <row r="2721" spans="1:11" x14ac:dyDescent="0.35">
      <c r="A2721" s="1">
        <v>39513</v>
      </c>
      <c r="B2721">
        <v>3.2374999523162802</v>
      </c>
      <c r="C2721">
        <v>3.2730000019073402</v>
      </c>
      <c r="D2721">
        <v>3.125</v>
      </c>
      <c r="E2721">
        <v>3.1370000839233398</v>
      </c>
      <c r="F2721">
        <v>3.1370000839233398</v>
      </c>
      <c r="G2721">
        <v>166866000</v>
      </c>
      <c r="H2721">
        <f t="shared" si="168"/>
        <v>2008</v>
      </c>
      <c r="I2721">
        <f t="shared" si="169"/>
        <v>3</v>
      </c>
      <c r="J2721" t="str">
        <f t="shared" si="170"/>
        <v>Mar</v>
      </c>
      <c r="K2721" t="str">
        <f t="shared" si="171"/>
        <v>Thu</v>
      </c>
    </row>
    <row r="2722" spans="1:11" x14ac:dyDescent="0.35">
      <c r="A2722" s="1">
        <v>39514</v>
      </c>
      <c r="B2722">
        <v>3.1099998950958199</v>
      </c>
      <c r="C2722">
        <v>3.2434999942779501</v>
      </c>
      <c r="D2722">
        <v>3.1005001068115199</v>
      </c>
      <c r="E2722">
        <v>3.2044999599456698</v>
      </c>
      <c r="F2722">
        <v>3.2044999599456698</v>
      </c>
      <c r="G2722">
        <v>208762000</v>
      </c>
      <c r="H2722">
        <f t="shared" si="168"/>
        <v>2008</v>
      </c>
      <c r="I2722">
        <f t="shared" si="169"/>
        <v>3</v>
      </c>
      <c r="J2722" t="str">
        <f t="shared" si="170"/>
        <v>Mar</v>
      </c>
      <c r="K2722" t="str">
        <f t="shared" si="171"/>
        <v>Fri</v>
      </c>
    </row>
    <row r="2723" spans="1:11" x14ac:dyDescent="0.35">
      <c r="A2723" s="1">
        <v>39517</v>
      </c>
      <c r="B2723">
        <v>3.1949999332427899</v>
      </c>
      <c r="C2723">
        <v>3.2574999332427899</v>
      </c>
      <c r="D2723">
        <v>3.1454999446868799</v>
      </c>
      <c r="E2723">
        <v>3.17350006103515</v>
      </c>
      <c r="F2723">
        <v>3.17350006103515</v>
      </c>
      <c r="G2723">
        <v>186420000</v>
      </c>
      <c r="H2723">
        <f t="shared" si="168"/>
        <v>2008</v>
      </c>
      <c r="I2723">
        <f t="shared" si="169"/>
        <v>3</v>
      </c>
      <c r="J2723" t="str">
        <f t="shared" si="170"/>
        <v>Mar</v>
      </c>
      <c r="K2723" t="str">
        <f t="shared" si="171"/>
        <v>Mon</v>
      </c>
    </row>
    <row r="2724" spans="1:11" x14ac:dyDescent="0.35">
      <c r="A2724" s="1">
        <v>39518</v>
      </c>
      <c r="B2724">
        <v>3.2974998950958199</v>
      </c>
      <c r="C2724">
        <v>3.3585000038146902</v>
      </c>
      <c r="D2724">
        <v>3.1854999065399099</v>
      </c>
      <c r="E2724">
        <v>3.35750007629394</v>
      </c>
      <c r="F2724">
        <v>3.35750007629394</v>
      </c>
      <c r="G2724">
        <v>194858000</v>
      </c>
      <c r="H2724">
        <f t="shared" si="168"/>
        <v>2008</v>
      </c>
      <c r="I2724">
        <f t="shared" si="169"/>
        <v>3</v>
      </c>
      <c r="J2724" t="str">
        <f t="shared" si="170"/>
        <v>Mar</v>
      </c>
      <c r="K2724" t="str">
        <f t="shared" si="171"/>
        <v>Tue</v>
      </c>
    </row>
    <row r="2725" spans="1:11" x14ac:dyDescent="0.35">
      <c r="A2725" s="1">
        <v>39519</v>
      </c>
      <c r="B2725">
        <v>3.33850002288818</v>
      </c>
      <c r="C2725">
        <v>3.4114999771118102</v>
      </c>
      <c r="D2725">
        <v>3.28200006484985</v>
      </c>
      <c r="E2725">
        <v>3.32550001144409</v>
      </c>
      <c r="F2725">
        <v>3.32550001144409</v>
      </c>
      <c r="G2725">
        <v>154976000</v>
      </c>
      <c r="H2725">
        <f t="shared" si="168"/>
        <v>2008</v>
      </c>
      <c r="I2725">
        <f t="shared" si="169"/>
        <v>3</v>
      </c>
      <c r="J2725" t="str">
        <f t="shared" si="170"/>
        <v>Mar</v>
      </c>
      <c r="K2725" t="str">
        <f t="shared" si="171"/>
        <v>Wed</v>
      </c>
    </row>
    <row r="2726" spans="1:11" x14ac:dyDescent="0.35">
      <c r="A2726" s="1">
        <v>39520</v>
      </c>
      <c r="B2726">
        <v>3.2555000782012899</v>
      </c>
      <c r="C2726">
        <v>3.4774999618530198</v>
      </c>
      <c r="D2726">
        <v>3.2184998989105198</v>
      </c>
      <c r="E2726">
        <v>3.41599988937377</v>
      </c>
      <c r="F2726">
        <v>3.41599988937377</v>
      </c>
      <c r="G2726">
        <v>214150000</v>
      </c>
      <c r="H2726">
        <f t="shared" si="168"/>
        <v>2008</v>
      </c>
      <c r="I2726">
        <f t="shared" si="169"/>
        <v>3</v>
      </c>
      <c r="J2726" t="str">
        <f t="shared" si="170"/>
        <v>Mar</v>
      </c>
      <c r="K2726" t="str">
        <f t="shared" si="171"/>
        <v>Thu</v>
      </c>
    </row>
    <row r="2727" spans="1:11" x14ac:dyDescent="0.35">
      <c r="A2727" s="1">
        <v>39521</v>
      </c>
      <c r="B2727">
        <v>3.4305000305175701</v>
      </c>
      <c r="C2727">
        <v>3.5339999198913499</v>
      </c>
      <c r="D2727">
        <v>3.3029999732971098</v>
      </c>
      <c r="E2727">
        <v>3.41100001335144</v>
      </c>
      <c r="F2727">
        <v>3.41100001335144</v>
      </c>
      <c r="G2727">
        <v>248414000</v>
      </c>
      <c r="H2727">
        <f t="shared" si="168"/>
        <v>2008</v>
      </c>
      <c r="I2727">
        <f t="shared" si="169"/>
        <v>3</v>
      </c>
      <c r="J2727" t="str">
        <f t="shared" si="170"/>
        <v>Mar</v>
      </c>
      <c r="K2727" t="str">
        <f t="shared" si="171"/>
        <v>Fri</v>
      </c>
    </row>
    <row r="2728" spans="1:11" x14ac:dyDescent="0.35">
      <c r="A2728" s="1">
        <v>39524</v>
      </c>
      <c r="B2728">
        <v>3.28600001335144</v>
      </c>
      <c r="C2728">
        <v>3.38949990272521</v>
      </c>
      <c r="D2728">
        <v>3.24600005149841</v>
      </c>
      <c r="E2728">
        <v>3.3264999389648402</v>
      </c>
      <c r="F2728">
        <v>3.3264999389648402</v>
      </c>
      <c r="G2728">
        <v>194182000</v>
      </c>
      <c r="H2728">
        <f t="shared" si="168"/>
        <v>2008</v>
      </c>
      <c r="I2728">
        <f t="shared" si="169"/>
        <v>3</v>
      </c>
      <c r="J2728" t="str">
        <f t="shared" si="170"/>
        <v>Mar</v>
      </c>
      <c r="K2728" t="str">
        <f t="shared" si="171"/>
        <v>Mon</v>
      </c>
    </row>
    <row r="2729" spans="1:11" x14ac:dyDescent="0.35">
      <c r="A2729" s="1">
        <v>39525</v>
      </c>
      <c r="B2729">
        <v>3.4124999046325599</v>
      </c>
      <c r="C2729">
        <v>3.5964999198913499</v>
      </c>
      <c r="D2729">
        <v>3.3794999122619598</v>
      </c>
      <c r="E2729">
        <v>3.58500003814697</v>
      </c>
      <c r="F2729">
        <v>3.58500003814697</v>
      </c>
      <c r="G2729">
        <v>191014000</v>
      </c>
      <c r="H2729">
        <f t="shared" si="168"/>
        <v>2008</v>
      </c>
      <c r="I2729">
        <f t="shared" si="169"/>
        <v>3</v>
      </c>
      <c r="J2729" t="str">
        <f t="shared" si="170"/>
        <v>Mar</v>
      </c>
      <c r="K2729" t="str">
        <f t="shared" si="171"/>
        <v>Tue</v>
      </c>
    </row>
    <row r="2730" spans="1:11" x14ac:dyDescent="0.35">
      <c r="A2730" s="1">
        <v>39526</v>
      </c>
      <c r="B2730">
        <v>3.5550000667571999</v>
      </c>
      <c r="C2730">
        <v>3.70000004768371</v>
      </c>
      <c r="D2730">
        <v>3.50850009918212</v>
      </c>
      <c r="E2730">
        <v>3.50850009918212</v>
      </c>
      <c r="F2730">
        <v>3.50850009918212</v>
      </c>
      <c r="G2730">
        <v>220838000</v>
      </c>
      <c r="H2730">
        <f t="shared" si="168"/>
        <v>2008</v>
      </c>
      <c r="I2730">
        <f t="shared" si="169"/>
        <v>3</v>
      </c>
      <c r="J2730" t="str">
        <f t="shared" si="170"/>
        <v>Mar</v>
      </c>
      <c r="K2730" t="str">
        <f t="shared" si="171"/>
        <v>Wed</v>
      </c>
    </row>
    <row r="2731" spans="1:11" x14ac:dyDescent="0.35">
      <c r="A2731" s="1">
        <v>39527</v>
      </c>
      <c r="B2731">
        <v>3.50850009918212</v>
      </c>
      <c r="C2731">
        <v>3.6744999885559002</v>
      </c>
      <c r="D2731">
        <v>3.46900010108947</v>
      </c>
      <c r="E2731">
        <v>3.6594998836517298</v>
      </c>
      <c r="F2731">
        <v>3.6594998836517298</v>
      </c>
      <c r="G2731">
        <v>228214000</v>
      </c>
      <c r="H2731">
        <f t="shared" si="168"/>
        <v>2008</v>
      </c>
      <c r="I2731">
        <f t="shared" si="169"/>
        <v>3</v>
      </c>
      <c r="J2731" t="str">
        <f t="shared" si="170"/>
        <v>Mar</v>
      </c>
      <c r="K2731" t="str">
        <f t="shared" si="171"/>
        <v>Thu</v>
      </c>
    </row>
    <row r="2732" spans="1:11" x14ac:dyDescent="0.35">
      <c r="A2732" s="1">
        <v>39531</v>
      </c>
      <c r="B2732">
        <v>3.69099998474121</v>
      </c>
      <c r="C2732">
        <v>3.8464999198913499</v>
      </c>
      <c r="D2732">
        <v>3.63750004768371</v>
      </c>
      <c r="E2732">
        <v>3.7974998950958199</v>
      </c>
      <c r="F2732">
        <v>3.7974998950958199</v>
      </c>
      <c r="G2732">
        <v>187908000</v>
      </c>
      <c r="H2732">
        <f t="shared" si="168"/>
        <v>2008</v>
      </c>
      <c r="I2732">
        <f t="shared" si="169"/>
        <v>3</v>
      </c>
      <c r="J2732" t="str">
        <f t="shared" si="170"/>
        <v>Mar</v>
      </c>
      <c r="K2732" t="str">
        <f t="shared" si="171"/>
        <v>Mon</v>
      </c>
    </row>
    <row r="2733" spans="1:11" x14ac:dyDescent="0.35">
      <c r="A2733" s="1">
        <v>39532</v>
      </c>
      <c r="B2733">
        <v>3.7915000915527299</v>
      </c>
      <c r="C2733">
        <v>3.8145000934600799</v>
      </c>
      <c r="D2733">
        <v>3.7025001049041699</v>
      </c>
      <c r="E2733">
        <v>3.75850009918212</v>
      </c>
      <c r="F2733">
        <v>3.75850009918212</v>
      </c>
      <c r="G2733">
        <v>126550000</v>
      </c>
      <c r="H2733">
        <f t="shared" si="168"/>
        <v>2008</v>
      </c>
      <c r="I2733">
        <f t="shared" si="169"/>
        <v>3</v>
      </c>
      <c r="J2733" t="str">
        <f t="shared" si="170"/>
        <v>Mar</v>
      </c>
      <c r="K2733" t="str">
        <f t="shared" si="171"/>
        <v>Tue</v>
      </c>
    </row>
    <row r="2734" spans="1:11" x14ac:dyDescent="0.35">
      <c r="A2734" s="1">
        <v>39533</v>
      </c>
      <c r="B2734">
        <v>3.7070000171661301</v>
      </c>
      <c r="C2734">
        <v>3.7560000419616699</v>
      </c>
      <c r="D2734">
        <v>3.6619999408721902</v>
      </c>
      <c r="E2734">
        <v>3.6900000572204501</v>
      </c>
      <c r="F2734">
        <v>3.6900000572204501</v>
      </c>
      <c r="G2734">
        <v>125702000</v>
      </c>
      <c r="H2734">
        <f t="shared" si="168"/>
        <v>2008</v>
      </c>
      <c r="I2734">
        <f t="shared" si="169"/>
        <v>3</v>
      </c>
      <c r="J2734" t="str">
        <f t="shared" si="170"/>
        <v>Mar</v>
      </c>
      <c r="K2734" t="str">
        <f t="shared" si="171"/>
        <v>Wed</v>
      </c>
    </row>
    <row r="2735" spans="1:11" x14ac:dyDescent="0.35">
      <c r="A2735" s="1">
        <v>39534</v>
      </c>
      <c r="B2735">
        <v>3.7184998989105198</v>
      </c>
      <c r="C2735">
        <v>3.7344999313354399</v>
      </c>
      <c r="D2735">
        <v>3.5399999618530198</v>
      </c>
      <c r="E2735">
        <v>3.5399999618530198</v>
      </c>
      <c r="F2735">
        <v>3.5399999618530198</v>
      </c>
      <c r="G2735">
        <v>158848000</v>
      </c>
      <c r="H2735">
        <f t="shared" si="168"/>
        <v>2008</v>
      </c>
      <c r="I2735">
        <f t="shared" si="169"/>
        <v>3</v>
      </c>
      <c r="J2735" t="str">
        <f t="shared" si="170"/>
        <v>Mar</v>
      </c>
      <c r="K2735" t="str">
        <f t="shared" si="171"/>
        <v>Thu</v>
      </c>
    </row>
    <row r="2736" spans="1:11" x14ac:dyDescent="0.35">
      <c r="A2736" s="1">
        <v>39535</v>
      </c>
      <c r="B2736">
        <v>3.5499999523162802</v>
      </c>
      <c r="C2736">
        <v>3.6105000972747798</v>
      </c>
      <c r="D2736">
        <v>3.4630000591278001</v>
      </c>
      <c r="E2736">
        <v>3.4879999160766602</v>
      </c>
      <c r="F2736">
        <v>3.4879999160766602</v>
      </c>
      <c r="G2736">
        <v>105582000</v>
      </c>
      <c r="H2736">
        <f t="shared" si="168"/>
        <v>2008</v>
      </c>
      <c r="I2736">
        <f t="shared" si="169"/>
        <v>3</v>
      </c>
      <c r="J2736" t="str">
        <f t="shared" si="170"/>
        <v>Mar</v>
      </c>
      <c r="K2736" t="str">
        <f t="shared" si="171"/>
        <v>Fri</v>
      </c>
    </row>
    <row r="2737" spans="1:11" x14ac:dyDescent="0.35">
      <c r="A2737" s="1">
        <v>39538</v>
      </c>
      <c r="B2737">
        <v>3.51250004768371</v>
      </c>
      <c r="C2737">
        <v>3.5820000171661301</v>
      </c>
      <c r="D2737">
        <v>3.4814999103546098</v>
      </c>
      <c r="E2737">
        <v>3.5650000572204501</v>
      </c>
      <c r="F2737">
        <v>3.5650000572204501</v>
      </c>
      <c r="G2737">
        <v>109406000</v>
      </c>
      <c r="H2737">
        <f t="shared" si="168"/>
        <v>2008</v>
      </c>
      <c r="I2737">
        <f t="shared" si="169"/>
        <v>3</v>
      </c>
      <c r="J2737" t="str">
        <f t="shared" si="170"/>
        <v>Mar</v>
      </c>
      <c r="K2737" t="str">
        <f t="shared" si="171"/>
        <v>Mon</v>
      </c>
    </row>
    <row r="2738" spans="1:11" x14ac:dyDescent="0.35">
      <c r="A2738" s="1">
        <v>39539</v>
      </c>
      <c r="B2738">
        <v>3.6494998931884699</v>
      </c>
      <c r="C2738">
        <v>3.8545000553131099</v>
      </c>
      <c r="D2738">
        <v>3.63800001144409</v>
      </c>
      <c r="E2738">
        <v>3.83500003814697</v>
      </c>
      <c r="F2738">
        <v>3.83500003814697</v>
      </c>
      <c r="G2738">
        <v>194680000</v>
      </c>
      <c r="H2738">
        <f t="shared" si="168"/>
        <v>2008</v>
      </c>
      <c r="I2738">
        <f t="shared" si="169"/>
        <v>4</v>
      </c>
      <c r="J2738" t="str">
        <f t="shared" si="170"/>
        <v>Apr</v>
      </c>
      <c r="K2738" t="str">
        <f t="shared" si="171"/>
        <v>Tue</v>
      </c>
    </row>
    <row r="2739" spans="1:11" x14ac:dyDescent="0.35">
      <c r="A2739" s="1">
        <v>39540</v>
      </c>
      <c r="B2739">
        <v>3.8540000915527299</v>
      </c>
      <c r="C2739">
        <v>3.95000004768371</v>
      </c>
      <c r="D2739">
        <v>3.8059999942779501</v>
      </c>
      <c r="E2739">
        <v>3.8684999942779501</v>
      </c>
      <c r="F2739">
        <v>3.8684999942779501</v>
      </c>
      <c r="G2739">
        <v>171848000</v>
      </c>
      <c r="H2739">
        <f t="shared" si="168"/>
        <v>2008</v>
      </c>
      <c r="I2739">
        <f t="shared" si="169"/>
        <v>4</v>
      </c>
      <c r="J2739" t="str">
        <f t="shared" si="170"/>
        <v>Apr</v>
      </c>
      <c r="K2739" t="str">
        <f t="shared" si="171"/>
        <v>Wed</v>
      </c>
    </row>
    <row r="2740" spans="1:11" x14ac:dyDescent="0.35">
      <c r="A2740" s="1">
        <v>39541</v>
      </c>
      <c r="B2740">
        <v>3.7574999332427899</v>
      </c>
      <c r="C2740">
        <v>3.8004999160766602</v>
      </c>
      <c r="D2740">
        <v>3.6905000209808301</v>
      </c>
      <c r="E2740">
        <v>3.7469999790191602</v>
      </c>
      <c r="F2740">
        <v>3.7469999790191602</v>
      </c>
      <c r="G2740">
        <v>162998000</v>
      </c>
      <c r="H2740">
        <f t="shared" si="168"/>
        <v>2008</v>
      </c>
      <c r="I2740">
        <f t="shared" si="169"/>
        <v>4</v>
      </c>
      <c r="J2740" t="str">
        <f t="shared" si="170"/>
        <v>Apr</v>
      </c>
      <c r="K2740" t="str">
        <f t="shared" si="171"/>
        <v>Thu</v>
      </c>
    </row>
    <row r="2741" spans="1:11" x14ac:dyDescent="0.35">
      <c r="A2741" s="1">
        <v>39542</v>
      </c>
      <c r="B2741">
        <v>3.76300001144409</v>
      </c>
      <c r="C2741">
        <v>3.8914999961853001</v>
      </c>
      <c r="D2741">
        <v>3.7139999866485498</v>
      </c>
      <c r="E2741">
        <v>3.8434998989105198</v>
      </c>
      <c r="F2741">
        <v>3.8434998989105198</v>
      </c>
      <c r="G2741">
        <v>143056000</v>
      </c>
      <c r="H2741">
        <f t="shared" si="168"/>
        <v>2008</v>
      </c>
      <c r="I2741">
        <f t="shared" si="169"/>
        <v>4</v>
      </c>
      <c r="J2741" t="str">
        <f t="shared" si="170"/>
        <v>Apr</v>
      </c>
      <c r="K2741" t="str">
        <f t="shared" si="171"/>
        <v>Fri</v>
      </c>
    </row>
    <row r="2742" spans="1:11" x14ac:dyDescent="0.35">
      <c r="A2742" s="1">
        <v>39545</v>
      </c>
      <c r="B2742">
        <v>3.8680000305175701</v>
      </c>
      <c r="C2742">
        <v>3.9214999675750701</v>
      </c>
      <c r="D2742">
        <v>3.7999999523162802</v>
      </c>
      <c r="E2742">
        <v>3.8450000286102202</v>
      </c>
      <c r="F2742">
        <v>3.8450000286102202</v>
      </c>
      <c r="G2742">
        <v>133448000</v>
      </c>
      <c r="H2742">
        <f t="shared" si="168"/>
        <v>2008</v>
      </c>
      <c r="I2742">
        <f t="shared" si="169"/>
        <v>4</v>
      </c>
      <c r="J2742" t="str">
        <f t="shared" si="170"/>
        <v>Apr</v>
      </c>
      <c r="K2742" t="str">
        <f t="shared" si="171"/>
        <v>Mon</v>
      </c>
    </row>
    <row r="2743" spans="1:11" x14ac:dyDescent="0.35">
      <c r="A2743" s="1">
        <v>39546</v>
      </c>
      <c r="B2743">
        <v>3.8199999332427899</v>
      </c>
      <c r="C2743">
        <v>3.8805000782012899</v>
      </c>
      <c r="D2743">
        <v>3.7750000953674299</v>
      </c>
      <c r="E2743">
        <v>3.8650000095367401</v>
      </c>
      <c r="F2743">
        <v>3.8650000095367401</v>
      </c>
      <c r="G2743">
        <v>99320000</v>
      </c>
      <c r="H2743">
        <f t="shared" si="168"/>
        <v>2008</v>
      </c>
      <c r="I2743">
        <f t="shared" si="169"/>
        <v>4</v>
      </c>
      <c r="J2743" t="str">
        <f t="shared" si="170"/>
        <v>Apr</v>
      </c>
      <c r="K2743" t="str">
        <f t="shared" si="171"/>
        <v>Tue</v>
      </c>
    </row>
    <row r="2744" spans="1:11" x14ac:dyDescent="0.35">
      <c r="A2744" s="1">
        <v>39547</v>
      </c>
      <c r="B2744">
        <v>3.8280000686645499</v>
      </c>
      <c r="C2744">
        <v>3.8334999084472599</v>
      </c>
      <c r="D2744">
        <v>3.68300008773803</v>
      </c>
      <c r="E2744">
        <v>3.71950006484985</v>
      </c>
      <c r="F2744">
        <v>3.71950006484985</v>
      </c>
      <c r="G2744">
        <v>133206000</v>
      </c>
      <c r="H2744">
        <f t="shared" si="168"/>
        <v>2008</v>
      </c>
      <c r="I2744">
        <f t="shared" si="169"/>
        <v>4</v>
      </c>
      <c r="J2744" t="str">
        <f t="shared" si="170"/>
        <v>Apr</v>
      </c>
      <c r="K2744" t="str">
        <f t="shared" si="171"/>
        <v>Wed</v>
      </c>
    </row>
    <row r="2745" spans="1:11" x14ac:dyDescent="0.35">
      <c r="A2745" s="1">
        <v>39548</v>
      </c>
      <c r="B2745">
        <v>3.7239999771118102</v>
      </c>
      <c r="C2745">
        <v>3.7744998931884699</v>
      </c>
      <c r="D2745">
        <v>3.6364998817443799</v>
      </c>
      <c r="E2745">
        <v>3.7414999008178702</v>
      </c>
      <c r="F2745">
        <v>3.7414999008178702</v>
      </c>
      <c r="G2745">
        <v>125110000</v>
      </c>
      <c r="H2745">
        <f t="shared" si="168"/>
        <v>2008</v>
      </c>
      <c r="I2745">
        <f t="shared" si="169"/>
        <v>4</v>
      </c>
      <c r="J2745" t="str">
        <f t="shared" si="170"/>
        <v>Apr</v>
      </c>
      <c r="K2745" t="str">
        <f t="shared" si="171"/>
        <v>Thu</v>
      </c>
    </row>
    <row r="2746" spans="1:11" x14ac:dyDescent="0.35">
      <c r="A2746" s="1">
        <v>39549</v>
      </c>
      <c r="B2746">
        <v>3.6919999122619598</v>
      </c>
      <c r="C2746">
        <v>3.7149999141693102</v>
      </c>
      <c r="D2746">
        <v>3.58100008964538</v>
      </c>
      <c r="E2746">
        <v>3.5994999408721902</v>
      </c>
      <c r="F2746">
        <v>3.5994999408721902</v>
      </c>
      <c r="G2746">
        <v>135712000</v>
      </c>
      <c r="H2746">
        <f t="shared" si="168"/>
        <v>2008</v>
      </c>
      <c r="I2746">
        <f t="shared" si="169"/>
        <v>4</v>
      </c>
      <c r="J2746" t="str">
        <f t="shared" si="170"/>
        <v>Apr</v>
      </c>
      <c r="K2746" t="str">
        <f t="shared" si="171"/>
        <v>Fri</v>
      </c>
    </row>
    <row r="2747" spans="1:11" x14ac:dyDescent="0.35">
      <c r="A2747" s="1">
        <v>39552</v>
      </c>
      <c r="B2747">
        <v>3.58500003814697</v>
      </c>
      <c r="C2747">
        <v>3.70000004768371</v>
      </c>
      <c r="D2747">
        <v>3.5645000934600799</v>
      </c>
      <c r="E2747">
        <v>3.6305000782012899</v>
      </c>
      <c r="F2747">
        <v>3.6305000782012899</v>
      </c>
      <c r="G2747">
        <v>87090000</v>
      </c>
      <c r="H2747">
        <f t="shared" si="168"/>
        <v>2008</v>
      </c>
      <c r="I2747">
        <f t="shared" si="169"/>
        <v>4</v>
      </c>
      <c r="J2747" t="str">
        <f t="shared" si="170"/>
        <v>Apr</v>
      </c>
      <c r="K2747" t="str">
        <f t="shared" si="171"/>
        <v>Mon</v>
      </c>
    </row>
    <row r="2748" spans="1:11" x14ac:dyDescent="0.35">
      <c r="A2748" s="1">
        <v>39553</v>
      </c>
      <c r="B2748">
        <v>3.6484999656677202</v>
      </c>
      <c r="C2748">
        <v>3.6989998817443799</v>
      </c>
      <c r="D2748">
        <v>3.5325000286102202</v>
      </c>
      <c r="E2748">
        <v>3.625</v>
      </c>
      <c r="F2748">
        <v>3.625</v>
      </c>
      <c r="G2748">
        <v>136262000</v>
      </c>
      <c r="H2748">
        <f t="shared" si="168"/>
        <v>2008</v>
      </c>
      <c r="I2748">
        <f t="shared" si="169"/>
        <v>4</v>
      </c>
      <c r="J2748" t="str">
        <f t="shared" si="170"/>
        <v>Apr</v>
      </c>
      <c r="K2748" t="str">
        <f t="shared" si="171"/>
        <v>Tue</v>
      </c>
    </row>
    <row r="2749" spans="1:11" x14ac:dyDescent="0.35">
      <c r="A2749" s="1">
        <v>39554</v>
      </c>
      <c r="B2749">
        <v>3.65100002288818</v>
      </c>
      <c r="C2749">
        <v>3.75</v>
      </c>
      <c r="D2749">
        <v>3.64700007438659</v>
      </c>
      <c r="E2749">
        <v>3.7295000553131099</v>
      </c>
      <c r="F2749">
        <v>3.7295000553131099</v>
      </c>
      <c r="G2749">
        <v>134936000</v>
      </c>
      <c r="H2749">
        <f t="shared" si="168"/>
        <v>2008</v>
      </c>
      <c r="I2749">
        <f t="shared" si="169"/>
        <v>4</v>
      </c>
      <c r="J2749" t="str">
        <f t="shared" si="170"/>
        <v>Apr</v>
      </c>
      <c r="K2749" t="str">
        <f t="shared" si="171"/>
        <v>Wed</v>
      </c>
    </row>
    <row r="2750" spans="1:11" x14ac:dyDescent="0.35">
      <c r="A2750" s="1">
        <v>39555</v>
      </c>
      <c r="B2750">
        <v>3.7090001106262198</v>
      </c>
      <c r="C2750">
        <v>3.7509999275207502</v>
      </c>
      <c r="D2750">
        <v>3.6805000305175701</v>
      </c>
      <c r="E2750">
        <v>3.70199990272521</v>
      </c>
      <c r="F2750">
        <v>3.70199990272521</v>
      </c>
      <c r="G2750">
        <v>124400000</v>
      </c>
      <c r="H2750">
        <f t="shared" si="168"/>
        <v>2008</v>
      </c>
      <c r="I2750">
        <f t="shared" si="169"/>
        <v>4</v>
      </c>
      <c r="J2750" t="str">
        <f t="shared" si="170"/>
        <v>Apr</v>
      </c>
      <c r="K2750" t="str">
        <f t="shared" si="171"/>
        <v>Thu</v>
      </c>
    </row>
    <row r="2751" spans="1:11" x14ac:dyDescent="0.35">
      <c r="A2751" s="1">
        <v>39556</v>
      </c>
      <c r="B2751">
        <v>3.8239998817443799</v>
      </c>
      <c r="C2751">
        <v>4.0999999046325604</v>
      </c>
      <c r="D2751">
        <v>3.81599998474121</v>
      </c>
      <c r="E2751">
        <v>4.00500011444091</v>
      </c>
      <c r="F2751">
        <v>4.00500011444091</v>
      </c>
      <c r="G2751">
        <v>335826000</v>
      </c>
      <c r="H2751">
        <f t="shared" si="168"/>
        <v>2008</v>
      </c>
      <c r="I2751">
        <f t="shared" si="169"/>
        <v>4</v>
      </c>
      <c r="J2751" t="str">
        <f t="shared" si="170"/>
        <v>Apr</v>
      </c>
      <c r="K2751" t="str">
        <f t="shared" si="171"/>
        <v>Fri</v>
      </c>
    </row>
    <row r="2752" spans="1:11" x14ac:dyDescent="0.35">
      <c r="A2752" s="1">
        <v>39559</v>
      </c>
      <c r="B2752">
        <v>4.0015001296996999</v>
      </c>
      <c r="C2752">
        <v>4.0669999122619602</v>
      </c>
      <c r="D2752">
        <v>3.9530000686645499</v>
      </c>
      <c r="E2752">
        <v>4.0089998245239196</v>
      </c>
      <c r="F2752">
        <v>4.0089998245239196</v>
      </c>
      <c r="G2752">
        <v>186708000</v>
      </c>
      <c r="H2752">
        <f t="shared" si="168"/>
        <v>2008</v>
      </c>
      <c r="I2752">
        <f t="shared" si="169"/>
        <v>4</v>
      </c>
      <c r="J2752" t="str">
        <f t="shared" si="170"/>
        <v>Apr</v>
      </c>
      <c r="K2752" t="str">
        <f t="shared" si="171"/>
        <v>Mon</v>
      </c>
    </row>
    <row r="2753" spans="1:11" x14ac:dyDescent="0.35">
      <c r="A2753" s="1">
        <v>39560</v>
      </c>
      <c r="B2753">
        <v>3.9969999790191602</v>
      </c>
      <c r="C2753">
        <v>3.9969999790191602</v>
      </c>
      <c r="D2753">
        <v>3.8770000934600799</v>
      </c>
      <c r="E2753">
        <v>3.9800000190734801</v>
      </c>
      <c r="F2753">
        <v>3.9800000190734801</v>
      </c>
      <c r="G2753">
        <v>144900000</v>
      </c>
      <c r="H2753">
        <f t="shared" si="168"/>
        <v>2008</v>
      </c>
      <c r="I2753">
        <f t="shared" si="169"/>
        <v>4</v>
      </c>
      <c r="J2753" t="str">
        <f t="shared" si="170"/>
        <v>Apr</v>
      </c>
      <c r="K2753" t="str">
        <f t="shared" si="171"/>
        <v>Tue</v>
      </c>
    </row>
    <row r="2754" spans="1:11" x14ac:dyDescent="0.35">
      <c r="A2754" s="1">
        <v>39561</v>
      </c>
      <c r="B2754">
        <v>4.0149998664855904</v>
      </c>
      <c r="C2754">
        <v>4.1319999694824201</v>
      </c>
      <c r="D2754">
        <v>3.93700003623962</v>
      </c>
      <c r="E2754">
        <v>4.0500001907348597</v>
      </c>
      <c r="F2754">
        <v>4.0500001907348597</v>
      </c>
      <c r="G2754">
        <v>385008000</v>
      </c>
      <c r="H2754">
        <f t="shared" si="168"/>
        <v>2008</v>
      </c>
      <c r="I2754">
        <f t="shared" si="169"/>
        <v>4</v>
      </c>
      <c r="J2754" t="str">
        <f t="shared" si="170"/>
        <v>Apr</v>
      </c>
      <c r="K2754" t="str">
        <f t="shared" si="171"/>
        <v>Wed</v>
      </c>
    </row>
    <row r="2755" spans="1:11" x14ac:dyDescent="0.35">
      <c r="A2755" s="1">
        <v>39562</v>
      </c>
      <c r="B2755">
        <v>3.8854999542236301</v>
      </c>
      <c r="C2755">
        <v>4.0265002250671298</v>
      </c>
      <c r="D2755">
        <v>3.8464999198913499</v>
      </c>
      <c r="E2755">
        <v>3.88450002670288</v>
      </c>
      <c r="F2755">
        <v>3.88450002670288</v>
      </c>
      <c r="G2755">
        <v>421470000</v>
      </c>
      <c r="H2755">
        <f t="shared" si="168"/>
        <v>2008</v>
      </c>
      <c r="I2755">
        <f t="shared" si="169"/>
        <v>4</v>
      </c>
      <c r="J2755" t="str">
        <f t="shared" si="170"/>
        <v>Apr</v>
      </c>
      <c r="K2755" t="str">
        <f t="shared" si="171"/>
        <v>Thu</v>
      </c>
    </row>
    <row r="2756" spans="1:11" x14ac:dyDescent="0.35">
      <c r="A2756" s="1">
        <v>39563</v>
      </c>
      <c r="B2756">
        <v>3.8905000686645499</v>
      </c>
      <c r="C2756">
        <v>4.06599998474121</v>
      </c>
      <c r="D2756">
        <v>3.8629999160766602</v>
      </c>
      <c r="E2756">
        <v>4.0430002212524396</v>
      </c>
      <c r="F2756">
        <v>4.0430002212524396</v>
      </c>
      <c r="G2756">
        <v>189130000</v>
      </c>
      <c r="H2756">
        <f t="shared" ref="H2756:H2819" si="172">YEAR($A2756)</f>
        <v>2008</v>
      </c>
      <c r="I2756">
        <f t="shared" ref="I2756:I2819" si="173">MONTH($A2756)</f>
        <v>4</v>
      </c>
      <c r="J2756" t="str">
        <f t="shared" ref="J2756:J2819" si="174">TEXT($A2756,"mmm")</f>
        <v>Apr</v>
      </c>
      <c r="K2756" t="str">
        <f t="shared" ref="K2756:K2819" si="175">TEXT($A2756,"ddd")</f>
        <v>Fri</v>
      </c>
    </row>
    <row r="2757" spans="1:11" x14ac:dyDescent="0.35">
      <c r="A2757" s="1">
        <v>39566</v>
      </c>
      <c r="B2757">
        <v>4.03200006484985</v>
      </c>
      <c r="C2757">
        <v>4.125</v>
      </c>
      <c r="D2757">
        <v>4.0060000419616699</v>
      </c>
      <c r="E2757">
        <v>4.0984997749328604</v>
      </c>
      <c r="F2757">
        <v>4.0984997749328604</v>
      </c>
      <c r="G2757">
        <v>219838000</v>
      </c>
      <c r="H2757">
        <f t="shared" si="172"/>
        <v>2008</v>
      </c>
      <c r="I2757">
        <f t="shared" si="173"/>
        <v>4</v>
      </c>
      <c r="J2757" t="str">
        <f t="shared" si="174"/>
        <v>Apr</v>
      </c>
      <c r="K2757" t="str">
        <f t="shared" si="175"/>
        <v>Mon</v>
      </c>
    </row>
    <row r="2758" spans="1:11" x14ac:dyDescent="0.35">
      <c r="A2758" s="1">
        <v>39567</v>
      </c>
      <c r="B2758">
        <v>4.07100009918212</v>
      </c>
      <c r="C2758">
        <v>4.08850002288818</v>
      </c>
      <c r="D2758">
        <v>3.9930000305175701</v>
      </c>
      <c r="E2758">
        <v>4.0370001792907697</v>
      </c>
      <c r="F2758">
        <v>4.0370001792907697</v>
      </c>
      <c r="G2758">
        <v>134528000</v>
      </c>
      <c r="H2758">
        <f t="shared" si="172"/>
        <v>2008</v>
      </c>
      <c r="I2758">
        <f t="shared" si="173"/>
        <v>4</v>
      </c>
      <c r="J2758" t="str">
        <f t="shared" si="174"/>
        <v>Apr</v>
      </c>
      <c r="K2758" t="str">
        <f t="shared" si="175"/>
        <v>Tue</v>
      </c>
    </row>
    <row r="2759" spans="1:11" x14ac:dyDescent="0.35">
      <c r="A2759" s="1">
        <v>39568</v>
      </c>
      <c r="B2759">
        <v>4.04500007629394</v>
      </c>
      <c r="C2759">
        <v>4.0669999122619602</v>
      </c>
      <c r="D2759">
        <v>3.8959999084472599</v>
      </c>
      <c r="E2759">
        <v>3.9314999580383301</v>
      </c>
      <c r="F2759">
        <v>3.9314999580383301</v>
      </c>
      <c r="G2759">
        <v>157514000</v>
      </c>
      <c r="H2759">
        <f t="shared" si="172"/>
        <v>2008</v>
      </c>
      <c r="I2759">
        <f t="shared" si="173"/>
        <v>4</v>
      </c>
      <c r="J2759" t="str">
        <f t="shared" si="174"/>
        <v>Apr</v>
      </c>
      <c r="K2759" t="str">
        <f t="shared" si="175"/>
        <v>Wed</v>
      </c>
    </row>
    <row r="2760" spans="1:11" x14ac:dyDescent="0.35">
      <c r="A2760" s="1">
        <v>39569</v>
      </c>
      <c r="B2760">
        <v>3.92000007629394</v>
      </c>
      <c r="C2760">
        <v>4.0005002021789497</v>
      </c>
      <c r="D2760">
        <v>3.8984999656677202</v>
      </c>
      <c r="E2760">
        <v>3.9679999351501398</v>
      </c>
      <c r="F2760">
        <v>3.9679999351501398</v>
      </c>
      <c r="G2760">
        <v>143940000</v>
      </c>
      <c r="H2760">
        <f t="shared" si="172"/>
        <v>2008</v>
      </c>
      <c r="I2760">
        <f t="shared" si="173"/>
        <v>5</v>
      </c>
      <c r="J2760" t="str">
        <f t="shared" si="174"/>
        <v>May</v>
      </c>
      <c r="K2760" t="str">
        <f t="shared" si="175"/>
        <v>Thu</v>
      </c>
    </row>
    <row r="2761" spans="1:11" x14ac:dyDescent="0.35">
      <c r="A2761" s="1">
        <v>39570</v>
      </c>
      <c r="B2761">
        <v>4.0149998664855904</v>
      </c>
      <c r="C2761">
        <v>4.0599999427795401</v>
      </c>
      <c r="D2761">
        <v>3.8199999332427899</v>
      </c>
      <c r="E2761">
        <v>3.8654999732971098</v>
      </c>
      <c r="F2761">
        <v>3.8654999732971098</v>
      </c>
      <c r="G2761">
        <v>163098000</v>
      </c>
      <c r="H2761">
        <f t="shared" si="172"/>
        <v>2008</v>
      </c>
      <c r="I2761">
        <f t="shared" si="173"/>
        <v>5</v>
      </c>
      <c r="J2761" t="str">
        <f t="shared" si="174"/>
        <v>May</v>
      </c>
      <c r="K2761" t="str">
        <f t="shared" si="175"/>
        <v>Fri</v>
      </c>
    </row>
    <row r="2762" spans="1:11" x14ac:dyDescent="0.35">
      <c r="A2762" s="1">
        <v>39573</v>
      </c>
      <c r="B2762">
        <v>3.8635001182556099</v>
      </c>
      <c r="C2762">
        <v>3.8884999752044598</v>
      </c>
      <c r="D2762">
        <v>3.7934999465942298</v>
      </c>
      <c r="E2762">
        <v>3.7960000038146902</v>
      </c>
      <c r="F2762">
        <v>3.7960000038146902</v>
      </c>
      <c r="G2762">
        <v>112948000</v>
      </c>
      <c r="H2762">
        <f t="shared" si="172"/>
        <v>2008</v>
      </c>
      <c r="I2762">
        <f t="shared" si="173"/>
        <v>5</v>
      </c>
      <c r="J2762" t="str">
        <f t="shared" si="174"/>
        <v>May</v>
      </c>
      <c r="K2762" t="str">
        <f t="shared" si="175"/>
        <v>Mon</v>
      </c>
    </row>
    <row r="2763" spans="1:11" x14ac:dyDescent="0.35">
      <c r="A2763" s="1">
        <v>39574</v>
      </c>
      <c r="B2763">
        <v>3.7755000591278001</v>
      </c>
      <c r="C2763">
        <v>3.83850002288818</v>
      </c>
      <c r="D2763">
        <v>3.7525000572204501</v>
      </c>
      <c r="E2763">
        <v>3.78550004959106</v>
      </c>
      <c r="F2763">
        <v>3.78550004959106</v>
      </c>
      <c r="G2763">
        <v>130914000</v>
      </c>
      <c r="H2763">
        <f t="shared" si="172"/>
        <v>2008</v>
      </c>
      <c r="I2763">
        <f t="shared" si="173"/>
        <v>5</v>
      </c>
      <c r="J2763" t="str">
        <f t="shared" si="174"/>
        <v>May</v>
      </c>
      <c r="K2763" t="str">
        <f t="shared" si="175"/>
        <v>Tue</v>
      </c>
    </row>
    <row r="2764" spans="1:11" x14ac:dyDescent="0.35">
      <c r="A2764" s="1">
        <v>39575</v>
      </c>
      <c r="B2764">
        <v>3.76300001144409</v>
      </c>
      <c r="C2764">
        <v>3.8320000171661301</v>
      </c>
      <c r="D2764">
        <v>3.6545000076293901</v>
      </c>
      <c r="E2764">
        <v>3.6589999198913499</v>
      </c>
      <c r="F2764">
        <v>3.6589999198913499</v>
      </c>
      <c r="G2764">
        <v>167532000</v>
      </c>
      <c r="H2764">
        <f t="shared" si="172"/>
        <v>2008</v>
      </c>
      <c r="I2764">
        <f t="shared" si="173"/>
        <v>5</v>
      </c>
      <c r="J2764" t="str">
        <f t="shared" si="174"/>
        <v>May</v>
      </c>
      <c r="K2764" t="str">
        <f t="shared" si="175"/>
        <v>Wed</v>
      </c>
    </row>
    <row r="2765" spans="1:11" x14ac:dyDescent="0.35">
      <c r="A2765" s="1">
        <v>39576</v>
      </c>
      <c r="B2765">
        <v>3.6865000724792401</v>
      </c>
      <c r="C2765">
        <v>3.7079999446868799</v>
      </c>
      <c r="D2765">
        <v>3.5780000686645499</v>
      </c>
      <c r="E2765">
        <v>3.63949990272521</v>
      </c>
      <c r="F2765">
        <v>3.63949990272521</v>
      </c>
      <c r="G2765">
        <v>162626000</v>
      </c>
      <c r="H2765">
        <f t="shared" si="172"/>
        <v>2008</v>
      </c>
      <c r="I2765">
        <f t="shared" si="173"/>
        <v>5</v>
      </c>
      <c r="J2765" t="str">
        <f t="shared" si="174"/>
        <v>May</v>
      </c>
      <c r="K2765" t="str">
        <f t="shared" si="175"/>
        <v>Thu</v>
      </c>
    </row>
    <row r="2766" spans="1:11" x14ac:dyDescent="0.35">
      <c r="A2766" s="1">
        <v>39577</v>
      </c>
      <c r="B2766">
        <v>3.6099998950958199</v>
      </c>
      <c r="C2766">
        <v>3.6670000553131099</v>
      </c>
      <c r="D2766">
        <v>3.5829999446868799</v>
      </c>
      <c r="E2766">
        <v>3.62050008773803</v>
      </c>
      <c r="F2766">
        <v>3.62050008773803</v>
      </c>
      <c r="G2766">
        <v>84870000</v>
      </c>
      <c r="H2766">
        <f t="shared" si="172"/>
        <v>2008</v>
      </c>
      <c r="I2766">
        <f t="shared" si="173"/>
        <v>5</v>
      </c>
      <c r="J2766" t="str">
        <f t="shared" si="174"/>
        <v>May</v>
      </c>
      <c r="K2766" t="str">
        <f t="shared" si="175"/>
        <v>Fri</v>
      </c>
    </row>
    <row r="2767" spans="1:11" x14ac:dyDescent="0.35">
      <c r="A2767" s="1">
        <v>39580</v>
      </c>
      <c r="B2767">
        <v>3.6500000953674299</v>
      </c>
      <c r="C2767">
        <v>3.7465000152587802</v>
      </c>
      <c r="D2767">
        <v>3.5889999866485498</v>
      </c>
      <c r="E2767">
        <v>3.7265000343322701</v>
      </c>
      <c r="F2767">
        <v>3.7265000343322701</v>
      </c>
      <c r="G2767">
        <v>144308000</v>
      </c>
      <c r="H2767">
        <f t="shared" si="172"/>
        <v>2008</v>
      </c>
      <c r="I2767">
        <f t="shared" si="173"/>
        <v>5</v>
      </c>
      <c r="J2767" t="str">
        <f t="shared" si="174"/>
        <v>May</v>
      </c>
      <c r="K2767" t="str">
        <f t="shared" si="175"/>
        <v>Mon</v>
      </c>
    </row>
    <row r="2768" spans="1:11" x14ac:dyDescent="0.35">
      <c r="A2768" s="1">
        <v>39581</v>
      </c>
      <c r="B2768">
        <v>3.72849988937377</v>
      </c>
      <c r="C2768">
        <v>3.7479999065399099</v>
      </c>
      <c r="D2768">
        <v>3.6654999256134002</v>
      </c>
      <c r="E2768">
        <v>3.7279999256134002</v>
      </c>
      <c r="F2768">
        <v>3.7279999256134002</v>
      </c>
      <c r="G2768">
        <v>100416000</v>
      </c>
      <c r="H2768">
        <f t="shared" si="172"/>
        <v>2008</v>
      </c>
      <c r="I2768">
        <f t="shared" si="173"/>
        <v>5</v>
      </c>
      <c r="J2768" t="str">
        <f t="shared" si="174"/>
        <v>May</v>
      </c>
      <c r="K2768" t="str">
        <f t="shared" si="175"/>
        <v>Tue</v>
      </c>
    </row>
    <row r="2769" spans="1:11" x14ac:dyDescent="0.35">
      <c r="A2769" s="1">
        <v>39582</v>
      </c>
      <c r="B2769">
        <v>3.74600005149841</v>
      </c>
      <c r="C2769">
        <v>3.7874999046325599</v>
      </c>
      <c r="D2769">
        <v>3.6989998817443799</v>
      </c>
      <c r="E2769">
        <v>3.71000003814697</v>
      </c>
      <c r="F2769">
        <v>3.71000003814697</v>
      </c>
      <c r="G2769">
        <v>91784000</v>
      </c>
      <c r="H2769">
        <f t="shared" si="172"/>
        <v>2008</v>
      </c>
      <c r="I2769">
        <f t="shared" si="173"/>
        <v>5</v>
      </c>
      <c r="J2769" t="str">
        <f t="shared" si="174"/>
        <v>May</v>
      </c>
      <c r="K2769" t="str">
        <f t="shared" si="175"/>
        <v>Wed</v>
      </c>
    </row>
    <row r="2770" spans="1:11" x14ac:dyDescent="0.35">
      <c r="A2770" s="1">
        <v>39583</v>
      </c>
      <c r="B2770">
        <v>3.6944999694824201</v>
      </c>
      <c r="C2770">
        <v>3.81599998474121</v>
      </c>
      <c r="D2770">
        <v>3.6775000095367401</v>
      </c>
      <c r="E2770">
        <v>3.8059999942779501</v>
      </c>
      <c r="F2770">
        <v>3.8059999942779501</v>
      </c>
      <c r="G2770">
        <v>138354000</v>
      </c>
      <c r="H2770">
        <f t="shared" si="172"/>
        <v>2008</v>
      </c>
      <c r="I2770">
        <f t="shared" si="173"/>
        <v>5</v>
      </c>
      <c r="J2770" t="str">
        <f t="shared" si="174"/>
        <v>May</v>
      </c>
      <c r="K2770" t="str">
        <f t="shared" si="175"/>
        <v>Thu</v>
      </c>
    </row>
    <row r="2771" spans="1:11" x14ac:dyDescent="0.35">
      <c r="A2771" s="1">
        <v>39584</v>
      </c>
      <c r="B2771">
        <v>3.82100009918212</v>
      </c>
      <c r="C2771">
        <v>3.8415000438690101</v>
      </c>
      <c r="D2771">
        <v>3.7430000305175701</v>
      </c>
      <c r="E2771">
        <v>3.8229999542236301</v>
      </c>
      <c r="F2771">
        <v>3.8229999542236301</v>
      </c>
      <c r="G2771">
        <v>124134000</v>
      </c>
      <c r="H2771">
        <f t="shared" si="172"/>
        <v>2008</v>
      </c>
      <c r="I2771">
        <f t="shared" si="173"/>
        <v>5</v>
      </c>
      <c r="J2771" t="str">
        <f t="shared" si="174"/>
        <v>May</v>
      </c>
      <c r="K2771" t="str">
        <f t="shared" si="175"/>
        <v>Fri</v>
      </c>
    </row>
    <row r="2772" spans="1:11" x14ac:dyDescent="0.35">
      <c r="A2772" s="1">
        <v>39587</v>
      </c>
      <c r="B2772">
        <v>3.95050001144409</v>
      </c>
      <c r="C2772">
        <v>4.2375001907348597</v>
      </c>
      <c r="D2772">
        <v>3.9430000782012899</v>
      </c>
      <c r="E2772">
        <v>4.1145000457763601</v>
      </c>
      <c r="F2772">
        <v>4.1145000457763601</v>
      </c>
      <c r="G2772">
        <v>373696000</v>
      </c>
      <c r="H2772">
        <f t="shared" si="172"/>
        <v>2008</v>
      </c>
      <c r="I2772">
        <f t="shared" si="173"/>
        <v>5</v>
      </c>
      <c r="J2772" t="str">
        <f t="shared" si="174"/>
        <v>May</v>
      </c>
      <c r="K2772" t="str">
        <f t="shared" si="175"/>
        <v>Mon</v>
      </c>
    </row>
    <row r="2773" spans="1:11" x14ac:dyDescent="0.35">
      <c r="A2773" s="1">
        <v>39588</v>
      </c>
      <c r="B2773">
        <v>4.1085000038146902</v>
      </c>
      <c r="C2773">
        <v>4.1350002288818297</v>
      </c>
      <c r="D2773">
        <v>4.0015001296996999</v>
      </c>
      <c r="E2773">
        <v>4.0359997749328604</v>
      </c>
      <c r="F2773">
        <v>4.0359997749328604</v>
      </c>
      <c r="G2773">
        <v>158244000</v>
      </c>
      <c r="H2773">
        <f t="shared" si="172"/>
        <v>2008</v>
      </c>
      <c r="I2773">
        <f t="shared" si="173"/>
        <v>5</v>
      </c>
      <c r="J2773" t="str">
        <f t="shared" si="174"/>
        <v>May</v>
      </c>
      <c r="K2773" t="str">
        <f t="shared" si="175"/>
        <v>Tue</v>
      </c>
    </row>
    <row r="2774" spans="1:11" x14ac:dyDescent="0.35">
      <c r="A2774" s="1">
        <v>39589</v>
      </c>
      <c r="B2774">
        <v>4.0184998512268004</v>
      </c>
      <c r="C2774">
        <v>4.0574998855590803</v>
      </c>
      <c r="D2774">
        <v>3.875</v>
      </c>
      <c r="E2774">
        <v>3.9149999618530198</v>
      </c>
      <c r="F2774">
        <v>3.9149999618530198</v>
      </c>
      <c r="G2774">
        <v>141410000</v>
      </c>
      <c r="H2774">
        <f t="shared" si="172"/>
        <v>2008</v>
      </c>
      <c r="I2774">
        <f t="shared" si="173"/>
        <v>5</v>
      </c>
      <c r="J2774" t="str">
        <f t="shared" si="174"/>
        <v>May</v>
      </c>
      <c r="K2774" t="str">
        <f t="shared" si="175"/>
        <v>Wed</v>
      </c>
    </row>
    <row r="2775" spans="1:11" x14ac:dyDescent="0.35">
      <c r="A2775" s="1">
        <v>39590</v>
      </c>
      <c r="B2775">
        <v>3.9340000152587802</v>
      </c>
      <c r="C2775">
        <v>3.9844999313354399</v>
      </c>
      <c r="D2775">
        <v>3.9000000953674299</v>
      </c>
      <c r="E2775">
        <v>3.9630000591278001</v>
      </c>
      <c r="F2775">
        <v>3.9630000591278001</v>
      </c>
      <c r="G2775">
        <v>107812000</v>
      </c>
      <c r="H2775">
        <f t="shared" si="172"/>
        <v>2008</v>
      </c>
      <c r="I2775">
        <f t="shared" si="173"/>
        <v>5</v>
      </c>
      <c r="J2775" t="str">
        <f t="shared" si="174"/>
        <v>May</v>
      </c>
      <c r="K2775" t="str">
        <f t="shared" si="175"/>
        <v>Thu</v>
      </c>
    </row>
    <row r="2776" spans="1:11" x14ac:dyDescent="0.35">
      <c r="A2776" s="1">
        <v>39591</v>
      </c>
      <c r="B2776">
        <v>3.9275000095367401</v>
      </c>
      <c r="C2776">
        <v>3.9435000419616699</v>
      </c>
      <c r="D2776">
        <v>3.8715000152587802</v>
      </c>
      <c r="E2776">
        <v>3.9175000190734801</v>
      </c>
      <c r="F2776">
        <v>3.9175000190734801</v>
      </c>
      <c r="G2776">
        <v>126638000</v>
      </c>
      <c r="H2776">
        <f t="shared" si="172"/>
        <v>2008</v>
      </c>
      <c r="I2776">
        <f t="shared" si="173"/>
        <v>5</v>
      </c>
      <c r="J2776" t="str">
        <f t="shared" si="174"/>
        <v>May</v>
      </c>
      <c r="K2776" t="str">
        <f t="shared" si="175"/>
        <v>Fri</v>
      </c>
    </row>
    <row r="2777" spans="1:11" x14ac:dyDescent="0.35">
      <c r="A2777" s="1">
        <v>39595</v>
      </c>
      <c r="B2777">
        <v>3.9130001068115199</v>
      </c>
      <c r="C2777">
        <v>4.04500007629394</v>
      </c>
      <c r="D2777">
        <v>3.8984999656677202</v>
      </c>
      <c r="E2777">
        <v>4.0310001373290998</v>
      </c>
      <c r="F2777">
        <v>4.0310001373290998</v>
      </c>
      <c r="G2777">
        <v>202164000</v>
      </c>
      <c r="H2777">
        <f t="shared" si="172"/>
        <v>2008</v>
      </c>
      <c r="I2777">
        <f t="shared" si="173"/>
        <v>5</v>
      </c>
      <c r="J2777" t="str">
        <f t="shared" si="174"/>
        <v>May</v>
      </c>
      <c r="K2777" t="str">
        <f t="shared" si="175"/>
        <v>Tue</v>
      </c>
    </row>
    <row r="2778" spans="1:11" x14ac:dyDescent="0.35">
      <c r="A2778" s="1">
        <v>39596</v>
      </c>
      <c r="B2778">
        <v>4.0364999771118102</v>
      </c>
      <c r="C2778">
        <v>4.0395002365112296</v>
      </c>
      <c r="D2778">
        <v>3.9495000839233398</v>
      </c>
      <c r="E2778">
        <v>4.0040001869201598</v>
      </c>
      <c r="F2778">
        <v>4.0040001869201598</v>
      </c>
      <c r="G2778">
        <v>134012000</v>
      </c>
      <c r="H2778">
        <f t="shared" si="172"/>
        <v>2008</v>
      </c>
      <c r="I2778">
        <f t="shared" si="173"/>
        <v>5</v>
      </c>
      <c r="J2778" t="str">
        <f t="shared" si="174"/>
        <v>May</v>
      </c>
      <c r="K2778" t="str">
        <f t="shared" si="175"/>
        <v>Wed</v>
      </c>
    </row>
    <row r="2779" spans="1:11" x14ac:dyDescent="0.35">
      <c r="A2779" s="1">
        <v>39597</v>
      </c>
      <c r="B2779">
        <v>4.0304999351501403</v>
      </c>
      <c r="C2779">
        <v>4.09800004959106</v>
      </c>
      <c r="D2779">
        <v>4.00850009918212</v>
      </c>
      <c r="E2779">
        <v>4.0174999237060502</v>
      </c>
      <c r="F2779">
        <v>4.0174999237060502</v>
      </c>
      <c r="G2779">
        <v>137152000</v>
      </c>
      <c r="H2779">
        <f t="shared" si="172"/>
        <v>2008</v>
      </c>
      <c r="I2779">
        <f t="shared" si="173"/>
        <v>5</v>
      </c>
      <c r="J2779" t="str">
        <f t="shared" si="174"/>
        <v>May</v>
      </c>
      <c r="K2779" t="str">
        <f t="shared" si="175"/>
        <v>Thu</v>
      </c>
    </row>
    <row r="2780" spans="1:11" x14ac:dyDescent="0.35">
      <c r="A2780" s="1">
        <v>39598</v>
      </c>
      <c r="B2780">
        <v>4.0289998054504297</v>
      </c>
      <c r="C2780">
        <v>4.08850002288818</v>
      </c>
      <c r="D2780">
        <v>4.0149998664855904</v>
      </c>
      <c r="E2780">
        <v>4.0809998512268004</v>
      </c>
      <c r="F2780">
        <v>4.0809998512268004</v>
      </c>
      <c r="G2780">
        <v>105412000</v>
      </c>
      <c r="H2780">
        <f t="shared" si="172"/>
        <v>2008</v>
      </c>
      <c r="I2780">
        <f t="shared" si="173"/>
        <v>5</v>
      </c>
      <c r="J2780" t="str">
        <f t="shared" si="174"/>
        <v>May</v>
      </c>
      <c r="K2780" t="str">
        <f t="shared" si="175"/>
        <v>Fri</v>
      </c>
    </row>
    <row r="2781" spans="1:11" x14ac:dyDescent="0.35">
      <c r="A2781" s="1">
        <v>39601</v>
      </c>
      <c r="B2781">
        <v>4.0574998855590803</v>
      </c>
      <c r="C2781">
        <v>4.0784997940063397</v>
      </c>
      <c r="D2781">
        <v>4.0025000572204501</v>
      </c>
      <c r="E2781">
        <v>4.0114998817443803</v>
      </c>
      <c r="F2781">
        <v>4.0114998817443803</v>
      </c>
      <c r="G2781">
        <v>124304000</v>
      </c>
      <c r="H2781">
        <f t="shared" si="172"/>
        <v>2008</v>
      </c>
      <c r="I2781">
        <f t="shared" si="173"/>
        <v>6</v>
      </c>
      <c r="J2781" t="str">
        <f t="shared" si="174"/>
        <v>Jun</v>
      </c>
      <c r="K2781" t="str">
        <f t="shared" si="175"/>
        <v>Mon</v>
      </c>
    </row>
    <row r="2782" spans="1:11" x14ac:dyDescent="0.35">
      <c r="A2782" s="1">
        <v>39602</v>
      </c>
      <c r="B2782">
        <v>4.03550004959106</v>
      </c>
      <c r="C2782">
        <v>4.09450006484985</v>
      </c>
      <c r="D2782">
        <v>3.9630000591278001</v>
      </c>
      <c r="E2782">
        <v>4.0054998397827104</v>
      </c>
      <c r="F2782">
        <v>4.0054998397827104</v>
      </c>
      <c r="G2782">
        <v>117400000</v>
      </c>
      <c r="H2782">
        <f t="shared" si="172"/>
        <v>2008</v>
      </c>
      <c r="I2782">
        <f t="shared" si="173"/>
        <v>6</v>
      </c>
      <c r="J2782" t="str">
        <f t="shared" si="174"/>
        <v>Jun</v>
      </c>
      <c r="K2782" t="str">
        <f t="shared" si="175"/>
        <v>Tue</v>
      </c>
    </row>
    <row r="2783" spans="1:11" x14ac:dyDescent="0.35">
      <c r="A2783" s="1">
        <v>39603</v>
      </c>
      <c r="B2783">
        <v>4.0054998397827104</v>
      </c>
      <c r="C2783">
        <v>4.0910000801086399</v>
      </c>
      <c r="D2783">
        <v>3.98600006103515</v>
      </c>
      <c r="E2783">
        <v>4.0749998092651296</v>
      </c>
      <c r="F2783">
        <v>4.0749998092651296</v>
      </c>
      <c r="G2783">
        <v>129166000</v>
      </c>
      <c r="H2783">
        <f t="shared" si="172"/>
        <v>2008</v>
      </c>
      <c r="I2783">
        <f t="shared" si="173"/>
        <v>6</v>
      </c>
      <c r="J2783" t="str">
        <f t="shared" si="174"/>
        <v>Jun</v>
      </c>
      <c r="K2783" t="str">
        <f t="shared" si="175"/>
        <v>Wed</v>
      </c>
    </row>
    <row r="2784" spans="1:11" x14ac:dyDescent="0.35">
      <c r="A2784" s="1">
        <v>39604</v>
      </c>
      <c r="B2784">
        <v>4.1055002212524396</v>
      </c>
      <c r="C2784">
        <v>4.2439999580383301</v>
      </c>
      <c r="D2784">
        <v>4.0900001525878897</v>
      </c>
      <c r="E2784">
        <v>4.2255001068115199</v>
      </c>
      <c r="F2784">
        <v>4.2255001068115199</v>
      </c>
      <c r="G2784">
        <v>178774000</v>
      </c>
      <c r="H2784">
        <f t="shared" si="172"/>
        <v>2008</v>
      </c>
      <c r="I2784">
        <f t="shared" si="173"/>
        <v>6</v>
      </c>
      <c r="J2784" t="str">
        <f t="shared" si="174"/>
        <v>Jun</v>
      </c>
      <c r="K2784" t="str">
        <f t="shared" si="175"/>
        <v>Thu</v>
      </c>
    </row>
    <row r="2785" spans="1:11" x14ac:dyDescent="0.35">
      <c r="A2785" s="1">
        <v>39605</v>
      </c>
      <c r="B2785">
        <v>4.1620001792907697</v>
      </c>
      <c r="C2785">
        <v>4.1820001602172798</v>
      </c>
      <c r="D2785">
        <v>4.0279998779296804</v>
      </c>
      <c r="E2785">
        <v>4.0314998626708896</v>
      </c>
      <c r="F2785">
        <v>4.0314998626708896</v>
      </c>
      <c r="G2785">
        <v>156874000</v>
      </c>
      <c r="H2785">
        <f t="shared" si="172"/>
        <v>2008</v>
      </c>
      <c r="I2785">
        <f t="shared" si="173"/>
        <v>6</v>
      </c>
      <c r="J2785" t="str">
        <f t="shared" si="174"/>
        <v>Jun</v>
      </c>
      <c r="K2785" t="str">
        <f t="shared" si="175"/>
        <v>Fri</v>
      </c>
    </row>
    <row r="2786" spans="1:11" x14ac:dyDescent="0.35">
      <c r="A2786" s="1">
        <v>39608</v>
      </c>
      <c r="B2786">
        <v>4.0595002174377397</v>
      </c>
      <c r="C2786">
        <v>4.0764999389648402</v>
      </c>
      <c r="D2786">
        <v>3.9059998989105198</v>
      </c>
      <c r="E2786">
        <v>3.9714999198913499</v>
      </c>
      <c r="F2786">
        <v>3.9714999198913499</v>
      </c>
      <c r="G2786">
        <v>130746000</v>
      </c>
      <c r="H2786">
        <f t="shared" si="172"/>
        <v>2008</v>
      </c>
      <c r="I2786">
        <f t="shared" si="173"/>
        <v>6</v>
      </c>
      <c r="J2786" t="str">
        <f t="shared" si="174"/>
        <v>Jun</v>
      </c>
      <c r="K2786" t="str">
        <f t="shared" si="175"/>
        <v>Mon</v>
      </c>
    </row>
    <row r="2787" spans="1:11" x14ac:dyDescent="0.35">
      <c r="A2787" s="1">
        <v>39609</v>
      </c>
      <c r="B2787">
        <v>3.91000008583068</v>
      </c>
      <c r="C2787">
        <v>4.0520000457763601</v>
      </c>
      <c r="D2787">
        <v>3.91000008583068</v>
      </c>
      <c r="E2787">
        <v>3.9809999465942298</v>
      </c>
      <c r="F2787">
        <v>3.9809999465942298</v>
      </c>
      <c r="G2787">
        <v>121312000</v>
      </c>
      <c r="H2787">
        <f t="shared" si="172"/>
        <v>2008</v>
      </c>
      <c r="I2787">
        <f t="shared" si="173"/>
        <v>6</v>
      </c>
      <c r="J2787" t="str">
        <f t="shared" si="174"/>
        <v>Jun</v>
      </c>
      <c r="K2787" t="str">
        <f t="shared" si="175"/>
        <v>Tue</v>
      </c>
    </row>
    <row r="2788" spans="1:11" x14ac:dyDescent="0.35">
      <c r="A2788" s="1">
        <v>39610</v>
      </c>
      <c r="B2788">
        <v>3.9674999713897701</v>
      </c>
      <c r="C2788">
        <v>4</v>
      </c>
      <c r="D2788">
        <v>3.8515000343322701</v>
      </c>
      <c r="E2788">
        <v>3.8640000820159899</v>
      </c>
      <c r="F2788">
        <v>3.8640000820159899</v>
      </c>
      <c r="G2788">
        <v>117490000</v>
      </c>
      <c r="H2788">
        <f t="shared" si="172"/>
        <v>2008</v>
      </c>
      <c r="I2788">
        <f t="shared" si="173"/>
        <v>6</v>
      </c>
      <c r="J2788" t="str">
        <f t="shared" si="174"/>
        <v>Jun</v>
      </c>
      <c r="K2788" t="str">
        <f t="shared" si="175"/>
        <v>Wed</v>
      </c>
    </row>
    <row r="2789" spans="1:11" x14ac:dyDescent="0.35">
      <c r="A2789" s="1">
        <v>39611</v>
      </c>
      <c r="B2789">
        <v>3.90100002288818</v>
      </c>
      <c r="C2789">
        <v>3.9525001049041699</v>
      </c>
      <c r="D2789">
        <v>3.7504999637603702</v>
      </c>
      <c r="E2789">
        <v>3.8074998855590798</v>
      </c>
      <c r="F2789">
        <v>3.8074998855590798</v>
      </c>
      <c r="G2789">
        <v>124088000</v>
      </c>
      <c r="H2789">
        <f t="shared" si="172"/>
        <v>2008</v>
      </c>
      <c r="I2789">
        <f t="shared" si="173"/>
        <v>6</v>
      </c>
      <c r="J2789" t="str">
        <f t="shared" si="174"/>
        <v>Jun</v>
      </c>
      <c r="K2789" t="str">
        <f t="shared" si="175"/>
        <v>Thu</v>
      </c>
    </row>
    <row r="2790" spans="1:11" x14ac:dyDescent="0.35">
      <c r="A2790" s="1">
        <v>39612</v>
      </c>
      <c r="B2790">
        <v>3.83500003814697</v>
      </c>
      <c r="C2790">
        <v>4</v>
      </c>
      <c r="D2790">
        <v>3.83500003814697</v>
      </c>
      <c r="E2790">
        <v>3.9584999084472599</v>
      </c>
      <c r="F2790">
        <v>3.9584999084472599</v>
      </c>
      <c r="G2790">
        <v>119490000</v>
      </c>
      <c r="H2790">
        <f t="shared" si="172"/>
        <v>2008</v>
      </c>
      <c r="I2790">
        <f t="shared" si="173"/>
        <v>6</v>
      </c>
      <c r="J2790" t="str">
        <f t="shared" si="174"/>
        <v>Jun</v>
      </c>
      <c r="K2790" t="str">
        <f t="shared" si="175"/>
        <v>Fri</v>
      </c>
    </row>
    <row r="2791" spans="1:11" x14ac:dyDescent="0.35">
      <c r="A2791" s="1">
        <v>39615</v>
      </c>
      <c r="B2791">
        <v>3.9210000038146902</v>
      </c>
      <c r="C2791">
        <v>4.1265001296996999</v>
      </c>
      <c r="D2791">
        <v>3.92050004005432</v>
      </c>
      <c r="E2791">
        <v>4.08500003814697</v>
      </c>
      <c r="F2791">
        <v>4.08500003814697</v>
      </c>
      <c r="G2791">
        <v>115088000</v>
      </c>
      <c r="H2791">
        <f t="shared" si="172"/>
        <v>2008</v>
      </c>
      <c r="I2791">
        <f t="shared" si="173"/>
        <v>6</v>
      </c>
      <c r="J2791" t="str">
        <f t="shared" si="174"/>
        <v>Jun</v>
      </c>
      <c r="K2791" t="str">
        <f t="shared" si="175"/>
        <v>Mon</v>
      </c>
    </row>
    <row r="2792" spans="1:11" x14ac:dyDescent="0.35">
      <c r="A2792" s="1">
        <v>39616</v>
      </c>
      <c r="B2792">
        <v>4.1574997901916504</v>
      </c>
      <c r="C2792">
        <v>4.2150001525878897</v>
      </c>
      <c r="D2792">
        <v>4.1399998664855904</v>
      </c>
      <c r="E2792">
        <v>4.1484999656677202</v>
      </c>
      <c r="F2792">
        <v>4.1484999656677202</v>
      </c>
      <c r="G2792">
        <v>176048000</v>
      </c>
      <c r="H2792">
        <f t="shared" si="172"/>
        <v>2008</v>
      </c>
      <c r="I2792">
        <f t="shared" si="173"/>
        <v>6</v>
      </c>
      <c r="J2792" t="str">
        <f t="shared" si="174"/>
        <v>Jun</v>
      </c>
      <c r="K2792" t="str">
        <f t="shared" si="175"/>
        <v>Tue</v>
      </c>
    </row>
    <row r="2793" spans="1:11" x14ac:dyDescent="0.35">
      <c r="A2793" s="1">
        <v>39617</v>
      </c>
      <c r="B2793">
        <v>4.0999999046325604</v>
      </c>
      <c r="C2793">
        <v>4.1585001945495597</v>
      </c>
      <c r="D2793">
        <v>4.06599998474121</v>
      </c>
      <c r="E2793">
        <v>4.1259999275207502</v>
      </c>
      <c r="F2793">
        <v>4.1259999275207502</v>
      </c>
      <c r="G2793">
        <v>136932000</v>
      </c>
      <c r="H2793">
        <f t="shared" si="172"/>
        <v>2008</v>
      </c>
      <c r="I2793">
        <f t="shared" si="173"/>
        <v>6</v>
      </c>
      <c r="J2793" t="str">
        <f t="shared" si="174"/>
        <v>Jun</v>
      </c>
      <c r="K2793" t="str">
        <f t="shared" si="175"/>
        <v>Wed</v>
      </c>
    </row>
    <row r="2794" spans="1:11" x14ac:dyDescent="0.35">
      <c r="A2794" s="1">
        <v>39618</v>
      </c>
      <c r="B2794">
        <v>4.1104998588562003</v>
      </c>
      <c r="C2794">
        <v>4.2234997749328604</v>
      </c>
      <c r="D2794">
        <v>4.0749998092651296</v>
      </c>
      <c r="E2794">
        <v>4.2129998207092196</v>
      </c>
      <c r="F2794">
        <v>4.2129998207092196</v>
      </c>
      <c r="G2794">
        <v>134346000</v>
      </c>
      <c r="H2794">
        <f t="shared" si="172"/>
        <v>2008</v>
      </c>
      <c r="I2794">
        <f t="shared" si="173"/>
        <v>6</v>
      </c>
      <c r="J2794" t="str">
        <f t="shared" si="174"/>
        <v>Jun</v>
      </c>
      <c r="K2794" t="str">
        <f t="shared" si="175"/>
        <v>Thu</v>
      </c>
    </row>
    <row r="2795" spans="1:11" x14ac:dyDescent="0.35">
      <c r="A2795" s="1">
        <v>39619</v>
      </c>
      <c r="B2795">
        <v>4.1550002098083496</v>
      </c>
      <c r="C2795">
        <v>4.1729998588562003</v>
      </c>
      <c r="D2795">
        <v>4.0254998207092196</v>
      </c>
      <c r="E2795">
        <v>4.0549998283386204</v>
      </c>
      <c r="F2795">
        <v>4.0549998283386204</v>
      </c>
      <c r="G2795">
        <v>131778000</v>
      </c>
      <c r="H2795">
        <f t="shared" si="172"/>
        <v>2008</v>
      </c>
      <c r="I2795">
        <f t="shared" si="173"/>
        <v>6</v>
      </c>
      <c r="J2795" t="str">
        <f t="shared" si="174"/>
        <v>Jun</v>
      </c>
      <c r="K2795" t="str">
        <f t="shared" si="175"/>
        <v>Fri</v>
      </c>
    </row>
    <row r="2796" spans="1:11" x14ac:dyDescent="0.35">
      <c r="A2796" s="1">
        <v>39622</v>
      </c>
      <c r="B2796">
        <v>4.0650000572204501</v>
      </c>
      <c r="C2796">
        <v>4.10750007629394</v>
      </c>
      <c r="D2796">
        <v>3.9774999618530198</v>
      </c>
      <c r="E2796">
        <v>4.0339999198913503</v>
      </c>
      <c r="F2796">
        <v>4.0339999198913503</v>
      </c>
      <c r="G2796">
        <v>148516000</v>
      </c>
      <c r="H2796">
        <f t="shared" si="172"/>
        <v>2008</v>
      </c>
      <c r="I2796">
        <f t="shared" si="173"/>
        <v>6</v>
      </c>
      <c r="J2796" t="str">
        <f t="shared" si="174"/>
        <v>Jun</v>
      </c>
      <c r="K2796" t="str">
        <f t="shared" si="175"/>
        <v>Mon</v>
      </c>
    </row>
    <row r="2797" spans="1:11" x14ac:dyDescent="0.35">
      <c r="A2797" s="1">
        <v>39623</v>
      </c>
      <c r="B2797">
        <v>3.9774999618530198</v>
      </c>
      <c r="C2797">
        <v>4.0395002365112296</v>
      </c>
      <c r="D2797">
        <v>3.8815000057220401</v>
      </c>
      <c r="E2797">
        <v>3.98200011253356</v>
      </c>
      <c r="F2797">
        <v>3.98200011253356</v>
      </c>
      <c r="G2797">
        <v>142802000</v>
      </c>
      <c r="H2797">
        <f t="shared" si="172"/>
        <v>2008</v>
      </c>
      <c r="I2797">
        <f t="shared" si="173"/>
        <v>6</v>
      </c>
      <c r="J2797" t="str">
        <f t="shared" si="174"/>
        <v>Jun</v>
      </c>
      <c r="K2797" t="str">
        <f t="shared" si="175"/>
        <v>Tue</v>
      </c>
    </row>
    <row r="2798" spans="1:11" x14ac:dyDescent="0.35">
      <c r="A2798" s="1">
        <v>39624</v>
      </c>
      <c r="B2798">
        <v>4.02250003814697</v>
      </c>
      <c r="C2798">
        <v>4.10750007629394</v>
      </c>
      <c r="D2798">
        <v>3.9760000705718901</v>
      </c>
      <c r="E2798">
        <v>4.0254998207092196</v>
      </c>
      <c r="F2798">
        <v>4.0254998207092196</v>
      </c>
      <c r="G2798">
        <v>147866000</v>
      </c>
      <c r="H2798">
        <f t="shared" si="172"/>
        <v>2008</v>
      </c>
      <c r="I2798">
        <f t="shared" si="173"/>
        <v>6</v>
      </c>
      <c r="J2798" t="str">
        <f t="shared" si="174"/>
        <v>Jun</v>
      </c>
      <c r="K2798" t="str">
        <f t="shared" si="175"/>
        <v>Wed</v>
      </c>
    </row>
    <row r="2799" spans="1:11" x14ac:dyDescent="0.35">
      <c r="A2799" s="1">
        <v>39625</v>
      </c>
      <c r="B2799">
        <v>3.9549999237060498</v>
      </c>
      <c r="C2799">
        <v>3.9944999217986998</v>
      </c>
      <c r="D2799">
        <v>3.7999999523162802</v>
      </c>
      <c r="E2799">
        <v>3.8150000572204501</v>
      </c>
      <c r="F2799">
        <v>3.8150000572204501</v>
      </c>
      <c r="G2799">
        <v>226202000</v>
      </c>
      <c r="H2799">
        <f t="shared" si="172"/>
        <v>2008</v>
      </c>
      <c r="I2799">
        <f t="shared" si="173"/>
        <v>6</v>
      </c>
      <c r="J2799" t="str">
        <f t="shared" si="174"/>
        <v>Jun</v>
      </c>
      <c r="K2799" t="str">
        <f t="shared" si="175"/>
        <v>Thu</v>
      </c>
    </row>
    <row r="2800" spans="1:11" x14ac:dyDescent="0.35">
      <c r="A2800" s="1">
        <v>39626</v>
      </c>
      <c r="B2800">
        <v>3.7795000076293901</v>
      </c>
      <c r="C2800">
        <v>3.8034999370574898</v>
      </c>
      <c r="D2800">
        <v>3.6310000419616699</v>
      </c>
      <c r="E2800">
        <v>3.73300004005432</v>
      </c>
      <c r="F2800">
        <v>3.73300004005432</v>
      </c>
      <c r="G2800">
        <v>236810000</v>
      </c>
      <c r="H2800">
        <f t="shared" si="172"/>
        <v>2008</v>
      </c>
      <c r="I2800">
        <f t="shared" si="173"/>
        <v>6</v>
      </c>
      <c r="J2800" t="str">
        <f t="shared" si="174"/>
        <v>Jun</v>
      </c>
      <c r="K2800" t="str">
        <f t="shared" si="175"/>
        <v>Fri</v>
      </c>
    </row>
    <row r="2801" spans="1:11" x14ac:dyDescent="0.35">
      <c r="A2801" s="1">
        <v>39629</v>
      </c>
      <c r="B2801">
        <v>3.7514998912811199</v>
      </c>
      <c r="C2801">
        <v>3.8059999942779501</v>
      </c>
      <c r="D2801">
        <v>3.66050004959106</v>
      </c>
      <c r="E2801">
        <v>3.6665000915527299</v>
      </c>
      <c r="F2801">
        <v>3.6665000915527299</v>
      </c>
      <c r="G2801">
        <v>142082000</v>
      </c>
      <c r="H2801">
        <f t="shared" si="172"/>
        <v>2008</v>
      </c>
      <c r="I2801">
        <f t="shared" si="173"/>
        <v>6</v>
      </c>
      <c r="J2801" t="str">
        <f t="shared" si="174"/>
        <v>Jun</v>
      </c>
      <c r="K2801" t="str">
        <f t="shared" si="175"/>
        <v>Mon</v>
      </c>
    </row>
    <row r="2802" spans="1:11" x14ac:dyDescent="0.35">
      <c r="A2802" s="1">
        <v>39630</v>
      </c>
      <c r="B2802">
        <v>3.6119999885559002</v>
      </c>
      <c r="C2802">
        <v>3.7114999294281001</v>
      </c>
      <c r="D2802">
        <v>3.52600002288818</v>
      </c>
      <c r="E2802">
        <v>3.6809999942779501</v>
      </c>
      <c r="F2802">
        <v>3.6809999942779501</v>
      </c>
      <c r="G2802">
        <v>205850000</v>
      </c>
      <c r="H2802">
        <f t="shared" si="172"/>
        <v>2008</v>
      </c>
      <c r="I2802">
        <f t="shared" si="173"/>
        <v>7</v>
      </c>
      <c r="J2802" t="str">
        <f t="shared" si="174"/>
        <v>Jul</v>
      </c>
      <c r="K2802" t="str">
        <f t="shared" si="175"/>
        <v>Tue</v>
      </c>
    </row>
    <row r="2803" spans="1:11" x14ac:dyDescent="0.35">
      <c r="A2803" s="1">
        <v>39631</v>
      </c>
      <c r="B2803">
        <v>3.7079999446868799</v>
      </c>
      <c r="C2803">
        <v>3.7204999923706001</v>
      </c>
      <c r="D2803">
        <v>3.5690000057220401</v>
      </c>
      <c r="E2803">
        <v>3.57200002670288</v>
      </c>
      <c r="F2803">
        <v>3.57200002670288</v>
      </c>
      <c r="G2803">
        <v>140888000</v>
      </c>
      <c r="H2803">
        <f t="shared" si="172"/>
        <v>2008</v>
      </c>
      <c r="I2803">
        <f t="shared" si="173"/>
        <v>7</v>
      </c>
      <c r="J2803" t="str">
        <f t="shared" si="174"/>
        <v>Jul</v>
      </c>
      <c r="K2803" t="str">
        <f t="shared" si="175"/>
        <v>Wed</v>
      </c>
    </row>
    <row r="2804" spans="1:11" x14ac:dyDescent="0.35">
      <c r="A2804" s="1">
        <v>39632</v>
      </c>
      <c r="B2804">
        <v>3.6254999637603702</v>
      </c>
      <c r="C2804">
        <v>3.6919999122619598</v>
      </c>
      <c r="D2804">
        <v>3.52600002288818</v>
      </c>
      <c r="E2804">
        <v>3.5999999046325599</v>
      </c>
      <c r="F2804">
        <v>3.5999999046325599</v>
      </c>
      <c r="G2804">
        <v>84964000</v>
      </c>
      <c r="H2804">
        <f t="shared" si="172"/>
        <v>2008</v>
      </c>
      <c r="I2804">
        <f t="shared" si="173"/>
        <v>7</v>
      </c>
      <c r="J2804" t="str">
        <f t="shared" si="174"/>
        <v>Jul</v>
      </c>
      <c r="K2804" t="str">
        <f t="shared" si="175"/>
        <v>Thu</v>
      </c>
    </row>
    <row r="2805" spans="1:11" x14ac:dyDescent="0.35">
      <c r="A2805" s="1">
        <v>39636</v>
      </c>
      <c r="B2805">
        <v>3.6184999942779501</v>
      </c>
      <c r="C2805">
        <v>3.7200000286102202</v>
      </c>
      <c r="D2805">
        <v>3.5380001068115199</v>
      </c>
      <c r="E2805">
        <v>3.62450003623962</v>
      </c>
      <c r="F2805">
        <v>3.62450003623962</v>
      </c>
      <c r="G2805">
        <v>147110000</v>
      </c>
      <c r="H2805">
        <f t="shared" si="172"/>
        <v>2008</v>
      </c>
      <c r="I2805">
        <f t="shared" si="173"/>
        <v>7</v>
      </c>
      <c r="J2805" t="str">
        <f t="shared" si="174"/>
        <v>Jul</v>
      </c>
      <c r="K2805" t="str">
        <f t="shared" si="175"/>
        <v>Mon</v>
      </c>
    </row>
    <row r="2806" spans="1:11" x14ac:dyDescent="0.35">
      <c r="A2806" s="1">
        <v>39637</v>
      </c>
      <c r="B2806">
        <v>3.6189999580383301</v>
      </c>
      <c r="C2806">
        <v>3.7744998931884699</v>
      </c>
      <c r="D2806">
        <v>3.5875000953674299</v>
      </c>
      <c r="E2806">
        <v>3.7520000934600799</v>
      </c>
      <c r="F2806">
        <v>3.7520000934600799</v>
      </c>
      <c r="G2806">
        <v>158320000</v>
      </c>
      <c r="H2806">
        <f t="shared" si="172"/>
        <v>2008</v>
      </c>
      <c r="I2806">
        <f t="shared" si="173"/>
        <v>7</v>
      </c>
      <c r="J2806" t="str">
        <f t="shared" si="174"/>
        <v>Jul</v>
      </c>
      <c r="K2806" t="str">
        <f t="shared" si="175"/>
        <v>Tue</v>
      </c>
    </row>
    <row r="2807" spans="1:11" x14ac:dyDescent="0.35">
      <c r="A2807" s="1">
        <v>39638</v>
      </c>
      <c r="B2807">
        <v>3.7279999256134002</v>
      </c>
      <c r="C2807">
        <v>3.7449998855590798</v>
      </c>
      <c r="D2807">
        <v>3.5239999294281001</v>
      </c>
      <c r="E2807">
        <v>3.5304999351501398</v>
      </c>
      <c r="F2807">
        <v>3.5304999351501398</v>
      </c>
      <c r="G2807">
        <v>138242000</v>
      </c>
      <c r="H2807">
        <f t="shared" si="172"/>
        <v>2008</v>
      </c>
      <c r="I2807">
        <f t="shared" si="173"/>
        <v>7</v>
      </c>
      <c r="J2807" t="str">
        <f t="shared" si="174"/>
        <v>Jul</v>
      </c>
      <c r="K2807" t="str">
        <f t="shared" si="175"/>
        <v>Wed</v>
      </c>
    </row>
    <row r="2808" spans="1:11" x14ac:dyDescent="0.35">
      <c r="A2808" s="1">
        <v>39639</v>
      </c>
      <c r="B2808">
        <v>3.53500008583068</v>
      </c>
      <c r="C2808">
        <v>3.58850002288818</v>
      </c>
      <c r="D2808">
        <v>3.3994998931884699</v>
      </c>
      <c r="E2808">
        <v>3.53150010108947</v>
      </c>
      <c r="F2808">
        <v>3.53150010108947</v>
      </c>
      <c r="G2808">
        <v>198832000</v>
      </c>
      <c r="H2808">
        <f t="shared" si="172"/>
        <v>2008</v>
      </c>
      <c r="I2808">
        <f t="shared" si="173"/>
        <v>7</v>
      </c>
      <c r="J2808" t="str">
        <f t="shared" si="174"/>
        <v>Jul</v>
      </c>
      <c r="K2808" t="str">
        <f t="shared" si="175"/>
        <v>Thu</v>
      </c>
    </row>
    <row r="2809" spans="1:11" x14ac:dyDescent="0.35">
      <c r="A2809" s="1">
        <v>39640</v>
      </c>
      <c r="B2809">
        <v>3.4700000286102202</v>
      </c>
      <c r="C2809">
        <v>3.49950003623962</v>
      </c>
      <c r="D2809">
        <v>3.3369998931884699</v>
      </c>
      <c r="E2809">
        <v>3.4270000457763601</v>
      </c>
      <c r="F2809">
        <v>3.4270000457763601</v>
      </c>
      <c r="G2809">
        <v>158600000</v>
      </c>
      <c r="H2809">
        <f t="shared" si="172"/>
        <v>2008</v>
      </c>
      <c r="I2809">
        <f t="shared" si="173"/>
        <v>7</v>
      </c>
      <c r="J2809" t="str">
        <f t="shared" si="174"/>
        <v>Jul</v>
      </c>
      <c r="K2809" t="str">
        <f t="shared" si="175"/>
        <v>Fri</v>
      </c>
    </row>
    <row r="2810" spans="1:11" x14ac:dyDescent="0.35">
      <c r="A2810" s="1">
        <v>39643</v>
      </c>
      <c r="B2810">
        <v>3.4655001163482599</v>
      </c>
      <c r="C2810">
        <v>3.4749999046325599</v>
      </c>
      <c r="D2810">
        <v>3.2795000076293901</v>
      </c>
      <c r="E2810">
        <v>3.3139998912811199</v>
      </c>
      <c r="F2810">
        <v>3.3139998912811199</v>
      </c>
      <c r="G2810">
        <v>180426000</v>
      </c>
      <c r="H2810">
        <f t="shared" si="172"/>
        <v>2008</v>
      </c>
      <c r="I2810">
        <f t="shared" si="173"/>
        <v>7</v>
      </c>
      <c r="J2810" t="str">
        <f t="shared" si="174"/>
        <v>Jul</v>
      </c>
      <c r="K2810" t="str">
        <f t="shared" si="175"/>
        <v>Mon</v>
      </c>
    </row>
    <row r="2811" spans="1:11" x14ac:dyDescent="0.35">
      <c r="A2811" s="1">
        <v>39644</v>
      </c>
      <c r="B2811">
        <v>3.2934999465942298</v>
      </c>
      <c r="C2811">
        <v>3.4309999942779501</v>
      </c>
      <c r="D2811">
        <v>3.1494998931884699</v>
      </c>
      <c r="E2811">
        <v>3.3515000343322701</v>
      </c>
      <c r="F2811">
        <v>3.3515000343322701</v>
      </c>
      <c r="G2811">
        <v>226842000</v>
      </c>
      <c r="H2811">
        <f t="shared" si="172"/>
        <v>2008</v>
      </c>
      <c r="I2811">
        <f t="shared" si="173"/>
        <v>7</v>
      </c>
      <c r="J2811" t="str">
        <f t="shared" si="174"/>
        <v>Jul</v>
      </c>
      <c r="K2811" t="str">
        <f t="shared" si="175"/>
        <v>Tue</v>
      </c>
    </row>
    <row r="2812" spans="1:11" x14ac:dyDescent="0.35">
      <c r="A2812" s="1">
        <v>39645</v>
      </c>
      <c r="B2812">
        <v>3.3469998836517298</v>
      </c>
      <c r="C2812">
        <v>3.63750004768371</v>
      </c>
      <c r="D2812">
        <v>3.3420000076293901</v>
      </c>
      <c r="E2812">
        <v>3.5920000076293901</v>
      </c>
      <c r="F2812">
        <v>3.5920000076293901</v>
      </c>
      <c r="G2812">
        <v>240778000</v>
      </c>
      <c r="H2812">
        <f t="shared" si="172"/>
        <v>2008</v>
      </c>
      <c r="I2812">
        <f t="shared" si="173"/>
        <v>7</v>
      </c>
      <c r="J2812" t="str">
        <f t="shared" si="174"/>
        <v>Jul</v>
      </c>
      <c r="K2812" t="str">
        <f t="shared" si="175"/>
        <v>Wed</v>
      </c>
    </row>
    <row r="2813" spans="1:11" x14ac:dyDescent="0.35">
      <c r="A2813" s="1">
        <v>39646</v>
      </c>
      <c r="B2813">
        <v>3.5599999427795401</v>
      </c>
      <c r="C2813">
        <v>3.6189999580383301</v>
      </c>
      <c r="D2813">
        <v>3.3870000839233398</v>
      </c>
      <c r="E2813">
        <v>3.6054999828338601</v>
      </c>
      <c r="F2813">
        <v>3.6054999828338601</v>
      </c>
      <c r="G2813">
        <v>191948000</v>
      </c>
      <c r="H2813">
        <f t="shared" si="172"/>
        <v>2008</v>
      </c>
      <c r="I2813">
        <f t="shared" si="173"/>
        <v>7</v>
      </c>
      <c r="J2813" t="str">
        <f t="shared" si="174"/>
        <v>Jul</v>
      </c>
      <c r="K2813" t="str">
        <f t="shared" si="175"/>
        <v>Thu</v>
      </c>
    </row>
    <row r="2814" spans="1:11" x14ac:dyDescent="0.35">
      <c r="A2814" s="1">
        <v>39647</v>
      </c>
      <c r="B2814">
        <v>3.4969999790191602</v>
      </c>
      <c r="C2814">
        <v>3.5420000553131099</v>
      </c>
      <c r="D2814">
        <v>3.42000007629394</v>
      </c>
      <c r="E2814">
        <v>3.45600008964538</v>
      </c>
      <c r="F2814">
        <v>3.45600008964538</v>
      </c>
      <c r="G2814">
        <v>165960000</v>
      </c>
      <c r="H2814">
        <f t="shared" si="172"/>
        <v>2008</v>
      </c>
      <c r="I2814">
        <f t="shared" si="173"/>
        <v>7</v>
      </c>
      <c r="J2814" t="str">
        <f t="shared" si="174"/>
        <v>Jul</v>
      </c>
      <c r="K2814" t="str">
        <f t="shared" si="175"/>
        <v>Fri</v>
      </c>
    </row>
    <row r="2815" spans="1:11" x14ac:dyDescent="0.35">
      <c r="A2815" s="1">
        <v>39650</v>
      </c>
      <c r="B2815">
        <v>3.4760000705718901</v>
      </c>
      <c r="C2815">
        <v>3.4900000095367401</v>
      </c>
      <c r="D2815">
        <v>3.3150000572204501</v>
      </c>
      <c r="E2815">
        <v>3.42400002479553</v>
      </c>
      <c r="F2815">
        <v>3.42400002479553</v>
      </c>
      <c r="G2815">
        <v>137938000</v>
      </c>
      <c r="H2815">
        <f t="shared" si="172"/>
        <v>2008</v>
      </c>
      <c r="I2815">
        <f t="shared" si="173"/>
        <v>7</v>
      </c>
      <c r="J2815" t="str">
        <f t="shared" si="174"/>
        <v>Jul</v>
      </c>
      <c r="K2815" t="str">
        <f t="shared" si="175"/>
        <v>Mon</v>
      </c>
    </row>
    <row r="2816" spans="1:11" x14ac:dyDescent="0.35">
      <c r="A2816" s="1">
        <v>39651</v>
      </c>
      <c r="B2816">
        <v>3.3545000553131099</v>
      </c>
      <c r="C2816">
        <v>3.4570000171661301</v>
      </c>
      <c r="D2816">
        <v>3.2939999103546098</v>
      </c>
      <c r="E2816">
        <v>3.3984999656677202</v>
      </c>
      <c r="F2816">
        <v>3.3984999656677202</v>
      </c>
      <c r="G2816">
        <v>175916000</v>
      </c>
      <c r="H2816">
        <f t="shared" si="172"/>
        <v>2008</v>
      </c>
      <c r="I2816">
        <f t="shared" si="173"/>
        <v>7</v>
      </c>
      <c r="J2816" t="str">
        <f t="shared" si="174"/>
        <v>Jul</v>
      </c>
      <c r="K2816" t="str">
        <f t="shared" si="175"/>
        <v>Tue</v>
      </c>
    </row>
    <row r="2817" spans="1:11" x14ac:dyDescent="0.35">
      <c r="A2817" s="1">
        <v>39652</v>
      </c>
      <c r="B2817">
        <v>3.3729999065399099</v>
      </c>
      <c r="C2817">
        <v>3.60349988937377</v>
      </c>
      <c r="D2817">
        <v>3.3729999065399099</v>
      </c>
      <c r="E2817">
        <v>3.5269999504089302</v>
      </c>
      <c r="F2817">
        <v>3.5269999504089302</v>
      </c>
      <c r="G2817">
        <v>358324000</v>
      </c>
      <c r="H2817">
        <f t="shared" si="172"/>
        <v>2008</v>
      </c>
      <c r="I2817">
        <f t="shared" si="173"/>
        <v>7</v>
      </c>
      <c r="J2817" t="str">
        <f t="shared" si="174"/>
        <v>Jul</v>
      </c>
      <c r="K2817" t="str">
        <f t="shared" si="175"/>
        <v>Wed</v>
      </c>
    </row>
    <row r="2818" spans="1:11" x14ac:dyDescent="0.35">
      <c r="A2818" s="1">
        <v>39653</v>
      </c>
      <c r="B2818">
        <v>3.8150000572204501</v>
      </c>
      <c r="C2818">
        <v>4.1189999580383301</v>
      </c>
      <c r="D2818">
        <v>3.8145000934600799</v>
      </c>
      <c r="E2818">
        <v>3.9360001087188698</v>
      </c>
      <c r="F2818">
        <v>3.9360001087188698</v>
      </c>
      <c r="G2818">
        <v>619932000</v>
      </c>
      <c r="H2818">
        <f t="shared" si="172"/>
        <v>2008</v>
      </c>
      <c r="I2818">
        <f t="shared" si="173"/>
        <v>7</v>
      </c>
      <c r="J2818" t="str">
        <f t="shared" si="174"/>
        <v>Jul</v>
      </c>
      <c r="K2818" t="str">
        <f t="shared" si="175"/>
        <v>Thu</v>
      </c>
    </row>
    <row r="2819" spans="1:11" x14ac:dyDescent="0.35">
      <c r="A2819" s="1">
        <v>39654</v>
      </c>
      <c r="B2819">
        <v>3.9814999103546098</v>
      </c>
      <c r="C2819">
        <v>4.0469999313354403</v>
      </c>
      <c r="D2819">
        <v>3.9059998989105198</v>
      </c>
      <c r="E2819">
        <v>3.9154999256134002</v>
      </c>
      <c r="F2819">
        <v>3.9154999256134002</v>
      </c>
      <c r="G2819">
        <v>183014000</v>
      </c>
      <c r="H2819">
        <f t="shared" si="172"/>
        <v>2008</v>
      </c>
      <c r="I2819">
        <f t="shared" si="173"/>
        <v>7</v>
      </c>
      <c r="J2819" t="str">
        <f t="shared" si="174"/>
        <v>Jul</v>
      </c>
      <c r="K2819" t="str">
        <f t="shared" si="175"/>
        <v>Fri</v>
      </c>
    </row>
    <row r="2820" spans="1:11" x14ac:dyDescent="0.35">
      <c r="A2820" s="1">
        <v>39657</v>
      </c>
      <c r="B2820">
        <v>3.8545000553131099</v>
      </c>
      <c r="C2820">
        <v>3.9154999256134002</v>
      </c>
      <c r="D2820">
        <v>3.7430000305175701</v>
      </c>
      <c r="E2820">
        <v>3.79900002479553</v>
      </c>
      <c r="F2820">
        <v>3.79900002479553</v>
      </c>
      <c r="G2820">
        <v>209604000</v>
      </c>
      <c r="H2820">
        <f t="shared" ref="H2820:H2883" si="176">YEAR($A2820)</f>
        <v>2008</v>
      </c>
      <c r="I2820">
        <f t="shared" ref="I2820:I2883" si="177">MONTH($A2820)</f>
        <v>7</v>
      </c>
      <c r="J2820" t="str">
        <f t="shared" ref="J2820:J2883" si="178">TEXT($A2820,"mmm")</f>
        <v>Jul</v>
      </c>
      <c r="K2820" t="str">
        <f t="shared" ref="K2820:K2883" si="179">TEXT($A2820,"ddd")</f>
        <v>Mon</v>
      </c>
    </row>
    <row r="2821" spans="1:11" x14ac:dyDescent="0.35">
      <c r="A2821" s="1">
        <v>39658</v>
      </c>
      <c r="B2821">
        <v>3.8245000839233398</v>
      </c>
      <c r="C2821">
        <v>3.9400000572204501</v>
      </c>
      <c r="D2821">
        <v>3.80800008773803</v>
      </c>
      <c r="E2821">
        <v>3.91050004959106</v>
      </c>
      <c r="F2821">
        <v>3.91050004959106</v>
      </c>
      <c r="G2821">
        <v>135418000</v>
      </c>
      <c r="H2821">
        <f t="shared" si="176"/>
        <v>2008</v>
      </c>
      <c r="I2821">
        <f t="shared" si="177"/>
        <v>7</v>
      </c>
      <c r="J2821" t="str">
        <f t="shared" si="178"/>
        <v>Jul</v>
      </c>
      <c r="K2821" t="str">
        <f t="shared" si="179"/>
        <v>Tue</v>
      </c>
    </row>
    <row r="2822" spans="1:11" x14ac:dyDescent="0.35">
      <c r="A2822" s="1">
        <v>39659</v>
      </c>
      <c r="B2822">
        <v>3.9179999828338601</v>
      </c>
      <c r="C2822">
        <v>3.9925000667571999</v>
      </c>
      <c r="D2822">
        <v>3.82100009918212</v>
      </c>
      <c r="E2822">
        <v>3.91050004959106</v>
      </c>
      <c r="F2822">
        <v>3.91050004959106</v>
      </c>
      <c r="G2822">
        <v>151346000</v>
      </c>
      <c r="H2822">
        <f t="shared" si="176"/>
        <v>2008</v>
      </c>
      <c r="I2822">
        <f t="shared" si="177"/>
        <v>7</v>
      </c>
      <c r="J2822" t="str">
        <f t="shared" si="178"/>
        <v>Jul</v>
      </c>
      <c r="K2822" t="str">
        <f t="shared" si="179"/>
        <v>Wed</v>
      </c>
    </row>
    <row r="2823" spans="1:11" x14ac:dyDescent="0.35">
      <c r="A2823" s="1">
        <v>39660</v>
      </c>
      <c r="B2823">
        <v>3.8375000953674299</v>
      </c>
      <c r="C2823">
        <v>3.9084999561309801</v>
      </c>
      <c r="D2823">
        <v>3.8050000667571999</v>
      </c>
      <c r="E2823">
        <v>3.8169999122619598</v>
      </c>
      <c r="F2823">
        <v>3.8169999122619598</v>
      </c>
      <c r="G2823">
        <v>106014000</v>
      </c>
      <c r="H2823">
        <f t="shared" si="176"/>
        <v>2008</v>
      </c>
      <c r="I2823">
        <f t="shared" si="177"/>
        <v>7</v>
      </c>
      <c r="J2823" t="str">
        <f t="shared" si="178"/>
        <v>Jul</v>
      </c>
      <c r="K2823" t="str">
        <f t="shared" si="179"/>
        <v>Thu</v>
      </c>
    </row>
    <row r="2824" spans="1:11" x14ac:dyDescent="0.35">
      <c r="A2824" s="1">
        <v>39661</v>
      </c>
      <c r="B2824">
        <v>3.8180000782012899</v>
      </c>
      <c r="C2824">
        <v>3.8245000839233398</v>
      </c>
      <c r="D2824">
        <v>3.7025001049041699</v>
      </c>
      <c r="E2824">
        <v>3.7874999046325599</v>
      </c>
      <c r="F2824">
        <v>3.7874999046325599</v>
      </c>
      <c r="G2824">
        <v>95490000</v>
      </c>
      <c r="H2824">
        <f t="shared" si="176"/>
        <v>2008</v>
      </c>
      <c r="I2824">
        <f t="shared" si="177"/>
        <v>8</v>
      </c>
      <c r="J2824" t="str">
        <f t="shared" si="178"/>
        <v>Aug</v>
      </c>
      <c r="K2824" t="str">
        <f t="shared" si="179"/>
        <v>Fri</v>
      </c>
    </row>
    <row r="2825" spans="1:11" x14ac:dyDescent="0.35">
      <c r="A2825" s="1">
        <v>39664</v>
      </c>
      <c r="B2825">
        <v>3.7994999885559002</v>
      </c>
      <c r="C2825">
        <v>3.8650000095367401</v>
      </c>
      <c r="D2825">
        <v>3.7504999637603702</v>
      </c>
      <c r="E2825">
        <v>3.78550004959106</v>
      </c>
      <c r="F2825">
        <v>3.78550004959106</v>
      </c>
      <c r="G2825">
        <v>89964000</v>
      </c>
      <c r="H2825">
        <f t="shared" si="176"/>
        <v>2008</v>
      </c>
      <c r="I2825">
        <f t="shared" si="177"/>
        <v>8</v>
      </c>
      <c r="J2825" t="str">
        <f t="shared" si="178"/>
        <v>Aug</v>
      </c>
      <c r="K2825" t="str">
        <f t="shared" si="179"/>
        <v>Mon</v>
      </c>
    </row>
    <row r="2826" spans="1:11" x14ac:dyDescent="0.35">
      <c r="A2826" s="1">
        <v>39665</v>
      </c>
      <c r="B2826">
        <v>3.8459999561309801</v>
      </c>
      <c r="C2826">
        <v>3.9760000705718901</v>
      </c>
      <c r="D2826">
        <v>3.8259999752044598</v>
      </c>
      <c r="E2826">
        <v>3.9554998874664302</v>
      </c>
      <c r="F2826">
        <v>3.9554998874664302</v>
      </c>
      <c r="G2826">
        <v>155892000</v>
      </c>
      <c r="H2826">
        <f t="shared" si="176"/>
        <v>2008</v>
      </c>
      <c r="I2826">
        <f t="shared" si="177"/>
        <v>8</v>
      </c>
      <c r="J2826" t="str">
        <f t="shared" si="178"/>
        <v>Aug</v>
      </c>
      <c r="K2826" t="str">
        <f t="shared" si="179"/>
        <v>Tue</v>
      </c>
    </row>
    <row r="2827" spans="1:11" x14ac:dyDescent="0.35">
      <c r="A2827" s="1">
        <v>39666</v>
      </c>
      <c r="B2827">
        <v>3.9275000095367401</v>
      </c>
      <c r="C2827">
        <v>3.9314999580383301</v>
      </c>
      <c r="D2827">
        <v>3.8364999294281001</v>
      </c>
      <c r="E2827">
        <v>3.9045000076293901</v>
      </c>
      <c r="F2827">
        <v>3.9045000076293901</v>
      </c>
      <c r="G2827">
        <v>128122000</v>
      </c>
      <c r="H2827">
        <f t="shared" si="176"/>
        <v>2008</v>
      </c>
      <c r="I2827">
        <f t="shared" si="177"/>
        <v>8</v>
      </c>
      <c r="J2827" t="str">
        <f t="shared" si="178"/>
        <v>Aug</v>
      </c>
      <c r="K2827" t="str">
        <f t="shared" si="179"/>
        <v>Wed</v>
      </c>
    </row>
    <row r="2828" spans="1:11" x14ac:dyDescent="0.35">
      <c r="A2828" s="1">
        <v>39667</v>
      </c>
      <c r="B2828">
        <v>3.8505001068115199</v>
      </c>
      <c r="C2828">
        <v>3.9024999141693102</v>
      </c>
      <c r="D2828">
        <v>3.7999999523162802</v>
      </c>
      <c r="E2828">
        <v>3.84750008583068</v>
      </c>
      <c r="F2828">
        <v>3.84750008583068</v>
      </c>
      <c r="G2828">
        <v>108896000</v>
      </c>
      <c r="H2828">
        <f t="shared" si="176"/>
        <v>2008</v>
      </c>
      <c r="I2828">
        <f t="shared" si="177"/>
        <v>8</v>
      </c>
      <c r="J2828" t="str">
        <f t="shared" si="178"/>
        <v>Aug</v>
      </c>
      <c r="K2828" t="str">
        <f t="shared" si="179"/>
        <v>Thu</v>
      </c>
    </row>
    <row r="2829" spans="1:11" x14ac:dyDescent="0.35">
      <c r="A2829" s="1">
        <v>39668</v>
      </c>
      <c r="B2829">
        <v>3.8389999866485498</v>
      </c>
      <c r="C2829">
        <v>4.0605001449584899</v>
      </c>
      <c r="D2829">
        <v>3.8145000934600799</v>
      </c>
      <c r="E2829">
        <v>4.0254998207092196</v>
      </c>
      <c r="F2829">
        <v>4.0254998207092196</v>
      </c>
      <c r="G2829">
        <v>183254000</v>
      </c>
      <c r="H2829">
        <f t="shared" si="176"/>
        <v>2008</v>
      </c>
      <c r="I2829">
        <f t="shared" si="177"/>
        <v>8</v>
      </c>
      <c r="J2829" t="str">
        <f t="shared" si="178"/>
        <v>Aug</v>
      </c>
      <c r="K2829" t="str">
        <f t="shared" si="179"/>
        <v>Fri</v>
      </c>
    </row>
    <row r="2830" spans="1:11" x14ac:dyDescent="0.35">
      <c r="A2830" s="1">
        <v>39671</v>
      </c>
      <c r="B2830">
        <v>4.0089998245239196</v>
      </c>
      <c r="C2830">
        <v>4.5875000953674299</v>
      </c>
      <c r="D2830">
        <v>3.9890000820159899</v>
      </c>
      <c r="E2830">
        <v>4.4045000076293901</v>
      </c>
      <c r="F2830">
        <v>4.4045000076293901</v>
      </c>
      <c r="G2830">
        <v>501404000</v>
      </c>
      <c r="H2830">
        <f t="shared" si="176"/>
        <v>2008</v>
      </c>
      <c r="I2830">
        <f t="shared" si="177"/>
        <v>8</v>
      </c>
      <c r="J2830" t="str">
        <f t="shared" si="178"/>
        <v>Aug</v>
      </c>
      <c r="K2830" t="str">
        <f t="shared" si="179"/>
        <v>Mon</v>
      </c>
    </row>
    <row r="2831" spans="1:11" x14ac:dyDescent="0.35">
      <c r="A2831" s="1">
        <v>39672</v>
      </c>
      <c r="B2831">
        <v>4.3660001754760698</v>
      </c>
      <c r="C2831">
        <v>4.4239997863769496</v>
      </c>
      <c r="D2831">
        <v>4.3049998283386204</v>
      </c>
      <c r="E2831">
        <v>4.3625001907348597</v>
      </c>
      <c r="F2831">
        <v>4.3625001907348597</v>
      </c>
      <c r="G2831">
        <v>160530000</v>
      </c>
      <c r="H2831">
        <f t="shared" si="176"/>
        <v>2008</v>
      </c>
      <c r="I2831">
        <f t="shared" si="177"/>
        <v>8</v>
      </c>
      <c r="J2831" t="str">
        <f t="shared" si="178"/>
        <v>Aug</v>
      </c>
      <c r="K2831" t="str">
        <f t="shared" si="179"/>
        <v>Tue</v>
      </c>
    </row>
    <row r="2832" spans="1:11" x14ac:dyDescent="0.35">
      <c r="A2832" s="1">
        <v>39673</v>
      </c>
      <c r="B2832">
        <v>4.3140001296996999</v>
      </c>
      <c r="C2832">
        <v>4.4124999046325604</v>
      </c>
      <c r="D2832">
        <v>4.2270002365112296</v>
      </c>
      <c r="E2832">
        <v>4.3344998359680096</v>
      </c>
      <c r="F2832">
        <v>4.3344998359680096</v>
      </c>
      <c r="G2832">
        <v>144176000</v>
      </c>
      <c r="H2832">
        <f t="shared" si="176"/>
        <v>2008</v>
      </c>
      <c r="I2832">
        <f t="shared" si="177"/>
        <v>8</v>
      </c>
      <c r="J2832" t="str">
        <f t="shared" si="178"/>
        <v>Aug</v>
      </c>
      <c r="K2832" t="str">
        <f t="shared" si="179"/>
        <v>Wed</v>
      </c>
    </row>
    <row r="2833" spans="1:11" x14ac:dyDescent="0.35">
      <c r="A2833" s="1">
        <v>39674</v>
      </c>
      <c r="B2833">
        <v>4.28550004959106</v>
      </c>
      <c r="C2833">
        <v>4.4375</v>
      </c>
      <c r="D2833">
        <v>4.2610001564025799</v>
      </c>
      <c r="E2833">
        <v>4.4015002250671298</v>
      </c>
      <c r="F2833">
        <v>4.4015002250671298</v>
      </c>
      <c r="G2833">
        <v>138034000</v>
      </c>
      <c r="H2833">
        <f t="shared" si="176"/>
        <v>2008</v>
      </c>
      <c r="I2833">
        <f t="shared" si="177"/>
        <v>8</v>
      </c>
      <c r="J2833" t="str">
        <f t="shared" si="178"/>
        <v>Aug</v>
      </c>
      <c r="K2833" t="str">
        <f t="shared" si="179"/>
        <v>Thu</v>
      </c>
    </row>
    <row r="2834" spans="1:11" x14ac:dyDescent="0.35">
      <c r="A2834" s="1">
        <v>39675</v>
      </c>
      <c r="B2834">
        <v>4.4140000343322701</v>
      </c>
      <c r="C2834">
        <v>4.4765000343322701</v>
      </c>
      <c r="D2834">
        <v>4.3130002021789497</v>
      </c>
      <c r="E2834">
        <v>4.3200001716613698</v>
      </c>
      <c r="F2834">
        <v>4.3200001716613698</v>
      </c>
      <c r="G2834">
        <v>137432000</v>
      </c>
      <c r="H2834">
        <f t="shared" si="176"/>
        <v>2008</v>
      </c>
      <c r="I2834">
        <f t="shared" si="177"/>
        <v>8</v>
      </c>
      <c r="J2834" t="str">
        <f t="shared" si="178"/>
        <v>Aug</v>
      </c>
      <c r="K2834" t="str">
        <f t="shared" si="179"/>
        <v>Fri</v>
      </c>
    </row>
    <row r="2835" spans="1:11" x14ac:dyDescent="0.35">
      <c r="A2835" s="1">
        <v>39678</v>
      </c>
      <c r="B2835">
        <v>4.30450010299682</v>
      </c>
      <c r="C2835">
        <v>4.3140001296996999</v>
      </c>
      <c r="D2835">
        <v>4.1519999504089302</v>
      </c>
      <c r="E2835">
        <v>4.1554999351501403</v>
      </c>
      <c r="F2835">
        <v>4.1554999351501403</v>
      </c>
      <c r="G2835">
        <v>130948000</v>
      </c>
      <c r="H2835">
        <f t="shared" si="176"/>
        <v>2008</v>
      </c>
      <c r="I2835">
        <f t="shared" si="177"/>
        <v>8</v>
      </c>
      <c r="J2835" t="str">
        <f t="shared" si="178"/>
        <v>Aug</v>
      </c>
      <c r="K2835" t="str">
        <f t="shared" si="179"/>
        <v>Mon</v>
      </c>
    </row>
    <row r="2836" spans="1:11" x14ac:dyDescent="0.35">
      <c r="A2836" s="1">
        <v>39679</v>
      </c>
      <c r="B2836">
        <v>4.1545000076293901</v>
      </c>
      <c r="C2836">
        <v>4.1754999160766602</v>
      </c>
      <c r="D2836">
        <v>4.0529999732971103</v>
      </c>
      <c r="E2836">
        <v>4.0644998550415004</v>
      </c>
      <c r="F2836">
        <v>4.0644998550415004</v>
      </c>
      <c r="G2836">
        <v>132608000</v>
      </c>
      <c r="H2836">
        <f t="shared" si="176"/>
        <v>2008</v>
      </c>
      <c r="I2836">
        <f t="shared" si="177"/>
        <v>8</v>
      </c>
      <c r="J2836" t="str">
        <f t="shared" si="178"/>
        <v>Aug</v>
      </c>
      <c r="K2836" t="str">
        <f t="shared" si="179"/>
        <v>Tue</v>
      </c>
    </row>
    <row r="2837" spans="1:11" x14ac:dyDescent="0.35">
      <c r="A2837" s="1">
        <v>39680</v>
      </c>
      <c r="B2837">
        <v>4.0999999046325604</v>
      </c>
      <c r="C2837">
        <v>4.1624999046325604</v>
      </c>
      <c r="D2837">
        <v>4.0599999427795401</v>
      </c>
      <c r="E2837">
        <v>4.1065001487731898</v>
      </c>
      <c r="F2837">
        <v>4.1065001487731898</v>
      </c>
      <c r="G2837">
        <v>119012000</v>
      </c>
      <c r="H2837">
        <f t="shared" si="176"/>
        <v>2008</v>
      </c>
      <c r="I2837">
        <f t="shared" si="177"/>
        <v>8</v>
      </c>
      <c r="J2837" t="str">
        <f t="shared" si="178"/>
        <v>Aug</v>
      </c>
      <c r="K2837" t="str">
        <f t="shared" si="179"/>
        <v>Wed</v>
      </c>
    </row>
    <row r="2838" spans="1:11" x14ac:dyDescent="0.35">
      <c r="A2838" s="1">
        <v>39681</v>
      </c>
      <c r="B2838">
        <v>4.0704998970031703</v>
      </c>
      <c r="C2838">
        <v>4.1884999275207502</v>
      </c>
      <c r="D2838">
        <v>4.0489997863769496</v>
      </c>
      <c r="E2838">
        <v>4.1630001068115199</v>
      </c>
      <c r="F2838">
        <v>4.1630001068115199</v>
      </c>
      <c r="G2838">
        <v>123156000</v>
      </c>
      <c r="H2838">
        <f t="shared" si="176"/>
        <v>2008</v>
      </c>
      <c r="I2838">
        <f t="shared" si="177"/>
        <v>8</v>
      </c>
      <c r="J2838" t="str">
        <f t="shared" si="178"/>
        <v>Aug</v>
      </c>
      <c r="K2838" t="str">
        <f t="shared" si="179"/>
        <v>Thu</v>
      </c>
    </row>
    <row r="2839" spans="1:11" x14ac:dyDescent="0.35">
      <c r="A2839" s="1">
        <v>39682</v>
      </c>
      <c r="B2839">
        <v>4.21350002288818</v>
      </c>
      <c r="C2839">
        <v>4.2729997634887598</v>
      </c>
      <c r="D2839">
        <v>4.1964998245239196</v>
      </c>
      <c r="E2839">
        <v>4.26300001144409</v>
      </c>
      <c r="F2839">
        <v>4.26300001144409</v>
      </c>
      <c r="G2839">
        <v>93556000</v>
      </c>
      <c r="H2839">
        <f t="shared" si="176"/>
        <v>2008</v>
      </c>
      <c r="I2839">
        <f t="shared" si="177"/>
        <v>8</v>
      </c>
      <c r="J2839" t="str">
        <f t="shared" si="178"/>
        <v>Aug</v>
      </c>
      <c r="K2839" t="str">
        <f t="shared" si="179"/>
        <v>Fri</v>
      </c>
    </row>
    <row r="2840" spans="1:11" x14ac:dyDescent="0.35">
      <c r="A2840" s="1">
        <v>39685</v>
      </c>
      <c r="B2840">
        <v>4.2315001487731898</v>
      </c>
      <c r="C2840">
        <v>4.2319998741149902</v>
      </c>
      <c r="D2840">
        <v>4.1224999427795401</v>
      </c>
      <c r="E2840">
        <v>4.1424999237060502</v>
      </c>
      <c r="F2840">
        <v>4.1424999237060502</v>
      </c>
      <c r="G2840">
        <v>87128000</v>
      </c>
      <c r="H2840">
        <f t="shared" si="176"/>
        <v>2008</v>
      </c>
      <c r="I2840">
        <f t="shared" si="177"/>
        <v>8</v>
      </c>
      <c r="J2840" t="str">
        <f t="shared" si="178"/>
        <v>Aug</v>
      </c>
      <c r="K2840" t="str">
        <f t="shared" si="179"/>
        <v>Mon</v>
      </c>
    </row>
    <row r="2841" spans="1:11" x14ac:dyDescent="0.35">
      <c r="A2841" s="1">
        <v>39686</v>
      </c>
      <c r="B2841">
        <v>4.1370000839233398</v>
      </c>
      <c r="C2841">
        <v>4.1560001373290998</v>
      </c>
      <c r="D2841">
        <v>4.0625</v>
      </c>
      <c r="E2841">
        <v>4.0879998207092196</v>
      </c>
      <c r="F2841">
        <v>4.0879998207092196</v>
      </c>
      <c r="G2841">
        <v>87484000</v>
      </c>
      <c r="H2841">
        <f t="shared" si="176"/>
        <v>2008</v>
      </c>
      <c r="I2841">
        <f t="shared" si="177"/>
        <v>8</v>
      </c>
      <c r="J2841" t="str">
        <f t="shared" si="178"/>
        <v>Aug</v>
      </c>
      <c r="K2841" t="str">
        <f t="shared" si="179"/>
        <v>Tue</v>
      </c>
    </row>
    <row r="2842" spans="1:11" x14ac:dyDescent="0.35">
      <c r="A2842" s="1">
        <v>39687</v>
      </c>
      <c r="B2842">
        <v>4.07200002670288</v>
      </c>
      <c r="C2842">
        <v>4.1370000839233398</v>
      </c>
      <c r="D2842">
        <v>4.0500001907348597</v>
      </c>
      <c r="E2842">
        <v>4.0865001678466797</v>
      </c>
      <c r="F2842">
        <v>4.0865001678466797</v>
      </c>
      <c r="G2842">
        <v>112546000</v>
      </c>
      <c r="H2842">
        <f t="shared" si="176"/>
        <v>2008</v>
      </c>
      <c r="I2842">
        <f t="shared" si="177"/>
        <v>8</v>
      </c>
      <c r="J2842" t="str">
        <f t="shared" si="178"/>
        <v>Aug</v>
      </c>
      <c r="K2842" t="str">
        <f t="shared" si="179"/>
        <v>Wed</v>
      </c>
    </row>
    <row r="2843" spans="1:11" x14ac:dyDescent="0.35">
      <c r="A2843" s="1">
        <v>39688</v>
      </c>
      <c r="B2843">
        <v>4.1104998588562003</v>
      </c>
      <c r="C2843">
        <v>4.1824998855590803</v>
      </c>
      <c r="D2843">
        <v>4.0900001525878897</v>
      </c>
      <c r="E2843">
        <v>4.1710000038146902</v>
      </c>
      <c r="F2843">
        <v>4.1710000038146902</v>
      </c>
      <c r="G2843">
        <v>156682000</v>
      </c>
      <c r="H2843">
        <f t="shared" si="176"/>
        <v>2008</v>
      </c>
      <c r="I2843">
        <f t="shared" si="177"/>
        <v>8</v>
      </c>
      <c r="J2843" t="str">
        <f t="shared" si="178"/>
        <v>Aug</v>
      </c>
      <c r="K2843" t="str">
        <f t="shared" si="179"/>
        <v>Thu</v>
      </c>
    </row>
    <row r="2844" spans="1:11" x14ac:dyDescent="0.35">
      <c r="A2844" s="1">
        <v>39689</v>
      </c>
      <c r="B2844">
        <v>4.1449999809265101</v>
      </c>
      <c r="C2844">
        <v>4.1449999809265101</v>
      </c>
      <c r="D2844">
        <v>4.0250000953674299</v>
      </c>
      <c r="E2844">
        <v>4.0405001640319798</v>
      </c>
      <c r="F2844">
        <v>4.0405001640319798</v>
      </c>
      <c r="G2844">
        <v>94574000</v>
      </c>
      <c r="H2844">
        <f t="shared" si="176"/>
        <v>2008</v>
      </c>
      <c r="I2844">
        <f t="shared" si="177"/>
        <v>8</v>
      </c>
      <c r="J2844" t="str">
        <f t="shared" si="178"/>
        <v>Aug</v>
      </c>
      <c r="K2844" t="str">
        <f t="shared" si="179"/>
        <v>Fri</v>
      </c>
    </row>
    <row r="2845" spans="1:11" x14ac:dyDescent="0.35">
      <c r="A2845" s="1">
        <v>39693</v>
      </c>
      <c r="B2845">
        <v>4.1579999923706001</v>
      </c>
      <c r="C2845">
        <v>4.2249999046325604</v>
      </c>
      <c r="D2845">
        <v>4.0605001449584899</v>
      </c>
      <c r="E2845">
        <v>4.0704998970031703</v>
      </c>
      <c r="F2845">
        <v>4.0704998970031703</v>
      </c>
      <c r="G2845">
        <v>120016000</v>
      </c>
      <c r="H2845">
        <f t="shared" si="176"/>
        <v>2008</v>
      </c>
      <c r="I2845">
        <f t="shared" si="177"/>
        <v>9</v>
      </c>
      <c r="J2845" t="str">
        <f t="shared" si="178"/>
        <v>Sep</v>
      </c>
      <c r="K2845" t="str">
        <f t="shared" si="179"/>
        <v>Tue</v>
      </c>
    </row>
    <row r="2846" spans="1:11" x14ac:dyDescent="0.35">
      <c r="A2846" s="1">
        <v>39694</v>
      </c>
      <c r="B2846">
        <v>4.0700001716613698</v>
      </c>
      <c r="C2846">
        <v>4.0999999046325604</v>
      </c>
      <c r="D2846">
        <v>4.0009999275207502</v>
      </c>
      <c r="E2846">
        <v>4.0384998321533203</v>
      </c>
      <c r="F2846">
        <v>4.0384998321533203</v>
      </c>
      <c r="G2846">
        <v>114852000</v>
      </c>
      <c r="H2846">
        <f t="shared" si="176"/>
        <v>2008</v>
      </c>
      <c r="I2846">
        <f t="shared" si="177"/>
        <v>9</v>
      </c>
      <c r="J2846" t="str">
        <f t="shared" si="178"/>
        <v>Sep</v>
      </c>
      <c r="K2846" t="str">
        <f t="shared" si="179"/>
        <v>Wed</v>
      </c>
    </row>
    <row r="2847" spans="1:11" x14ac:dyDescent="0.35">
      <c r="A2847" s="1">
        <v>39695</v>
      </c>
      <c r="B2847">
        <v>4.0300002098083496</v>
      </c>
      <c r="C2847">
        <v>4.0405001640319798</v>
      </c>
      <c r="D2847">
        <v>3.90100002288818</v>
      </c>
      <c r="E2847">
        <v>3.9014999866485498</v>
      </c>
      <c r="F2847">
        <v>3.9014999866485498</v>
      </c>
      <c r="G2847">
        <v>166330000</v>
      </c>
      <c r="H2847">
        <f t="shared" si="176"/>
        <v>2008</v>
      </c>
      <c r="I2847">
        <f t="shared" si="177"/>
        <v>9</v>
      </c>
      <c r="J2847" t="str">
        <f t="shared" si="178"/>
        <v>Sep</v>
      </c>
      <c r="K2847" t="str">
        <f t="shared" si="179"/>
        <v>Thu</v>
      </c>
    </row>
    <row r="2848" spans="1:11" x14ac:dyDescent="0.35">
      <c r="A2848" s="1">
        <v>39696</v>
      </c>
      <c r="B2848">
        <v>3.86700010299682</v>
      </c>
      <c r="C2848">
        <v>4.0359997749328604</v>
      </c>
      <c r="D2848">
        <v>3.8540000915527299</v>
      </c>
      <c r="E2848">
        <v>3.95950007438659</v>
      </c>
      <c r="F2848">
        <v>3.95950007438659</v>
      </c>
      <c r="G2848">
        <v>161382000</v>
      </c>
      <c r="H2848">
        <f t="shared" si="176"/>
        <v>2008</v>
      </c>
      <c r="I2848">
        <f t="shared" si="177"/>
        <v>9</v>
      </c>
      <c r="J2848" t="str">
        <f t="shared" si="178"/>
        <v>Sep</v>
      </c>
      <c r="K2848" t="str">
        <f t="shared" si="179"/>
        <v>Fri</v>
      </c>
    </row>
    <row r="2849" spans="1:11" x14ac:dyDescent="0.35">
      <c r="A2849" s="1">
        <v>39699</v>
      </c>
      <c r="B2849">
        <v>4.1125001907348597</v>
      </c>
      <c r="C2849">
        <v>4.1875</v>
      </c>
      <c r="D2849">
        <v>3.94250011444091</v>
      </c>
      <c r="E2849">
        <v>4.05800008773803</v>
      </c>
      <c r="F2849">
        <v>4.05800008773803</v>
      </c>
      <c r="G2849">
        <v>189812000</v>
      </c>
      <c r="H2849">
        <f t="shared" si="176"/>
        <v>2008</v>
      </c>
      <c r="I2849">
        <f t="shared" si="177"/>
        <v>9</v>
      </c>
      <c r="J2849" t="str">
        <f t="shared" si="178"/>
        <v>Sep</v>
      </c>
      <c r="K2849" t="str">
        <f t="shared" si="179"/>
        <v>Mon</v>
      </c>
    </row>
    <row r="2850" spans="1:11" x14ac:dyDescent="0.35">
      <c r="A2850" s="1">
        <v>39700</v>
      </c>
      <c r="B2850">
        <v>4.0380001068115199</v>
      </c>
      <c r="C2850">
        <v>4.09800004959106</v>
      </c>
      <c r="D2850">
        <v>3.9495000839233398</v>
      </c>
      <c r="E2850">
        <v>3.95199990272521</v>
      </c>
      <c r="F2850">
        <v>3.95199990272521</v>
      </c>
      <c r="G2850">
        <v>116436000</v>
      </c>
      <c r="H2850">
        <f t="shared" si="176"/>
        <v>2008</v>
      </c>
      <c r="I2850">
        <f t="shared" si="177"/>
        <v>9</v>
      </c>
      <c r="J2850" t="str">
        <f t="shared" si="178"/>
        <v>Sep</v>
      </c>
      <c r="K2850" t="str">
        <f t="shared" si="179"/>
        <v>Tue</v>
      </c>
    </row>
    <row r="2851" spans="1:11" x14ac:dyDescent="0.35">
      <c r="A2851" s="1">
        <v>39701</v>
      </c>
      <c r="B2851">
        <v>4.0005002021789497</v>
      </c>
      <c r="C2851">
        <v>4.0110001564025799</v>
      </c>
      <c r="D2851">
        <v>3.8074998855590798</v>
      </c>
      <c r="E2851">
        <v>3.8369998931884699</v>
      </c>
      <c r="F2851">
        <v>3.8369998931884699</v>
      </c>
      <c r="G2851">
        <v>188894000</v>
      </c>
      <c r="H2851">
        <f t="shared" si="176"/>
        <v>2008</v>
      </c>
      <c r="I2851">
        <f t="shared" si="177"/>
        <v>9</v>
      </c>
      <c r="J2851" t="str">
        <f t="shared" si="178"/>
        <v>Sep</v>
      </c>
      <c r="K2851" t="str">
        <f t="shared" si="179"/>
        <v>Wed</v>
      </c>
    </row>
    <row r="2852" spans="1:11" x14ac:dyDescent="0.35">
      <c r="A2852" s="1">
        <v>39702</v>
      </c>
      <c r="B2852">
        <v>3.7634999752044598</v>
      </c>
      <c r="C2852">
        <v>3.9900000095367401</v>
      </c>
      <c r="D2852">
        <v>3.75500011444091</v>
      </c>
      <c r="E2852">
        <v>3.9755001068115199</v>
      </c>
      <c r="F2852">
        <v>3.9755001068115199</v>
      </c>
      <c r="G2852">
        <v>156272000</v>
      </c>
      <c r="H2852">
        <f t="shared" si="176"/>
        <v>2008</v>
      </c>
      <c r="I2852">
        <f t="shared" si="177"/>
        <v>9</v>
      </c>
      <c r="J2852" t="str">
        <f t="shared" si="178"/>
        <v>Sep</v>
      </c>
      <c r="K2852" t="str">
        <f t="shared" si="179"/>
        <v>Thu</v>
      </c>
    </row>
    <row r="2853" spans="1:11" x14ac:dyDescent="0.35">
      <c r="A2853" s="1">
        <v>39703</v>
      </c>
      <c r="B2853">
        <v>3.9405000209808301</v>
      </c>
      <c r="C2853">
        <v>3.9800000190734801</v>
      </c>
      <c r="D2853">
        <v>3.83100008964538</v>
      </c>
      <c r="E2853">
        <v>3.9149999618530198</v>
      </c>
      <c r="F2853">
        <v>3.9149999618530198</v>
      </c>
      <c r="G2853">
        <v>129602000</v>
      </c>
      <c r="H2853">
        <f t="shared" si="176"/>
        <v>2008</v>
      </c>
      <c r="I2853">
        <f t="shared" si="177"/>
        <v>9</v>
      </c>
      <c r="J2853" t="str">
        <f t="shared" si="178"/>
        <v>Sep</v>
      </c>
      <c r="K2853" t="str">
        <f t="shared" si="179"/>
        <v>Fri</v>
      </c>
    </row>
    <row r="2854" spans="1:11" x14ac:dyDescent="0.35">
      <c r="A2854" s="1">
        <v>39706</v>
      </c>
      <c r="B2854">
        <v>3.8429999351501398</v>
      </c>
      <c r="C2854">
        <v>3.9939999580383301</v>
      </c>
      <c r="D2854">
        <v>3.8150000572204501</v>
      </c>
      <c r="E2854">
        <v>3.86700010299682</v>
      </c>
      <c r="F2854">
        <v>3.86700010299682</v>
      </c>
      <c r="G2854">
        <v>179616000</v>
      </c>
      <c r="H2854">
        <f t="shared" si="176"/>
        <v>2008</v>
      </c>
      <c r="I2854">
        <f t="shared" si="177"/>
        <v>9</v>
      </c>
      <c r="J2854" t="str">
        <f t="shared" si="178"/>
        <v>Sep</v>
      </c>
      <c r="K2854" t="str">
        <f t="shared" si="179"/>
        <v>Mon</v>
      </c>
    </row>
    <row r="2855" spans="1:11" x14ac:dyDescent="0.35">
      <c r="A2855" s="1">
        <v>39707</v>
      </c>
      <c r="B2855">
        <v>3.8399999141693102</v>
      </c>
      <c r="C2855">
        <v>3.9814999103546098</v>
      </c>
      <c r="D2855">
        <v>3.8334999084472599</v>
      </c>
      <c r="E2855">
        <v>3.9365000724792401</v>
      </c>
      <c r="F2855">
        <v>3.9365000724792401</v>
      </c>
      <c r="G2855">
        <v>261844000</v>
      </c>
      <c r="H2855">
        <f t="shared" si="176"/>
        <v>2008</v>
      </c>
      <c r="I2855">
        <f t="shared" si="177"/>
        <v>9</v>
      </c>
      <c r="J2855" t="str">
        <f t="shared" si="178"/>
        <v>Sep</v>
      </c>
      <c r="K2855" t="str">
        <f t="shared" si="179"/>
        <v>Tue</v>
      </c>
    </row>
    <row r="2856" spans="1:11" x14ac:dyDescent="0.35">
      <c r="A2856" s="1">
        <v>39708</v>
      </c>
      <c r="B2856">
        <v>3.8840000629425</v>
      </c>
      <c r="C2856">
        <v>3.9119999408721902</v>
      </c>
      <c r="D2856">
        <v>3.56200003623962</v>
      </c>
      <c r="E2856">
        <v>3.57699990272521</v>
      </c>
      <c r="F2856">
        <v>3.57699990272521</v>
      </c>
      <c r="G2856">
        <v>263312000</v>
      </c>
      <c r="H2856">
        <f t="shared" si="176"/>
        <v>2008</v>
      </c>
      <c r="I2856">
        <f t="shared" si="177"/>
        <v>9</v>
      </c>
      <c r="J2856" t="str">
        <f t="shared" si="178"/>
        <v>Sep</v>
      </c>
      <c r="K2856" t="str">
        <f t="shared" si="179"/>
        <v>Wed</v>
      </c>
    </row>
    <row r="2857" spans="1:11" x14ac:dyDescent="0.35">
      <c r="A2857" s="1">
        <v>39709</v>
      </c>
      <c r="B2857">
        <v>3.6540000438690101</v>
      </c>
      <c r="C2857">
        <v>3.875</v>
      </c>
      <c r="D2857">
        <v>3.5039999485015798</v>
      </c>
      <c r="E2857">
        <v>3.82500004768371</v>
      </c>
      <c r="F2857">
        <v>3.82500004768371</v>
      </c>
      <c r="G2857">
        <v>247944000</v>
      </c>
      <c r="H2857">
        <f t="shared" si="176"/>
        <v>2008</v>
      </c>
      <c r="I2857">
        <f t="shared" si="177"/>
        <v>9</v>
      </c>
      <c r="J2857" t="str">
        <f t="shared" si="178"/>
        <v>Sep</v>
      </c>
      <c r="K2857" t="str">
        <f t="shared" si="179"/>
        <v>Thu</v>
      </c>
    </row>
    <row r="2858" spans="1:11" x14ac:dyDescent="0.35">
      <c r="A2858" s="1">
        <v>39710</v>
      </c>
      <c r="B2858">
        <v>4.0060000419616699</v>
      </c>
      <c r="C2858">
        <v>4.33850002288818</v>
      </c>
      <c r="D2858">
        <v>3.82500004768371</v>
      </c>
      <c r="E2858">
        <v>4.0500001907348597</v>
      </c>
      <c r="F2858">
        <v>4.0500001907348597</v>
      </c>
      <c r="G2858">
        <v>295444000</v>
      </c>
      <c r="H2858">
        <f t="shared" si="176"/>
        <v>2008</v>
      </c>
      <c r="I2858">
        <f t="shared" si="177"/>
        <v>9</v>
      </c>
      <c r="J2858" t="str">
        <f t="shared" si="178"/>
        <v>Sep</v>
      </c>
      <c r="K2858" t="str">
        <f t="shared" si="179"/>
        <v>Fri</v>
      </c>
    </row>
    <row r="2859" spans="1:11" x14ac:dyDescent="0.35">
      <c r="A2859" s="1">
        <v>39713</v>
      </c>
      <c r="B2859">
        <v>4.0564999580383301</v>
      </c>
      <c r="C2859">
        <v>4.0815000534057599</v>
      </c>
      <c r="D2859">
        <v>3.7160000801086399</v>
      </c>
      <c r="E2859">
        <v>3.7465000152587802</v>
      </c>
      <c r="F2859">
        <v>3.7465000152587802</v>
      </c>
      <c r="G2859">
        <v>140754000</v>
      </c>
      <c r="H2859">
        <f t="shared" si="176"/>
        <v>2008</v>
      </c>
      <c r="I2859">
        <f t="shared" si="177"/>
        <v>9</v>
      </c>
      <c r="J2859" t="str">
        <f t="shared" si="178"/>
        <v>Sep</v>
      </c>
      <c r="K2859" t="str">
        <f t="shared" si="179"/>
        <v>Mon</v>
      </c>
    </row>
    <row r="2860" spans="1:11" x14ac:dyDescent="0.35">
      <c r="A2860" s="1">
        <v>39714</v>
      </c>
      <c r="B2860">
        <v>3.78949999809265</v>
      </c>
      <c r="C2860">
        <v>3.8145000934600799</v>
      </c>
      <c r="D2860">
        <v>3.5385000705718901</v>
      </c>
      <c r="E2860">
        <v>3.5880000591278001</v>
      </c>
      <c r="F2860">
        <v>3.5880000591278001</v>
      </c>
      <c r="G2860">
        <v>171884000</v>
      </c>
      <c r="H2860">
        <f t="shared" si="176"/>
        <v>2008</v>
      </c>
      <c r="I2860">
        <f t="shared" si="177"/>
        <v>9</v>
      </c>
      <c r="J2860" t="str">
        <f t="shared" si="178"/>
        <v>Sep</v>
      </c>
      <c r="K2860" t="str">
        <f t="shared" si="179"/>
        <v>Tue</v>
      </c>
    </row>
    <row r="2861" spans="1:11" x14ac:dyDescent="0.35">
      <c r="A2861" s="1">
        <v>39715</v>
      </c>
      <c r="B2861">
        <v>3.6150000095367401</v>
      </c>
      <c r="C2861">
        <v>3.6824998855590798</v>
      </c>
      <c r="D2861">
        <v>3.44700002670288</v>
      </c>
      <c r="E2861">
        <v>3.4979999065399099</v>
      </c>
      <c r="F2861">
        <v>3.4979999065399099</v>
      </c>
      <c r="G2861">
        <v>187448000</v>
      </c>
      <c r="H2861">
        <f t="shared" si="176"/>
        <v>2008</v>
      </c>
      <c r="I2861">
        <f t="shared" si="177"/>
        <v>9</v>
      </c>
      <c r="J2861" t="str">
        <f t="shared" si="178"/>
        <v>Sep</v>
      </c>
      <c r="K2861" t="str">
        <f t="shared" si="179"/>
        <v>Wed</v>
      </c>
    </row>
    <row r="2862" spans="1:11" x14ac:dyDescent="0.35">
      <c r="A2862" s="1">
        <v>39716</v>
      </c>
      <c r="B2862">
        <v>3.5329999923706001</v>
      </c>
      <c r="C2862">
        <v>3.63750004768371</v>
      </c>
      <c r="D2862">
        <v>3.5004999637603702</v>
      </c>
      <c r="E2862">
        <v>3.6040000915527299</v>
      </c>
      <c r="F2862">
        <v>3.6040000915527299</v>
      </c>
      <c r="G2862">
        <v>121460000</v>
      </c>
      <c r="H2862">
        <f t="shared" si="176"/>
        <v>2008</v>
      </c>
      <c r="I2862">
        <f t="shared" si="177"/>
        <v>9</v>
      </c>
      <c r="J2862" t="str">
        <f t="shared" si="178"/>
        <v>Sep</v>
      </c>
      <c r="K2862" t="str">
        <f t="shared" si="179"/>
        <v>Thu</v>
      </c>
    </row>
    <row r="2863" spans="1:11" x14ac:dyDescent="0.35">
      <c r="A2863" s="1">
        <v>39717</v>
      </c>
      <c r="B2863">
        <v>3.4760000705718901</v>
      </c>
      <c r="C2863">
        <v>3.5525000095367401</v>
      </c>
      <c r="D2863">
        <v>3.4040000438690101</v>
      </c>
      <c r="E2863">
        <v>3.53500008583068</v>
      </c>
      <c r="F2863">
        <v>3.53500008583068</v>
      </c>
      <c r="G2863">
        <v>134942000</v>
      </c>
      <c r="H2863">
        <f t="shared" si="176"/>
        <v>2008</v>
      </c>
      <c r="I2863">
        <f t="shared" si="177"/>
        <v>9</v>
      </c>
      <c r="J2863" t="str">
        <f t="shared" si="178"/>
        <v>Sep</v>
      </c>
      <c r="K2863" t="str">
        <f t="shared" si="179"/>
        <v>Fri</v>
      </c>
    </row>
    <row r="2864" spans="1:11" x14ac:dyDescent="0.35">
      <c r="A2864" s="1">
        <v>39720</v>
      </c>
      <c r="B2864">
        <v>3.42050004005432</v>
      </c>
      <c r="C2864">
        <v>3.4684998989105198</v>
      </c>
      <c r="D2864">
        <v>3.06599998474121</v>
      </c>
      <c r="E2864">
        <v>3.1675000190734801</v>
      </c>
      <c r="F2864">
        <v>3.1675000190734801</v>
      </c>
      <c r="G2864">
        <v>240086000</v>
      </c>
      <c r="H2864">
        <f t="shared" si="176"/>
        <v>2008</v>
      </c>
      <c r="I2864">
        <f t="shared" si="177"/>
        <v>9</v>
      </c>
      <c r="J2864" t="str">
        <f t="shared" si="178"/>
        <v>Sep</v>
      </c>
      <c r="K2864" t="str">
        <f t="shared" si="179"/>
        <v>Mon</v>
      </c>
    </row>
    <row r="2865" spans="1:11" x14ac:dyDescent="0.35">
      <c r="A2865" s="1">
        <v>39721</v>
      </c>
      <c r="B2865">
        <v>3.2920000553131099</v>
      </c>
      <c r="C2865">
        <v>3.6559998989105198</v>
      </c>
      <c r="D2865">
        <v>3.2660000324249201</v>
      </c>
      <c r="E2865">
        <v>3.63800001144409</v>
      </c>
      <c r="F2865">
        <v>3.63800001144409</v>
      </c>
      <c r="G2865">
        <v>260938000</v>
      </c>
      <c r="H2865">
        <f t="shared" si="176"/>
        <v>2008</v>
      </c>
      <c r="I2865">
        <f t="shared" si="177"/>
        <v>9</v>
      </c>
      <c r="J2865" t="str">
        <f t="shared" si="178"/>
        <v>Sep</v>
      </c>
      <c r="K2865" t="str">
        <f t="shared" si="179"/>
        <v>Tue</v>
      </c>
    </row>
    <row r="2866" spans="1:11" x14ac:dyDescent="0.35">
      <c r="A2866" s="1">
        <v>39722</v>
      </c>
      <c r="B2866">
        <v>3.5889999866485498</v>
      </c>
      <c r="C2866">
        <v>3.5994999408721902</v>
      </c>
      <c r="D2866">
        <v>3.42050004005432</v>
      </c>
      <c r="E2866">
        <v>3.4790000915527299</v>
      </c>
      <c r="F2866">
        <v>3.4790000915527299</v>
      </c>
      <c r="G2866">
        <v>192444000</v>
      </c>
      <c r="H2866">
        <f t="shared" si="176"/>
        <v>2008</v>
      </c>
      <c r="I2866">
        <f t="shared" si="177"/>
        <v>10</v>
      </c>
      <c r="J2866" t="str">
        <f t="shared" si="178"/>
        <v>Oct</v>
      </c>
      <c r="K2866" t="str">
        <f t="shared" si="179"/>
        <v>Wed</v>
      </c>
    </row>
    <row r="2867" spans="1:11" x14ac:dyDescent="0.35">
      <c r="A2867" s="1">
        <v>39723</v>
      </c>
      <c r="B2867">
        <v>3.3815000057220401</v>
      </c>
      <c r="C2867">
        <v>3.4479999542236301</v>
      </c>
      <c r="D2867">
        <v>3.2704999446868799</v>
      </c>
      <c r="E2867">
        <v>3.3680000305175701</v>
      </c>
      <c r="F2867">
        <v>3.3680000305175701</v>
      </c>
      <c r="G2867">
        <v>174522000</v>
      </c>
      <c r="H2867">
        <f t="shared" si="176"/>
        <v>2008</v>
      </c>
      <c r="I2867">
        <f t="shared" si="177"/>
        <v>10</v>
      </c>
      <c r="J2867" t="str">
        <f t="shared" si="178"/>
        <v>Oct</v>
      </c>
      <c r="K2867" t="str">
        <f t="shared" si="179"/>
        <v>Thu</v>
      </c>
    </row>
    <row r="2868" spans="1:11" x14ac:dyDescent="0.35">
      <c r="A2868" s="1">
        <v>39724</v>
      </c>
      <c r="B2868">
        <v>3.4709999561309801</v>
      </c>
      <c r="C2868">
        <v>3.5474998950958199</v>
      </c>
      <c r="D2868">
        <v>3.3294999599456698</v>
      </c>
      <c r="E2868">
        <v>3.3499999046325599</v>
      </c>
      <c r="F2868">
        <v>3.3499999046325599</v>
      </c>
      <c r="G2868">
        <v>224562000</v>
      </c>
      <c r="H2868">
        <f t="shared" si="176"/>
        <v>2008</v>
      </c>
      <c r="I2868">
        <f t="shared" si="177"/>
        <v>10</v>
      </c>
      <c r="J2868" t="str">
        <f t="shared" si="178"/>
        <v>Oct</v>
      </c>
      <c r="K2868" t="str">
        <f t="shared" si="179"/>
        <v>Fri</v>
      </c>
    </row>
    <row r="2869" spans="1:11" x14ac:dyDescent="0.35">
      <c r="A2869" s="1">
        <v>39727</v>
      </c>
      <c r="B2869">
        <v>3.2030000686645499</v>
      </c>
      <c r="C2869">
        <v>3.29450011253356</v>
      </c>
      <c r="D2869">
        <v>3.0234999656677202</v>
      </c>
      <c r="E2869">
        <v>3.2614998817443799</v>
      </c>
      <c r="F2869">
        <v>3.2614998817443799</v>
      </c>
      <c r="G2869">
        <v>267710000</v>
      </c>
      <c r="H2869">
        <f t="shared" si="176"/>
        <v>2008</v>
      </c>
      <c r="I2869">
        <f t="shared" si="177"/>
        <v>10</v>
      </c>
      <c r="J2869" t="str">
        <f t="shared" si="178"/>
        <v>Oct</v>
      </c>
      <c r="K2869" t="str">
        <f t="shared" si="179"/>
        <v>Mon</v>
      </c>
    </row>
    <row r="2870" spans="1:11" x14ac:dyDescent="0.35">
      <c r="A2870" s="1">
        <v>39728</v>
      </c>
      <c r="B2870">
        <v>3.28949999809265</v>
      </c>
      <c r="C2870">
        <v>3.3215000629425</v>
      </c>
      <c r="D2870">
        <v>2.9249999523162802</v>
      </c>
      <c r="E2870">
        <v>2.9260001182556099</v>
      </c>
      <c r="F2870">
        <v>2.9260001182556099</v>
      </c>
      <c r="G2870">
        <v>255120000</v>
      </c>
      <c r="H2870">
        <f t="shared" si="176"/>
        <v>2008</v>
      </c>
      <c r="I2870">
        <f t="shared" si="177"/>
        <v>10</v>
      </c>
      <c r="J2870" t="str">
        <f t="shared" si="178"/>
        <v>Oct</v>
      </c>
      <c r="K2870" t="str">
        <f t="shared" si="179"/>
        <v>Tue</v>
      </c>
    </row>
    <row r="2871" spans="1:11" x14ac:dyDescent="0.35">
      <c r="A2871" s="1">
        <v>39729</v>
      </c>
      <c r="B2871">
        <v>2.78200006484985</v>
      </c>
      <c r="C2871">
        <v>3.13750004768371</v>
      </c>
      <c r="D2871">
        <v>2.7674999237060498</v>
      </c>
      <c r="E2871">
        <v>3.0510001182556099</v>
      </c>
      <c r="F2871">
        <v>3.0510001182556099</v>
      </c>
      <c r="G2871">
        <v>286490000</v>
      </c>
      <c r="H2871">
        <f t="shared" si="176"/>
        <v>2008</v>
      </c>
      <c r="I2871">
        <f t="shared" si="177"/>
        <v>10</v>
      </c>
      <c r="J2871" t="str">
        <f t="shared" si="178"/>
        <v>Oct</v>
      </c>
      <c r="K2871" t="str">
        <f t="shared" si="179"/>
        <v>Wed</v>
      </c>
    </row>
    <row r="2872" spans="1:11" x14ac:dyDescent="0.35">
      <c r="A2872" s="1">
        <v>39730</v>
      </c>
      <c r="B2872">
        <v>3.09850001335144</v>
      </c>
      <c r="C2872">
        <v>3.1749999523162802</v>
      </c>
      <c r="D2872">
        <v>2.7999999523162802</v>
      </c>
      <c r="E2872">
        <v>2.7999999523162802</v>
      </c>
      <c r="F2872">
        <v>2.7999999523162802</v>
      </c>
      <c r="G2872">
        <v>278618000</v>
      </c>
      <c r="H2872">
        <f t="shared" si="176"/>
        <v>2008</v>
      </c>
      <c r="I2872">
        <f t="shared" si="177"/>
        <v>10</v>
      </c>
      <c r="J2872" t="str">
        <f t="shared" si="178"/>
        <v>Oct</v>
      </c>
      <c r="K2872" t="str">
        <f t="shared" si="179"/>
        <v>Thu</v>
      </c>
    </row>
    <row r="2873" spans="1:11" x14ac:dyDescent="0.35">
      <c r="A2873" s="1">
        <v>39731</v>
      </c>
      <c r="B2873">
        <v>2.6494998931884699</v>
      </c>
      <c r="C2873">
        <v>2.9874999523162802</v>
      </c>
      <c r="D2873">
        <v>2.5525000095367401</v>
      </c>
      <c r="E2873">
        <v>2.8125</v>
      </c>
      <c r="F2873">
        <v>2.8125</v>
      </c>
      <c r="G2873">
        <v>360434000</v>
      </c>
      <c r="H2873">
        <f t="shared" si="176"/>
        <v>2008</v>
      </c>
      <c r="I2873">
        <f t="shared" si="177"/>
        <v>10</v>
      </c>
      <c r="J2873" t="str">
        <f t="shared" si="178"/>
        <v>Oct</v>
      </c>
      <c r="K2873" t="str">
        <f t="shared" si="179"/>
        <v>Fri</v>
      </c>
    </row>
    <row r="2874" spans="1:11" x14ac:dyDescent="0.35">
      <c r="A2874" s="1">
        <v>39734</v>
      </c>
      <c r="B2874">
        <v>2.9479999542236301</v>
      </c>
      <c r="C2874">
        <v>3.1105000972747798</v>
      </c>
      <c r="D2874">
        <v>2.8684999942779501</v>
      </c>
      <c r="E2874">
        <v>3.1010000705718901</v>
      </c>
      <c r="F2874">
        <v>3.1010000705718901</v>
      </c>
      <c r="G2874">
        <v>223896000</v>
      </c>
      <c r="H2874">
        <f t="shared" si="176"/>
        <v>2008</v>
      </c>
      <c r="I2874">
        <f t="shared" si="177"/>
        <v>10</v>
      </c>
      <c r="J2874" t="str">
        <f t="shared" si="178"/>
        <v>Oct</v>
      </c>
      <c r="K2874" t="str">
        <f t="shared" si="179"/>
        <v>Mon</v>
      </c>
    </row>
    <row r="2875" spans="1:11" x14ac:dyDescent="0.35">
      <c r="A2875" s="1">
        <v>39735</v>
      </c>
      <c r="B2875">
        <v>3.1749999523162802</v>
      </c>
      <c r="C2875">
        <v>3.20000004768371</v>
      </c>
      <c r="D2875">
        <v>2.7400000095367401</v>
      </c>
      <c r="E2875">
        <v>2.7929999828338601</v>
      </c>
      <c r="F2875">
        <v>2.7929999828338601</v>
      </c>
      <c r="G2875">
        <v>346132000</v>
      </c>
      <c r="H2875">
        <f t="shared" si="176"/>
        <v>2008</v>
      </c>
      <c r="I2875">
        <f t="shared" si="177"/>
        <v>10</v>
      </c>
      <c r="J2875" t="str">
        <f t="shared" si="178"/>
        <v>Oct</v>
      </c>
      <c r="K2875" t="str">
        <f t="shared" si="179"/>
        <v>Tue</v>
      </c>
    </row>
    <row r="2876" spans="1:11" x14ac:dyDescent="0.35">
      <c r="A2876" s="1">
        <v>39736</v>
      </c>
      <c r="B2876">
        <v>2.72300004959106</v>
      </c>
      <c r="C2876">
        <v>2.7344999313354399</v>
      </c>
      <c r="D2876">
        <v>2.4175000190734801</v>
      </c>
      <c r="E2876">
        <v>2.4360001087188698</v>
      </c>
      <c r="F2876">
        <v>2.4360001087188698</v>
      </c>
      <c r="G2876">
        <v>325152000</v>
      </c>
      <c r="H2876">
        <f t="shared" si="176"/>
        <v>2008</v>
      </c>
      <c r="I2876">
        <f t="shared" si="177"/>
        <v>10</v>
      </c>
      <c r="J2876" t="str">
        <f t="shared" si="178"/>
        <v>Oct</v>
      </c>
      <c r="K2876" t="str">
        <f t="shared" si="179"/>
        <v>Wed</v>
      </c>
    </row>
    <row r="2877" spans="1:11" x14ac:dyDescent="0.35">
      <c r="A2877" s="1">
        <v>39737</v>
      </c>
      <c r="B2877">
        <v>2.3199999332427899</v>
      </c>
      <c r="C2877">
        <v>2.53500008583068</v>
      </c>
      <c r="D2877">
        <v>2.16950011253356</v>
      </c>
      <c r="E2877">
        <v>2.51449990272521</v>
      </c>
      <c r="F2877">
        <v>2.51449990272521</v>
      </c>
      <c r="G2877">
        <v>441622000</v>
      </c>
      <c r="H2877">
        <f t="shared" si="176"/>
        <v>2008</v>
      </c>
      <c r="I2877">
        <f t="shared" si="177"/>
        <v>10</v>
      </c>
      <c r="J2877" t="str">
        <f t="shared" si="178"/>
        <v>Oct</v>
      </c>
      <c r="K2877" t="str">
        <f t="shared" si="179"/>
        <v>Thu</v>
      </c>
    </row>
    <row r="2878" spans="1:11" x14ac:dyDescent="0.35">
      <c r="A2878" s="1">
        <v>39738</v>
      </c>
      <c r="B2878">
        <v>2.4414999485015798</v>
      </c>
      <c r="C2878">
        <v>3.1164999008178702</v>
      </c>
      <c r="D2878">
        <v>2.42050004005432</v>
      </c>
      <c r="E2878">
        <v>2.5325000286102202</v>
      </c>
      <c r="F2878">
        <v>2.5325000286102202</v>
      </c>
      <c r="G2878">
        <v>258928000</v>
      </c>
      <c r="H2878">
        <f t="shared" si="176"/>
        <v>2008</v>
      </c>
      <c r="I2878">
        <f t="shared" si="177"/>
        <v>10</v>
      </c>
      <c r="J2878" t="str">
        <f t="shared" si="178"/>
        <v>Oct</v>
      </c>
      <c r="K2878" t="str">
        <f t="shared" si="179"/>
        <v>Fri</v>
      </c>
    </row>
    <row r="2879" spans="1:11" x14ac:dyDescent="0.35">
      <c r="A2879" s="1">
        <v>39741</v>
      </c>
      <c r="B2879">
        <v>2.6085000038146902</v>
      </c>
      <c r="C2879">
        <v>2.6549999713897701</v>
      </c>
      <c r="D2879">
        <v>2.49550008773803</v>
      </c>
      <c r="E2879">
        <v>2.6484999656677202</v>
      </c>
      <c r="F2879">
        <v>2.6484999656677202</v>
      </c>
      <c r="G2879">
        <v>169042000</v>
      </c>
      <c r="H2879">
        <f t="shared" si="176"/>
        <v>2008</v>
      </c>
      <c r="I2879">
        <f t="shared" si="177"/>
        <v>10</v>
      </c>
      <c r="J2879" t="str">
        <f t="shared" si="178"/>
        <v>Oct</v>
      </c>
      <c r="K2879" t="str">
        <f t="shared" si="179"/>
        <v>Mon</v>
      </c>
    </row>
    <row r="2880" spans="1:11" x14ac:dyDescent="0.35">
      <c r="A2880" s="1">
        <v>39742</v>
      </c>
      <c r="B2880">
        <v>2.5929999351501398</v>
      </c>
      <c r="C2880">
        <v>2.64750003814697</v>
      </c>
      <c r="D2880">
        <v>2.49600005149841</v>
      </c>
      <c r="E2880">
        <v>2.5114998817443799</v>
      </c>
      <c r="F2880">
        <v>2.5114998817443799</v>
      </c>
      <c r="G2880">
        <v>173392000</v>
      </c>
      <c r="H2880">
        <f t="shared" si="176"/>
        <v>2008</v>
      </c>
      <c r="I2880">
        <f t="shared" si="177"/>
        <v>10</v>
      </c>
      <c r="J2880" t="str">
        <f t="shared" si="178"/>
        <v>Oct</v>
      </c>
      <c r="K2880" t="str">
        <f t="shared" si="179"/>
        <v>Tue</v>
      </c>
    </row>
    <row r="2881" spans="1:11" x14ac:dyDescent="0.35">
      <c r="A2881" s="1">
        <v>39743</v>
      </c>
      <c r="B2881">
        <v>2.5025000572204501</v>
      </c>
      <c r="C2881">
        <v>2.6235001087188698</v>
      </c>
      <c r="D2881">
        <v>2.3949999809265101</v>
      </c>
      <c r="E2881">
        <v>2.49950003623962</v>
      </c>
      <c r="F2881">
        <v>2.49950003623962</v>
      </c>
      <c r="G2881">
        <v>390264000</v>
      </c>
      <c r="H2881">
        <f t="shared" si="176"/>
        <v>2008</v>
      </c>
      <c r="I2881">
        <f t="shared" si="177"/>
        <v>10</v>
      </c>
      <c r="J2881" t="str">
        <f t="shared" si="178"/>
        <v>Oct</v>
      </c>
      <c r="K2881" t="str">
        <f t="shared" si="179"/>
        <v>Wed</v>
      </c>
    </row>
    <row r="2882" spans="1:11" x14ac:dyDescent="0.35">
      <c r="A2882" s="1">
        <v>39744</v>
      </c>
      <c r="B2882">
        <v>2.1684999465942298</v>
      </c>
      <c r="C2882">
        <v>2.54550004005432</v>
      </c>
      <c r="D2882">
        <v>2.1654999256134002</v>
      </c>
      <c r="E2882">
        <v>2.5160000324249201</v>
      </c>
      <c r="F2882">
        <v>2.5160000324249201</v>
      </c>
      <c r="G2882">
        <v>652038000</v>
      </c>
      <c r="H2882">
        <f t="shared" si="176"/>
        <v>2008</v>
      </c>
      <c r="I2882">
        <f t="shared" si="177"/>
        <v>10</v>
      </c>
      <c r="J2882" t="str">
        <f t="shared" si="178"/>
        <v>Oct</v>
      </c>
      <c r="K2882" t="str">
        <f t="shared" si="179"/>
        <v>Thu</v>
      </c>
    </row>
    <row r="2883" spans="1:11" x14ac:dyDescent="0.35">
      <c r="A2883" s="1">
        <v>39745</v>
      </c>
      <c r="B2883">
        <v>2.2374999523162802</v>
      </c>
      <c r="C2883">
        <v>2.6159999370574898</v>
      </c>
      <c r="D2883">
        <v>2.2249999046325599</v>
      </c>
      <c r="E2883">
        <v>2.4479999542236301</v>
      </c>
      <c r="F2883">
        <v>2.4479999542236301</v>
      </c>
      <c r="G2883">
        <v>392118000</v>
      </c>
      <c r="H2883">
        <f t="shared" si="176"/>
        <v>2008</v>
      </c>
      <c r="I2883">
        <f t="shared" si="177"/>
        <v>10</v>
      </c>
      <c r="J2883" t="str">
        <f t="shared" si="178"/>
        <v>Oct</v>
      </c>
      <c r="K2883" t="str">
        <f t="shared" si="179"/>
        <v>Fri</v>
      </c>
    </row>
    <row r="2884" spans="1:11" x14ac:dyDescent="0.35">
      <c r="A2884" s="1">
        <v>39748</v>
      </c>
      <c r="B2884">
        <v>2.45000004768371</v>
      </c>
      <c r="C2884">
        <v>2.6294999122619598</v>
      </c>
      <c r="D2884">
        <v>2.4214999675750701</v>
      </c>
      <c r="E2884">
        <v>2.4790000915527299</v>
      </c>
      <c r="F2884">
        <v>2.4790000915527299</v>
      </c>
      <c r="G2884">
        <v>235184000</v>
      </c>
      <c r="H2884">
        <f t="shared" ref="H2884:H2947" si="180">YEAR($A2884)</f>
        <v>2008</v>
      </c>
      <c r="I2884">
        <f t="shared" ref="I2884:I2947" si="181">MONTH($A2884)</f>
        <v>10</v>
      </c>
      <c r="J2884" t="str">
        <f t="shared" ref="J2884:J2947" si="182">TEXT($A2884,"mmm")</f>
        <v>Oct</v>
      </c>
      <c r="K2884" t="str">
        <f t="shared" ref="K2884:K2947" si="183">TEXT($A2884,"ddd")</f>
        <v>Mon</v>
      </c>
    </row>
    <row r="2885" spans="1:11" x14ac:dyDescent="0.35">
      <c r="A2885" s="1">
        <v>39749</v>
      </c>
      <c r="B2885">
        <v>2.57500004768371</v>
      </c>
      <c r="C2885">
        <v>2.8150000572204501</v>
      </c>
      <c r="D2885">
        <v>2.4535000324249201</v>
      </c>
      <c r="E2885">
        <v>2.8020000457763601</v>
      </c>
      <c r="F2885">
        <v>2.8020000457763601</v>
      </c>
      <c r="G2885">
        <v>296694000</v>
      </c>
      <c r="H2885">
        <f t="shared" si="180"/>
        <v>2008</v>
      </c>
      <c r="I2885">
        <f t="shared" si="181"/>
        <v>10</v>
      </c>
      <c r="J2885" t="str">
        <f t="shared" si="182"/>
        <v>Oct</v>
      </c>
      <c r="K2885" t="str">
        <f t="shared" si="183"/>
        <v>Tue</v>
      </c>
    </row>
    <row r="2886" spans="1:11" x14ac:dyDescent="0.35">
      <c r="A2886" s="1">
        <v>39750</v>
      </c>
      <c r="B2886">
        <v>2.7764999866485498</v>
      </c>
      <c r="C2886">
        <v>2.9895000457763601</v>
      </c>
      <c r="D2886">
        <v>2.7260000705718901</v>
      </c>
      <c r="E2886">
        <v>2.84450006484985</v>
      </c>
      <c r="F2886">
        <v>2.84450006484985</v>
      </c>
      <c r="G2886">
        <v>303926000</v>
      </c>
      <c r="H2886">
        <f t="shared" si="180"/>
        <v>2008</v>
      </c>
      <c r="I2886">
        <f t="shared" si="181"/>
        <v>10</v>
      </c>
      <c r="J2886" t="str">
        <f t="shared" si="182"/>
        <v>Oct</v>
      </c>
      <c r="K2886" t="str">
        <f t="shared" si="183"/>
        <v>Wed</v>
      </c>
    </row>
    <row r="2887" spans="1:11" x14ac:dyDescent="0.35">
      <c r="A2887" s="1">
        <v>39751</v>
      </c>
      <c r="B2887">
        <v>2.9379999637603702</v>
      </c>
      <c r="C2887">
        <v>2.9944999217986998</v>
      </c>
      <c r="D2887">
        <v>2.7539999485015798</v>
      </c>
      <c r="E2887">
        <v>2.8355000019073402</v>
      </c>
      <c r="F2887">
        <v>2.8355000019073402</v>
      </c>
      <c r="G2887">
        <v>222514000</v>
      </c>
      <c r="H2887">
        <f t="shared" si="180"/>
        <v>2008</v>
      </c>
      <c r="I2887">
        <f t="shared" si="181"/>
        <v>10</v>
      </c>
      <c r="J2887" t="str">
        <f t="shared" si="182"/>
        <v>Oct</v>
      </c>
      <c r="K2887" t="str">
        <f t="shared" si="183"/>
        <v>Thu</v>
      </c>
    </row>
    <row r="2888" spans="1:11" x14ac:dyDescent="0.35">
      <c r="A2888" s="1">
        <v>39752</v>
      </c>
      <c r="B2888">
        <v>2.8004999160766602</v>
      </c>
      <c r="C2888">
        <v>2.8624999523162802</v>
      </c>
      <c r="D2888">
        <v>2.7504999637603702</v>
      </c>
      <c r="E2888">
        <v>2.8619999885559002</v>
      </c>
      <c r="F2888">
        <v>2.8619999885559002</v>
      </c>
      <c r="G2888">
        <v>170692000</v>
      </c>
      <c r="H2888">
        <f t="shared" si="180"/>
        <v>2008</v>
      </c>
      <c r="I2888">
        <f t="shared" si="181"/>
        <v>10</v>
      </c>
      <c r="J2888" t="str">
        <f t="shared" si="182"/>
        <v>Oct</v>
      </c>
      <c r="K2888" t="str">
        <f t="shared" si="183"/>
        <v>Fri</v>
      </c>
    </row>
    <row r="2889" spans="1:11" x14ac:dyDescent="0.35">
      <c r="A2889" s="1">
        <v>39755</v>
      </c>
      <c r="B2889">
        <v>2.81750011444091</v>
      </c>
      <c r="C2889">
        <v>2.8624999523162802</v>
      </c>
      <c r="D2889">
        <v>2.7509999275207502</v>
      </c>
      <c r="E2889">
        <v>2.7885000705718901</v>
      </c>
      <c r="F2889">
        <v>2.7885000705718901</v>
      </c>
      <c r="G2889">
        <v>143402000</v>
      </c>
      <c r="H2889">
        <f t="shared" si="180"/>
        <v>2008</v>
      </c>
      <c r="I2889">
        <f t="shared" si="181"/>
        <v>11</v>
      </c>
      <c r="J2889" t="str">
        <f t="shared" si="182"/>
        <v>Nov</v>
      </c>
      <c r="K2889" t="str">
        <f t="shared" si="183"/>
        <v>Mon</v>
      </c>
    </row>
    <row r="2890" spans="1:11" x14ac:dyDescent="0.35">
      <c r="A2890" s="1">
        <v>39756</v>
      </c>
      <c r="B2890">
        <v>2.85800004005432</v>
      </c>
      <c r="C2890">
        <v>2.9365000724792401</v>
      </c>
      <c r="D2890">
        <v>2.7609999179839999</v>
      </c>
      <c r="E2890">
        <v>2.9224998950958199</v>
      </c>
      <c r="F2890">
        <v>2.9224998950958199</v>
      </c>
      <c r="G2890">
        <v>153276000</v>
      </c>
      <c r="H2890">
        <f t="shared" si="180"/>
        <v>2008</v>
      </c>
      <c r="I2890">
        <f t="shared" si="181"/>
        <v>11</v>
      </c>
      <c r="J2890" t="str">
        <f t="shared" si="182"/>
        <v>Nov</v>
      </c>
      <c r="K2890" t="str">
        <f t="shared" si="183"/>
        <v>Tue</v>
      </c>
    </row>
    <row r="2891" spans="1:11" x14ac:dyDescent="0.35">
      <c r="A2891" s="1">
        <v>39757</v>
      </c>
      <c r="B2891">
        <v>2.8735001087188698</v>
      </c>
      <c r="C2891">
        <v>2.9000000953674299</v>
      </c>
      <c r="D2891">
        <v>2.58100008964538</v>
      </c>
      <c r="E2891">
        <v>2.5989999771118102</v>
      </c>
      <c r="F2891">
        <v>2.5989999771118102</v>
      </c>
      <c r="G2891">
        <v>229968000</v>
      </c>
      <c r="H2891">
        <f t="shared" si="180"/>
        <v>2008</v>
      </c>
      <c r="I2891">
        <f t="shared" si="181"/>
        <v>11</v>
      </c>
      <c r="J2891" t="str">
        <f t="shared" si="182"/>
        <v>Nov</v>
      </c>
      <c r="K2891" t="str">
        <f t="shared" si="183"/>
        <v>Wed</v>
      </c>
    </row>
    <row r="2892" spans="1:11" x14ac:dyDescent="0.35">
      <c r="A2892" s="1">
        <v>39758</v>
      </c>
      <c r="B2892">
        <v>2.4900000095367401</v>
      </c>
      <c r="C2892">
        <v>2.5520000457763601</v>
      </c>
      <c r="D2892">
        <v>2.3150000572204501</v>
      </c>
      <c r="E2892">
        <v>2.36100006103515</v>
      </c>
      <c r="F2892">
        <v>2.36100006103515</v>
      </c>
      <c r="G2892">
        <v>309756000</v>
      </c>
      <c r="H2892">
        <f t="shared" si="180"/>
        <v>2008</v>
      </c>
      <c r="I2892">
        <f t="shared" si="181"/>
        <v>11</v>
      </c>
      <c r="J2892" t="str">
        <f t="shared" si="182"/>
        <v>Nov</v>
      </c>
      <c r="K2892" t="str">
        <f t="shared" si="183"/>
        <v>Thu</v>
      </c>
    </row>
    <row r="2893" spans="1:11" x14ac:dyDescent="0.35">
      <c r="A2893" s="1">
        <v>39759</v>
      </c>
      <c r="B2893">
        <v>2.38800001144409</v>
      </c>
      <c r="C2893">
        <v>2.4895000457763601</v>
      </c>
      <c r="D2893">
        <v>2.3505001068115199</v>
      </c>
      <c r="E2893">
        <v>2.4605000019073402</v>
      </c>
      <c r="F2893">
        <v>2.4605000019073402</v>
      </c>
      <c r="G2893">
        <v>148792000</v>
      </c>
      <c r="H2893">
        <f t="shared" si="180"/>
        <v>2008</v>
      </c>
      <c r="I2893">
        <f t="shared" si="181"/>
        <v>11</v>
      </c>
      <c r="J2893" t="str">
        <f t="shared" si="182"/>
        <v>Nov</v>
      </c>
      <c r="K2893" t="str">
        <f t="shared" si="183"/>
        <v>Fri</v>
      </c>
    </row>
    <row r="2894" spans="1:11" x14ac:dyDescent="0.35">
      <c r="A2894" s="1">
        <v>39762</v>
      </c>
      <c r="B2894">
        <v>2.4990000724792401</v>
      </c>
      <c r="C2894">
        <v>2.5339999198913499</v>
      </c>
      <c r="D2894">
        <v>2.3429999351501398</v>
      </c>
      <c r="E2894">
        <v>2.4230000972747798</v>
      </c>
      <c r="F2894">
        <v>2.4230000972747798</v>
      </c>
      <c r="G2894">
        <v>179298000</v>
      </c>
      <c r="H2894">
        <f t="shared" si="180"/>
        <v>2008</v>
      </c>
      <c r="I2894">
        <f t="shared" si="181"/>
        <v>11</v>
      </c>
      <c r="J2894" t="str">
        <f t="shared" si="182"/>
        <v>Nov</v>
      </c>
      <c r="K2894" t="str">
        <f t="shared" si="183"/>
        <v>Mon</v>
      </c>
    </row>
    <row r="2895" spans="1:11" x14ac:dyDescent="0.35">
      <c r="A2895" s="1">
        <v>39763</v>
      </c>
      <c r="B2895">
        <v>2.3550000190734801</v>
      </c>
      <c r="C2895">
        <v>2.4030001163482599</v>
      </c>
      <c r="D2895">
        <v>2.2404999732971098</v>
      </c>
      <c r="E2895">
        <v>2.3150000572204501</v>
      </c>
      <c r="F2895">
        <v>2.3150000572204501</v>
      </c>
      <c r="G2895">
        <v>198784000</v>
      </c>
      <c r="H2895">
        <f t="shared" si="180"/>
        <v>2008</v>
      </c>
      <c r="I2895">
        <f t="shared" si="181"/>
        <v>11</v>
      </c>
      <c r="J2895" t="str">
        <f t="shared" si="182"/>
        <v>Nov</v>
      </c>
      <c r="K2895" t="str">
        <f t="shared" si="183"/>
        <v>Tue</v>
      </c>
    </row>
    <row r="2896" spans="1:11" x14ac:dyDescent="0.35">
      <c r="A2896" s="1">
        <v>39764</v>
      </c>
      <c r="B2896">
        <v>2.1995000839233398</v>
      </c>
      <c r="C2896">
        <v>2.27200007438659</v>
      </c>
      <c r="D2896">
        <v>2.04500007629394</v>
      </c>
      <c r="E2896">
        <v>2.0780000686645499</v>
      </c>
      <c r="F2896">
        <v>2.0780000686645499</v>
      </c>
      <c r="G2896">
        <v>295372000</v>
      </c>
      <c r="H2896">
        <f t="shared" si="180"/>
        <v>2008</v>
      </c>
      <c r="I2896">
        <f t="shared" si="181"/>
        <v>11</v>
      </c>
      <c r="J2896" t="str">
        <f t="shared" si="182"/>
        <v>Nov</v>
      </c>
      <c r="K2896" t="str">
        <f t="shared" si="183"/>
        <v>Wed</v>
      </c>
    </row>
    <row r="2897" spans="1:11" x14ac:dyDescent="0.35">
      <c r="A2897" s="1">
        <v>39765</v>
      </c>
      <c r="B2897">
        <v>2.0699999332427899</v>
      </c>
      <c r="C2897">
        <v>2.25</v>
      </c>
      <c r="D2897">
        <v>1.92400002479553</v>
      </c>
      <c r="E2897">
        <v>2.2465000152587802</v>
      </c>
      <c r="F2897">
        <v>2.2465000152587802</v>
      </c>
      <c r="G2897">
        <v>338706000</v>
      </c>
      <c r="H2897">
        <f t="shared" si="180"/>
        <v>2008</v>
      </c>
      <c r="I2897">
        <f t="shared" si="181"/>
        <v>11</v>
      </c>
      <c r="J2897" t="str">
        <f t="shared" si="182"/>
        <v>Nov</v>
      </c>
      <c r="K2897" t="str">
        <f t="shared" si="183"/>
        <v>Thu</v>
      </c>
    </row>
    <row r="2898" spans="1:11" x14ac:dyDescent="0.35">
      <c r="A2898" s="1">
        <v>39766</v>
      </c>
      <c r="B2898">
        <v>2.1805000305175701</v>
      </c>
      <c r="C2898">
        <v>2.2249999046325599</v>
      </c>
      <c r="D2898">
        <v>2.07500004768371</v>
      </c>
      <c r="E2898">
        <v>2.0875000953674299</v>
      </c>
      <c r="F2898">
        <v>2.0875000953674299</v>
      </c>
      <c r="G2898">
        <v>238994000</v>
      </c>
      <c r="H2898">
        <f t="shared" si="180"/>
        <v>2008</v>
      </c>
      <c r="I2898">
        <f t="shared" si="181"/>
        <v>11</v>
      </c>
      <c r="J2898" t="str">
        <f t="shared" si="182"/>
        <v>Nov</v>
      </c>
      <c r="K2898" t="str">
        <f t="shared" si="183"/>
        <v>Fri</v>
      </c>
    </row>
    <row r="2899" spans="1:11" x14ac:dyDescent="0.35">
      <c r="A2899" s="1">
        <v>39769</v>
      </c>
      <c r="B2899">
        <v>1.99549996852874</v>
      </c>
      <c r="C2899">
        <v>2.0629999637603702</v>
      </c>
      <c r="D2899">
        <v>1.9535000324249201</v>
      </c>
      <c r="E2899">
        <v>1.9845000505447301</v>
      </c>
      <c r="F2899">
        <v>1.9845000505447301</v>
      </c>
      <c r="G2899">
        <v>214236000</v>
      </c>
      <c r="H2899">
        <f t="shared" si="180"/>
        <v>2008</v>
      </c>
      <c r="I2899">
        <f t="shared" si="181"/>
        <v>11</v>
      </c>
      <c r="J2899" t="str">
        <f t="shared" si="182"/>
        <v>Nov</v>
      </c>
      <c r="K2899" t="str">
        <f t="shared" si="183"/>
        <v>Mon</v>
      </c>
    </row>
    <row r="2900" spans="1:11" x14ac:dyDescent="0.35">
      <c r="A2900" s="1">
        <v>39770</v>
      </c>
      <c r="B2900">
        <v>1.98650002479553</v>
      </c>
      <c r="C2900">
        <v>2.0329999923706001</v>
      </c>
      <c r="D2900">
        <v>1.80400002002716</v>
      </c>
      <c r="E2900">
        <v>1.9220000505447301</v>
      </c>
      <c r="F2900">
        <v>1.9220000505447301</v>
      </c>
      <c r="G2900">
        <v>300984000</v>
      </c>
      <c r="H2900">
        <f t="shared" si="180"/>
        <v>2008</v>
      </c>
      <c r="I2900">
        <f t="shared" si="181"/>
        <v>11</v>
      </c>
      <c r="J2900" t="str">
        <f t="shared" si="182"/>
        <v>Nov</v>
      </c>
      <c r="K2900" t="str">
        <f t="shared" si="183"/>
        <v>Tue</v>
      </c>
    </row>
    <row r="2901" spans="1:11" x14ac:dyDescent="0.35">
      <c r="A2901" s="1">
        <v>39771</v>
      </c>
      <c r="B2901">
        <v>1.8984999656677199</v>
      </c>
      <c r="C2901">
        <v>1.95000004768371</v>
      </c>
      <c r="D2901">
        <v>1.7875000238418499</v>
      </c>
      <c r="E2901">
        <v>1.7920000553131099</v>
      </c>
      <c r="F2901">
        <v>1.7920000553131099</v>
      </c>
      <c r="G2901">
        <v>250422000</v>
      </c>
      <c r="H2901">
        <f t="shared" si="180"/>
        <v>2008</v>
      </c>
      <c r="I2901">
        <f t="shared" si="181"/>
        <v>11</v>
      </c>
      <c r="J2901" t="str">
        <f t="shared" si="182"/>
        <v>Nov</v>
      </c>
      <c r="K2901" t="str">
        <f t="shared" si="183"/>
        <v>Wed</v>
      </c>
    </row>
    <row r="2902" spans="1:11" x14ac:dyDescent="0.35">
      <c r="A2902" s="1">
        <v>39772</v>
      </c>
      <c r="B2902">
        <v>1.7645000219345</v>
      </c>
      <c r="C2902">
        <v>1.98599994182586</v>
      </c>
      <c r="D2902">
        <v>1.7339999675750699</v>
      </c>
      <c r="E2902">
        <v>1.7515000104904099</v>
      </c>
      <c r="F2902">
        <v>1.7515000104904099</v>
      </c>
      <c r="G2902">
        <v>368478000</v>
      </c>
      <c r="H2902">
        <f t="shared" si="180"/>
        <v>2008</v>
      </c>
      <c r="I2902">
        <f t="shared" si="181"/>
        <v>11</v>
      </c>
      <c r="J2902" t="str">
        <f t="shared" si="182"/>
        <v>Nov</v>
      </c>
      <c r="K2902" t="str">
        <f t="shared" si="183"/>
        <v>Thu</v>
      </c>
    </row>
    <row r="2903" spans="1:11" x14ac:dyDescent="0.35">
      <c r="A2903" s="1">
        <v>39773</v>
      </c>
      <c r="B2903">
        <v>1.8194999694824201</v>
      </c>
      <c r="C2903">
        <v>1.95000004768371</v>
      </c>
      <c r="D2903">
        <v>1.78600001335144</v>
      </c>
      <c r="E2903">
        <v>1.89349997043609</v>
      </c>
      <c r="F2903">
        <v>1.89349997043609</v>
      </c>
      <c r="G2903">
        <v>300854000</v>
      </c>
      <c r="H2903">
        <f t="shared" si="180"/>
        <v>2008</v>
      </c>
      <c r="I2903">
        <f t="shared" si="181"/>
        <v>11</v>
      </c>
      <c r="J2903" t="str">
        <f t="shared" si="182"/>
        <v>Nov</v>
      </c>
      <c r="K2903" t="str">
        <f t="shared" si="183"/>
        <v>Fri</v>
      </c>
    </row>
    <row r="2904" spans="1:11" x14ac:dyDescent="0.35">
      <c r="A2904" s="1">
        <v>39776</v>
      </c>
      <c r="B2904">
        <v>1.9394999742507899</v>
      </c>
      <c r="C2904">
        <v>2.1719999313354399</v>
      </c>
      <c r="D2904">
        <v>1.9349999427795399</v>
      </c>
      <c r="E2904">
        <v>2.125</v>
      </c>
      <c r="F2904">
        <v>2.125</v>
      </c>
      <c r="G2904">
        <v>290994000</v>
      </c>
      <c r="H2904">
        <f t="shared" si="180"/>
        <v>2008</v>
      </c>
      <c r="I2904">
        <f t="shared" si="181"/>
        <v>11</v>
      </c>
      <c r="J2904" t="str">
        <f t="shared" si="182"/>
        <v>Nov</v>
      </c>
      <c r="K2904" t="str">
        <f t="shared" si="183"/>
        <v>Mon</v>
      </c>
    </row>
    <row r="2905" spans="1:11" x14ac:dyDescent="0.35">
      <c r="A2905" s="1">
        <v>39777</v>
      </c>
      <c r="B2905">
        <v>2.1045000553131099</v>
      </c>
      <c r="C2905">
        <v>2.1445000171661301</v>
      </c>
      <c r="D2905">
        <v>1.9804999828338601</v>
      </c>
      <c r="E2905">
        <v>2.1094999313354399</v>
      </c>
      <c r="F2905">
        <v>2.1094999313354399</v>
      </c>
      <c r="G2905">
        <v>260300000</v>
      </c>
      <c r="H2905">
        <f t="shared" si="180"/>
        <v>2008</v>
      </c>
      <c r="I2905">
        <f t="shared" si="181"/>
        <v>11</v>
      </c>
      <c r="J2905" t="str">
        <f t="shared" si="182"/>
        <v>Nov</v>
      </c>
      <c r="K2905" t="str">
        <f t="shared" si="183"/>
        <v>Tue</v>
      </c>
    </row>
    <row r="2906" spans="1:11" x14ac:dyDescent="0.35">
      <c r="A2906" s="1">
        <v>39778</v>
      </c>
      <c r="B2906">
        <v>2.0434999465942298</v>
      </c>
      <c r="C2906">
        <v>2.20000004768371</v>
      </c>
      <c r="D2906">
        <v>2.01449990272521</v>
      </c>
      <c r="E2906">
        <v>2.1979999542236301</v>
      </c>
      <c r="F2906">
        <v>2.1979999542236301</v>
      </c>
      <c r="G2906">
        <v>268794000</v>
      </c>
      <c r="H2906">
        <f t="shared" si="180"/>
        <v>2008</v>
      </c>
      <c r="I2906">
        <f t="shared" si="181"/>
        <v>11</v>
      </c>
      <c r="J2906" t="str">
        <f t="shared" si="182"/>
        <v>Nov</v>
      </c>
      <c r="K2906" t="str">
        <f t="shared" si="183"/>
        <v>Wed</v>
      </c>
    </row>
    <row r="2907" spans="1:11" x14ac:dyDescent="0.35">
      <c r="A2907" s="1">
        <v>39780</v>
      </c>
      <c r="B2907">
        <v>2.2014999389648402</v>
      </c>
      <c r="C2907">
        <v>2.2049999237060498</v>
      </c>
      <c r="D2907">
        <v>2.11100006103515</v>
      </c>
      <c r="E2907">
        <v>2.1349999904632502</v>
      </c>
      <c r="F2907">
        <v>2.1349999904632502</v>
      </c>
      <c r="G2907">
        <v>69620000</v>
      </c>
      <c r="H2907">
        <f t="shared" si="180"/>
        <v>2008</v>
      </c>
      <c r="I2907">
        <f t="shared" si="181"/>
        <v>11</v>
      </c>
      <c r="J2907" t="str">
        <f t="shared" si="182"/>
        <v>Nov</v>
      </c>
      <c r="K2907" t="str">
        <f t="shared" si="183"/>
        <v>Fri</v>
      </c>
    </row>
    <row r="2908" spans="1:11" x14ac:dyDescent="0.35">
      <c r="A2908" s="1">
        <v>39783</v>
      </c>
      <c r="B2908">
        <v>2.0999999046325599</v>
      </c>
      <c r="C2908">
        <v>2.1630001068115199</v>
      </c>
      <c r="D2908">
        <v>2.0190000534057599</v>
      </c>
      <c r="E2908">
        <v>2.0234999656677202</v>
      </c>
      <c r="F2908">
        <v>2.0234999656677202</v>
      </c>
      <c r="G2908">
        <v>223578000</v>
      </c>
      <c r="H2908">
        <f t="shared" si="180"/>
        <v>2008</v>
      </c>
      <c r="I2908">
        <f t="shared" si="181"/>
        <v>12</v>
      </c>
      <c r="J2908" t="str">
        <f t="shared" si="182"/>
        <v>Dec</v>
      </c>
      <c r="K2908" t="str">
        <f t="shared" si="183"/>
        <v>Mon</v>
      </c>
    </row>
    <row r="2909" spans="1:11" x14ac:dyDescent="0.35">
      <c r="A2909" s="1">
        <v>39784</v>
      </c>
      <c r="B2909">
        <v>2.0694999694824201</v>
      </c>
      <c r="C2909">
        <v>2.0855000019073402</v>
      </c>
      <c r="D2909">
        <v>1.94099998474121</v>
      </c>
      <c r="E2909">
        <v>2.0594999790191602</v>
      </c>
      <c r="F2909">
        <v>2.0594999790191602</v>
      </c>
      <c r="G2909">
        <v>174274000</v>
      </c>
      <c r="H2909">
        <f t="shared" si="180"/>
        <v>2008</v>
      </c>
      <c r="I2909">
        <f t="shared" si="181"/>
        <v>12</v>
      </c>
      <c r="J2909" t="str">
        <f t="shared" si="182"/>
        <v>Dec</v>
      </c>
      <c r="K2909" t="str">
        <f t="shared" si="183"/>
        <v>Tue</v>
      </c>
    </row>
    <row r="2910" spans="1:11" x14ac:dyDescent="0.35">
      <c r="A2910" s="1">
        <v>39785</v>
      </c>
      <c r="B2910">
        <v>2.0079998970031698</v>
      </c>
      <c r="C2910">
        <v>2.2939999103546098</v>
      </c>
      <c r="D2910">
        <v>2.0025000572204501</v>
      </c>
      <c r="E2910">
        <v>2.2604999542236301</v>
      </c>
      <c r="F2910">
        <v>2.2604999542236301</v>
      </c>
      <c r="G2910">
        <v>313512000</v>
      </c>
      <c r="H2910">
        <f t="shared" si="180"/>
        <v>2008</v>
      </c>
      <c r="I2910">
        <f t="shared" si="181"/>
        <v>12</v>
      </c>
      <c r="J2910" t="str">
        <f t="shared" si="182"/>
        <v>Dec</v>
      </c>
      <c r="K2910" t="str">
        <f t="shared" si="183"/>
        <v>Wed</v>
      </c>
    </row>
    <row r="2911" spans="1:11" x14ac:dyDescent="0.35">
      <c r="A2911" s="1">
        <v>39786</v>
      </c>
      <c r="B2911">
        <v>2.2969999313354399</v>
      </c>
      <c r="C2911">
        <v>2.5250000953674299</v>
      </c>
      <c r="D2911">
        <v>2.2874999046325599</v>
      </c>
      <c r="E2911">
        <v>2.3659999370574898</v>
      </c>
      <c r="F2911">
        <v>2.3659999370574898</v>
      </c>
      <c r="G2911">
        <v>395646000</v>
      </c>
      <c r="H2911">
        <f t="shared" si="180"/>
        <v>2008</v>
      </c>
      <c r="I2911">
        <f t="shared" si="181"/>
        <v>12</v>
      </c>
      <c r="J2911" t="str">
        <f t="shared" si="182"/>
        <v>Dec</v>
      </c>
      <c r="K2911" t="str">
        <f t="shared" si="183"/>
        <v>Thu</v>
      </c>
    </row>
    <row r="2912" spans="1:11" x14ac:dyDescent="0.35">
      <c r="A2912" s="1">
        <v>39787</v>
      </c>
      <c r="B2912">
        <v>2.29450011253356</v>
      </c>
      <c r="C2912">
        <v>2.4244999885559002</v>
      </c>
      <c r="D2912">
        <v>2.1649999618530198</v>
      </c>
      <c r="E2912">
        <v>2.4130001068115199</v>
      </c>
      <c r="F2912">
        <v>2.4130001068115199</v>
      </c>
      <c r="G2912">
        <v>292176000</v>
      </c>
      <c r="H2912">
        <f t="shared" si="180"/>
        <v>2008</v>
      </c>
      <c r="I2912">
        <f t="shared" si="181"/>
        <v>12</v>
      </c>
      <c r="J2912" t="str">
        <f t="shared" si="182"/>
        <v>Dec</v>
      </c>
      <c r="K2912" t="str">
        <f t="shared" si="183"/>
        <v>Fri</v>
      </c>
    </row>
    <row r="2913" spans="1:11" x14ac:dyDescent="0.35">
      <c r="A2913" s="1">
        <v>39790</v>
      </c>
      <c r="B2913">
        <v>2.4574999809265101</v>
      </c>
      <c r="C2913">
        <v>2.60700011253356</v>
      </c>
      <c r="D2913">
        <v>2.3680000305175701</v>
      </c>
      <c r="E2913">
        <v>2.5704998970031698</v>
      </c>
      <c r="F2913">
        <v>2.5704998970031698</v>
      </c>
      <c r="G2913">
        <v>218814000</v>
      </c>
      <c r="H2913">
        <f t="shared" si="180"/>
        <v>2008</v>
      </c>
      <c r="I2913">
        <f t="shared" si="181"/>
        <v>12</v>
      </c>
      <c r="J2913" t="str">
        <f t="shared" si="182"/>
        <v>Dec</v>
      </c>
      <c r="K2913" t="str">
        <f t="shared" si="183"/>
        <v>Mon</v>
      </c>
    </row>
    <row r="2914" spans="1:11" x14ac:dyDescent="0.35">
      <c r="A2914" s="1">
        <v>39791</v>
      </c>
      <c r="B2914">
        <v>2.4904999732971098</v>
      </c>
      <c r="C2914">
        <v>2.7239999771118102</v>
      </c>
      <c r="D2914">
        <v>2.4849998950958199</v>
      </c>
      <c r="E2914">
        <v>2.5625</v>
      </c>
      <c r="F2914">
        <v>2.5625</v>
      </c>
      <c r="G2914">
        <v>266296000</v>
      </c>
      <c r="H2914">
        <f t="shared" si="180"/>
        <v>2008</v>
      </c>
      <c r="I2914">
        <f t="shared" si="181"/>
        <v>12</v>
      </c>
      <c r="J2914" t="str">
        <f t="shared" si="182"/>
        <v>Dec</v>
      </c>
      <c r="K2914" t="str">
        <f t="shared" si="183"/>
        <v>Tue</v>
      </c>
    </row>
    <row r="2915" spans="1:11" x14ac:dyDescent="0.35">
      <c r="A2915" s="1">
        <v>39792</v>
      </c>
      <c r="B2915">
        <v>2.5729999542236301</v>
      </c>
      <c r="C2915">
        <v>2.57500004768371</v>
      </c>
      <c r="D2915">
        <v>2.4170000553131099</v>
      </c>
      <c r="E2915">
        <v>2.4849998950958199</v>
      </c>
      <c r="F2915">
        <v>2.4849998950958199</v>
      </c>
      <c r="G2915">
        <v>155076000</v>
      </c>
      <c r="H2915">
        <f t="shared" si="180"/>
        <v>2008</v>
      </c>
      <c r="I2915">
        <f t="shared" si="181"/>
        <v>12</v>
      </c>
      <c r="J2915" t="str">
        <f t="shared" si="182"/>
        <v>Dec</v>
      </c>
      <c r="K2915" t="str">
        <f t="shared" si="183"/>
        <v>Wed</v>
      </c>
    </row>
    <row r="2916" spans="1:11" x14ac:dyDescent="0.35">
      <c r="A2916" s="1">
        <v>39793</v>
      </c>
      <c r="B2916">
        <v>2.4665000438690101</v>
      </c>
      <c r="C2916">
        <v>2.5244998931884699</v>
      </c>
      <c r="D2916">
        <v>2.4084999561309801</v>
      </c>
      <c r="E2916">
        <v>2.4124999046325599</v>
      </c>
      <c r="F2916">
        <v>2.4124999046325599</v>
      </c>
      <c r="G2916">
        <v>151672000</v>
      </c>
      <c r="H2916">
        <f t="shared" si="180"/>
        <v>2008</v>
      </c>
      <c r="I2916">
        <f t="shared" si="181"/>
        <v>12</v>
      </c>
      <c r="J2916" t="str">
        <f t="shared" si="182"/>
        <v>Dec</v>
      </c>
      <c r="K2916" t="str">
        <f t="shared" si="183"/>
        <v>Thu</v>
      </c>
    </row>
    <row r="2917" spans="1:11" x14ac:dyDescent="0.35">
      <c r="A2917" s="1">
        <v>39794</v>
      </c>
      <c r="B2917">
        <v>2.3759999275207502</v>
      </c>
      <c r="C2917">
        <v>2.5690000057220401</v>
      </c>
      <c r="D2917">
        <v>2.3759999275207502</v>
      </c>
      <c r="E2917">
        <v>2.5625</v>
      </c>
      <c r="F2917">
        <v>2.5625</v>
      </c>
      <c r="G2917">
        <v>173296000</v>
      </c>
      <c r="H2917">
        <f t="shared" si="180"/>
        <v>2008</v>
      </c>
      <c r="I2917">
        <f t="shared" si="181"/>
        <v>12</v>
      </c>
      <c r="J2917" t="str">
        <f t="shared" si="182"/>
        <v>Dec</v>
      </c>
      <c r="K2917" t="str">
        <f t="shared" si="183"/>
        <v>Fri</v>
      </c>
    </row>
    <row r="2918" spans="1:11" x14ac:dyDescent="0.35">
      <c r="A2918" s="1">
        <v>39797</v>
      </c>
      <c r="B2918">
        <v>2.5325000286102202</v>
      </c>
      <c r="C2918">
        <v>2.5474998950958199</v>
      </c>
      <c r="D2918">
        <v>2.4075000286102202</v>
      </c>
      <c r="E2918">
        <v>2.44250011444091</v>
      </c>
      <c r="F2918">
        <v>2.44250011444091</v>
      </c>
      <c r="G2918">
        <v>145708000</v>
      </c>
      <c r="H2918">
        <f t="shared" si="180"/>
        <v>2008</v>
      </c>
      <c r="I2918">
        <f t="shared" si="181"/>
        <v>12</v>
      </c>
      <c r="J2918" t="str">
        <f t="shared" si="182"/>
        <v>Dec</v>
      </c>
      <c r="K2918" t="str">
        <f t="shared" si="183"/>
        <v>Mon</v>
      </c>
    </row>
    <row r="2919" spans="1:11" x14ac:dyDescent="0.35">
      <c r="A2919" s="1">
        <v>39798</v>
      </c>
      <c r="B2919">
        <v>2.4809999465942298</v>
      </c>
      <c r="C2919">
        <v>2.6480000019073402</v>
      </c>
      <c r="D2919">
        <v>2.4644999504089302</v>
      </c>
      <c r="E2919">
        <v>2.6315000057220401</v>
      </c>
      <c r="F2919">
        <v>2.6315000057220401</v>
      </c>
      <c r="G2919">
        <v>177258000</v>
      </c>
      <c r="H2919">
        <f t="shared" si="180"/>
        <v>2008</v>
      </c>
      <c r="I2919">
        <f t="shared" si="181"/>
        <v>12</v>
      </c>
      <c r="J2919" t="str">
        <f t="shared" si="182"/>
        <v>Dec</v>
      </c>
      <c r="K2919" t="str">
        <f t="shared" si="183"/>
        <v>Tue</v>
      </c>
    </row>
    <row r="2920" spans="1:11" x14ac:dyDescent="0.35">
      <c r="A2920" s="1">
        <v>39799</v>
      </c>
      <c r="B2920">
        <v>2.6129999160766602</v>
      </c>
      <c r="C2920">
        <v>2.7385001182556099</v>
      </c>
      <c r="D2920">
        <v>2.5764999389648402</v>
      </c>
      <c r="E2920">
        <v>2.6589999198913499</v>
      </c>
      <c r="F2920">
        <v>2.6589999198913499</v>
      </c>
      <c r="G2920">
        <v>183662000</v>
      </c>
      <c r="H2920">
        <f t="shared" si="180"/>
        <v>2008</v>
      </c>
      <c r="I2920">
        <f t="shared" si="181"/>
        <v>12</v>
      </c>
      <c r="J2920" t="str">
        <f t="shared" si="182"/>
        <v>Dec</v>
      </c>
      <c r="K2920" t="str">
        <f t="shared" si="183"/>
        <v>Wed</v>
      </c>
    </row>
    <row r="2921" spans="1:11" x14ac:dyDescent="0.35">
      <c r="A2921" s="1">
        <v>39800</v>
      </c>
      <c r="B2921">
        <v>2.6500000953674299</v>
      </c>
      <c r="C2921">
        <v>2.7425000667571999</v>
      </c>
      <c r="D2921">
        <v>2.5599999427795401</v>
      </c>
      <c r="E2921">
        <v>2.6040000915527299</v>
      </c>
      <c r="F2921">
        <v>2.6040000915527299</v>
      </c>
      <c r="G2921">
        <v>150362000</v>
      </c>
      <c r="H2921">
        <f t="shared" si="180"/>
        <v>2008</v>
      </c>
      <c r="I2921">
        <f t="shared" si="181"/>
        <v>12</v>
      </c>
      <c r="J2921" t="str">
        <f t="shared" si="182"/>
        <v>Dec</v>
      </c>
      <c r="K2921" t="str">
        <f t="shared" si="183"/>
        <v>Thu</v>
      </c>
    </row>
    <row r="2922" spans="1:11" x14ac:dyDescent="0.35">
      <c r="A2922" s="1">
        <v>39801</v>
      </c>
      <c r="B2922">
        <v>2.5794999599456698</v>
      </c>
      <c r="C2922">
        <v>2.6494998931884699</v>
      </c>
      <c r="D2922">
        <v>2.5460000038146902</v>
      </c>
      <c r="E2922">
        <v>2.5780000686645499</v>
      </c>
      <c r="F2922">
        <v>2.5780000686645499</v>
      </c>
      <c r="G2922">
        <v>219264000</v>
      </c>
      <c r="H2922">
        <f t="shared" si="180"/>
        <v>2008</v>
      </c>
      <c r="I2922">
        <f t="shared" si="181"/>
        <v>12</v>
      </c>
      <c r="J2922" t="str">
        <f t="shared" si="182"/>
        <v>Dec</v>
      </c>
      <c r="K2922" t="str">
        <f t="shared" si="183"/>
        <v>Fri</v>
      </c>
    </row>
    <row r="2923" spans="1:11" x14ac:dyDescent="0.35">
      <c r="A2923" s="1">
        <v>39804</v>
      </c>
      <c r="B2923">
        <v>2.5799999237060498</v>
      </c>
      <c r="C2923">
        <v>2.60750007629394</v>
      </c>
      <c r="D2923">
        <v>2.42350006103515</v>
      </c>
      <c r="E2923">
        <v>2.49200010299682</v>
      </c>
      <c r="F2923">
        <v>2.49200010299682</v>
      </c>
      <c r="G2923">
        <v>178500000</v>
      </c>
      <c r="H2923">
        <f t="shared" si="180"/>
        <v>2008</v>
      </c>
      <c r="I2923">
        <f t="shared" si="181"/>
        <v>12</v>
      </c>
      <c r="J2923" t="str">
        <f t="shared" si="182"/>
        <v>Dec</v>
      </c>
      <c r="K2923" t="str">
        <f t="shared" si="183"/>
        <v>Mon</v>
      </c>
    </row>
    <row r="2924" spans="1:11" x14ac:dyDescent="0.35">
      <c r="A2924" s="1">
        <v>39805</v>
      </c>
      <c r="B2924">
        <v>2.5060000419616699</v>
      </c>
      <c r="C2924">
        <v>2.5804998874664302</v>
      </c>
      <c r="D2924">
        <v>2.5060000419616699</v>
      </c>
      <c r="E2924">
        <v>2.5539999008178702</v>
      </c>
      <c r="F2924">
        <v>2.5539999008178702</v>
      </c>
      <c r="G2924">
        <v>116908000</v>
      </c>
      <c r="H2924">
        <f t="shared" si="180"/>
        <v>2008</v>
      </c>
      <c r="I2924">
        <f t="shared" si="181"/>
        <v>12</v>
      </c>
      <c r="J2924" t="str">
        <f t="shared" si="182"/>
        <v>Dec</v>
      </c>
      <c r="K2924" t="str">
        <f t="shared" si="183"/>
        <v>Tue</v>
      </c>
    </row>
    <row r="2925" spans="1:11" x14ac:dyDescent="0.35">
      <c r="A2925" s="1">
        <v>39806</v>
      </c>
      <c r="B2925">
        <v>2.5829999446868799</v>
      </c>
      <c r="C2925">
        <v>2.59750008583068</v>
      </c>
      <c r="D2925">
        <v>2.5504999160766602</v>
      </c>
      <c r="E2925">
        <v>2.57200002670288</v>
      </c>
      <c r="F2925">
        <v>2.57200002670288</v>
      </c>
      <c r="G2925">
        <v>32910000</v>
      </c>
      <c r="H2925">
        <f t="shared" si="180"/>
        <v>2008</v>
      </c>
      <c r="I2925">
        <f t="shared" si="181"/>
        <v>12</v>
      </c>
      <c r="J2925" t="str">
        <f t="shared" si="182"/>
        <v>Dec</v>
      </c>
      <c r="K2925" t="str">
        <f t="shared" si="183"/>
        <v>Wed</v>
      </c>
    </row>
    <row r="2926" spans="1:11" x14ac:dyDescent="0.35">
      <c r="A2926" s="1">
        <v>39808</v>
      </c>
      <c r="B2926">
        <v>2.6895000934600799</v>
      </c>
      <c r="C2926">
        <v>2.6974999904632502</v>
      </c>
      <c r="D2926">
        <v>2.5775001049041699</v>
      </c>
      <c r="E2926">
        <v>2.5889999866485498</v>
      </c>
      <c r="F2926">
        <v>2.5889999866485498</v>
      </c>
      <c r="G2926">
        <v>136946000</v>
      </c>
      <c r="H2926">
        <f t="shared" si="180"/>
        <v>2008</v>
      </c>
      <c r="I2926">
        <f t="shared" si="181"/>
        <v>12</v>
      </c>
      <c r="J2926" t="str">
        <f t="shared" si="182"/>
        <v>Dec</v>
      </c>
      <c r="K2926" t="str">
        <f t="shared" si="183"/>
        <v>Fri</v>
      </c>
    </row>
    <row r="2927" spans="1:11" x14ac:dyDescent="0.35">
      <c r="A2927" s="1">
        <v>39811</v>
      </c>
      <c r="B2927">
        <v>2.5715000629425</v>
      </c>
      <c r="C2927">
        <v>2.58850002288818</v>
      </c>
      <c r="D2927">
        <v>2.4279999732971098</v>
      </c>
      <c r="E2927">
        <v>2.4700000286102202</v>
      </c>
      <c r="F2927">
        <v>2.4700000286102202</v>
      </c>
      <c r="G2927">
        <v>130158000</v>
      </c>
      <c r="H2927">
        <f t="shared" si="180"/>
        <v>2008</v>
      </c>
      <c r="I2927">
        <f t="shared" si="181"/>
        <v>12</v>
      </c>
      <c r="J2927" t="str">
        <f t="shared" si="182"/>
        <v>Dec</v>
      </c>
      <c r="K2927" t="str">
        <f t="shared" si="183"/>
        <v>Mon</v>
      </c>
    </row>
    <row r="2928" spans="1:11" x14ac:dyDescent="0.35">
      <c r="A2928" s="1">
        <v>39812</v>
      </c>
      <c r="B2928">
        <v>2.4755001068115199</v>
      </c>
      <c r="C2928">
        <v>2.5604999065399099</v>
      </c>
      <c r="D2928">
        <v>2.43700003623962</v>
      </c>
      <c r="E2928">
        <v>2.5380001068115199</v>
      </c>
      <c r="F2928">
        <v>2.5380001068115199</v>
      </c>
      <c r="G2928">
        <v>132026000</v>
      </c>
      <c r="H2928">
        <f t="shared" si="180"/>
        <v>2008</v>
      </c>
      <c r="I2928">
        <f t="shared" si="181"/>
        <v>12</v>
      </c>
      <c r="J2928" t="str">
        <f t="shared" si="182"/>
        <v>Dec</v>
      </c>
      <c r="K2928" t="str">
        <f t="shared" si="183"/>
        <v>Tue</v>
      </c>
    </row>
    <row r="2929" spans="1:11" x14ac:dyDescent="0.35">
      <c r="A2929" s="1">
        <v>39813</v>
      </c>
      <c r="B2929">
        <v>2.5369999408721902</v>
      </c>
      <c r="C2929">
        <v>2.58450007438659</v>
      </c>
      <c r="D2929">
        <v>2.49550008773803</v>
      </c>
      <c r="E2929">
        <v>2.5639998912811199</v>
      </c>
      <c r="F2929">
        <v>2.5639998912811199</v>
      </c>
      <c r="G2929">
        <v>155844000</v>
      </c>
      <c r="H2929">
        <f t="shared" si="180"/>
        <v>2008</v>
      </c>
      <c r="I2929">
        <f t="shared" si="181"/>
        <v>12</v>
      </c>
      <c r="J2929" t="str">
        <f t="shared" si="182"/>
        <v>Dec</v>
      </c>
      <c r="K2929" t="str">
        <f t="shared" si="183"/>
        <v>Wed</v>
      </c>
    </row>
    <row r="2930" spans="1:11" x14ac:dyDescent="0.35">
      <c r="A2930" s="1">
        <v>39815</v>
      </c>
      <c r="B2930">
        <v>2.56750011444091</v>
      </c>
      <c r="C2930">
        <v>2.7265000343322701</v>
      </c>
      <c r="D2930">
        <v>2.5534999370574898</v>
      </c>
      <c r="E2930">
        <v>2.7179999351501398</v>
      </c>
      <c r="F2930">
        <v>2.7179999351501398</v>
      </c>
      <c r="G2930">
        <v>145928000</v>
      </c>
      <c r="H2930">
        <f t="shared" si="180"/>
        <v>2009</v>
      </c>
      <c r="I2930">
        <f t="shared" si="181"/>
        <v>1</v>
      </c>
      <c r="J2930" t="str">
        <f t="shared" si="182"/>
        <v>Jan</v>
      </c>
      <c r="K2930" t="str">
        <f t="shared" si="183"/>
        <v>Fri</v>
      </c>
    </row>
    <row r="2931" spans="1:11" x14ac:dyDescent="0.35">
      <c r="A2931" s="1">
        <v>39818</v>
      </c>
      <c r="B2931">
        <v>2.7864999771118102</v>
      </c>
      <c r="C2931">
        <v>2.7869999408721902</v>
      </c>
      <c r="D2931">
        <v>2.6514999866485498</v>
      </c>
      <c r="E2931">
        <v>2.7030000686645499</v>
      </c>
      <c r="F2931">
        <v>2.7030000686645499</v>
      </c>
      <c r="G2931">
        <v>190196000</v>
      </c>
      <c r="H2931">
        <f t="shared" si="180"/>
        <v>2009</v>
      </c>
      <c r="I2931">
        <f t="shared" si="181"/>
        <v>1</v>
      </c>
      <c r="J2931" t="str">
        <f t="shared" si="182"/>
        <v>Jan</v>
      </c>
      <c r="K2931" t="str">
        <f t="shared" si="183"/>
        <v>Mon</v>
      </c>
    </row>
    <row r="2932" spans="1:11" x14ac:dyDescent="0.35">
      <c r="A2932" s="1">
        <v>39819</v>
      </c>
      <c r="B2932">
        <v>2.7274999618530198</v>
      </c>
      <c r="C2932">
        <v>2.91100001335144</v>
      </c>
      <c r="D2932">
        <v>2.6875</v>
      </c>
      <c r="E2932">
        <v>2.8680000305175701</v>
      </c>
      <c r="F2932">
        <v>2.8680000305175701</v>
      </c>
      <c r="G2932">
        <v>221602000</v>
      </c>
      <c r="H2932">
        <f t="shared" si="180"/>
        <v>2009</v>
      </c>
      <c r="I2932">
        <f t="shared" si="181"/>
        <v>1</v>
      </c>
      <c r="J2932" t="str">
        <f t="shared" si="182"/>
        <v>Jan</v>
      </c>
      <c r="K2932" t="str">
        <f t="shared" si="183"/>
        <v>Tue</v>
      </c>
    </row>
    <row r="2933" spans="1:11" x14ac:dyDescent="0.35">
      <c r="A2933" s="1">
        <v>39820</v>
      </c>
      <c r="B2933">
        <v>2.8145000934600799</v>
      </c>
      <c r="C2933">
        <v>2.84750008583068</v>
      </c>
      <c r="D2933">
        <v>2.7674999237060498</v>
      </c>
      <c r="E2933">
        <v>2.8099999427795401</v>
      </c>
      <c r="F2933">
        <v>2.8099999427795401</v>
      </c>
      <c r="G2933">
        <v>158854000</v>
      </c>
      <c r="H2933">
        <f t="shared" si="180"/>
        <v>2009</v>
      </c>
      <c r="I2933">
        <f t="shared" si="181"/>
        <v>1</v>
      </c>
      <c r="J2933" t="str">
        <f t="shared" si="182"/>
        <v>Jan</v>
      </c>
      <c r="K2933" t="str">
        <f t="shared" si="183"/>
        <v>Wed</v>
      </c>
    </row>
    <row r="2934" spans="1:11" x14ac:dyDescent="0.35">
      <c r="A2934" s="1">
        <v>39821</v>
      </c>
      <c r="B2934">
        <v>2.74950003623962</v>
      </c>
      <c r="C2934">
        <v>2.8659999370574898</v>
      </c>
      <c r="D2934">
        <v>2.7290000915527299</v>
      </c>
      <c r="E2934">
        <v>2.85800004005432</v>
      </c>
      <c r="F2934">
        <v>2.85800004005432</v>
      </c>
      <c r="G2934">
        <v>131558000</v>
      </c>
      <c r="H2934">
        <f t="shared" si="180"/>
        <v>2009</v>
      </c>
      <c r="I2934">
        <f t="shared" si="181"/>
        <v>1</v>
      </c>
      <c r="J2934" t="str">
        <f t="shared" si="182"/>
        <v>Jan</v>
      </c>
      <c r="K2934" t="str">
        <f t="shared" si="183"/>
        <v>Thu</v>
      </c>
    </row>
    <row r="2935" spans="1:11" x14ac:dyDescent="0.35">
      <c r="A2935" s="1">
        <v>39822</v>
      </c>
      <c r="B2935">
        <v>2.8459999561309801</v>
      </c>
      <c r="C2935">
        <v>2.8499999046325599</v>
      </c>
      <c r="D2935">
        <v>2.7349998950958199</v>
      </c>
      <c r="E2935">
        <v>2.7755000591278001</v>
      </c>
      <c r="F2935">
        <v>2.7755000591278001</v>
      </c>
      <c r="G2935">
        <v>133682000</v>
      </c>
      <c r="H2935">
        <f t="shared" si="180"/>
        <v>2009</v>
      </c>
      <c r="I2935">
        <f t="shared" si="181"/>
        <v>1</v>
      </c>
      <c r="J2935" t="str">
        <f t="shared" si="182"/>
        <v>Jan</v>
      </c>
      <c r="K2935" t="str">
        <f t="shared" si="183"/>
        <v>Fri</v>
      </c>
    </row>
    <row r="2936" spans="1:11" x14ac:dyDescent="0.35">
      <c r="A2936" s="1">
        <v>39825</v>
      </c>
      <c r="B2936">
        <v>2.70600008964538</v>
      </c>
      <c r="C2936">
        <v>2.7149999141693102</v>
      </c>
      <c r="D2936">
        <v>2.5434999465942298</v>
      </c>
      <c r="E2936">
        <v>2.5959999561309801</v>
      </c>
      <c r="F2936">
        <v>2.5959999561309801</v>
      </c>
      <c r="G2936">
        <v>191126000</v>
      </c>
      <c r="H2936">
        <f t="shared" si="180"/>
        <v>2009</v>
      </c>
      <c r="I2936">
        <f t="shared" si="181"/>
        <v>1</v>
      </c>
      <c r="J2936" t="str">
        <f t="shared" si="182"/>
        <v>Jan</v>
      </c>
      <c r="K2936" t="str">
        <f t="shared" si="183"/>
        <v>Mon</v>
      </c>
    </row>
    <row r="2937" spans="1:11" x14ac:dyDescent="0.35">
      <c r="A2937" s="1">
        <v>39826</v>
      </c>
      <c r="B2937">
        <v>2.5480000972747798</v>
      </c>
      <c r="C2937">
        <v>2.66449999809265</v>
      </c>
      <c r="D2937">
        <v>2.5374999046325599</v>
      </c>
      <c r="E2937">
        <v>2.5724999904632502</v>
      </c>
      <c r="F2937">
        <v>2.5724999904632502</v>
      </c>
      <c r="G2937">
        <v>157664000</v>
      </c>
      <c r="H2937">
        <f t="shared" si="180"/>
        <v>2009</v>
      </c>
      <c r="I2937">
        <f t="shared" si="181"/>
        <v>1</v>
      </c>
      <c r="J2937" t="str">
        <f t="shared" si="182"/>
        <v>Jan</v>
      </c>
      <c r="K2937" t="str">
        <f t="shared" si="183"/>
        <v>Tue</v>
      </c>
    </row>
    <row r="2938" spans="1:11" x14ac:dyDescent="0.35">
      <c r="A2938" s="1">
        <v>39827</v>
      </c>
      <c r="B2938">
        <v>2.50500011444091</v>
      </c>
      <c r="C2938">
        <v>2.50500011444091</v>
      </c>
      <c r="D2938">
        <v>2.40700006484985</v>
      </c>
      <c r="E2938">
        <v>2.4244999885559002</v>
      </c>
      <c r="F2938">
        <v>2.4244999885559002</v>
      </c>
      <c r="G2938">
        <v>208852000</v>
      </c>
      <c r="H2938">
        <f t="shared" si="180"/>
        <v>2009</v>
      </c>
      <c r="I2938">
        <f t="shared" si="181"/>
        <v>1</v>
      </c>
      <c r="J2938" t="str">
        <f t="shared" si="182"/>
        <v>Jan</v>
      </c>
      <c r="K2938" t="str">
        <f t="shared" si="183"/>
        <v>Wed</v>
      </c>
    </row>
    <row r="2939" spans="1:11" x14ac:dyDescent="0.35">
      <c r="A2939" s="1">
        <v>39828</v>
      </c>
      <c r="B2939">
        <v>2.4279999732971098</v>
      </c>
      <c r="C2939">
        <v>2.61150002479553</v>
      </c>
      <c r="D2939">
        <v>2.3815000057220401</v>
      </c>
      <c r="E2939">
        <v>2.57200002670288</v>
      </c>
      <c r="F2939">
        <v>2.57200002670288</v>
      </c>
      <c r="G2939">
        <v>232346000</v>
      </c>
      <c r="H2939">
        <f t="shared" si="180"/>
        <v>2009</v>
      </c>
      <c r="I2939">
        <f t="shared" si="181"/>
        <v>1</v>
      </c>
      <c r="J2939" t="str">
        <f t="shared" si="182"/>
        <v>Jan</v>
      </c>
      <c r="K2939" t="str">
        <f t="shared" si="183"/>
        <v>Thu</v>
      </c>
    </row>
    <row r="2940" spans="1:11" x14ac:dyDescent="0.35">
      <c r="A2940" s="1">
        <v>39829</v>
      </c>
      <c r="B2940">
        <v>2.5899999141693102</v>
      </c>
      <c r="C2940">
        <v>2.6164999008178702</v>
      </c>
      <c r="D2940">
        <v>2.4765000343322701</v>
      </c>
      <c r="E2940">
        <v>2.5794999599456698</v>
      </c>
      <c r="F2940">
        <v>2.5794999599456698</v>
      </c>
      <c r="G2940">
        <v>165164000</v>
      </c>
      <c r="H2940">
        <f t="shared" si="180"/>
        <v>2009</v>
      </c>
      <c r="I2940">
        <f t="shared" si="181"/>
        <v>1</v>
      </c>
      <c r="J2940" t="str">
        <f t="shared" si="182"/>
        <v>Jan</v>
      </c>
      <c r="K2940" t="str">
        <f t="shared" si="183"/>
        <v>Fri</v>
      </c>
    </row>
    <row r="2941" spans="1:11" x14ac:dyDescent="0.35">
      <c r="A2941" s="1">
        <v>39833</v>
      </c>
      <c r="B2941">
        <v>2.5374999046325599</v>
      </c>
      <c r="C2941">
        <v>2.58500003814697</v>
      </c>
      <c r="D2941">
        <v>2.4135000705718901</v>
      </c>
      <c r="E2941">
        <v>2.4219999313354399</v>
      </c>
      <c r="F2941">
        <v>2.4219999313354399</v>
      </c>
      <c r="G2941">
        <v>135344000</v>
      </c>
      <c r="H2941">
        <f t="shared" si="180"/>
        <v>2009</v>
      </c>
      <c r="I2941">
        <f t="shared" si="181"/>
        <v>1</v>
      </c>
      <c r="J2941" t="str">
        <f t="shared" si="182"/>
        <v>Jan</v>
      </c>
      <c r="K2941" t="str">
        <f t="shared" si="183"/>
        <v>Tue</v>
      </c>
    </row>
    <row r="2942" spans="1:11" x14ac:dyDescent="0.35">
      <c r="A2942" s="1">
        <v>39834</v>
      </c>
      <c r="B2942">
        <v>2.4655001163482599</v>
      </c>
      <c r="C2942">
        <v>2.5344998836517298</v>
      </c>
      <c r="D2942">
        <v>2.4124999046325599</v>
      </c>
      <c r="E2942">
        <v>2.5269999504089302</v>
      </c>
      <c r="F2942">
        <v>2.5269999504089302</v>
      </c>
      <c r="G2942">
        <v>116590000</v>
      </c>
      <c r="H2942">
        <f t="shared" si="180"/>
        <v>2009</v>
      </c>
      <c r="I2942">
        <f t="shared" si="181"/>
        <v>1</v>
      </c>
      <c r="J2942" t="str">
        <f t="shared" si="182"/>
        <v>Jan</v>
      </c>
      <c r="K2942" t="str">
        <f t="shared" si="183"/>
        <v>Wed</v>
      </c>
    </row>
    <row r="2943" spans="1:11" x14ac:dyDescent="0.35">
      <c r="A2943" s="1">
        <v>39835</v>
      </c>
      <c r="B2943">
        <v>2.4709999561309801</v>
      </c>
      <c r="C2943">
        <v>2.5439999103546098</v>
      </c>
      <c r="D2943">
        <v>2.4130001068115199</v>
      </c>
      <c r="E2943">
        <v>2.4969999790191602</v>
      </c>
      <c r="F2943">
        <v>2.4969999790191602</v>
      </c>
      <c r="G2943">
        <v>142666000</v>
      </c>
      <c r="H2943">
        <f t="shared" si="180"/>
        <v>2009</v>
      </c>
      <c r="I2943">
        <f t="shared" si="181"/>
        <v>1</v>
      </c>
      <c r="J2943" t="str">
        <f t="shared" si="182"/>
        <v>Jan</v>
      </c>
      <c r="K2943" t="str">
        <f t="shared" si="183"/>
        <v>Thu</v>
      </c>
    </row>
    <row r="2944" spans="1:11" x14ac:dyDescent="0.35">
      <c r="A2944" s="1">
        <v>39836</v>
      </c>
      <c r="B2944">
        <v>2.4449999332427899</v>
      </c>
      <c r="C2944">
        <v>2.57100009918212</v>
      </c>
      <c r="D2944">
        <v>2.4224998950958199</v>
      </c>
      <c r="E2944">
        <v>2.53150010108947</v>
      </c>
      <c r="F2944">
        <v>2.53150010108947</v>
      </c>
      <c r="G2944">
        <v>115866000</v>
      </c>
      <c r="H2944">
        <f t="shared" si="180"/>
        <v>2009</v>
      </c>
      <c r="I2944">
        <f t="shared" si="181"/>
        <v>1</v>
      </c>
      <c r="J2944" t="str">
        <f t="shared" si="182"/>
        <v>Jan</v>
      </c>
      <c r="K2944" t="str">
        <f t="shared" si="183"/>
        <v>Fri</v>
      </c>
    </row>
    <row r="2945" spans="1:11" x14ac:dyDescent="0.35">
      <c r="A2945" s="1">
        <v>39839</v>
      </c>
      <c r="B2945">
        <v>2.5090000629425</v>
      </c>
      <c r="C2945">
        <v>2.54450011253356</v>
      </c>
      <c r="D2945">
        <v>2.4260001182556099</v>
      </c>
      <c r="E2945">
        <v>2.4814999103546098</v>
      </c>
      <c r="F2945">
        <v>2.4814999103546098</v>
      </c>
      <c r="G2945">
        <v>143114000</v>
      </c>
      <c r="H2945">
        <f t="shared" si="180"/>
        <v>2009</v>
      </c>
      <c r="I2945">
        <f t="shared" si="181"/>
        <v>1</v>
      </c>
      <c r="J2945" t="str">
        <f t="shared" si="182"/>
        <v>Jan</v>
      </c>
      <c r="K2945" t="str">
        <f t="shared" si="183"/>
        <v>Mon</v>
      </c>
    </row>
    <row r="2946" spans="1:11" x14ac:dyDescent="0.35">
      <c r="A2946" s="1">
        <v>39840</v>
      </c>
      <c r="B2946">
        <v>2.4649999141693102</v>
      </c>
      <c r="C2946">
        <v>2.5209999084472599</v>
      </c>
      <c r="D2946">
        <v>2.3859999179839999</v>
      </c>
      <c r="E2946">
        <v>2.4219999313354399</v>
      </c>
      <c r="F2946">
        <v>2.4219999313354399</v>
      </c>
      <c r="G2946">
        <v>174764000</v>
      </c>
      <c r="H2946">
        <f t="shared" si="180"/>
        <v>2009</v>
      </c>
      <c r="I2946">
        <f t="shared" si="181"/>
        <v>1</v>
      </c>
      <c r="J2946" t="str">
        <f t="shared" si="182"/>
        <v>Jan</v>
      </c>
      <c r="K2946" t="str">
        <f t="shared" si="183"/>
        <v>Tue</v>
      </c>
    </row>
    <row r="2947" spans="1:11" x14ac:dyDescent="0.35">
      <c r="A2947" s="1">
        <v>39841</v>
      </c>
      <c r="B2947">
        <v>2.48600006103515</v>
      </c>
      <c r="C2947">
        <v>2.5745000839233398</v>
      </c>
      <c r="D2947">
        <v>2.4484999179839999</v>
      </c>
      <c r="E2947">
        <v>2.5179998874664302</v>
      </c>
      <c r="F2947">
        <v>2.5179998874664302</v>
      </c>
      <c r="G2947">
        <v>161132000</v>
      </c>
      <c r="H2947">
        <f t="shared" si="180"/>
        <v>2009</v>
      </c>
      <c r="I2947">
        <f t="shared" si="181"/>
        <v>1</v>
      </c>
      <c r="J2947" t="str">
        <f t="shared" si="182"/>
        <v>Jan</v>
      </c>
      <c r="K2947" t="str">
        <f t="shared" si="183"/>
        <v>Wed</v>
      </c>
    </row>
    <row r="2948" spans="1:11" x14ac:dyDescent="0.35">
      <c r="A2948" s="1">
        <v>39842</v>
      </c>
      <c r="B2948">
        <v>2.4979999065399099</v>
      </c>
      <c r="C2948">
        <v>2.5924999713897701</v>
      </c>
      <c r="D2948">
        <v>2.4570000171661301</v>
      </c>
      <c r="E2948">
        <v>2.5</v>
      </c>
      <c r="F2948">
        <v>2.5</v>
      </c>
      <c r="G2948">
        <v>359336000</v>
      </c>
      <c r="H2948">
        <f t="shared" ref="H2948:H3011" si="184">YEAR($A2948)</f>
        <v>2009</v>
      </c>
      <c r="I2948">
        <f t="shared" ref="I2948:I3011" si="185">MONTH($A2948)</f>
        <v>1</v>
      </c>
      <c r="J2948" t="str">
        <f t="shared" ref="J2948:J3011" si="186">TEXT($A2948,"mmm")</f>
        <v>Jan</v>
      </c>
      <c r="K2948" t="str">
        <f t="shared" ref="K2948:K3011" si="187">TEXT($A2948,"ddd")</f>
        <v>Thu</v>
      </c>
    </row>
    <row r="2949" spans="1:11" x14ac:dyDescent="0.35">
      <c r="A2949" s="1">
        <v>39843</v>
      </c>
      <c r="B2949">
        <v>2.8680000305175701</v>
      </c>
      <c r="C2949">
        <v>2.9869999885559002</v>
      </c>
      <c r="D2949">
        <v>2.8619999885559002</v>
      </c>
      <c r="E2949">
        <v>2.94099998474121</v>
      </c>
      <c r="F2949">
        <v>2.94099998474121</v>
      </c>
      <c r="G2949">
        <v>795662000</v>
      </c>
      <c r="H2949">
        <f t="shared" si="184"/>
        <v>2009</v>
      </c>
      <c r="I2949">
        <f t="shared" si="185"/>
        <v>1</v>
      </c>
      <c r="J2949" t="str">
        <f t="shared" si="186"/>
        <v>Jan</v>
      </c>
      <c r="K2949" t="str">
        <f t="shared" si="187"/>
        <v>Fri</v>
      </c>
    </row>
    <row r="2950" spans="1:11" x14ac:dyDescent="0.35">
      <c r="A2950" s="1">
        <v>39846</v>
      </c>
      <c r="B2950">
        <v>2.9284999370574898</v>
      </c>
      <c r="C2950">
        <v>3.0999999046325599</v>
      </c>
      <c r="D2950">
        <v>2.90650010108947</v>
      </c>
      <c r="E2950">
        <v>3.0574998855590798</v>
      </c>
      <c r="F2950">
        <v>3.0574998855590798</v>
      </c>
      <c r="G2950">
        <v>386486000</v>
      </c>
      <c r="H2950">
        <f t="shared" si="184"/>
        <v>2009</v>
      </c>
      <c r="I2950">
        <f t="shared" si="185"/>
        <v>2</v>
      </c>
      <c r="J2950" t="str">
        <f t="shared" si="186"/>
        <v>Feb</v>
      </c>
      <c r="K2950" t="str">
        <f t="shared" si="187"/>
        <v>Mon</v>
      </c>
    </row>
    <row r="2951" spans="1:11" x14ac:dyDescent="0.35">
      <c r="A2951" s="1">
        <v>39847</v>
      </c>
      <c r="B2951">
        <v>3.0434999465942298</v>
      </c>
      <c r="C2951">
        <v>3.21000003814697</v>
      </c>
      <c r="D2951">
        <v>3</v>
      </c>
      <c r="E2951">
        <v>3.17950010299682</v>
      </c>
      <c r="F2951">
        <v>3.17950010299682</v>
      </c>
      <c r="G2951">
        <v>293892000</v>
      </c>
      <c r="H2951">
        <f t="shared" si="184"/>
        <v>2009</v>
      </c>
      <c r="I2951">
        <f t="shared" si="185"/>
        <v>2</v>
      </c>
      <c r="J2951" t="str">
        <f t="shared" si="186"/>
        <v>Feb</v>
      </c>
      <c r="K2951" t="str">
        <f t="shared" si="187"/>
        <v>Tue</v>
      </c>
    </row>
    <row r="2952" spans="1:11" x14ac:dyDescent="0.35">
      <c r="A2952" s="1">
        <v>39848</v>
      </c>
      <c r="B2952">
        <v>3.1689999103546098</v>
      </c>
      <c r="C2952">
        <v>3.1719999313354399</v>
      </c>
      <c r="D2952">
        <v>3.0415000915527299</v>
      </c>
      <c r="E2952">
        <v>3.0529999732971098</v>
      </c>
      <c r="F2952">
        <v>3.0529999732971098</v>
      </c>
      <c r="G2952">
        <v>274526000</v>
      </c>
      <c r="H2952">
        <f t="shared" si="184"/>
        <v>2009</v>
      </c>
      <c r="I2952">
        <f t="shared" si="185"/>
        <v>2</v>
      </c>
      <c r="J2952" t="str">
        <f t="shared" si="186"/>
        <v>Feb</v>
      </c>
      <c r="K2952" t="str">
        <f t="shared" si="187"/>
        <v>Wed</v>
      </c>
    </row>
    <row r="2953" spans="1:11" x14ac:dyDescent="0.35">
      <c r="A2953" s="1">
        <v>39849</v>
      </c>
      <c r="B2953">
        <v>3.0574998855590798</v>
      </c>
      <c r="C2953">
        <v>3.1905000209808301</v>
      </c>
      <c r="D2953">
        <v>3.03150010108947</v>
      </c>
      <c r="E2953">
        <v>3.1589999198913499</v>
      </c>
      <c r="F2953">
        <v>3.1589999198913499</v>
      </c>
      <c r="G2953">
        <v>203392000</v>
      </c>
      <c r="H2953">
        <f t="shared" si="184"/>
        <v>2009</v>
      </c>
      <c r="I2953">
        <f t="shared" si="185"/>
        <v>2</v>
      </c>
      <c r="J2953" t="str">
        <f t="shared" si="186"/>
        <v>Feb</v>
      </c>
      <c r="K2953" t="str">
        <f t="shared" si="187"/>
        <v>Thu</v>
      </c>
    </row>
    <row r="2954" spans="1:11" x14ac:dyDescent="0.35">
      <c r="A2954" s="1">
        <v>39850</v>
      </c>
      <c r="B2954">
        <v>3.1589999198913499</v>
      </c>
      <c r="C2954">
        <v>3.3499999046325599</v>
      </c>
      <c r="D2954">
        <v>3.1589999198913499</v>
      </c>
      <c r="E2954">
        <v>3.3275001049041699</v>
      </c>
      <c r="F2954">
        <v>3.3275001049041699</v>
      </c>
      <c r="G2954">
        <v>240898000</v>
      </c>
      <c r="H2954">
        <f t="shared" si="184"/>
        <v>2009</v>
      </c>
      <c r="I2954">
        <f t="shared" si="185"/>
        <v>2</v>
      </c>
      <c r="J2954" t="str">
        <f t="shared" si="186"/>
        <v>Feb</v>
      </c>
      <c r="K2954" t="str">
        <f t="shared" si="187"/>
        <v>Fri</v>
      </c>
    </row>
    <row r="2955" spans="1:11" x14ac:dyDescent="0.35">
      <c r="A2955" s="1">
        <v>39853</v>
      </c>
      <c r="B2955">
        <v>3.3280000686645499</v>
      </c>
      <c r="C2955">
        <v>3.3680000305175701</v>
      </c>
      <c r="D2955">
        <v>3.2690000534057599</v>
      </c>
      <c r="E2955">
        <v>3.3355000019073402</v>
      </c>
      <c r="F2955">
        <v>3.3355000019073402</v>
      </c>
      <c r="G2955">
        <v>188752000</v>
      </c>
      <c r="H2955">
        <f t="shared" si="184"/>
        <v>2009</v>
      </c>
      <c r="I2955">
        <f t="shared" si="185"/>
        <v>2</v>
      </c>
      <c r="J2955" t="str">
        <f t="shared" si="186"/>
        <v>Feb</v>
      </c>
      <c r="K2955" t="str">
        <f t="shared" si="187"/>
        <v>Mon</v>
      </c>
    </row>
    <row r="2956" spans="1:11" x14ac:dyDescent="0.35">
      <c r="A2956" s="1">
        <v>39854</v>
      </c>
      <c r="B2956">
        <v>3.3074998855590798</v>
      </c>
      <c r="C2956">
        <v>3.36150002479553</v>
      </c>
      <c r="D2956">
        <v>3.1535000801086399</v>
      </c>
      <c r="E2956">
        <v>3.1654999256134002</v>
      </c>
      <c r="F2956">
        <v>3.1654999256134002</v>
      </c>
      <c r="G2956">
        <v>214012000</v>
      </c>
      <c r="H2956">
        <f t="shared" si="184"/>
        <v>2009</v>
      </c>
      <c r="I2956">
        <f t="shared" si="185"/>
        <v>2</v>
      </c>
      <c r="J2956" t="str">
        <f t="shared" si="186"/>
        <v>Feb</v>
      </c>
      <c r="K2956" t="str">
        <f t="shared" si="187"/>
        <v>Tue</v>
      </c>
    </row>
    <row r="2957" spans="1:11" x14ac:dyDescent="0.35">
      <c r="A2957" s="1">
        <v>39855</v>
      </c>
      <c r="B2957">
        <v>3.1549999713897701</v>
      </c>
      <c r="C2957">
        <v>3.2449998855590798</v>
      </c>
      <c r="D2957">
        <v>3.1124999523162802</v>
      </c>
      <c r="E2957">
        <v>3.2174999713897701</v>
      </c>
      <c r="F2957">
        <v>3.2174999713897701</v>
      </c>
      <c r="G2957">
        <v>166946000</v>
      </c>
      <c r="H2957">
        <f t="shared" si="184"/>
        <v>2009</v>
      </c>
      <c r="I2957">
        <f t="shared" si="185"/>
        <v>2</v>
      </c>
      <c r="J2957" t="str">
        <f t="shared" si="186"/>
        <v>Feb</v>
      </c>
      <c r="K2957" t="str">
        <f t="shared" si="187"/>
        <v>Wed</v>
      </c>
    </row>
    <row r="2958" spans="1:11" x14ac:dyDescent="0.35">
      <c r="A2958" s="1">
        <v>39856</v>
      </c>
      <c r="B2958">
        <v>3.1624999046325599</v>
      </c>
      <c r="C2958">
        <v>3.2125000953674299</v>
      </c>
      <c r="D2958">
        <v>3.0855000019073402</v>
      </c>
      <c r="E2958">
        <v>3.1979999542236301</v>
      </c>
      <c r="F2958">
        <v>3.1979999542236301</v>
      </c>
      <c r="G2958">
        <v>161910000</v>
      </c>
      <c r="H2958">
        <f t="shared" si="184"/>
        <v>2009</v>
      </c>
      <c r="I2958">
        <f t="shared" si="185"/>
        <v>2</v>
      </c>
      <c r="J2958" t="str">
        <f t="shared" si="186"/>
        <v>Feb</v>
      </c>
      <c r="K2958" t="str">
        <f t="shared" si="187"/>
        <v>Thu</v>
      </c>
    </row>
    <row r="2959" spans="1:11" x14ac:dyDescent="0.35">
      <c r="A2959" s="1">
        <v>39857</v>
      </c>
      <c r="B2959">
        <v>3.1984999179839999</v>
      </c>
      <c r="C2959">
        <v>3.2339999675750701</v>
      </c>
      <c r="D2959">
        <v>3.14350008964538</v>
      </c>
      <c r="E2959">
        <v>3.1630001068115199</v>
      </c>
      <c r="F2959">
        <v>3.1630001068115199</v>
      </c>
      <c r="G2959">
        <v>82618000</v>
      </c>
      <c r="H2959">
        <f t="shared" si="184"/>
        <v>2009</v>
      </c>
      <c r="I2959">
        <f t="shared" si="185"/>
        <v>2</v>
      </c>
      <c r="J2959" t="str">
        <f t="shared" si="186"/>
        <v>Feb</v>
      </c>
      <c r="K2959" t="str">
        <f t="shared" si="187"/>
        <v>Fri</v>
      </c>
    </row>
    <row r="2960" spans="1:11" x14ac:dyDescent="0.35">
      <c r="A2960" s="1">
        <v>39861</v>
      </c>
      <c r="B2960">
        <v>3.0834999084472599</v>
      </c>
      <c r="C2960">
        <v>3.1324999332427899</v>
      </c>
      <c r="D2960">
        <v>3.0590000152587802</v>
      </c>
      <c r="E2960">
        <v>3.0834999084472599</v>
      </c>
      <c r="F2960">
        <v>3.0834999084472599</v>
      </c>
      <c r="G2960">
        <v>142522000</v>
      </c>
      <c r="H2960">
        <f t="shared" si="184"/>
        <v>2009</v>
      </c>
      <c r="I2960">
        <f t="shared" si="185"/>
        <v>2</v>
      </c>
      <c r="J2960" t="str">
        <f t="shared" si="186"/>
        <v>Feb</v>
      </c>
      <c r="K2960" t="str">
        <f t="shared" si="187"/>
        <v>Tue</v>
      </c>
    </row>
    <row r="2961" spans="1:11" x14ac:dyDescent="0.35">
      <c r="A2961" s="1">
        <v>39862</v>
      </c>
      <c r="B2961">
        <v>3.1135001182556099</v>
      </c>
      <c r="C2961">
        <v>3.1389999389648402</v>
      </c>
      <c r="D2961">
        <v>3.02600002288818</v>
      </c>
      <c r="E2961">
        <v>3.1175000667571999</v>
      </c>
      <c r="F2961">
        <v>3.1175000667571999</v>
      </c>
      <c r="G2961">
        <v>147320000</v>
      </c>
      <c r="H2961">
        <f t="shared" si="184"/>
        <v>2009</v>
      </c>
      <c r="I2961">
        <f t="shared" si="185"/>
        <v>2</v>
      </c>
      <c r="J2961" t="str">
        <f t="shared" si="186"/>
        <v>Feb</v>
      </c>
      <c r="K2961" t="str">
        <f t="shared" si="187"/>
        <v>Wed</v>
      </c>
    </row>
    <row r="2962" spans="1:11" x14ac:dyDescent="0.35">
      <c r="A2962" s="1">
        <v>39863</v>
      </c>
      <c r="B2962">
        <v>3.1419999599456698</v>
      </c>
      <c r="C2962">
        <v>3.2090001106262198</v>
      </c>
      <c r="D2962">
        <v>3.0834999084472599</v>
      </c>
      <c r="E2962">
        <v>3.09750008583068</v>
      </c>
      <c r="F2962">
        <v>3.09750008583068</v>
      </c>
      <c r="G2962">
        <v>135378000</v>
      </c>
      <c r="H2962">
        <f t="shared" si="184"/>
        <v>2009</v>
      </c>
      <c r="I2962">
        <f t="shared" si="185"/>
        <v>2</v>
      </c>
      <c r="J2962" t="str">
        <f t="shared" si="186"/>
        <v>Feb</v>
      </c>
      <c r="K2962" t="str">
        <f t="shared" si="187"/>
        <v>Thu</v>
      </c>
    </row>
    <row r="2963" spans="1:11" x14ac:dyDescent="0.35">
      <c r="A2963" s="1">
        <v>39864</v>
      </c>
      <c r="B2963">
        <v>3.0534999370574898</v>
      </c>
      <c r="C2963">
        <v>3.2074999809265101</v>
      </c>
      <c r="D2963">
        <v>3.0420000553131099</v>
      </c>
      <c r="E2963">
        <v>3.1930000782012899</v>
      </c>
      <c r="F2963">
        <v>3.1930000782012899</v>
      </c>
      <c r="G2963">
        <v>187090000</v>
      </c>
      <c r="H2963">
        <f t="shared" si="184"/>
        <v>2009</v>
      </c>
      <c r="I2963">
        <f t="shared" si="185"/>
        <v>2</v>
      </c>
      <c r="J2963" t="str">
        <f t="shared" si="186"/>
        <v>Feb</v>
      </c>
      <c r="K2963" t="str">
        <f t="shared" si="187"/>
        <v>Fri</v>
      </c>
    </row>
    <row r="2964" spans="1:11" x14ac:dyDescent="0.35">
      <c r="A2964" s="1">
        <v>39867</v>
      </c>
      <c r="B2964">
        <v>3.2079999446868799</v>
      </c>
      <c r="C2964">
        <v>3.24550008773803</v>
      </c>
      <c r="D2964">
        <v>3.0759999752044598</v>
      </c>
      <c r="E2964">
        <v>3.0855000019073402</v>
      </c>
      <c r="F2964">
        <v>3.0855000019073402</v>
      </c>
      <c r="G2964">
        <v>146720000</v>
      </c>
      <c r="H2964">
        <f t="shared" si="184"/>
        <v>2009</v>
      </c>
      <c r="I2964">
        <f t="shared" si="185"/>
        <v>2</v>
      </c>
      <c r="J2964" t="str">
        <f t="shared" si="186"/>
        <v>Feb</v>
      </c>
      <c r="K2964" t="str">
        <f t="shared" si="187"/>
        <v>Mon</v>
      </c>
    </row>
    <row r="2965" spans="1:11" x14ac:dyDescent="0.35">
      <c r="A2965" s="1">
        <v>39868</v>
      </c>
      <c r="B2965">
        <v>3.09850001335144</v>
      </c>
      <c r="C2965">
        <v>3.3050000667571999</v>
      </c>
      <c r="D2965">
        <v>3.09450006484985</v>
      </c>
      <c r="E2965">
        <v>3.2799999713897701</v>
      </c>
      <c r="F2965">
        <v>3.2799999713897701</v>
      </c>
      <c r="G2965">
        <v>205428000</v>
      </c>
      <c r="H2965">
        <f t="shared" si="184"/>
        <v>2009</v>
      </c>
      <c r="I2965">
        <f t="shared" si="185"/>
        <v>2</v>
      </c>
      <c r="J2965" t="str">
        <f t="shared" si="186"/>
        <v>Feb</v>
      </c>
      <c r="K2965" t="str">
        <f t="shared" si="187"/>
        <v>Tue</v>
      </c>
    </row>
    <row r="2966" spans="1:11" x14ac:dyDescent="0.35">
      <c r="A2966" s="1">
        <v>39869</v>
      </c>
      <c r="B2966">
        <v>3.2449998855590798</v>
      </c>
      <c r="C2966">
        <v>3.2874999046325599</v>
      </c>
      <c r="D2966">
        <v>3.1410000324249201</v>
      </c>
      <c r="E2966">
        <v>3.1854999065399099</v>
      </c>
      <c r="F2966">
        <v>3.1854999065399099</v>
      </c>
      <c r="G2966">
        <v>182442000</v>
      </c>
      <c r="H2966">
        <f t="shared" si="184"/>
        <v>2009</v>
      </c>
      <c r="I2966">
        <f t="shared" si="185"/>
        <v>2</v>
      </c>
      <c r="J2966" t="str">
        <f t="shared" si="186"/>
        <v>Feb</v>
      </c>
      <c r="K2966" t="str">
        <f t="shared" si="187"/>
        <v>Wed</v>
      </c>
    </row>
    <row r="2967" spans="1:11" x14ac:dyDescent="0.35">
      <c r="A2967" s="1">
        <v>39870</v>
      </c>
      <c r="B2967">
        <v>3.20600008964538</v>
      </c>
      <c r="C2967">
        <v>3.23650002479553</v>
      </c>
      <c r="D2967">
        <v>3.11700010299682</v>
      </c>
      <c r="E2967">
        <v>3.11700010299682</v>
      </c>
      <c r="F2967">
        <v>3.11700010299682</v>
      </c>
      <c r="G2967">
        <v>145506000</v>
      </c>
      <c r="H2967">
        <f t="shared" si="184"/>
        <v>2009</v>
      </c>
      <c r="I2967">
        <f t="shared" si="185"/>
        <v>2</v>
      </c>
      <c r="J2967" t="str">
        <f t="shared" si="186"/>
        <v>Feb</v>
      </c>
      <c r="K2967" t="str">
        <f t="shared" si="187"/>
        <v>Thu</v>
      </c>
    </row>
    <row r="2968" spans="1:11" x14ac:dyDescent="0.35">
      <c r="A2968" s="1">
        <v>39871</v>
      </c>
      <c r="B2968">
        <v>3.0629999637603702</v>
      </c>
      <c r="C2968">
        <v>3.2539999485015798</v>
      </c>
      <c r="D2968">
        <v>3.0469999313354399</v>
      </c>
      <c r="E2968">
        <v>3.2395000457763601</v>
      </c>
      <c r="F2968">
        <v>3.2395000457763601</v>
      </c>
      <c r="G2968">
        <v>229766000</v>
      </c>
      <c r="H2968">
        <f t="shared" si="184"/>
        <v>2009</v>
      </c>
      <c r="I2968">
        <f t="shared" si="185"/>
        <v>2</v>
      </c>
      <c r="J2968" t="str">
        <f t="shared" si="186"/>
        <v>Feb</v>
      </c>
      <c r="K2968" t="str">
        <f t="shared" si="187"/>
        <v>Fri</v>
      </c>
    </row>
    <row r="2969" spans="1:11" x14ac:dyDescent="0.35">
      <c r="A2969" s="1">
        <v>39874</v>
      </c>
      <c r="B2969">
        <v>3.19700002670288</v>
      </c>
      <c r="C2969">
        <v>3.27600002288818</v>
      </c>
      <c r="D2969">
        <v>3.07550001144409</v>
      </c>
      <c r="E2969">
        <v>3.0994999408721902</v>
      </c>
      <c r="F2969">
        <v>3.0994999408721902</v>
      </c>
      <c r="G2969">
        <v>210238000</v>
      </c>
      <c r="H2969">
        <f t="shared" si="184"/>
        <v>2009</v>
      </c>
      <c r="I2969">
        <f t="shared" si="185"/>
        <v>3</v>
      </c>
      <c r="J2969" t="str">
        <f t="shared" si="186"/>
        <v>Mar</v>
      </c>
      <c r="K2969" t="str">
        <f t="shared" si="187"/>
        <v>Mon</v>
      </c>
    </row>
    <row r="2970" spans="1:11" x14ac:dyDescent="0.35">
      <c r="A2970" s="1">
        <v>39875</v>
      </c>
      <c r="B2970">
        <v>3.13750004768371</v>
      </c>
      <c r="C2970">
        <v>3.16449999809265</v>
      </c>
      <c r="D2970">
        <v>3.0650000572204501</v>
      </c>
      <c r="E2970">
        <v>3.08500003814697</v>
      </c>
      <c r="F2970">
        <v>3.08500003814697</v>
      </c>
      <c r="G2970">
        <v>193832000</v>
      </c>
      <c r="H2970">
        <f t="shared" si="184"/>
        <v>2009</v>
      </c>
      <c r="I2970">
        <f t="shared" si="185"/>
        <v>3</v>
      </c>
      <c r="J2970" t="str">
        <f t="shared" si="186"/>
        <v>Mar</v>
      </c>
      <c r="K2970" t="str">
        <f t="shared" si="187"/>
        <v>Tue</v>
      </c>
    </row>
    <row r="2971" spans="1:11" x14ac:dyDescent="0.35">
      <c r="A2971" s="1">
        <v>39876</v>
      </c>
      <c r="B2971">
        <v>3.1400001049041699</v>
      </c>
      <c r="C2971">
        <v>3.28949999809265</v>
      </c>
      <c r="D2971">
        <v>3.1199998855590798</v>
      </c>
      <c r="E2971">
        <v>3.2404999732971098</v>
      </c>
      <c r="F2971">
        <v>3.2404999732971098</v>
      </c>
      <c r="G2971">
        <v>239218000</v>
      </c>
      <c r="H2971">
        <f t="shared" si="184"/>
        <v>2009</v>
      </c>
      <c r="I2971">
        <f t="shared" si="185"/>
        <v>3</v>
      </c>
      <c r="J2971" t="str">
        <f t="shared" si="186"/>
        <v>Mar</v>
      </c>
      <c r="K2971" t="str">
        <f t="shared" si="187"/>
        <v>Wed</v>
      </c>
    </row>
    <row r="2972" spans="1:11" x14ac:dyDescent="0.35">
      <c r="A2972" s="1">
        <v>39877</v>
      </c>
      <c r="B2972">
        <v>3.20600008964538</v>
      </c>
      <c r="C2972">
        <v>3.2899999618530198</v>
      </c>
      <c r="D2972">
        <v>3.1800000667571999</v>
      </c>
      <c r="E2972">
        <v>3.2385001182556099</v>
      </c>
      <c r="F2972">
        <v>3.2385001182556099</v>
      </c>
      <c r="G2972">
        <v>235406000</v>
      </c>
      <c r="H2972">
        <f t="shared" si="184"/>
        <v>2009</v>
      </c>
      <c r="I2972">
        <f t="shared" si="185"/>
        <v>3</v>
      </c>
      <c r="J2972" t="str">
        <f t="shared" si="186"/>
        <v>Mar</v>
      </c>
      <c r="K2972" t="str">
        <f t="shared" si="187"/>
        <v>Thu</v>
      </c>
    </row>
    <row r="2973" spans="1:11" x14ac:dyDescent="0.35">
      <c r="A2973" s="1">
        <v>39878</v>
      </c>
      <c r="B2973">
        <v>3.2599999904632502</v>
      </c>
      <c r="C2973">
        <v>3.2750000953674299</v>
      </c>
      <c r="D2973">
        <v>2.9909999370574898</v>
      </c>
      <c r="E2973">
        <v>3.08450007438659</v>
      </c>
      <c r="F2973">
        <v>3.08450007438659</v>
      </c>
      <c r="G2973">
        <v>301876000</v>
      </c>
      <c r="H2973">
        <f t="shared" si="184"/>
        <v>2009</v>
      </c>
      <c r="I2973">
        <f t="shared" si="185"/>
        <v>3</v>
      </c>
      <c r="J2973" t="str">
        <f t="shared" si="186"/>
        <v>Mar</v>
      </c>
      <c r="K2973" t="str">
        <f t="shared" si="187"/>
        <v>Fri</v>
      </c>
    </row>
    <row r="2974" spans="1:11" x14ac:dyDescent="0.35">
      <c r="A2974" s="1">
        <v>39881</v>
      </c>
      <c r="B2974">
        <v>3.1099998950958199</v>
      </c>
      <c r="C2974">
        <v>3.2014999389648402</v>
      </c>
      <c r="D2974">
        <v>3.0074999332427899</v>
      </c>
      <c r="E2974">
        <v>3.0244998931884699</v>
      </c>
      <c r="F2974">
        <v>3.0244998931884699</v>
      </c>
      <c r="G2974">
        <v>271228000</v>
      </c>
      <c r="H2974">
        <f t="shared" si="184"/>
        <v>2009</v>
      </c>
      <c r="I2974">
        <f t="shared" si="185"/>
        <v>3</v>
      </c>
      <c r="J2974" t="str">
        <f t="shared" si="186"/>
        <v>Mar</v>
      </c>
      <c r="K2974" t="str">
        <f t="shared" si="187"/>
        <v>Mon</v>
      </c>
    </row>
    <row r="2975" spans="1:11" x14ac:dyDescent="0.35">
      <c r="A2975" s="1">
        <v>39882</v>
      </c>
      <c r="B2975">
        <v>3.12450003623962</v>
      </c>
      <c r="C2975">
        <v>3.29500007629394</v>
      </c>
      <c r="D2975">
        <v>3.0889999866485498</v>
      </c>
      <c r="E2975">
        <v>3.28550004959106</v>
      </c>
      <c r="F2975">
        <v>3.28550004959106</v>
      </c>
      <c r="G2975">
        <v>308714000</v>
      </c>
      <c r="H2975">
        <f t="shared" si="184"/>
        <v>2009</v>
      </c>
      <c r="I2975">
        <f t="shared" si="185"/>
        <v>3</v>
      </c>
      <c r="J2975" t="str">
        <f t="shared" si="186"/>
        <v>Mar</v>
      </c>
      <c r="K2975" t="str">
        <f t="shared" si="187"/>
        <v>Tue</v>
      </c>
    </row>
    <row r="2976" spans="1:11" x14ac:dyDescent="0.35">
      <c r="A2976" s="1">
        <v>39883</v>
      </c>
      <c r="B2976">
        <v>3.31200003623962</v>
      </c>
      <c r="C2976">
        <v>3.4684998989105198</v>
      </c>
      <c r="D2976">
        <v>3.2634999752044598</v>
      </c>
      <c r="E2976">
        <v>3.4270000457763601</v>
      </c>
      <c r="F2976">
        <v>3.4270000457763601</v>
      </c>
      <c r="G2976">
        <v>277634000</v>
      </c>
      <c r="H2976">
        <f t="shared" si="184"/>
        <v>2009</v>
      </c>
      <c r="I2976">
        <f t="shared" si="185"/>
        <v>3</v>
      </c>
      <c r="J2976" t="str">
        <f t="shared" si="186"/>
        <v>Mar</v>
      </c>
      <c r="K2976" t="str">
        <f t="shared" si="187"/>
        <v>Wed</v>
      </c>
    </row>
    <row r="2977" spans="1:11" x14ac:dyDescent="0.35">
      <c r="A2977" s="1">
        <v>39884</v>
      </c>
      <c r="B2977">
        <v>3.4175000190734801</v>
      </c>
      <c r="C2977">
        <v>3.4934999942779501</v>
      </c>
      <c r="D2977">
        <v>3.3624999523162802</v>
      </c>
      <c r="E2977">
        <v>3.4790000915527299</v>
      </c>
      <c r="F2977">
        <v>3.4790000915527299</v>
      </c>
      <c r="G2977">
        <v>226978000</v>
      </c>
      <c r="H2977">
        <f t="shared" si="184"/>
        <v>2009</v>
      </c>
      <c r="I2977">
        <f t="shared" si="185"/>
        <v>3</v>
      </c>
      <c r="J2977" t="str">
        <f t="shared" si="186"/>
        <v>Mar</v>
      </c>
      <c r="K2977" t="str">
        <f t="shared" si="187"/>
        <v>Thu</v>
      </c>
    </row>
    <row r="2978" spans="1:11" x14ac:dyDescent="0.35">
      <c r="A2978" s="1">
        <v>39885</v>
      </c>
      <c r="B2978">
        <v>3.48200011253356</v>
      </c>
      <c r="C2978">
        <v>3.4869999885559002</v>
      </c>
      <c r="D2978">
        <v>3.3764998912811199</v>
      </c>
      <c r="E2978">
        <v>3.4314999580383301</v>
      </c>
      <c r="F2978">
        <v>3.4314999580383301</v>
      </c>
      <c r="G2978">
        <v>178068000</v>
      </c>
      <c r="H2978">
        <f t="shared" si="184"/>
        <v>2009</v>
      </c>
      <c r="I2978">
        <f t="shared" si="185"/>
        <v>3</v>
      </c>
      <c r="J2978" t="str">
        <f t="shared" si="186"/>
        <v>Mar</v>
      </c>
      <c r="K2978" t="str">
        <f t="shared" si="187"/>
        <v>Fri</v>
      </c>
    </row>
    <row r="2979" spans="1:11" x14ac:dyDescent="0.35">
      <c r="A2979" s="1">
        <v>39888</v>
      </c>
      <c r="B2979">
        <v>3.4279999732971098</v>
      </c>
      <c r="C2979">
        <v>3.4644999504089302</v>
      </c>
      <c r="D2979">
        <v>3.3340001106262198</v>
      </c>
      <c r="E2979">
        <v>3.3489999771118102</v>
      </c>
      <c r="F2979">
        <v>3.3489999771118102</v>
      </c>
      <c r="G2979">
        <v>188746000</v>
      </c>
      <c r="H2979">
        <f t="shared" si="184"/>
        <v>2009</v>
      </c>
      <c r="I2979">
        <f t="shared" si="185"/>
        <v>3</v>
      </c>
      <c r="J2979" t="str">
        <f t="shared" si="186"/>
        <v>Mar</v>
      </c>
      <c r="K2979" t="str">
        <f t="shared" si="187"/>
        <v>Mon</v>
      </c>
    </row>
    <row r="2980" spans="1:11" x14ac:dyDescent="0.35">
      <c r="A2980" s="1">
        <v>39889</v>
      </c>
      <c r="B2980">
        <v>3.3684999942779501</v>
      </c>
      <c r="C2980">
        <v>3.5855000019073402</v>
      </c>
      <c r="D2980">
        <v>3.3499999046325599</v>
      </c>
      <c r="E2980">
        <v>3.56750011444091</v>
      </c>
      <c r="F2980">
        <v>3.56750011444091</v>
      </c>
      <c r="G2980">
        <v>238056000</v>
      </c>
      <c r="H2980">
        <f t="shared" si="184"/>
        <v>2009</v>
      </c>
      <c r="I2980">
        <f t="shared" si="185"/>
        <v>3</v>
      </c>
      <c r="J2980" t="str">
        <f t="shared" si="186"/>
        <v>Mar</v>
      </c>
      <c r="K2980" t="str">
        <f t="shared" si="187"/>
        <v>Tue</v>
      </c>
    </row>
    <row r="2981" spans="1:11" x14ac:dyDescent="0.35">
      <c r="A2981" s="1">
        <v>39890</v>
      </c>
      <c r="B2981">
        <v>3.54850006103515</v>
      </c>
      <c r="C2981">
        <v>3.6954998970031698</v>
      </c>
      <c r="D2981">
        <v>3.5065000057220401</v>
      </c>
      <c r="E2981">
        <v>3.5625</v>
      </c>
      <c r="F2981">
        <v>3.5625</v>
      </c>
      <c r="G2981">
        <v>208034000</v>
      </c>
      <c r="H2981">
        <f t="shared" si="184"/>
        <v>2009</v>
      </c>
      <c r="I2981">
        <f t="shared" si="185"/>
        <v>3</v>
      </c>
      <c r="J2981" t="str">
        <f t="shared" si="186"/>
        <v>Mar</v>
      </c>
      <c r="K2981" t="str">
        <f t="shared" si="187"/>
        <v>Wed</v>
      </c>
    </row>
    <row r="2982" spans="1:11" x14ac:dyDescent="0.35">
      <c r="A2982" s="1">
        <v>39891</v>
      </c>
      <c r="B2982">
        <v>3.5699999332427899</v>
      </c>
      <c r="C2982">
        <v>3.5954999923706001</v>
      </c>
      <c r="D2982">
        <v>3.4619998931884699</v>
      </c>
      <c r="E2982">
        <v>3.50500011444091</v>
      </c>
      <c r="F2982">
        <v>3.50500011444091</v>
      </c>
      <c r="G2982">
        <v>176382000</v>
      </c>
      <c r="H2982">
        <f t="shared" si="184"/>
        <v>2009</v>
      </c>
      <c r="I2982">
        <f t="shared" si="185"/>
        <v>3</v>
      </c>
      <c r="J2982" t="str">
        <f t="shared" si="186"/>
        <v>Mar</v>
      </c>
      <c r="K2982" t="str">
        <f t="shared" si="187"/>
        <v>Thu</v>
      </c>
    </row>
    <row r="2983" spans="1:11" x14ac:dyDescent="0.35">
      <c r="A2983" s="1">
        <v>39892</v>
      </c>
      <c r="B2983">
        <v>3.5195000171661301</v>
      </c>
      <c r="C2983">
        <v>3.54450011253356</v>
      </c>
      <c r="D2983">
        <v>3.4539999961853001</v>
      </c>
      <c r="E2983">
        <v>3.4979999065399099</v>
      </c>
      <c r="F2983">
        <v>3.4979999065399099</v>
      </c>
      <c r="G2983">
        <v>169362000</v>
      </c>
      <c r="H2983">
        <f t="shared" si="184"/>
        <v>2009</v>
      </c>
      <c r="I2983">
        <f t="shared" si="185"/>
        <v>3</v>
      </c>
      <c r="J2983" t="str">
        <f t="shared" si="186"/>
        <v>Mar</v>
      </c>
      <c r="K2983" t="str">
        <f t="shared" si="187"/>
        <v>Fri</v>
      </c>
    </row>
    <row r="2984" spans="1:11" x14ac:dyDescent="0.35">
      <c r="A2984" s="1">
        <v>39895</v>
      </c>
      <c r="B2984">
        <v>3.5680000782012899</v>
      </c>
      <c r="C2984">
        <v>3.7804999351501398</v>
      </c>
      <c r="D2984">
        <v>3.53500008583068</v>
      </c>
      <c r="E2984">
        <v>3.7790000438690101</v>
      </c>
      <c r="F2984">
        <v>3.7790000438690101</v>
      </c>
      <c r="G2984">
        <v>172248000</v>
      </c>
      <c r="H2984">
        <f t="shared" si="184"/>
        <v>2009</v>
      </c>
      <c r="I2984">
        <f t="shared" si="185"/>
        <v>3</v>
      </c>
      <c r="J2984" t="str">
        <f t="shared" si="186"/>
        <v>Mar</v>
      </c>
      <c r="K2984" t="str">
        <f t="shared" si="187"/>
        <v>Mon</v>
      </c>
    </row>
    <row r="2985" spans="1:11" x14ac:dyDescent="0.35">
      <c r="A2985" s="1">
        <v>39896</v>
      </c>
      <c r="B2985">
        <v>3.7425000667571999</v>
      </c>
      <c r="C2985">
        <v>3.75</v>
      </c>
      <c r="D2985">
        <v>3.6154999732971098</v>
      </c>
      <c r="E2985">
        <v>3.6405000686645499</v>
      </c>
      <c r="F2985">
        <v>3.6405000686645499</v>
      </c>
      <c r="G2985">
        <v>149158000</v>
      </c>
      <c r="H2985">
        <f t="shared" si="184"/>
        <v>2009</v>
      </c>
      <c r="I2985">
        <f t="shared" si="185"/>
        <v>3</v>
      </c>
      <c r="J2985" t="str">
        <f t="shared" si="186"/>
        <v>Mar</v>
      </c>
      <c r="K2985" t="str">
        <f t="shared" si="187"/>
        <v>Tue</v>
      </c>
    </row>
    <row r="2986" spans="1:11" x14ac:dyDescent="0.35">
      <c r="A2986" s="1">
        <v>39897</v>
      </c>
      <c r="B2986">
        <v>3.6545000076293901</v>
      </c>
      <c r="C2986">
        <v>3.6974999904632502</v>
      </c>
      <c r="D2986">
        <v>3.49200010299682</v>
      </c>
      <c r="E2986">
        <v>3.6199998855590798</v>
      </c>
      <c r="F2986">
        <v>3.6199998855590798</v>
      </c>
      <c r="G2986">
        <v>157912000</v>
      </c>
      <c r="H2986">
        <f t="shared" si="184"/>
        <v>2009</v>
      </c>
      <c r="I2986">
        <f t="shared" si="185"/>
        <v>3</v>
      </c>
      <c r="J2986" t="str">
        <f t="shared" si="186"/>
        <v>Mar</v>
      </c>
      <c r="K2986" t="str">
        <f t="shared" si="187"/>
        <v>Wed</v>
      </c>
    </row>
    <row r="2987" spans="1:11" x14ac:dyDescent="0.35">
      <c r="A2987" s="1">
        <v>39898</v>
      </c>
      <c r="B2987">
        <v>3.67350006103515</v>
      </c>
      <c r="C2987">
        <v>3.7490000724792401</v>
      </c>
      <c r="D2987">
        <v>3.6319999694824201</v>
      </c>
      <c r="E2987">
        <v>3.6844999790191602</v>
      </c>
      <c r="F2987">
        <v>3.6844999790191602</v>
      </c>
      <c r="G2987">
        <v>133154000</v>
      </c>
      <c r="H2987">
        <f t="shared" si="184"/>
        <v>2009</v>
      </c>
      <c r="I2987">
        <f t="shared" si="185"/>
        <v>3</v>
      </c>
      <c r="J2987" t="str">
        <f t="shared" si="186"/>
        <v>Mar</v>
      </c>
      <c r="K2987" t="str">
        <f t="shared" si="187"/>
        <v>Thu</v>
      </c>
    </row>
    <row r="2988" spans="1:11" x14ac:dyDescent="0.35">
      <c r="A2988" s="1">
        <v>39899</v>
      </c>
      <c r="B2988">
        <v>3.5804998874664302</v>
      </c>
      <c r="C2988">
        <v>3.6145000457763601</v>
      </c>
      <c r="D2988">
        <v>3.50500011444091</v>
      </c>
      <c r="E2988">
        <v>3.52600002288818</v>
      </c>
      <c r="F2988">
        <v>3.52600002288818</v>
      </c>
      <c r="G2988">
        <v>171376000</v>
      </c>
      <c r="H2988">
        <f t="shared" si="184"/>
        <v>2009</v>
      </c>
      <c r="I2988">
        <f t="shared" si="185"/>
        <v>3</v>
      </c>
      <c r="J2988" t="str">
        <f t="shared" si="186"/>
        <v>Mar</v>
      </c>
      <c r="K2988" t="str">
        <f t="shared" si="187"/>
        <v>Fri</v>
      </c>
    </row>
    <row r="2989" spans="1:11" x14ac:dyDescent="0.35">
      <c r="A2989" s="1">
        <v>39902</v>
      </c>
      <c r="B2989">
        <v>3.5199999809265101</v>
      </c>
      <c r="C2989">
        <v>3.5834999084472599</v>
      </c>
      <c r="D2989">
        <v>3.4874999523162802</v>
      </c>
      <c r="E2989">
        <v>3.57200002670288</v>
      </c>
      <c r="F2989">
        <v>3.57200002670288</v>
      </c>
      <c r="G2989">
        <v>167462000</v>
      </c>
      <c r="H2989">
        <f t="shared" si="184"/>
        <v>2009</v>
      </c>
      <c r="I2989">
        <f t="shared" si="185"/>
        <v>3</v>
      </c>
      <c r="J2989" t="str">
        <f t="shared" si="186"/>
        <v>Mar</v>
      </c>
      <c r="K2989" t="str">
        <f t="shared" si="187"/>
        <v>Mon</v>
      </c>
    </row>
    <row r="2990" spans="1:11" x14ac:dyDescent="0.35">
      <c r="A2990" s="1">
        <v>39903</v>
      </c>
      <c r="B2990">
        <v>3.6305000782012899</v>
      </c>
      <c r="C2990">
        <v>3.7249999046325599</v>
      </c>
      <c r="D2990">
        <v>3.6059999465942298</v>
      </c>
      <c r="E2990">
        <v>3.6719999313354399</v>
      </c>
      <c r="F2990">
        <v>3.6719999313354399</v>
      </c>
      <c r="G2990">
        <v>178364000</v>
      </c>
      <c r="H2990">
        <f t="shared" si="184"/>
        <v>2009</v>
      </c>
      <c r="I2990">
        <f t="shared" si="185"/>
        <v>3</v>
      </c>
      <c r="J2990" t="str">
        <f t="shared" si="186"/>
        <v>Mar</v>
      </c>
      <c r="K2990" t="str">
        <f t="shared" si="187"/>
        <v>Tue</v>
      </c>
    </row>
    <row r="2991" spans="1:11" x14ac:dyDescent="0.35">
      <c r="A2991" s="1">
        <v>39904</v>
      </c>
      <c r="B2991">
        <v>3.65100002288818</v>
      </c>
      <c r="C2991">
        <v>3.7544999122619598</v>
      </c>
      <c r="D2991">
        <v>3.5855000019073402</v>
      </c>
      <c r="E2991">
        <v>3.6749999523162802</v>
      </c>
      <c r="F2991">
        <v>3.6749999523162802</v>
      </c>
      <c r="G2991">
        <v>140828000</v>
      </c>
      <c r="H2991">
        <f t="shared" si="184"/>
        <v>2009</v>
      </c>
      <c r="I2991">
        <f t="shared" si="185"/>
        <v>4</v>
      </c>
      <c r="J2991" t="str">
        <f t="shared" si="186"/>
        <v>Apr</v>
      </c>
      <c r="K2991" t="str">
        <f t="shared" si="187"/>
        <v>Wed</v>
      </c>
    </row>
    <row r="2992" spans="1:11" x14ac:dyDescent="0.35">
      <c r="A2992" s="1">
        <v>39905</v>
      </c>
      <c r="B2992">
        <v>3.6814999580383301</v>
      </c>
      <c r="C2992">
        <v>3.8619999885559002</v>
      </c>
      <c r="D2992">
        <v>3.6719999313354399</v>
      </c>
      <c r="E2992">
        <v>3.8169999122619598</v>
      </c>
      <c r="F2992">
        <v>3.8169999122619598</v>
      </c>
      <c r="G2992">
        <v>221338000</v>
      </c>
      <c r="H2992">
        <f t="shared" si="184"/>
        <v>2009</v>
      </c>
      <c r="I2992">
        <f t="shared" si="185"/>
        <v>4</v>
      </c>
      <c r="J2992" t="str">
        <f t="shared" si="186"/>
        <v>Apr</v>
      </c>
      <c r="K2992" t="str">
        <f t="shared" si="187"/>
        <v>Thu</v>
      </c>
    </row>
    <row r="2993" spans="1:11" x14ac:dyDescent="0.35">
      <c r="A2993" s="1">
        <v>39906</v>
      </c>
      <c r="B2993">
        <v>3.82100009918212</v>
      </c>
      <c r="C2993">
        <v>3.91599988937377</v>
      </c>
      <c r="D2993">
        <v>3.7750000953674299</v>
      </c>
      <c r="E2993">
        <v>3.9084999561309801</v>
      </c>
      <c r="F2993">
        <v>3.9084999561309801</v>
      </c>
      <c r="G2993">
        <v>116198000</v>
      </c>
      <c r="H2993">
        <f t="shared" si="184"/>
        <v>2009</v>
      </c>
      <c r="I2993">
        <f t="shared" si="185"/>
        <v>4</v>
      </c>
      <c r="J2993" t="str">
        <f t="shared" si="186"/>
        <v>Apr</v>
      </c>
      <c r="K2993" t="str">
        <f t="shared" si="187"/>
        <v>Fri</v>
      </c>
    </row>
    <row r="2994" spans="1:11" x14ac:dyDescent="0.35">
      <c r="A2994" s="1">
        <v>39909</v>
      </c>
      <c r="B2994">
        <v>3.8629999160766602</v>
      </c>
      <c r="C2994">
        <v>3.9179999828338601</v>
      </c>
      <c r="D2994">
        <v>3.7999999523162802</v>
      </c>
      <c r="E2994">
        <v>3.8994998931884699</v>
      </c>
      <c r="F2994">
        <v>3.8994998931884699</v>
      </c>
      <c r="G2994">
        <v>115026000</v>
      </c>
      <c r="H2994">
        <f t="shared" si="184"/>
        <v>2009</v>
      </c>
      <c r="I2994">
        <f t="shared" si="185"/>
        <v>4</v>
      </c>
      <c r="J2994" t="str">
        <f t="shared" si="186"/>
        <v>Apr</v>
      </c>
      <c r="K2994" t="str">
        <f t="shared" si="187"/>
        <v>Mon</v>
      </c>
    </row>
    <row r="2995" spans="1:11" x14ac:dyDescent="0.35">
      <c r="A2995" s="1">
        <v>39910</v>
      </c>
      <c r="B2995">
        <v>3.84850001335144</v>
      </c>
      <c r="C2995">
        <v>3.8540000915527299</v>
      </c>
      <c r="D2995">
        <v>3.7439999580383301</v>
      </c>
      <c r="E2995">
        <v>3.7755000591278001</v>
      </c>
      <c r="F2995">
        <v>3.7755000591278001</v>
      </c>
      <c r="G2995">
        <v>114976000</v>
      </c>
      <c r="H2995">
        <f t="shared" si="184"/>
        <v>2009</v>
      </c>
      <c r="I2995">
        <f t="shared" si="185"/>
        <v>4</v>
      </c>
      <c r="J2995" t="str">
        <f t="shared" si="186"/>
        <v>Apr</v>
      </c>
      <c r="K2995" t="str">
        <f t="shared" si="187"/>
        <v>Tue</v>
      </c>
    </row>
    <row r="2996" spans="1:11" x14ac:dyDescent="0.35">
      <c r="A2996" s="1">
        <v>39911</v>
      </c>
      <c r="B2996">
        <v>3.7964999675750701</v>
      </c>
      <c r="C2996">
        <v>3.8554999828338601</v>
      </c>
      <c r="D2996">
        <v>3.72849988937377</v>
      </c>
      <c r="E2996">
        <v>3.8489999771118102</v>
      </c>
      <c r="F2996">
        <v>3.8489999771118102</v>
      </c>
      <c r="G2996">
        <v>113060000</v>
      </c>
      <c r="H2996">
        <f t="shared" si="184"/>
        <v>2009</v>
      </c>
      <c r="I2996">
        <f t="shared" si="185"/>
        <v>4</v>
      </c>
      <c r="J2996" t="str">
        <f t="shared" si="186"/>
        <v>Apr</v>
      </c>
      <c r="K2996" t="str">
        <f t="shared" si="187"/>
        <v>Wed</v>
      </c>
    </row>
    <row r="2997" spans="1:11" x14ac:dyDescent="0.35">
      <c r="A2997" s="1">
        <v>39912</v>
      </c>
      <c r="B2997">
        <v>3.8754999637603702</v>
      </c>
      <c r="C2997">
        <v>4</v>
      </c>
      <c r="D2997">
        <v>3.8629999160766602</v>
      </c>
      <c r="E2997">
        <v>3.9885001182556099</v>
      </c>
      <c r="F2997">
        <v>3.9885001182556099</v>
      </c>
      <c r="G2997">
        <v>141646000</v>
      </c>
      <c r="H2997">
        <f t="shared" si="184"/>
        <v>2009</v>
      </c>
      <c r="I2997">
        <f t="shared" si="185"/>
        <v>4</v>
      </c>
      <c r="J2997" t="str">
        <f t="shared" si="186"/>
        <v>Apr</v>
      </c>
      <c r="K2997" t="str">
        <f t="shared" si="187"/>
        <v>Thu</v>
      </c>
    </row>
    <row r="2998" spans="1:11" x14ac:dyDescent="0.35">
      <c r="A2998" s="1">
        <v>39916</v>
      </c>
      <c r="B2998">
        <v>3.99200010299682</v>
      </c>
      <c r="C2998">
        <v>3.9985001087188698</v>
      </c>
      <c r="D2998">
        <v>3.8924999237060498</v>
      </c>
      <c r="E2998">
        <v>3.94700002670288</v>
      </c>
      <c r="F2998">
        <v>3.94700002670288</v>
      </c>
      <c r="G2998">
        <v>124244000</v>
      </c>
      <c r="H2998">
        <f t="shared" si="184"/>
        <v>2009</v>
      </c>
      <c r="I2998">
        <f t="shared" si="185"/>
        <v>4</v>
      </c>
      <c r="J2998" t="str">
        <f t="shared" si="186"/>
        <v>Apr</v>
      </c>
      <c r="K2998" t="str">
        <f t="shared" si="187"/>
        <v>Mon</v>
      </c>
    </row>
    <row r="2999" spans="1:11" x14ac:dyDescent="0.35">
      <c r="A2999" s="1">
        <v>39917</v>
      </c>
      <c r="B2999">
        <v>3.9000000953674299</v>
      </c>
      <c r="C2999">
        <v>3.97300004959106</v>
      </c>
      <c r="D2999">
        <v>3.8469998836517298</v>
      </c>
      <c r="E2999">
        <v>3.86100006103515</v>
      </c>
      <c r="F2999">
        <v>3.86100006103515</v>
      </c>
      <c r="G2999">
        <v>123208000</v>
      </c>
      <c r="H2999">
        <f t="shared" si="184"/>
        <v>2009</v>
      </c>
      <c r="I2999">
        <f t="shared" si="185"/>
        <v>4</v>
      </c>
      <c r="J2999" t="str">
        <f t="shared" si="186"/>
        <v>Apr</v>
      </c>
      <c r="K2999" t="str">
        <f t="shared" si="187"/>
        <v>Tue</v>
      </c>
    </row>
    <row r="3000" spans="1:11" x14ac:dyDescent="0.35">
      <c r="A3000" s="1">
        <v>39918</v>
      </c>
      <c r="B3000">
        <v>3.7750000953674299</v>
      </c>
      <c r="C3000">
        <v>3.7904999256134002</v>
      </c>
      <c r="D3000">
        <v>3.6754999160766602</v>
      </c>
      <c r="E3000">
        <v>3.7355000972747798</v>
      </c>
      <c r="F3000">
        <v>3.7355000972747798</v>
      </c>
      <c r="G3000">
        <v>188256000</v>
      </c>
      <c r="H3000">
        <f t="shared" si="184"/>
        <v>2009</v>
      </c>
      <c r="I3000">
        <f t="shared" si="185"/>
        <v>4</v>
      </c>
      <c r="J3000" t="str">
        <f t="shared" si="186"/>
        <v>Apr</v>
      </c>
      <c r="K3000" t="str">
        <f t="shared" si="187"/>
        <v>Wed</v>
      </c>
    </row>
    <row r="3001" spans="1:11" x14ac:dyDescent="0.35">
      <c r="A3001" s="1">
        <v>39919</v>
      </c>
      <c r="B3001">
        <v>3.7664999961853001</v>
      </c>
      <c r="C3001">
        <v>3.8740000724792401</v>
      </c>
      <c r="D3001">
        <v>3.7579998970031698</v>
      </c>
      <c r="E3001">
        <v>3.8624999523162802</v>
      </c>
      <c r="F3001">
        <v>3.8624999523162802</v>
      </c>
      <c r="G3001">
        <v>149356000</v>
      </c>
      <c r="H3001">
        <f t="shared" si="184"/>
        <v>2009</v>
      </c>
      <c r="I3001">
        <f t="shared" si="185"/>
        <v>4</v>
      </c>
      <c r="J3001" t="str">
        <f t="shared" si="186"/>
        <v>Apr</v>
      </c>
      <c r="K3001" t="str">
        <f t="shared" si="187"/>
        <v>Thu</v>
      </c>
    </row>
    <row r="3002" spans="1:11" x14ac:dyDescent="0.35">
      <c r="A3002" s="1">
        <v>39920</v>
      </c>
      <c r="B3002">
        <v>3.8389999866485498</v>
      </c>
      <c r="C3002">
        <v>3.9360001087188698</v>
      </c>
      <c r="D3002">
        <v>3.7939999103546098</v>
      </c>
      <c r="E3002">
        <v>3.9024999141693102</v>
      </c>
      <c r="F3002">
        <v>3.9024999141693102</v>
      </c>
      <c r="G3002">
        <v>148520000</v>
      </c>
      <c r="H3002">
        <f t="shared" si="184"/>
        <v>2009</v>
      </c>
      <c r="I3002">
        <f t="shared" si="185"/>
        <v>4</v>
      </c>
      <c r="J3002" t="str">
        <f t="shared" si="186"/>
        <v>Apr</v>
      </c>
      <c r="K3002" t="str">
        <f t="shared" si="187"/>
        <v>Fri</v>
      </c>
    </row>
    <row r="3003" spans="1:11" x14ac:dyDescent="0.35">
      <c r="A3003" s="1">
        <v>39923</v>
      </c>
      <c r="B3003">
        <v>3.9219999313354399</v>
      </c>
      <c r="C3003">
        <v>3.9895000457763601</v>
      </c>
      <c r="D3003">
        <v>3.8415000438690101</v>
      </c>
      <c r="E3003">
        <v>3.87849998474121</v>
      </c>
      <c r="F3003">
        <v>3.87849998474121</v>
      </c>
      <c r="G3003">
        <v>173738000</v>
      </c>
      <c r="H3003">
        <f t="shared" si="184"/>
        <v>2009</v>
      </c>
      <c r="I3003">
        <f t="shared" si="185"/>
        <v>4</v>
      </c>
      <c r="J3003" t="str">
        <f t="shared" si="186"/>
        <v>Apr</v>
      </c>
      <c r="K3003" t="str">
        <f t="shared" si="187"/>
        <v>Mon</v>
      </c>
    </row>
    <row r="3004" spans="1:11" x14ac:dyDescent="0.35">
      <c r="A3004" s="1">
        <v>39924</v>
      </c>
      <c r="B3004">
        <v>3.8664999008178702</v>
      </c>
      <c r="C3004">
        <v>3.9549999237060498</v>
      </c>
      <c r="D3004">
        <v>3.8645000457763601</v>
      </c>
      <c r="E3004">
        <v>3.93700003623962</v>
      </c>
      <c r="F3004">
        <v>3.93700003623962</v>
      </c>
      <c r="G3004">
        <v>143244000</v>
      </c>
      <c r="H3004">
        <f t="shared" si="184"/>
        <v>2009</v>
      </c>
      <c r="I3004">
        <f t="shared" si="185"/>
        <v>4</v>
      </c>
      <c r="J3004" t="str">
        <f t="shared" si="186"/>
        <v>Apr</v>
      </c>
      <c r="K3004" t="str">
        <f t="shared" si="187"/>
        <v>Tue</v>
      </c>
    </row>
    <row r="3005" spans="1:11" x14ac:dyDescent="0.35">
      <c r="A3005" s="1">
        <v>39925</v>
      </c>
      <c r="B3005">
        <v>3.9084999561309801</v>
      </c>
      <c r="C3005">
        <v>4.1090002059936497</v>
      </c>
      <c r="D3005">
        <v>3.8905000686645499</v>
      </c>
      <c r="E3005">
        <v>3.96000003814697</v>
      </c>
      <c r="F3005">
        <v>3.96000003814697</v>
      </c>
      <c r="G3005">
        <v>175510000</v>
      </c>
      <c r="H3005">
        <f t="shared" si="184"/>
        <v>2009</v>
      </c>
      <c r="I3005">
        <f t="shared" si="185"/>
        <v>4</v>
      </c>
      <c r="J3005" t="str">
        <f t="shared" si="186"/>
        <v>Apr</v>
      </c>
      <c r="K3005" t="str">
        <f t="shared" si="187"/>
        <v>Wed</v>
      </c>
    </row>
    <row r="3006" spans="1:11" x14ac:dyDescent="0.35">
      <c r="A3006" s="1">
        <v>39926</v>
      </c>
      <c r="B3006">
        <v>4.0665001869201598</v>
      </c>
      <c r="C3006">
        <v>4.1030001640319798</v>
      </c>
      <c r="D3006">
        <v>3.9539999961853001</v>
      </c>
      <c r="E3006">
        <v>4.0304999351501403</v>
      </c>
      <c r="F3006">
        <v>4.0304999351501403</v>
      </c>
      <c r="G3006">
        <v>323754000</v>
      </c>
      <c r="H3006">
        <f t="shared" si="184"/>
        <v>2009</v>
      </c>
      <c r="I3006">
        <f t="shared" si="185"/>
        <v>4</v>
      </c>
      <c r="J3006" t="str">
        <f t="shared" si="186"/>
        <v>Apr</v>
      </c>
      <c r="K3006" t="str">
        <f t="shared" si="187"/>
        <v>Thu</v>
      </c>
    </row>
    <row r="3007" spans="1:11" x14ac:dyDescent="0.35">
      <c r="A3007" s="1">
        <v>39927</v>
      </c>
      <c r="B3007">
        <v>4.1015000343322701</v>
      </c>
      <c r="C3007">
        <v>4.3340001106262198</v>
      </c>
      <c r="D3007">
        <v>4.0364999771118102</v>
      </c>
      <c r="E3007">
        <v>4.22300004959106</v>
      </c>
      <c r="F3007">
        <v>4.22300004959106</v>
      </c>
      <c r="G3007">
        <v>469686000</v>
      </c>
      <c r="H3007">
        <f t="shared" si="184"/>
        <v>2009</v>
      </c>
      <c r="I3007">
        <f t="shared" si="185"/>
        <v>4</v>
      </c>
      <c r="J3007" t="str">
        <f t="shared" si="186"/>
        <v>Apr</v>
      </c>
      <c r="K3007" t="str">
        <f t="shared" si="187"/>
        <v>Fri</v>
      </c>
    </row>
    <row r="3008" spans="1:11" x14ac:dyDescent="0.35">
      <c r="A3008" s="1">
        <v>39930</v>
      </c>
      <c r="B3008">
        <v>4.1939997673034597</v>
      </c>
      <c r="C3008">
        <v>4.2490000724792401</v>
      </c>
      <c r="D3008">
        <v>4.1104998588562003</v>
      </c>
      <c r="E3008">
        <v>4.1560001373290998</v>
      </c>
      <c r="F3008">
        <v>4.1560001373290998</v>
      </c>
      <c r="G3008">
        <v>194118000</v>
      </c>
      <c r="H3008">
        <f t="shared" si="184"/>
        <v>2009</v>
      </c>
      <c r="I3008">
        <f t="shared" si="185"/>
        <v>4</v>
      </c>
      <c r="J3008" t="str">
        <f t="shared" si="186"/>
        <v>Apr</v>
      </c>
      <c r="K3008" t="str">
        <f t="shared" si="187"/>
        <v>Mon</v>
      </c>
    </row>
    <row r="3009" spans="1:11" x14ac:dyDescent="0.35">
      <c r="A3009" s="1">
        <v>39931</v>
      </c>
      <c r="B3009">
        <v>4.1339998245239196</v>
      </c>
      <c r="C3009">
        <v>4.2674999237060502</v>
      </c>
      <c r="D3009">
        <v>4.1199998855590803</v>
      </c>
      <c r="E3009">
        <v>4.1199998855590803</v>
      </c>
      <c r="F3009">
        <v>4.1199998855590803</v>
      </c>
      <c r="G3009">
        <v>158480000</v>
      </c>
      <c r="H3009">
        <f t="shared" si="184"/>
        <v>2009</v>
      </c>
      <c r="I3009">
        <f t="shared" si="185"/>
        <v>4</v>
      </c>
      <c r="J3009" t="str">
        <f t="shared" si="186"/>
        <v>Apr</v>
      </c>
      <c r="K3009" t="str">
        <f t="shared" si="187"/>
        <v>Tue</v>
      </c>
    </row>
    <row r="3010" spans="1:11" x14ac:dyDescent="0.35">
      <c r="A3010" s="1">
        <v>39932</v>
      </c>
      <c r="B3010">
        <v>4.1494998931884703</v>
      </c>
      <c r="C3010">
        <v>4.1494998931884703</v>
      </c>
      <c r="D3010">
        <v>3.9630000591278001</v>
      </c>
      <c r="E3010">
        <v>3.9895000457763601</v>
      </c>
      <c r="F3010">
        <v>3.9895000457763601</v>
      </c>
      <c r="G3010">
        <v>194702000</v>
      </c>
      <c r="H3010">
        <f t="shared" si="184"/>
        <v>2009</v>
      </c>
      <c r="I3010">
        <f t="shared" si="185"/>
        <v>4</v>
      </c>
      <c r="J3010" t="str">
        <f t="shared" si="186"/>
        <v>Apr</v>
      </c>
      <c r="K3010" t="str">
        <f t="shared" si="187"/>
        <v>Wed</v>
      </c>
    </row>
    <row r="3011" spans="1:11" x14ac:dyDescent="0.35">
      <c r="A3011" s="1">
        <v>39933</v>
      </c>
      <c r="B3011">
        <v>4.0465002059936497</v>
      </c>
      <c r="C3011">
        <v>4.13350009918212</v>
      </c>
      <c r="D3011">
        <v>3.9944999217986998</v>
      </c>
      <c r="E3011">
        <v>4.02600002288818</v>
      </c>
      <c r="F3011">
        <v>4.02600002288818</v>
      </c>
      <c r="G3011">
        <v>170752000</v>
      </c>
      <c r="H3011">
        <f t="shared" si="184"/>
        <v>2009</v>
      </c>
      <c r="I3011">
        <f t="shared" si="185"/>
        <v>4</v>
      </c>
      <c r="J3011" t="str">
        <f t="shared" si="186"/>
        <v>Apr</v>
      </c>
      <c r="K3011" t="str">
        <f t="shared" si="187"/>
        <v>Thu</v>
      </c>
    </row>
    <row r="3012" spans="1:11" x14ac:dyDescent="0.35">
      <c r="A3012" s="1">
        <v>39934</v>
      </c>
      <c r="B3012">
        <v>4.0190000534057599</v>
      </c>
      <c r="C3012">
        <v>4.0190000534057599</v>
      </c>
      <c r="D3012">
        <v>3.8924999237060498</v>
      </c>
      <c r="E3012">
        <v>3.9479999542236301</v>
      </c>
      <c r="F3012">
        <v>3.9479999542236301</v>
      </c>
      <c r="G3012">
        <v>122434000</v>
      </c>
      <c r="H3012">
        <f t="shared" ref="H3012:H3075" si="188">YEAR($A3012)</f>
        <v>2009</v>
      </c>
      <c r="I3012">
        <f t="shared" ref="I3012:I3075" si="189">MONTH($A3012)</f>
        <v>5</v>
      </c>
      <c r="J3012" t="str">
        <f t="shared" ref="J3012:J3075" si="190">TEXT($A3012,"mmm")</f>
        <v>May</v>
      </c>
      <c r="K3012" t="str">
        <f t="shared" ref="K3012:K3075" si="191">TEXT($A3012,"ddd")</f>
        <v>Fri</v>
      </c>
    </row>
    <row r="3013" spans="1:11" x14ac:dyDescent="0.35">
      <c r="A3013" s="1">
        <v>39937</v>
      </c>
      <c r="B3013">
        <v>4.01300001144409</v>
      </c>
      <c r="C3013">
        <v>4.06750011444091</v>
      </c>
      <c r="D3013">
        <v>3.94250011444091</v>
      </c>
      <c r="E3013">
        <v>3.9885001182556099</v>
      </c>
      <c r="F3013">
        <v>3.9885001182556099</v>
      </c>
      <c r="G3013">
        <v>140386000</v>
      </c>
      <c r="H3013">
        <f t="shared" si="188"/>
        <v>2009</v>
      </c>
      <c r="I3013">
        <f t="shared" si="189"/>
        <v>5</v>
      </c>
      <c r="J3013" t="str">
        <f t="shared" si="190"/>
        <v>May</v>
      </c>
      <c r="K3013" t="str">
        <f t="shared" si="191"/>
        <v>Mon</v>
      </c>
    </row>
    <row r="3014" spans="1:11" x14ac:dyDescent="0.35">
      <c r="A3014" s="1">
        <v>39938</v>
      </c>
      <c r="B3014">
        <v>4.0504999160766602</v>
      </c>
      <c r="C3014">
        <v>4.0999999046325604</v>
      </c>
      <c r="D3014">
        <v>4.00950002670288</v>
      </c>
      <c r="E3014">
        <v>4.0949997901916504</v>
      </c>
      <c r="F3014">
        <v>4.0949997901916504</v>
      </c>
      <c r="G3014">
        <v>117406000</v>
      </c>
      <c r="H3014">
        <f t="shared" si="188"/>
        <v>2009</v>
      </c>
      <c r="I3014">
        <f t="shared" si="189"/>
        <v>5</v>
      </c>
      <c r="J3014" t="str">
        <f t="shared" si="190"/>
        <v>May</v>
      </c>
      <c r="K3014" t="str">
        <f t="shared" si="191"/>
        <v>Tue</v>
      </c>
    </row>
    <row r="3015" spans="1:11" x14ac:dyDescent="0.35">
      <c r="A3015" s="1">
        <v>39939</v>
      </c>
      <c r="B3015">
        <v>4.1440000534057599</v>
      </c>
      <c r="C3015">
        <v>4.1799998283386204</v>
      </c>
      <c r="D3015">
        <v>3.98300004005432</v>
      </c>
      <c r="E3015">
        <v>4.0995001792907697</v>
      </c>
      <c r="F3015">
        <v>4.0995001792907697</v>
      </c>
      <c r="G3015">
        <v>172080000</v>
      </c>
      <c r="H3015">
        <f t="shared" si="188"/>
        <v>2009</v>
      </c>
      <c r="I3015">
        <f t="shared" si="189"/>
        <v>5</v>
      </c>
      <c r="J3015" t="str">
        <f t="shared" si="190"/>
        <v>May</v>
      </c>
      <c r="K3015" t="str">
        <f t="shared" si="191"/>
        <v>Wed</v>
      </c>
    </row>
    <row r="3016" spans="1:11" x14ac:dyDescent="0.35">
      <c r="A3016" s="1">
        <v>39940</v>
      </c>
      <c r="B3016">
        <v>4.1364998817443803</v>
      </c>
      <c r="C3016">
        <v>4.1374998092651296</v>
      </c>
      <c r="D3016">
        <v>3.8940000534057599</v>
      </c>
      <c r="E3016">
        <v>3.9639999866485498</v>
      </c>
      <c r="F3016">
        <v>3.9639999866485498</v>
      </c>
      <c r="G3016">
        <v>192642000</v>
      </c>
      <c r="H3016">
        <f t="shared" si="188"/>
        <v>2009</v>
      </c>
      <c r="I3016">
        <f t="shared" si="189"/>
        <v>5</v>
      </c>
      <c r="J3016" t="str">
        <f t="shared" si="190"/>
        <v>May</v>
      </c>
      <c r="K3016" t="str">
        <f t="shared" si="191"/>
        <v>Thu</v>
      </c>
    </row>
    <row r="3017" spans="1:11" x14ac:dyDescent="0.35">
      <c r="A3017" s="1">
        <v>39941</v>
      </c>
      <c r="B3017">
        <v>3.9844999313354399</v>
      </c>
      <c r="C3017">
        <v>4.0114998817443803</v>
      </c>
      <c r="D3017">
        <v>3.8155000209808301</v>
      </c>
      <c r="E3017">
        <v>3.89750003814697</v>
      </c>
      <c r="F3017">
        <v>3.89750003814697</v>
      </c>
      <c r="G3017">
        <v>163860000</v>
      </c>
      <c r="H3017">
        <f t="shared" si="188"/>
        <v>2009</v>
      </c>
      <c r="I3017">
        <f t="shared" si="189"/>
        <v>5</v>
      </c>
      <c r="J3017" t="str">
        <f t="shared" si="190"/>
        <v>May</v>
      </c>
      <c r="K3017" t="str">
        <f t="shared" si="191"/>
        <v>Fri</v>
      </c>
    </row>
    <row r="3018" spans="1:11" x14ac:dyDescent="0.35">
      <c r="A3018" s="1">
        <v>39944</v>
      </c>
      <c r="B3018">
        <v>3.8399999141693102</v>
      </c>
      <c r="C3018">
        <v>3.9925000667571999</v>
      </c>
      <c r="D3018">
        <v>3.8004999160766602</v>
      </c>
      <c r="E3018">
        <v>3.9305000305175701</v>
      </c>
      <c r="F3018">
        <v>3.9305000305175701</v>
      </c>
      <c r="G3018">
        <v>137446000</v>
      </c>
      <c r="H3018">
        <f t="shared" si="188"/>
        <v>2009</v>
      </c>
      <c r="I3018">
        <f t="shared" si="189"/>
        <v>5</v>
      </c>
      <c r="J3018" t="str">
        <f t="shared" si="190"/>
        <v>May</v>
      </c>
      <c r="K3018" t="str">
        <f t="shared" si="191"/>
        <v>Mon</v>
      </c>
    </row>
    <row r="3019" spans="1:11" x14ac:dyDescent="0.35">
      <c r="A3019" s="1">
        <v>39945</v>
      </c>
      <c r="B3019">
        <v>3.9349999427795401</v>
      </c>
      <c r="C3019">
        <v>3.9484999179839999</v>
      </c>
      <c r="D3019">
        <v>3.8264999389648402</v>
      </c>
      <c r="E3019">
        <v>3.8965001106262198</v>
      </c>
      <c r="F3019">
        <v>3.8965001106262198</v>
      </c>
      <c r="G3019">
        <v>110974000</v>
      </c>
      <c r="H3019">
        <f t="shared" si="188"/>
        <v>2009</v>
      </c>
      <c r="I3019">
        <f t="shared" si="189"/>
        <v>5</v>
      </c>
      <c r="J3019" t="str">
        <f t="shared" si="190"/>
        <v>May</v>
      </c>
      <c r="K3019" t="str">
        <f t="shared" si="191"/>
        <v>Tue</v>
      </c>
    </row>
    <row r="3020" spans="1:11" x14ac:dyDescent="0.35">
      <c r="A3020" s="1">
        <v>39946</v>
      </c>
      <c r="B3020">
        <v>3.8125</v>
      </c>
      <c r="C3020">
        <v>3.8324999809265101</v>
      </c>
      <c r="D3020">
        <v>3.70050001144409</v>
      </c>
      <c r="E3020">
        <v>3.70950007438659</v>
      </c>
      <c r="F3020">
        <v>3.70950007438659</v>
      </c>
      <c r="G3020">
        <v>175410000</v>
      </c>
      <c r="H3020">
        <f t="shared" si="188"/>
        <v>2009</v>
      </c>
      <c r="I3020">
        <f t="shared" si="189"/>
        <v>5</v>
      </c>
      <c r="J3020" t="str">
        <f t="shared" si="190"/>
        <v>May</v>
      </c>
      <c r="K3020" t="str">
        <f t="shared" si="191"/>
        <v>Wed</v>
      </c>
    </row>
    <row r="3021" spans="1:11" x14ac:dyDescent="0.35">
      <c r="A3021" s="1">
        <v>39947</v>
      </c>
      <c r="B3021">
        <v>3.6895000934600799</v>
      </c>
      <c r="C3021">
        <v>3.8029999732971098</v>
      </c>
      <c r="D3021">
        <v>3.6654999256134002</v>
      </c>
      <c r="E3021">
        <v>3.7555000782012899</v>
      </c>
      <c r="F3021">
        <v>3.7555000782012899</v>
      </c>
      <c r="G3021">
        <v>186872000</v>
      </c>
      <c r="H3021">
        <f t="shared" si="188"/>
        <v>2009</v>
      </c>
      <c r="I3021">
        <f t="shared" si="189"/>
        <v>5</v>
      </c>
      <c r="J3021" t="str">
        <f t="shared" si="190"/>
        <v>May</v>
      </c>
      <c r="K3021" t="str">
        <f t="shared" si="191"/>
        <v>Thu</v>
      </c>
    </row>
    <row r="3022" spans="1:11" x14ac:dyDescent="0.35">
      <c r="A3022" s="1">
        <v>39948</v>
      </c>
      <c r="B3022">
        <v>3.72699999809265</v>
      </c>
      <c r="C3022">
        <v>3.8104999065399099</v>
      </c>
      <c r="D3022">
        <v>3.6710000038146902</v>
      </c>
      <c r="E3022">
        <v>3.6800000667571999</v>
      </c>
      <c r="F3022">
        <v>3.6800000667571999</v>
      </c>
      <c r="G3022">
        <v>160234000</v>
      </c>
      <c r="H3022">
        <f t="shared" si="188"/>
        <v>2009</v>
      </c>
      <c r="I3022">
        <f t="shared" si="189"/>
        <v>5</v>
      </c>
      <c r="J3022" t="str">
        <f t="shared" si="190"/>
        <v>May</v>
      </c>
      <c r="K3022" t="str">
        <f t="shared" si="191"/>
        <v>Fri</v>
      </c>
    </row>
    <row r="3023" spans="1:11" x14ac:dyDescent="0.35">
      <c r="A3023" s="1">
        <v>39951</v>
      </c>
      <c r="B3023">
        <v>3.6979999542236301</v>
      </c>
      <c r="C3023">
        <v>3.7980000972747798</v>
      </c>
      <c r="D3023">
        <v>3.6549999713897701</v>
      </c>
      <c r="E3023">
        <v>3.7974998950958199</v>
      </c>
      <c r="F3023">
        <v>3.7974998950958199</v>
      </c>
      <c r="G3023">
        <v>136582000</v>
      </c>
      <c r="H3023">
        <f t="shared" si="188"/>
        <v>2009</v>
      </c>
      <c r="I3023">
        <f t="shared" si="189"/>
        <v>5</v>
      </c>
      <c r="J3023" t="str">
        <f t="shared" si="190"/>
        <v>May</v>
      </c>
      <c r="K3023" t="str">
        <f t="shared" si="191"/>
        <v>Mon</v>
      </c>
    </row>
    <row r="3024" spans="1:11" x14ac:dyDescent="0.35">
      <c r="A3024" s="1">
        <v>39952</v>
      </c>
      <c r="B3024">
        <v>3.7715001106262198</v>
      </c>
      <c r="C3024">
        <v>3.9479999542236301</v>
      </c>
      <c r="D3024">
        <v>3.7560000419616699</v>
      </c>
      <c r="E3024">
        <v>3.89350008964538</v>
      </c>
      <c r="F3024">
        <v>3.89350008964538</v>
      </c>
      <c r="G3024">
        <v>160578000</v>
      </c>
      <c r="H3024">
        <f t="shared" si="188"/>
        <v>2009</v>
      </c>
      <c r="I3024">
        <f t="shared" si="189"/>
        <v>5</v>
      </c>
      <c r="J3024" t="str">
        <f t="shared" si="190"/>
        <v>May</v>
      </c>
      <c r="K3024" t="str">
        <f t="shared" si="191"/>
        <v>Tue</v>
      </c>
    </row>
    <row r="3025" spans="1:11" x14ac:dyDescent="0.35">
      <c r="A3025" s="1">
        <v>39953</v>
      </c>
      <c r="B3025">
        <v>3.9249999523162802</v>
      </c>
      <c r="C3025">
        <v>4.0555000305175701</v>
      </c>
      <c r="D3025">
        <v>3.87100005149841</v>
      </c>
      <c r="E3025">
        <v>3.8984999656677202</v>
      </c>
      <c r="F3025">
        <v>3.8984999656677202</v>
      </c>
      <c r="G3025">
        <v>147020000</v>
      </c>
      <c r="H3025">
        <f t="shared" si="188"/>
        <v>2009</v>
      </c>
      <c r="I3025">
        <f t="shared" si="189"/>
        <v>5</v>
      </c>
      <c r="J3025" t="str">
        <f t="shared" si="190"/>
        <v>May</v>
      </c>
      <c r="K3025" t="str">
        <f t="shared" si="191"/>
        <v>Wed</v>
      </c>
    </row>
    <row r="3026" spans="1:11" x14ac:dyDescent="0.35">
      <c r="A3026" s="1">
        <v>39954</v>
      </c>
      <c r="B3026">
        <v>3.8375000953674299</v>
      </c>
      <c r="C3026">
        <v>3.8984999656677202</v>
      </c>
      <c r="D3026">
        <v>3.7699999809265101</v>
      </c>
      <c r="E3026">
        <v>3.7980000972747798</v>
      </c>
      <c r="F3026">
        <v>3.7980000972747798</v>
      </c>
      <c r="G3026">
        <v>112810000</v>
      </c>
      <c r="H3026">
        <f t="shared" si="188"/>
        <v>2009</v>
      </c>
      <c r="I3026">
        <f t="shared" si="189"/>
        <v>5</v>
      </c>
      <c r="J3026" t="str">
        <f t="shared" si="190"/>
        <v>May</v>
      </c>
      <c r="K3026" t="str">
        <f t="shared" si="191"/>
        <v>Thu</v>
      </c>
    </row>
    <row r="3027" spans="1:11" x14ac:dyDescent="0.35">
      <c r="A3027" s="1">
        <v>39955</v>
      </c>
      <c r="B3027">
        <v>3.8050000667571999</v>
      </c>
      <c r="C3027">
        <v>3.85199999809265</v>
      </c>
      <c r="D3027">
        <v>3.7509999275207502</v>
      </c>
      <c r="E3027">
        <v>3.78200006484985</v>
      </c>
      <c r="F3027">
        <v>3.78200006484985</v>
      </c>
      <c r="G3027">
        <v>69694000</v>
      </c>
      <c r="H3027">
        <f t="shared" si="188"/>
        <v>2009</v>
      </c>
      <c r="I3027">
        <f t="shared" si="189"/>
        <v>5</v>
      </c>
      <c r="J3027" t="str">
        <f t="shared" si="190"/>
        <v>May</v>
      </c>
      <c r="K3027" t="str">
        <f t="shared" si="191"/>
        <v>Fri</v>
      </c>
    </row>
    <row r="3028" spans="1:11" x14ac:dyDescent="0.35">
      <c r="A3028" s="1">
        <v>39959</v>
      </c>
      <c r="B3028">
        <v>3.7514998912811199</v>
      </c>
      <c r="C3028">
        <v>3.92400002479553</v>
      </c>
      <c r="D3028">
        <v>3.7274999618530198</v>
      </c>
      <c r="E3028">
        <v>3.91950011253356</v>
      </c>
      <c r="F3028">
        <v>3.91950011253356</v>
      </c>
      <c r="G3028">
        <v>133992000</v>
      </c>
      <c r="H3028">
        <f t="shared" si="188"/>
        <v>2009</v>
      </c>
      <c r="I3028">
        <f t="shared" si="189"/>
        <v>5</v>
      </c>
      <c r="J3028" t="str">
        <f t="shared" si="190"/>
        <v>May</v>
      </c>
      <c r="K3028" t="str">
        <f t="shared" si="191"/>
        <v>Tue</v>
      </c>
    </row>
    <row r="3029" spans="1:11" x14ac:dyDescent="0.35">
      <c r="A3029" s="1">
        <v>39960</v>
      </c>
      <c r="B3029">
        <v>3.9254999160766602</v>
      </c>
      <c r="C3029">
        <v>3.9749999046325599</v>
      </c>
      <c r="D3029">
        <v>3.8375000953674299</v>
      </c>
      <c r="E3029">
        <v>3.8550000190734801</v>
      </c>
      <c r="F3029">
        <v>3.8550000190734801</v>
      </c>
      <c r="G3029">
        <v>111342000</v>
      </c>
      <c r="H3029">
        <f t="shared" si="188"/>
        <v>2009</v>
      </c>
      <c r="I3029">
        <f t="shared" si="189"/>
        <v>5</v>
      </c>
      <c r="J3029" t="str">
        <f t="shared" si="190"/>
        <v>May</v>
      </c>
      <c r="K3029" t="str">
        <f t="shared" si="191"/>
        <v>Wed</v>
      </c>
    </row>
    <row r="3030" spans="1:11" x14ac:dyDescent="0.35">
      <c r="A3030" s="1">
        <v>39961</v>
      </c>
      <c r="B3030">
        <v>3.8849999904632502</v>
      </c>
      <c r="C3030">
        <v>3.9549999237060498</v>
      </c>
      <c r="D3030">
        <v>3.7939999103546098</v>
      </c>
      <c r="E3030">
        <v>3.8824999332427899</v>
      </c>
      <c r="F3030">
        <v>3.8824999332427899</v>
      </c>
      <c r="G3030">
        <v>98862000</v>
      </c>
      <c r="H3030">
        <f t="shared" si="188"/>
        <v>2009</v>
      </c>
      <c r="I3030">
        <f t="shared" si="189"/>
        <v>5</v>
      </c>
      <c r="J3030" t="str">
        <f t="shared" si="190"/>
        <v>May</v>
      </c>
      <c r="K3030" t="str">
        <f t="shared" si="191"/>
        <v>Thu</v>
      </c>
    </row>
    <row r="3031" spans="1:11" x14ac:dyDescent="0.35">
      <c r="A3031" s="1">
        <v>39962</v>
      </c>
      <c r="B3031">
        <v>3.8859999179839999</v>
      </c>
      <c r="C3031">
        <v>3.9005000591278001</v>
      </c>
      <c r="D3031">
        <v>3.8199999332427899</v>
      </c>
      <c r="E3031">
        <v>3.8994998931884699</v>
      </c>
      <c r="F3031">
        <v>3.8994998931884699</v>
      </c>
      <c r="G3031">
        <v>101444000</v>
      </c>
      <c r="H3031">
        <f t="shared" si="188"/>
        <v>2009</v>
      </c>
      <c r="I3031">
        <f t="shared" si="189"/>
        <v>5</v>
      </c>
      <c r="J3031" t="str">
        <f t="shared" si="190"/>
        <v>May</v>
      </c>
      <c r="K3031" t="str">
        <f t="shared" si="191"/>
        <v>Fri</v>
      </c>
    </row>
    <row r="3032" spans="1:11" x14ac:dyDescent="0.35">
      <c r="A3032" s="1">
        <v>39965</v>
      </c>
      <c r="B3032">
        <v>3.91050004959106</v>
      </c>
      <c r="C3032">
        <v>4.2399997711181596</v>
      </c>
      <c r="D3032">
        <v>3.87450003623962</v>
      </c>
      <c r="E3032">
        <v>4.1525001525878897</v>
      </c>
      <c r="F3032">
        <v>4.1525001525878897</v>
      </c>
      <c r="G3032">
        <v>215930000</v>
      </c>
      <c r="H3032">
        <f t="shared" si="188"/>
        <v>2009</v>
      </c>
      <c r="I3032">
        <f t="shared" si="189"/>
        <v>6</v>
      </c>
      <c r="J3032" t="str">
        <f t="shared" si="190"/>
        <v>Jun</v>
      </c>
      <c r="K3032" t="str">
        <f t="shared" si="191"/>
        <v>Mon</v>
      </c>
    </row>
    <row r="3033" spans="1:11" x14ac:dyDescent="0.35">
      <c r="A3033" s="1">
        <v>39966</v>
      </c>
      <c r="B3033">
        <v>4.1209998130798304</v>
      </c>
      <c r="C3033">
        <v>4.27250003814697</v>
      </c>
      <c r="D3033">
        <v>4.1050000190734801</v>
      </c>
      <c r="E3033">
        <v>4.2465000152587802</v>
      </c>
      <c r="F3033">
        <v>4.2465000152587802</v>
      </c>
      <c r="G3033">
        <v>187940000</v>
      </c>
      <c r="H3033">
        <f t="shared" si="188"/>
        <v>2009</v>
      </c>
      <c r="I3033">
        <f t="shared" si="189"/>
        <v>6</v>
      </c>
      <c r="J3033" t="str">
        <f t="shared" si="190"/>
        <v>Jun</v>
      </c>
      <c r="K3033" t="str">
        <f t="shared" si="191"/>
        <v>Tue</v>
      </c>
    </row>
    <row r="3034" spans="1:11" x14ac:dyDescent="0.35">
      <c r="A3034" s="1">
        <v>39967</v>
      </c>
      <c r="B3034">
        <v>4.1655001640319798</v>
      </c>
      <c r="C3034">
        <v>4.28550004959106</v>
      </c>
      <c r="D3034">
        <v>4.1564998626708896</v>
      </c>
      <c r="E3034">
        <v>4.2839999198913503</v>
      </c>
      <c r="F3034">
        <v>4.2839999198913503</v>
      </c>
      <c r="G3034">
        <v>152068000</v>
      </c>
      <c r="H3034">
        <f t="shared" si="188"/>
        <v>2009</v>
      </c>
      <c r="I3034">
        <f t="shared" si="189"/>
        <v>6</v>
      </c>
      <c r="J3034" t="str">
        <f t="shared" si="190"/>
        <v>Jun</v>
      </c>
      <c r="K3034" t="str">
        <f t="shared" si="191"/>
        <v>Wed</v>
      </c>
    </row>
    <row r="3035" spans="1:11" x14ac:dyDescent="0.35">
      <c r="A3035" s="1">
        <v>39968</v>
      </c>
      <c r="B3035">
        <v>4.2709999084472603</v>
      </c>
      <c r="C3035">
        <v>4.3200001716613698</v>
      </c>
      <c r="D3035">
        <v>4.2284998893737704</v>
      </c>
      <c r="E3035">
        <v>4.27600002288818</v>
      </c>
      <c r="F3035">
        <v>4.27600002288818</v>
      </c>
      <c r="G3035">
        <v>109308000</v>
      </c>
      <c r="H3035">
        <f t="shared" si="188"/>
        <v>2009</v>
      </c>
      <c r="I3035">
        <f t="shared" si="189"/>
        <v>6</v>
      </c>
      <c r="J3035" t="str">
        <f t="shared" si="190"/>
        <v>Jun</v>
      </c>
      <c r="K3035" t="str">
        <f t="shared" si="191"/>
        <v>Thu</v>
      </c>
    </row>
    <row r="3036" spans="1:11" x14ac:dyDescent="0.35">
      <c r="A3036" s="1">
        <v>39969</v>
      </c>
      <c r="B3036">
        <v>4.3144998550415004</v>
      </c>
      <c r="C3036">
        <v>4.39750003814697</v>
      </c>
      <c r="D3036">
        <v>4.2649998664855904</v>
      </c>
      <c r="E3036">
        <v>4.3779997825622496</v>
      </c>
      <c r="F3036">
        <v>4.3779997825622496</v>
      </c>
      <c r="G3036">
        <v>165270000</v>
      </c>
      <c r="H3036">
        <f t="shared" si="188"/>
        <v>2009</v>
      </c>
      <c r="I3036">
        <f t="shared" si="189"/>
        <v>6</v>
      </c>
      <c r="J3036" t="str">
        <f t="shared" si="190"/>
        <v>Jun</v>
      </c>
      <c r="K3036" t="str">
        <f t="shared" si="191"/>
        <v>Fri</v>
      </c>
    </row>
    <row r="3037" spans="1:11" x14ac:dyDescent="0.35">
      <c r="A3037" s="1">
        <v>39972</v>
      </c>
      <c r="B3037">
        <v>4.3375000953674299</v>
      </c>
      <c r="C3037">
        <v>4.3590002059936497</v>
      </c>
      <c r="D3037">
        <v>4.2554998397827104</v>
      </c>
      <c r="E3037">
        <v>4.3179998397827104</v>
      </c>
      <c r="F3037">
        <v>4.3179998397827104</v>
      </c>
      <c r="G3037">
        <v>112042000</v>
      </c>
      <c r="H3037">
        <f t="shared" si="188"/>
        <v>2009</v>
      </c>
      <c r="I3037">
        <f t="shared" si="189"/>
        <v>6</v>
      </c>
      <c r="J3037" t="str">
        <f t="shared" si="190"/>
        <v>Jun</v>
      </c>
      <c r="K3037" t="str">
        <f t="shared" si="191"/>
        <v>Mon</v>
      </c>
    </row>
    <row r="3038" spans="1:11" x14ac:dyDescent="0.35">
      <c r="A3038" s="1">
        <v>39973</v>
      </c>
      <c r="B3038">
        <v>4.3464999198913503</v>
      </c>
      <c r="C3038">
        <v>4.38350009918212</v>
      </c>
      <c r="D3038">
        <v>4.3084998130798304</v>
      </c>
      <c r="E3038">
        <v>4.3540000915527299</v>
      </c>
      <c r="F3038">
        <v>4.3540000915527299</v>
      </c>
      <c r="G3038">
        <v>89502000</v>
      </c>
      <c r="H3038">
        <f t="shared" si="188"/>
        <v>2009</v>
      </c>
      <c r="I3038">
        <f t="shared" si="189"/>
        <v>6</v>
      </c>
      <c r="J3038" t="str">
        <f t="shared" si="190"/>
        <v>Jun</v>
      </c>
      <c r="K3038" t="str">
        <f t="shared" si="191"/>
        <v>Tue</v>
      </c>
    </row>
    <row r="3039" spans="1:11" x14ac:dyDescent="0.35">
      <c r="A3039" s="1">
        <v>39974</v>
      </c>
      <c r="B3039">
        <v>4.3790001869201598</v>
      </c>
      <c r="C3039">
        <v>4.4279999732971103</v>
      </c>
      <c r="D3039">
        <v>4.2414999008178702</v>
      </c>
      <c r="E3039">
        <v>4.3295001983642498</v>
      </c>
      <c r="F3039">
        <v>4.3295001983642498</v>
      </c>
      <c r="G3039">
        <v>121472000</v>
      </c>
      <c r="H3039">
        <f t="shared" si="188"/>
        <v>2009</v>
      </c>
      <c r="I3039">
        <f t="shared" si="189"/>
        <v>6</v>
      </c>
      <c r="J3039" t="str">
        <f t="shared" si="190"/>
        <v>Jun</v>
      </c>
      <c r="K3039" t="str">
        <f t="shared" si="191"/>
        <v>Wed</v>
      </c>
    </row>
    <row r="3040" spans="1:11" x14ac:dyDescent="0.35">
      <c r="A3040" s="1">
        <v>39975</v>
      </c>
      <c r="B3040">
        <v>4.3150000572204501</v>
      </c>
      <c r="C3040">
        <v>4.3744997978210396</v>
      </c>
      <c r="D3040">
        <v>4.2525000572204501</v>
      </c>
      <c r="E3040">
        <v>4.2845001220703098</v>
      </c>
      <c r="F3040">
        <v>4.2845001220703098</v>
      </c>
      <c r="G3040">
        <v>100194000</v>
      </c>
      <c r="H3040">
        <f t="shared" si="188"/>
        <v>2009</v>
      </c>
      <c r="I3040">
        <f t="shared" si="189"/>
        <v>6</v>
      </c>
      <c r="J3040" t="str">
        <f t="shared" si="190"/>
        <v>Jun</v>
      </c>
      <c r="K3040" t="str">
        <f t="shared" si="191"/>
        <v>Thu</v>
      </c>
    </row>
    <row r="3041" spans="1:11" x14ac:dyDescent="0.35">
      <c r="A3041" s="1">
        <v>39976</v>
      </c>
      <c r="B3041">
        <v>4.2515001296996999</v>
      </c>
      <c r="C3041">
        <v>4.2600002288818297</v>
      </c>
      <c r="D3041">
        <v>4.1005001068115199</v>
      </c>
      <c r="E3041">
        <v>4.2039999961853001</v>
      </c>
      <c r="F3041">
        <v>4.2039999961853001</v>
      </c>
      <c r="G3041">
        <v>124460000</v>
      </c>
      <c r="H3041">
        <f t="shared" si="188"/>
        <v>2009</v>
      </c>
      <c r="I3041">
        <f t="shared" si="189"/>
        <v>6</v>
      </c>
      <c r="J3041" t="str">
        <f t="shared" si="190"/>
        <v>Jun</v>
      </c>
      <c r="K3041" t="str">
        <f t="shared" si="191"/>
        <v>Fri</v>
      </c>
    </row>
    <row r="3042" spans="1:11" x14ac:dyDescent="0.35">
      <c r="A3042" s="1">
        <v>39979</v>
      </c>
      <c r="B3042">
        <v>4.1414999961853001</v>
      </c>
      <c r="C3042">
        <v>4.1649999618530202</v>
      </c>
      <c r="D3042">
        <v>4.0500001907348597</v>
      </c>
      <c r="E3042">
        <v>4.1589999198913503</v>
      </c>
      <c r="F3042">
        <v>4.1589999198913503</v>
      </c>
      <c r="G3042">
        <v>108036000</v>
      </c>
      <c r="H3042">
        <f t="shared" si="188"/>
        <v>2009</v>
      </c>
      <c r="I3042">
        <f t="shared" si="189"/>
        <v>6</v>
      </c>
      <c r="J3042" t="str">
        <f t="shared" si="190"/>
        <v>Jun</v>
      </c>
      <c r="K3042" t="str">
        <f t="shared" si="191"/>
        <v>Mon</v>
      </c>
    </row>
    <row r="3043" spans="1:11" x14ac:dyDescent="0.35">
      <c r="A3043" s="1">
        <v>39980</v>
      </c>
      <c r="B3043">
        <v>4.1849999427795401</v>
      </c>
      <c r="C3043">
        <v>4.1975002288818297</v>
      </c>
      <c r="D3043">
        <v>4.0640001296996999</v>
      </c>
      <c r="E3043">
        <v>4.10750007629394</v>
      </c>
      <c r="F3043">
        <v>4.10750007629394</v>
      </c>
      <c r="G3043">
        <v>109316000</v>
      </c>
      <c r="H3043">
        <f t="shared" si="188"/>
        <v>2009</v>
      </c>
      <c r="I3043">
        <f t="shared" si="189"/>
        <v>6</v>
      </c>
      <c r="J3043" t="str">
        <f t="shared" si="190"/>
        <v>Jun</v>
      </c>
      <c r="K3043" t="str">
        <f t="shared" si="191"/>
        <v>Tue</v>
      </c>
    </row>
    <row r="3044" spans="1:11" x14ac:dyDescent="0.35">
      <c r="A3044" s="1">
        <v>39981</v>
      </c>
      <c r="B3044">
        <v>4.125</v>
      </c>
      <c r="C3044">
        <v>4.2150001525878897</v>
      </c>
      <c r="D3044">
        <v>4.03200006484985</v>
      </c>
      <c r="E3044">
        <v>4.1325001716613698</v>
      </c>
      <c r="F3044">
        <v>4.1325001716613698</v>
      </c>
      <c r="G3044">
        <v>155702000</v>
      </c>
      <c r="H3044">
        <f t="shared" si="188"/>
        <v>2009</v>
      </c>
      <c r="I3044">
        <f t="shared" si="189"/>
        <v>6</v>
      </c>
      <c r="J3044" t="str">
        <f t="shared" si="190"/>
        <v>Jun</v>
      </c>
      <c r="K3044" t="str">
        <f t="shared" si="191"/>
        <v>Wed</v>
      </c>
    </row>
    <row r="3045" spans="1:11" x14ac:dyDescent="0.35">
      <c r="A3045" s="1">
        <v>39982</v>
      </c>
      <c r="B3045">
        <v>4.1405000686645499</v>
      </c>
      <c r="C3045">
        <v>4.14750003814697</v>
      </c>
      <c r="D3045">
        <v>4.0500001907348597</v>
      </c>
      <c r="E3045">
        <v>4.0799999237060502</v>
      </c>
      <c r="F3045">
        <v>4.0799999237060502</v>
      </c>
      <c r="G3045">
        <v>109062000</v>
      </c>
      <c r="H3045">
        <f t="shared" si="188"/>
        <v>2009</v>
      </c>
      <c r="I3045">
        <f t="shared" si="189"/>
        <v>6</v>
      </c>
      <c r="J3045" t="str">
        <f t="shared" si="190"/>
        <v>Jun</v>
      </c>
      <c r="K3045" t="str">
        <f t="shared" si="191"/>
        <v>Thu</v>
      </c>
    </row>
    <row r="3046" spans="1:11" x14ac:dyDescent="0.35">
      <c r="A3046" s="1">
        <v>39983</v>
      </c>
      <c r="B3046">
        <v>4.10750007629394</v>
      </c>
      <c r="C3046">
        <v>4.1729998588562003</v>
      </c>
      <c r="D3046">
        <v>4.0749998092651296</v>
      </c>
      <c r="E3046">
        <v>4.1479997634887598</v>
      </c>
      <c r="F3046">
        <v>4.1479997634887598</v>
      </c>
      <c r="G3046">
        <v>108764000</v>
      </c>
      <c r="H3046">
        <f t="shared" si="188"/>
        <v>2009</v>
      </c>
      <c r="I3046">
        <f t="shared" si="189"/>
        <v>6</v>
      </c>
      <c r="J3046" t="str">
        <f t="shared" si="190"/>
        <v>Jun</v>
      </c>
      <c r="K3046" t="str">
        <f t="shared" si="191"/>
        <v>Fri</v>
      </c>
    </row>
    <row r="3047" spans="1:11" x14ac:dyDescent="0.35">
      <c r="A3047" s="1">
        <v>39986</v>
      </c>
      <c r="B3047">
        <v>4.12050008773803</v>
      </c>
      <c r="C3047">
        <v>4.1215000152587802</v>
      </c>
      <c r="D3047">
        <v>3.9279999732971098</v>
      </c>
      <c r="E3047">
        <v>3.9574999809265101</v>
      </c>
      <c r="F3047">
        <v>3.9574999809265101</v>
      </c>
      <c r="G3047">
        <v>194888000</v>
      </c>
      <c r="H3047">
        <f t="shared" si="188"/>
        <v>2009</v>
      </c>
      <c r="I3047">
        <f t="shared" si="189"/>
        <v>6</v>
      </c>
      <c r="J3047" t="str">
        <f t="shared" si="190"/>
        <v>Jun</v>
      </c>
      <c r="K3047" t="str">
        <f t="shared" si="191"/>
        <v>Mon</v>
      </c>
    </row>
    <row r="3048" spans="1:11" x14ac:dyDescent="0.35">
      <c r="A3048" s="1">
        <v>39987</v>
      </c>
      <c r="B3048">
        <v>3.9484999179839999</v>
      </c>
      <c r="C3048">
        <v>3.9549999237060498</v>
      </c>
      <c r="D3048">
        <v>3.8125</v>
      </c>
      <c r="E3048">
        <v>3.8840000629425</v>
      </c>
      <c r="F3048">
        <v>3.8840000629425</v>
      </c>
      <c r="G3048">
        <v>148310000</v>
      </c>
      <c r="H3048">
        <f t="shared" si="188"/>
        <v>2009</v>
      </c>
      <c r="I3048">
        <f t="shared" si="189"/>
        <v>6</v>
      </c>
      <c r="J3048" t="str">
        <f t="shared" si="190"/>
        <v>Jun</v>
      </c>
      <c r="K3048" t="str">
        <f t="shared" si="191"/>
        <v>Tue</v>
      </c>
    </row>
    <row r="3049" spans="1:11" x14ac:dyDescent="0.35">
      <c r="A3049" s="1">
        <v>39988</v>
      </c>
      <c r="B3049">
        <v>3.9000000953674299</v>
      </c>
      <c r="C3049">
        <v>4.0265002250671298</v>
      </c>
      <c r="D3049">
        <v>3.8900001049041699</v>
      </c>
      <c r="E3049">
        <v>3.96350002288818</v>
      </c>
      <c r="F3049">
        <v>3.96350002288818</v>
      </c>
      <c r="G3049">
        <v>121628000</v>
      </c>
      <c r="H3049">
        <f t="shared" si="188"/>
        <v>2009</v>
      </c>
      <c r="I3049">
        <f t="shared" si="189"/>
        <v>6</v>
      </c>
      <c r="J3049" t="str">
        <f t="shared" si="190"/>
        <v>Jun</v>
      </c>
      <c r="K3049" t="str">
        <f t="shared" si="191"/>
        <v>Wed</v>
      </c>
    </row>
    <row r="3050" spans="1:11" x14ac:dyDescent="0.35">
      <c r="A3050" s="1">
        <v>39989</v>
      </c>
      <c r="B3050">
        <v>3.9549999237060498</v>
      </c>
      <c r="C3050">
        <v>4.1114997863769496</v>
      </c>
      <c r="D3050">
        <v>3.9514999389648402</v>
      </c>
      <c r="E3050">
        <v>4.1100001335143999</v>
      </c>
      <c r="F3050">
        <v>4.1100001335143999</v>
      </c>
      <c r="G3050">
        <v>147208000</v>
      </c>
      <c r="H3050">
        <f t="shared" si="188"/>
        <v>2009</v>
      </c>
      <c r="I3050">
        <f t="shared" si="189"/>
        <v>6</v>
      </c>
      <c r="J3050" t="str">
        <f t="shared" si="190"/>
        <v>Jun</v>
      </c>
      <c r="K3050" t="str">
        <f t="shared" si="191"/>
        <v>Thu</v>
      </c>
    </row>
    <row r="3051" spans="1:11" x14ac:dyDescent="0.35">
      <c r="A3051" s="1">
        <v>39990</v>
      </c>
      <c r="B3051">
        <v>4.0949997901916504</v>
      </c>
      <c r="C3051">
        <v>4.2069997787475497</v>
      </c>
      <c r="D3051">
        <v>4.0564999580383301</v>
      </c>
      <c r="E3051">
        <v>4.1939997673034597</v>
      </c>
      <c r="F3051">
        <v>4.1939997673034597</v>
      </c>
      <c r="G3051">
        <v>175506000</v>
      </c>
      <c r="H3051">
        <f t="shared" si="188"/>
        <v>2009</v>
      </c>
      <c r="I3051">
        <f t="shared" si="189"/>
        <v>6</v>
      </c>
      <c r="J3051" t="str">
        <f t="shared" si="190"/>
        <v>Jun</v>
      </c>
      <c r="K3051" t="str">
        <f t="shared" si="191"/>
        <v>Fri</v>
      </c>
    </row>
    <row r="3052" spans="1:11" x14ac:dyDescent="0.35">
      <c r="A3052" s="1">
        <v>39993</v>
      </c>
      <c r="B3052">
        <v>4.1935000419616699</v>
      </c>
      <c r="C3052">
        <v>4.21000003814697</v>
      </c>
      <c r="D3052">
        <v>4.12050008773803</v>
      </c>
      <c r="E3052">
        <v>4.1515002250671298</v>
      </c>
      <c r="F3052">
        <v>4.1515002250671298</v>
      </c>
      <c r="G3052">
        <v>125406000</v>
      </c>
      <c r="H3052">
        <f t="shared" si="188"/>
        <v>2009</v>
      </c>
      <c r="I3052">
        <f t="shared" si="189"/>
        <v>6</v>
      </c>
      <c r="J3052" t="str">
        <f t="shared" si="190"/>
        <v>Jun</v>
      </c>
      <c r="K3052" t="str">
        <f t="shared" si="191"/>
        <v>Mon</v>
      </c>
    </row>
    <row r="3053" spans="1:11" x14ac:dyDescent="0.35">
      <c r="A3053" s="1">
        <v>39994</v>
      </c>
      <c r="B3053">
        <v>4.1810002326965297</v>
      </c>
      <c r="C3053">
        <v>4.2459998130798304</v>
      </c>
      <c r="D3053">
        <v>4.1234998703002903</v>
      </c>
      <c r="E3053">
        <v>4.18300008773803</v>
      </c>
      <c r="F3053">
        <v>4.18300008773803</v>
      </c>
      <c r="G3053">
        <v>159696000</v>
      </c>
      <c r="H3053">
        <f t="shared" si="188"/>
        <v>2009</v>
      </c>
      <c r="I3053">
        <f t="shared" si="189"/>
        <v>6</v>
      </c>
      <c r="J3053" t="str">
        <f t="shared" si="190"/>
        <v>Jun</v>
      </c>
      <c r="K3053" t="str">
        <f t="shared" si="191"/>
        <v>Tue</v>
      </c>
    </row>
    <row r="3054" spans="1:11" x14ac:dyDescent="0.35">
      <c r="A3054" s="1">
        <v>39995</v>
      </c>
      <c r="B3054">
        <v>4.2210001945495597</v>
      </c>
      <c r="C3054">
        <v>4.2249999046325604</v>
      </c>
      <c r="D3054">
        <v>4.0685000419616699</v>
      </c>
      <c r="E3054">
        <v>4.0799999237060502</v>
      </c>
      <c r="F3054">
        <v>4.0799999237060502</v>
      </c>
      <c r="G3054">
        <v>139624000</v>
      </c>
      <c r="H3054">
        <f t="shared" si="188"/>
        <v>2009</v>
      </c>
      <c r="I3054">
        <f t="shared" si="189"/>
        <v>7</v>
      </c>
      <c r="J3054" t="str">
        <f t="shared" si="190"/>
        <v>Jul</v>
      </c>
      <c r="K3054" t="str">
        <f t="shared" si="191"/>
        <v>Wed</v>
      </c>
    </row>
    <row r="3055" spans="1:11" x14ac:dyDescent="0.35">
      <c r="A3055" s="1">
        <v>39996</v>
      </c>
      <c r="B3055">
        <v>4.0555000305175701</v>
      </c>
      <c r="C3055">
        <v>4.0685000419616699</v>
      </c>
      <c r="D3055">
        <v>3.9254999160766602</v>
      </c>
      <c r="E3055">
        <v>3.9660000801086399</v>
      </c>
      <c r="F3055">
        <v>3.9660000801086399</v>
      </c>
      <c r="G3055">
        <v>144372000</v>
      </c>
      <c r="H3055">
        <f t="shared" si="188"/>
        <v>2009</v>
      </c>
      <c r="I3055">
        <f t="shared" si="189"/>
        <v>7</v>
      </c>
      <c r="J3055" t="str">
        <f t="shared" si="190"/>
        <v>Jul</v>
      </c>
      <c r="K3055" t="str">
        <f t="shared" si="191"/>
        <v>Thu</v>
      </c>
    </row>
    <row r="3056" spans="1:11" x14ac:dyDescent="0.35">
      <c r="A3056" s="1">
        <v>40000</v>
      </c>
      <c r="B3056">
        <v>3.9224998950958199</v>
      </c>
      <c r="C3056">
        <v>3.9444999694824201</v>
      </c>
      <c r="D3056">
        <v>3.82699990272521</v>
      </c>
      <c r="E3056">
        <v>3.9049999713897701</v>
      </c>
      <c r="F3056">
        <v>3.9049999713897701</v>
      </c>
      <c r="G3056">
        <v>147376000</v>
      </c>
      <c r="H3056">
        <f t="shared" si="188"/>
        <v>2009</v>
      </c>
      <c r="I3056">
        <f t="shared" si="189"/>
        <v>7</v>
      </c>
      <c r="J3056" t="str">
        <f t="shared" si="190"/>
        <v>Jul</v>
      </c>
      <c r="K3056" t="str">
        <f t="shared" si="191"/>
        <v>Mon</v>
      </c>
    </row>
    <row r="3057" spans="1:11" x14ac:dyDescent="0.35">
      <c r="A3057" s="1">
        <v>40001</v>
      </c>
      <c r="B3057">
        <v>3.9265000820159899</v>
      </c>
      <c r="C3057">
        <v>3.9344999790191602</v>
      </c>
      <c r="D3057">
        <v>3.7704999446868799</v>
      </c>
      <c r="E3057">
        <v>3.78150010108947</v>
      </c>
      <c r="F3057">
        <v>3.78150010108947</v>
      </c>
      <c r="G3057">
        <v>129830000</v>
      </c>
      <c r="H3057">
        <f t="shared" si="188"/>
        <v>2009</v>
      </c>
      <c r="I3057">
        <f t="shared" si="189"/>
        <v>7</v>
      </c>
      <c r="J3057" t="str">
        <f t="shared" si="190"/>
        <v>Jul</v>
      </c>
      <c r="K3057" t="str">
        <f t="shared" si="191"/>
        <v>Tue</v>
      </c>
    </row>
    <row r="3058" spans="1:11" x14ac:dyDescent="0.35">
      <c r="A3058" s="1">
        <v>40002</v>
      </c>
      <c r="B3058">
        <v>3.8229999542236301</v>
      </c>
      <c r="C3058">
        <v>3.8965001106262198</v>
      </c>
      <c r="D3058">
        <v>3.78500008583068</v>
      </c>
      <c r="E3058">
        <v>3.8680000305175701</v>
      </c>
      <c r="F3058">
        <v>3.8680000305175701</v>
      </c>
      <c r="G3058">
        <v>170814000</v>
      </c>
      <c r="H3058">
        <f t="shared" si="188"/>
        <v>2009</v>
      </c>
      <c r="I3058">
        <f t="shared" si="189"/>
        <v>7</v>
      </c>
      <c r="J3058" t="str">
        <f t="shared" si="190"/>
        <v>Jul</v>
      </c>
      <c r="K3058" t="str">
        <f t="shared" si="191"/>
        <v>Wed</v>
      </c>
    </row>
    <row r="3059" spans="1:11" x14ac:dyDescent="0.35">
      <c r="A3059" s="1">
        <v>40003</v>
      </c>
      <c r="B3059">
        <v>3.9124999046325599</v>
      </c>
      <c r="C3059">
        <v>3.9270000457763601</v>
      </c>
      <c r="D3059">
        <v>3.8410000801086399</v>
      </c>
      <c r="E3059">
        <v>3.9049999713897701</v>
      </c>
      <c r="F3059">
        <v>3.9049999713897701</v>
      </c>
      <c r="G3059">
        <v>127190000</v>
      </c>
      <c r="H3059">
        <f t="shared" si="188"/>
        <v>2009</v>
      </c>
      <c r="I3059">
        <f t="shared" si="189"/>
        <v>7</v>
      </c>
      <c r="J3059" t="str">
        <f t="shared" si="190"/>
        <v>Jul</v>
      </c>
      <c r="K3059" t="str">
        <f t="shared" si="191"/>
        <v>Thu</v>
      </c>
    </row>
    <row r="3060" spans="1:11" x14ac:dyDescent="0.35">
      <c r="A3060" s="1">
        <v>40004</v>
      </c>
      <c r="B3060">
        <v>3.8759999275207502</v>
      </c>
      <c r="C3060">
        <v>3.94099998474121</v>
      </c>
      <c r="D3060">
        <v>3.80850005149841</v>
      </c>
      <c r="E3060">
        <v>3.8815000057220401</v>
      </c>
      <c r="F3060">
        <v>3.8815000057220401</v>
      </c>
      <c r="G3060">
        <v>119522000</v>
      </c>
      <c r="H3060">
        <f t="shared" si="188"/>
        <v>2009</v>
      </c>
      <c r="I3060">
        <f t="shared" si="189"/>
        <v>7</v>
      </c>
      <c r="J3060" t="str">
        <f t="shared" si="190"/>
        <v>Jul</v>
      </c>
      <c r="K3060" t="str">
        <f t="shared" si="191"/>
        <v>Fri</v>
      </c>
    </row>
    <row r="3061" spans="1:11" x14ac:dyDescent="0.35">
      <c r="A3061" s="1">
        <v>40007</v>
      </c>
      <c r="B3061">
        <v>3.9035000801086399</v>
      </c>
      <c r="C3061">
        <v>4.0824999809265101</v>
      </c>
      <c r="D3061">
        <v>3.9005000591278001</v>
      </c>
      <c r="E3061">
        <v>4.0735001564025799</v>
      </c>
      <c r="F3061">
        <v>4.0735001564025799</v>
      </c>
      <c r="G3061">
        <v>161004000</v>
      </c>
      <c r="H3061">
        <f t="shared" si="188"/>
        <v>2009</v>
      </c>
      <c r="I3061">
        <f t="shared" si="189"/>
        <v>7</v>
      </c>
      <c r="J3061" t="str">
        <f t="shared" si="190"/>
        <v>Jul</v>
      </c>
      <c r="K3061" t="str">
        <f t="shared" si="191"/>
        <v>Mon</v>
      </c>
    </row>
    <row r="3062" spans="1:11" x14ac:dyDescent="0.35">
      <c r="A3062" s="1">
        <v>40008</v>
      </c>
      <c r="B3062">
        <v>4.0739998817443803</v>
      </c>
      <c r="C3062">
        <v>4.1209998130798304</v>
      </c>
      <c r="D3062">
        <v>4.0209999084472603</v>
      </c>
      <c r="E3062">
        <v>4.0974998474120996</v>
      </c>
      <c r="F3062">
        <v>4.0974998474120996</v>
      </c>
      <c r="G3062">
        <v>90872000</v>
      </c>
      <c r="H3062">
        <f t="shared" si="188"/>
        <v>2009</v>
      </c>
      <c r="I3062">
        <f t="shared" si="189"/>
        <v>7</v>
      </c>
      <c r="J3062" t="str">
        <f t="shared" si="190"/>
        <v>Jul</v>
      </c>
      <c r="K3062" t="str">
        <f t="shared" si="191"/>
        <v>Tue</v>
      </c>
    </row>
    <row r="3063" spans="1:11" x14ac:dyDescent="0.35">
      <c r="A3063" s="1">
        <v>40009</v>
      </c>
      <c r="B3063">
        <v>4.1500000953674299</v>
      </c>
      <c r="C3063">
        <v>4.2319998741149902</v>
      </c>
      <c r="D3063">
        <v>4.1389999389648402</v>
      </c>
      <c r="E3063">
        <v>4.2274999618530202</v>
      </c>
      <c r="F3063">
        <v>4.2274999618530202</v>
      </c>
      <c r="G3063">
        <v>126780000</v>
      </c>
      <c r="H3063">
        <f t="shared" si="188"/>
        <v>2009</v>
      </c>
      <c r="I3063">
        <f t="shared" si="189"/>
        <v>7</v>
      </c>
      <c r="J3063" t="str">
        <f t="shared" si="190"/>
        <v>Jul</v>
      </c>
      <c r="K3063" t="str">
        <f t="shared" si="191"/>
        <v>Wed</v>
      </c>
    </row>
    <row r="3064" spans="1:11" x14ac:dyDescent="0.35">
      <c r="A3064" s="1">
        <v>40010</v>
      </c>
      <c r="B3064">
        <v>4.2210001945495597</v>
      </c>
      <c r="C3064">
        <v>4.3119997978210396</v>
      </c>
      <c r="D3064">
        <v>4.1859998703002903</v>
      </c>
      <c r="E3064">
        <v>4.3055000305175701</v>
      </c>
      <c r="F3064">
        <v>4.3055000305175701</v>
      </c>
      <c r="G3064">
        <v>107238000</v>
      </c>
      <c r="H3064">
        <f t="shared" si="188"/>
        <v>2009</v>
      </c>
      <c r="I3064">
        <f t="shared" si="189"/>
        <v>7</v>
      </c>
      <c r="J3064" t="str">
        <f t="shared" si="190"/>
        <v>Jul</v>
      </c>
      <c r="K3064" t="str">
        <f t="shared" si="191"/>
        <v>Thu</v>
      </c>
    </row>
    <row r="3065" spans="1:11" x14ac:dyDescent="0.35">
      <c r="A3065" s="1">
        <v>40011</v>
      </c>
      <c r="B3065">
        <v>4.2899999618530202</v>
      </c>
      <c r="C3065">
        <v>4.3249998092651296</v>
      </c>
      <c r="D3065">
        <v>4.2600002288818297</v>
      </c>
      <c r="E3065">
        <v>4.2925000190734801</v>
      </c>
      <c r="F3065">
        <v>4.2925000190734801</v>
      </c>
      <c r="G3065">
        <v>101032000</v>
      </c>
      <c r="H3065">
        <f t="shared" si="188"/>
        <v>2009</v>
      </c>
      <c r="I3065">
        <f t="shared" si="189"/>
        <v>7</v>
      </c>
      <c r="J3065" t="str">
        <f t="shared" si="190"/>
        <v>Jul</v>
      </c>
      <c r="K3065" t="str">
        <f t="shared" si="191"/>
        <v>Fri</v>
      </c>
    </row>
    <row r="3066" spans="1:11" x14ac:dyDescent="0.35">
      <c r="A3066" s="1">
        <v>40014</v>
      </c>
      <c r="B3066">
        <v>4.3134999275207502</v>
      </c>
      <c r="C3066">
        <v>4.4439997673034597</v>
      </c>
      <c r="D3066">
        <v>4.3130002021789497</v>
      </c>
      <c r="E3066">
        <v>4.4114999771118102</v>
      </c>
      <c r="F3066">
        <v>4.4114999771118102</v>
      </c>
      <c r="G3066">
        <v>121132000</v>
      </c>
      <c r="H3066">
        <f t="shared" si="188"/>
        <v>2009</v>
      </c>
      <c r="I3066">
        <f t="shared" si="189"/>
        <v>7</v>
      </c>
      <c r="J3066" t="str">
        <f t="shared" si="190"/>
        <v>Jul</v>
      </c>
      <c r="K3066" t="str">
        <f t="shared" si="191"/>
        <v>Mon</v>
      </c>
    </row>
    <row r="3067" spans="1:11" x14ac:dyDescent="0.35">
      <c r="A3067" s="1">
        <v>40015</v>
      </c>
      <c r="B3067">
        <v>4.4260001182556099</v>
      </c>
      <c r="C3067">
        <v>4.45050001144409</v>
      </c>
      <c r="D3067">
        <v>4.3699998855590803</v>
      </c>
      <c r="E3067">
        <v>4.45050001144409</v>
      </c>
      <c r="F3067">
        <v>4.45050001144409</v>
      </c>
      <c r="G3067">
        <v>154572000</v>
      </c>
      <c r="H3067">
        <f t="shared" si="188"/>
        <v>2009</v>
      </c>
      <c r="I3067">
        <f t="shared" si="189"/>
        <v>7</v>
      </c>
      <c r="J3067" t="str">
        <f t="shared" si="190"/>
        <v>Jul</v>
      </c>
      <c r="K3067" t="str">
        <f t="shared" si="191"/>
        <v>Tue</v>
      </c>
    </row>
    <row r="3068" spans="1:11" x14ac:dyDescent="0.35">
      <c r="A3068" s="1">
        <v>40016</v>
      </c>
      <c r="B3068">
        <v>4.4324998855590803</v>
      </c>
      <c r="C3068">
        <v>4.4615001678466797</v>
      </c>
      <c r="D3068">
        <v>4.3889999389648402</v>
      </c>
      <c r="E3068">
        <v>4.4394998550415004</v>
      </c>
      <c r="F3068">
        <v>4.4394998550415004</v>
      </c>
      <c r="G3068">
        <v>106592000</v>
      </c>
      <c r="H3068">
        <f t="shared" si="188"/>
        <v>2009</v>
      </c>
      <c r="I3068">
        <f t="shared" si="189"/>
        <v>7</v>
      </c>
      <c r="J3068" t="str">
        <f t="shared" si="190"/>
        <v>Jul</v>
      </c>
      <c r="K3068" t="str">
        <f t="shared" si="191"/>
        <v>Wed</v>
      </c>
    </row>
    <row r="3069" spans="1:11" x14ac:dyDescent="0.35">
      <c r="A3069" s="1">
        <v>40017</v>
      </c>
      <c r="B3069">
        <v>4.49200010299682</v>
      </c>
      <c r="C3069">
        <v>4.7199997901916504</v>
      </c>
      <c r="D3069">
        <v>4.4794998168945304</v>
      </c>
      <c r="E3069">
        <v>4.6935000419616699</v>
      </c>
      <c r="F3069">
        <v>4.6935000419616699</v>
      </c>
      <c r="G3069">
        <v>383242000</v>
      </c>
      <c r="H3069">
        <f t="shared" si="188"/>
        <v>2009</v>
      </c>
      <c r="I3069">
        <f t="shared" si="189"/>
        <v>7</v>
      </c>
      <c r="J3069" t="str">
        <f t="shared" si="190"/>
        <v>Jul</v>
      </c>
      <c r="K3069" t="str">
        <f t="shared" si="191"/>
        <v>Thu</v>
      </c>
    </row>
    <row r="3070" spans="1:11" x14ac:dyDescent="0.35">
      <c r="A3070" s="1">
        <v>40018</v>
      </c>
      <c r="B3070">
        <v>4.38000011444091</v>
      </c>
      <c r="C3070">
        <v>4.4450001716613698</v>
      </c>
      <c r="D3070">
        <v>4.2750000953674299</v>
      </c>
      <c r="E3070">
        <v>4.3245000839233398</v>
      </c>
      <c r="F3070">
        <v>4.3245000839233398</v>
      </c>
      <c r="G3070">
        <v>384092000</v>
      </c>
      <c r="H3070">
        <f t="shared" si="188"/>
        <v>2009</v>
      </c>
      <c r="I3070">
        <f t="shared" si="189"/>
        <v>7</v>
      </c>
      <c r="J3070" t="str">
        <f t="shared" si="190"/>
        <v>Jul</v>
      </c>
      <c r="K3070" t="str">
        <f t="shared" si="191"/>
        <v>Fri</v>
      </c>
    </row>
    <row r="3071" spans="1:11" x14ac:dyDescent="0.35">
      <c r="A3071" s="1">
        <v>40021</v>
      </c>
      <c r="B3071">
        <v>4.3119997978210396</v>
      </c>
      <c r="C3071">
        <v>4.3245000839233398</v>
      </c>
      <c r="D3071">
        <v>4.1779999732971103</v>
      </c>
      <c r="E3071">
        <v>4.2119998931884703</v>
      </c>
      <c r="F3071">
        <v>4.2119998931884703</v>
      </c>
      <c r="G3071">
        <v>225586000</v>
      </c>
      <c r="H3071">
        <f t="shared" si="188"/>
        <v>2009</v>
      </c>
      <c r="I3071">
        <f t="shared" si="189"/>
        <v>7</v>
      </c>
      <c r="J3071" t="str">
        <f t="shared" si="190"/>
        <v>Jul</v>
      </c>
      <c r="K3071" t="str">
        <f t="shared" si="191"/>
        <v>Mon</v>
      </c>
    </row>
    <row r="3072" spans="1:11" x14ac:dyDescent="0.35">
      <c r="A3072" s="1">
        <v>40022</v>
      </c>
      <c r="B3072">
        <v>4.1919999122619602</v>
      </c>
      <c r="C3072">
        <v>4.28200006484985</v>
      </c>
      <c r="D3072">
        <v>4.13000011444091</v>
      </c>
      <c r="E3072">
        <v>4.2490000724792401</v>
      </c>
      <c r="F3072">
        <v>4.2490000724792401</v>
      </c>
      <c r="G3072">
        <v>175498000</v>
      </c>
      <c r="H3072">
        <f t="shared" si="188"/>
        <v>2009</v>
      </c>
      <c r="I3072">
        <f t="shared" si="189"/>
        <v>7</v>
      </c>
      <c r="J3072" t="str">
        <f t="shared" si="190"/>
        <v>Jul</v>
      </c>
      <c r="K3072" t="str">
        <f t="shared" si="191"/>
        <v>Tue</v>
      </c>
    </row>
    <row r="3073" spans="1:11" x14ac:dyDescent="0.35">
      <c r="A3073" s="1">
        <v>40023</v>
      </c>
      <c r="B3073">
        <v>4.2234997749328604</v>
      </c>
      <c r="C3073">
        <v>4.2750000953674299</v>
      </c>
      <c r="D3073">
        <v>4.1760001182556099</v>
      </c>
      <c r="E3073">
        <v>4.2170000076293901</v>
      </c>
      <c r="F3073">
        <v>4.2170000076293901</v>
      </c>
      <c r="G3073">
        <v>130058000</v>
      </c>
      <c r="H3073">
        <f t="shared" si="188"/>
        <v>2009</v>
      </c>
      <c r="I3073">
        <f t="shared" si="189"/>
        <v>7</v>
      </c>
      <c r="J3073" t="str">
        <f t="shared" si="190"/>
        <v>Jul</v>
      </c>
      <c r="K3073" t="str">
        <f t="shared" si="191"/>
        <v>Wed</v>
      </c>
    </row>
    <row r="3074" spans="1:11" x14ac:dyDescent="0.35">
      <c r="A3074" s="1">
        <v>40024</v>
      </c>
      <c r="B3074">
        <v>4.28200006484985</v>
      </c>
      <c r="C3074">
        <v>4.3625001907348597</v>
      </c>
      <c r="D3074">
        <v>4.25850009918212</v>
      </c>
      <c r="E3074">
        <v>4.30450010299682</v>
      </c>
      <c r="F3074">
        <v>4.30450010299682</v>
      </c>
      <c r="G3074">
        <v>145064000</v>
      </c>
      <c r="H3074">
        <f t="shared" si="188"/>
        <v>2009</v>
      </c>
      <c r="I3074">
        <f t="shared" si="189"/>
        <v>7</v>
      </c>
      <c r="J3074" t="str">
        <f t="shared" si="190"/>
        <v>Jul</v>
      </c>
      <c r="K3074" t="str">
        <f t="shared" si="191"/>
        <v>Thu</v>
      </c>
    </row>
    <row r="3075" spans="1:11" x14ac:dyDescent="0.35">
      <c r="A3075" s="1">
        <v>40025</v>
      </c>
      <c r="B3075">
        <v>4.2880001068115199</v>
      </c>
      <c r="C3075">
        <v>4.3375000953674299</v>
      </c>
      <c r="D3075">
        <v>4.2309999465942303</v>
      </c>
      <c r="E3075">
        <v>4.2880001068115199</v>
      </c>
      <c r="F3075">
        <v>4.2880001068115199</v>
      </c>
      <c r="G3075">
        <v>117738000</v>
      </c>
      <c r="H3075">
        <f t="shared" si="188"/>
        <v>2009</v>
      </c>
      <c r="I3075">
        <f t="shared" si="189"/>
        <v>7</v>
      </c>
      <c r="J3075" t="str">
        <f t="shared" si="190"/>
        <v>Jul</v>
      </c>
      <c r="K3075" t="str">
        <f t="shared" si="191"/>
        <v>Fri</v>
      </c>
    </row>
    <row r="3076" spans="1:11" x14ac:dyDescent="0.35">
      <c r="A3076" s="1">
        <v>40028</v>
      </c>
      <c r="B3076">
        <v>4.3280000686645499</v>
      </c>
      <c r="C3076">
        <v>4.4099998474120996</v>
      </c>
      <c r="D3076">
        <v>4.3280000686645499</v>
      </c>
      <c r="E3076">
        <v>4.3720002174377397</v>
      </c>
      <c r="F3076">
        <v>4.3720002174377397</v>
      </c>
      <c r="G3076">
        <v>133260000</v>
      </c>
      <c r="H3076">
        <f t="shared" ref="H3076:H3139" si="192">YEAR($A3076)</f>
        <v>2009</v>
      </c>
      <c r="I3076">
        <f t="shared" ref="I3076:I3139" si="193">MONTH($A3076)</f>
        <v>8</v>
      </c>
      <c r="J3076" t="str">
        <f t="shared" ref="J3076:J3139" si="194">TEXT($A3076,"mmm")</f>
        <v>Aug</v>
      </c>
      <c r="K3076" t="str">
        <f t="shared" ref="K3076:K3139" si="195">TEXT($A3076,"ddd")</f>
        <v>Mon</v>
      </c>
    </row>
    <row r="3077" spans="1:11" x14ac:dyDescent="0.35">
      <c r="A3077" s="1">
        <v>40029</v>
      </c>
      <c r="B3077">
        <v>4.3740000724792401</v>
      </c>
      <c r="C3077">
        <v>4.3740000724792401</v>
      </c>
      <c r="D3077">
        <v>4.2465000152587802</v>
      </c>
      <c r="E3077">
        <v>4.2899999618530202</v>
      </c>
      <c r="F3077">
        <v>4.2899999618530202</v>
      </c>
      <c r="G3077">
        <v>123558000</v>
      </c>
      <c r="H3077">
        <f t="shared" si="192"/>
        <v>2009</v>
      </c>
      <c r="I3077">
        <f t="shared" si="193"/>
        <v>8</v>
      </c>
      <c r="J3077" t="str">
        <f t="shared" si="194"/>
        <v>Aug</v>
      </c>
      <c r="K3077" t="str">
        <f t="shared" si="195"/>
        <v>Tue</v>
      </c>
    </row>
    <row r="3078" spans="1:11" x14ac:dyDescent="0.35">
      <c r="A3078" s="1">
        <v>40030</v>
      </c>
      <c r="B3078">
        <v>4.28200006484985</v>
      </c>
      <c r="C3078">
        <v>4.2874999046325604</v>
      </c>
      <c r="D3078">
        <v>4.15100002288818</v>
      </c>
      <c r="E3078">
        <v>4.2144999504089302</v>
      </c>
      <c r="F3078">
        <v>4.2144999504089302</v>
      </c>
      <c r="G3078">
        <v>145588000</v>
      </c>
      <c r="H3078">
        <f t="shared" si="192"/>
        <v>2009</v>
      </c>
      <c r="I3078">
        <f t="shared" si="193"/>
        <v>8</v>
      </c>
      <c r="J3078" t="str">
        <f t="shared" si="194"/>
        <v>Aug</v>
      </c>
      <c r="K3078" t="str">
        <f t="shared" si="195"/>
        <v>Wed</v>
      </c>
    </row>
    <row r="3079" spans="1:11" x14ac:dyDescent="0.35">
      <c r="A3079" s="1">
        <v>40031</v>
      </c>
      <c r="B3079">
        <v>4.2154998779296804</v>
      </c>
      <c r="C3079">
        <v>4.24200010299682</v>
      </c>
      <c r="D3079">
        <v>4.1525001525878897</v>
      </c>
      <c r="E3079">
        <v>4.2234997749328604</v>
      </c>
      <c r="F3079">
        <v>4.2234997749328604</v>
      </c>
      <c r="G3079">
        <v>93860000</v>
      </c>
      <c r="H3079">
        <f t="shared" si="192"/>
        <v>2009</v>
      </c>
      <c r="I3079">
        <f t="shared" si="193"/>
        <v>8</v>
      </c>
      <c r="J3079" t="str">
        <f t="shared" si="194"/>
        <v>Aug</v>
      </c>
      <c r="K3079" t="str">
        <f t="shared" si="195"/>
        <v>Thu</v>
      </c>
    </row>
    <row r="3080" spans="1:11" x14ac:dyDescent="0.35">
      <c r="A3080" s="1">
        <v>40032</v>
      </c>
      <c r="B3080">
        <v>4.2049999237060502</v>
      </c>
      <c r="C3080">
        <v>4.2979998588562003</v>
      </c>
      <c r="D3080">
        <v>4.2049999237060502</v>
      </c>
      <c r="E3080">
        <v>4.2659997940063397</v>
      </c>
      <c r="F3080">
        <v>4.2659997940063397</v>
      </c>
      <c r="G3080">
        <v>112560000</v>
      </c>
      <c r="H3080">
        <f t="shared" si="192"/>
        <v>2009</v>
      </c>
      <c r="I3080">
        <f t="shared" si="193"/>
        <v>8</v>
      </c>
      <c r="J3080" t="str">
        <f t="shared" si="194"/>
        <v>Aug</v>
      </c>
      <c r="K3080" t="str">
        <f t="shared" si="195"/>
        <v>Fri</v>
      </c>
    </row>
    <row r="3081" spans="1:11" x14ac:dyDescent="0.35">
      <c r="A3081" s="1">
        <v>40035</v>
      </c>
      <c r="B3081">
        <v>4.2505002021789497</v>
      </c>
      <c r="C3081">
        <v>4.2734999656677202</v>
      </c>
      <c r="D3081">
        <v>4.1634998321533203</v>
      </c>
      <c r="E3081">
        <v>4.2220001220703098</v>
      </c>
      <c r="F3081">
        <v>4.2220001220703098</v>
      </c>
      <c r="G3081">
        <v>88812000</v>
      </c>
      <c r="H3081">
        <f t="shared" si="192"/>
        <v>2009</v>
      </c>
      <c r="I3081">
        <f t="shared" si="193"/>
        <v>8</v>
      </c>
      <c r="J3081" t="str">
        <f t="shared" si="194"/>
        <v>Aug</v>
      </c>
      <c r="K3081" t="str">
        <f t="shared" si="195"/>
        <v>Mon</v>
      </c>
    </row>
    <row r="3082" spans="1:11" x14ac:dyDescent="0.35">
      <c r="A3082" s="1">
        <v>40036</v>
      </c>
      <c r="B3082">
        <v>4.1820001602172798</v>
      </c>
      <c r="C3082">
        <v>4.2199997901916504</v>
      </c>
      <c r="D3082">
        <v>4.1224999427795401</v>
      </c>
      <c r="E3082">
        <v>4.1779999732971103</v>
      </c>
      <c r="F3082">
        <v>4.1779999732971103</v>
      </c>
      <c r="G3082">
        <v>100500000</v>
      </c>
      <c r="H3082">
        <f t="shared" si="192"/>
        <v>2009</v>
      </c>
      <c r="I3082">
        <f t="shared" si="193"/>
        <v>8</v>
      </c>
      <c r="J3082" t="str">
        <f t="shared" si="194"/>
        <v>Aug</v>
      </c>
      <c r="K3082" t="str">
        <f t="shared" si="195"/>
        <v>Tue</v>
      </c>
    </row>
    <row r="3083" spans="1:11" x14ac:dyDescent="0.35">
      <c r="A3083" s="1">
        <v>40037</v>
      </c>
      <c r="B3083">
        <v>4.1710000038146902</v>
      </c>
      <c r="C3083">
        <v>4.3299999237060502</v>
      </c>
      <c r="D3083">
        <v>4.1690001487731898</v>
      </c>
      <c r="E3083">
        <v>4.2979998588562003</v>
      </c>
      <c r="F3083">
        <v>4.2979998588562003</v>
      </c>
      <c r="G3083">
        <v>112388000</v>
      </c>
      <c r="H3083">
        <f t="shared" si="192"/>
        <v>2009</v>
      </c>
      <c r="I3083">
        <f t="shared" si="193"/>
        <v>8</v>
      </c>
      <c r="J3083" t="str">
        <f t="shared" si="194"/>
        <v>Aug</v>
      </c>
      <c r="K3083" t="str">
        <f t="shared" si="195"/>
        <v>Wed</v>
      </c>
    </row>
    <row r="3084" spans="1:11" x14ac:dyDescent="0.35">
      <c r="A3084" s="1">
        <v>40038</v>
      </c>
      <c r="B3084">
        <v>4.2859997749328604</v>
      </c>
      <c r="C3084">
        <v>4.3185000419616699</v>
      </c>
      <c r="D3084">
        <v>4.2034997940063397</v>
      </c>
      <c r="E3084">
        <v>4.2300000190734801</v>
      </c>
      <c r="F3084">
        <v>4.2300000190734801</v>
      </c>
      <c r="G3084">
        <v>114248000</v>
      </c>
      <c r="H3084">
        <f t="shared" si="192"/>
        <v>2009</v>
      </c>
      <c r="I3084">
        <f t="shared" si="193"/>
        <v>8</v>
      </c>
      <c r="J3084" t="str">
        <f t="shared" si="194"/>
        <v>Aug</v>
      </c>
      <c r="K3084" t="str">
        <f t="shared" si="195"/>
        <v>Thu</v>
      </c>
    </row>
    <row r="3085" spans="1:11" x14ac:dyDescent="0.35">
      <c r="A3085" s="1">
        <v>40039</v>
      </c>
      <c r="B3085">
        <v>4.2055001258850098</v>
      </c>
      <c r="C3085">
        <v>4.2084999084472603</v>
      </c>
      <c r="D3085">
        <v>4.1389999389648402</v>
      </c>
      <c r="E3085">
        <v>4.1789999008178702</v>
      </c>
      <c r="F3085">
        <v>4.1789999008178702</v>
      </c>
      <c r="G3085">
        <v>98494000</v>
      </c>
      <c r="H3085">
        <f t="shared" si="192"/>
        <v>2009</v>
      </c>
      <c r="I3085">
        <f t="shared" si="193"/>
        <v>8</v>
      </c>
      <c r="J3085" t="str">
        <f t="shared" si="194"/>
        <v>Aug</v>
      </c>
      <c r="K3085" t="str">
        <f t="shared" si="195"/>
        <v>Fri</v>
      </c>
    </row>
    <row r="3086" spans="1:11" x14ac:dyDescent="0.35">
      <c r="A3086" s="1">
        <v>40042</v>
      </c>
      <c r="B3086">
        <v>4.05800008773803</v>
      </c>
      <c r="C3086">
        <v>4.0890002250671298</v>
      </c>
      <c r="D3086">
        <v>4.0124998092651296</v>
      </c>
      <c r="E3086">
        <v>4.0529999732971103</v>
      </c>
      <c r="F3086">
        <v>4.0529999732971103</v>
      </c>
      <c r="G3086">
        <v>137772000</v>
      </c>
      <c r="H3086">
        <f t="shared" si="192"/>
        <v>2009</v>
      </c>
      <c r="I3086">
        <f t="shared" si="193"/>
        <v>8</v>
      </c>
      <c r="J3086" t="str">
        <f t="shared" si="194"/>
        <v>Aug</v>
      </c>
      <c r="K3086" t="str">
        <f t="shared" si="195"/>
        <v>Mon</v>
      </c>
    </row>
    <row r="3087" spans="1:11" x14ac:dyDescent="0.35">
      <c r="A3087" s="1">
        <v>40043</v>
      </c>
      <c r="B3087">
        <v>4.0704998970031703</v>
      </c>
      <c r="C3087">
        <v>4.13450002670288</v>
      </c>
      <c r="D3087">
        <v>4.0395002365112296</v>
      </c>
      <c r="E3087">
        <v>4.1059999465942303</v>
      </c>
      <c r="F3087">
        <v>4.1059999465942303</v>
      </c>
      <c r="G3087">
        <v>117688000</v>
      </c>
      <c r="H3087">
        <f t="shared" si="192"/>
        <v>2009</v>
      </c>
      <c r="I3087">
        <f t="shared" si="193"/>
        <v>8</v>
      </c>
      <c r="J3087" t="str">
        <f t="shared" si="194"/>
        <v>Aug</v>
      </c>
      <c r="K3087" t="str">
        <f t="shared" si="195"/>
        <v>Tue</v>
      </c>
    </row>
    <row r="3088" spans="1:11" x14ac:dyDescent="0.35">
      <c r="A3088" s="1">
        <v>40044</v>
      </c>
      <c r="B3088">
        <v>4.0454998016357404</v>
      </c>
      <c r="C3088">
        <v>4.1500000953674299</v>
      </c>
      <c r="D3088">
        <v>4.0244998931884703</v>
      </c>
      <c r="E3088">
        <v>4.1500000953674299</v>
      </c>
      <c r="F3088">
        <v>4.1500000953674299</v>
      </c>
      <c r="G3088">
        <v>103412000</v>
      </c>
      <c r="H3088">
        <f t="shared" si="192"/>
        <v>2009</v>
      </c>
      <c r="I3088">
        <f t="shared" si="193"/>
        <v>8</v>
      </c>
      <c r="J3088" t="str">
        <f t="shared" si="194"/>
        <v>Aug</v>
      </c>
      <c r="K3088" t="str">
        <f t="shared" si="195"/>
        <v>Wed</v>
      </c>
    </row>
    <row r="3089" spans="1:11" x14ac:dyDescent="0.35">
      <c r="A3089" s="1">
        <v>40045</v>
      </c>
      <c r="B3089">
        <v>4.1490001678466797</v>
      </c>
      <c r="C3089">
        <v>4.2175002098083496</v>
      </c>
      <c r="D3089">
        <v>4.1329998970031703</v>
      </c>
      <c r="E3089">
        <v>4.2045001983642498</v>
      </c>
      <c r="F3089">
        <v>4.2045001983642498</v>
      </c>
      <c r="G3089">
        <v>107500000</v>
      </c>
      <c r="H3089">
        <f t="shared" si="192"/>
        <v>2009</v>
      </c>
      <c r="I3089">
        <f t="shared" si="193"/>
        <v>8</v>
      </c>
      <c r="J3089" t="str">
        <f t="shared" si="194"/>
        <v>Aug</v>
      </c>
      <c r="K3089" t="str">
        <f t="shared" si="195"/>
        <v>Thu</v>
      </c>
    </row>
    <row r="3090" spans="1:11" x14ac:dyDescent="0.35">
      <c r="A3090" s="1">
        <v>40046</v>
      </c>
      <c r="B3090">
        <v>4.2389998435974103</v>
      </c>
      <c r="C3090">
        <v>4.2529997825622496</v>
      </c>
      <c r="D3090">
        <v>4.1770000457763601</v>
      </c>
      <c r="E3090">
        <v>4.25</v>
      </c>
      <c r="F3090">
        <v>4.25</v>
      </c>
      <c r="G3090">
        <v>122614000</v>
      </c>
      <c r="H3090">
        <f t="shared" si="192"/>
        <v>2009</v>
      </c>
      <c r="I3090">
        <f t="shared" si="193"/>
        <v>8</v>
      </c>
      <c r="J3090" t="str">
        <f t="shared" si="194"/>
        <v>Aug</v>
      </c>
      <c r="K3090" t="str">
        <f t="shared" si="195"/>
        <v>Fri</v>
      </c>
    </row>
    <row r="3091" spans="1:11" x14ac:dyDescent="0.35">
      <c r="A3091" s="1">
        <v>40049</v>
      </c>
      <c r="B3091">
        <v>4.25850009918212</v>
      </c>
      <c r="C3091">
        <v>4.2795000076293901</v>
      </c>
      <c r="D3091">
        <v>4.2119998931884703</v>
      </c>
      <c r="E3091">
        <v>4.2249999046325604</v>
      </c>
      <c r="F3091">
        <v>4.2249999046325604</v>
      </c>
      <c r="G3091">
        <v>94464000</v>
      </c>
      <c r="H3091">
        <f t="shared" si="192"/>
        <v>2009</v>
      </c>
      <c r="I3091">
        <f t="shared" si="193"/>
        <v>8</v>
      </c>
      <c r="J3091" t="str">
        <f t="shared" si="194"/>
        <v>Aug</v>
      </c>
      <c r="K3091" t="str">
        <f t="shared" si="195"/>
        <v>Mon</v>
      </c>
    </row>
    <row r="3092" spans="1:11" x14ac:dyDescent="0.35">
      <c r="A3092" s="1">
        <v>40050</v>
      </c>
      <c r="B3092">
        <v>4.2329998016357404</v>
      </c>
      <c r="C3092">
        <v>4.3169999122619602</v>
      </c>
      <c r="D3092">
        <v>4.1975002288818297</v>
      </c>
      <c r="E3092">
        <v>4.2094998359680096</v>
      </c>
      <c r="F3092">
        <v>4.2094998359680096</v>
      </c>
      <c r="G3092">
        <v>95820000</v>
      </c>
      <c r="H3092">
        <f t="shared" si="192"/>
        <v>2009</v>
      </c>
      <c r="I3092">
        <f t="shared" si="193"/>
        <v>8</v>
      </c>
      <c r="J3092" t="str">
        <f t="shared" si="194"/>
        <v>Aug</v>
      </c>
      <c r="K3092" t="str">
        <f t="shared" si="195"/>
        <v>Tue</v>
      </c>
    </row>
    <row r="3093" spans="1:11" x14ac:dyDescent="0.35">
      <c r="A3093" s="1">
        <v>40051</v>
      </c>
      <c r="B3093">
        <v>4.2049999237060502</v>
      </c>
      <c r="C3093">
        <v>4.2379999160766602</v>
      </c>
      <c r="D3093">
        <v>4.1690001487731898</v>
      </c>
      <c r="E3093">
        <v>4.1999998092651296</v>
      </c>
      <c r="F3093">
        <v>4.1999998092651296</v>
      </c>
      <c r="G3093">
        <v>72276000</v>
      </c>
      <c r="H3093">
        <f t="shared" si="192"/>
        <v>2009</v>
      </c>
      <c r="I3093">
        <f t="shared" si="193"/>
        <v>8</v>
      </c>
      <c r="J3093" t="str">
        <f t="shared" si="194"/>
        <v>Aug</v>
      </c>
      <c r="K3093" t="str">
        <f t="shared" si="195"/>
        <v>Wed</v>
      </c>
    </row>
    <row r="3094" spans="1:11" x14ac:dyDescent="0.35">
      <c r="A3094" s="1">
        <v>40052</v>
      </c>
      <c r="B3094">
        <v>4.20050001144409</v>
      </c>
      <c r="C3094">
        <v>4.2424998283386204</v>
      </c>
      <c r="D3094">
        <v>4.15700006484985</v>
      </c>
      <c r="E3094">
        <v>4.2154998779296804</v>
      </c>
      <c r="F3094">
        <v>4.2154998779296804</v>
      </c>
      <c r="G3094">
        <v>79954000</v>
      </c>
      <c r="H3094">
        <f t="shared" si="192"/>
        <v>2009</v>
      </c>
      <c r="I3094">
        <f t="shared" si="193"/>
        <v>8</v>
      </c>
      <c r="J3094" t="str">
        <f t="shared" si="194"/>
        <v>Aug</v>
      </c>
      <c r="K3094" t="str">
        <f t="shared" si="195"/>
        <v>Thu</v>
      </c>
    </row>
    <row r="3095" spans="1:11" x14ac:dyDescent="0.35">
      <c r="A3095" s="1">
        <v>40053</v>
      </c>
      <c r="B3095">
        <v>4.2389998435974103</v>
      </c>
      <c r="C3095">
        <v>4.2494997978210396</v>
      </c>
      <c r="D3095">
        <v>4.12849998474121</v>
      </c>
      <c r="E3095">
        <v>4.13800001144409</v>
      </c>
      <c r="F3095">
        <v>4.13800001144409</v>
      </c>
      <c r="G3095">
        <v>92414000</v>
      </c>
      <c r="H3095">
        <f t="shared" si="192"/>
        <v>2009</v>
      </c>
      <c r="I3095">
        <f t="shared" si="193"/>
        <v>8</v>
      </c>
      <c r="J3095" t="str">
        <f t="shared" si="194"/>
        <v>Aug</v>
      </c>
      <c r="K3095" t="str">
        <f t="shared" si="195"/>
        <v>Fri</v>
      </c>
    </row>
    <row r="3096" spans="1:11" x14ac:dyDescent="0.35">
      <c r="A3096" s="1">
        <v>40056</v>
      </c>
      <c r="B3096">
        <v>4.0964999198913503</v>
      </c>
      <c r="C3096">
        <v>4.0974998474120996</v>
      </c>
      <c r="D3096">
        <v>4.0174999237060502</v>
      </c>
      <c r="E3096">
        <v>4.0595002174377397</v>
      </c>
      <c r="F3096">
        <v>4.0595002174377397</v>
      </c>
      <c r="G3096">
        <v>105276000</v>
      </c>
      <c r="H3096">
        <f t="shared" si="192"/>
        <v>2009</v>
      </c>
      <c r="I3096">
        <f t="shared" si="193"/>
        <v>8</v>
      </c>
      <c r="J3096" t="str">
        <f t="shared" si="194"/>
        <v>Aug</v>
      </c>
      <c r="K3096" t="str">
        <f t="shared" si="195"/>
        <v>Mon</v>
      </c>
    </row>
    <row r="3097" spans="1:11" x14ac:dyDescent="0.35">
      <c r="A3097" s="1">
        <v>40057</v>
      </c>
      <c r="B3097">
        <v>4.0370001792907697</v>
      </c>
      <c r="C3097">
        <v>4.1209998130798304</v>
      </c>
      <c r="D3097">
        <v>3.95000004768371</v>
      </c>
      <c r="E3097">
        <v>3.9579999446868799</v>
      </c>
      <c r="F3097">
        <v>3.9579999446868799</v>
      </c>
      <c r="G3097">
        <v>124916000</v>
      </c>
      <c r="H3097">
        <f t="shared" si="192"/>
        <v>2009</v>
      </c>
      <c r="I3097">
        <f t="shared" si="193"/>
        <v>9</v>
      </c>
      <c r="J3097" t="str">
        <f t="shared" si="194"/>
        <v>Sep</v>
      </c>
      <c r="K3097" t="str">
        <f t="shared" si="195"/>
        <v>Tue</v>
      </c>
    </row>
    <row r="3098" spans="1:11" x14ac:dyDescent="0.35">
      <c r="A3098" s="1">
        <v>40058</v>
      </c>
      <c r="B3098">
        <v>3.95199990272521</v>
      </c>
      <c r="C3098">
        <v>4.0075001716613698</v>
      </c>
      <c r="D3098">
        <v>3.8900001049041699</v>
      </c>
      <c r="E3098">
        <v>3.90700006484985</v>
      </c>
      <c r="F3098">
        <v>3.90700006484985</v>
      </c>
      <c r="G3098">
        <v>130254000</v>
      </c>
      <c r="H3098">
        <f t="shared" si="192"/>
        <v>2009</v>
      </c>
      <c r="I3098">
        <f t="shared" si="193"/>
        <v>9</v>
      </c>
      <c r="J3098" t="str">
        <f t="shared" si="194"/>
        <v>Sep</v>
      </c>
      <c r="K3098" t="str">
        <f t="shared" si="195"/>
        <v>Wed</v>
      </c>
    </row>
    <row r="3099" spans="1:11" x14ac:dyDescent="0.35">
      <c r="A3099" s="1">
        <v>40059</v>
      </c>
      <c r="B3099">
        <v>3.91950011253356</v>
      </c>
      <c r="C3099">
        <v>3.9479999542236301</v>
      </c>
      <c r="D3099">
        <v>3.8754999637603702</v>
      </c>
      <c r="E3099">
        <v>3.9230000972747798</v>
      </c>
      <c r="F3099">
        <v>3.9230000972747798</v>
      </c>
      <c r="G3099">
        <v>82804000</v>
      </c>
      <c r="H3099">
        <f t="shared" si="192"/>
        <v>2009</v>
      </c>
      <c r="I3099">
        <f t="shared" si="193"/>
        <v>9</v>
      </c>
      <c r="J3099" t="str">
        <f t="shared" si="194"/>
        <v>Sep</v>
      </c>
      <c r="K3099" t="str">
        <f t="shared" si="195"/>
        <v>Thu</v>
      </c>
    </row>
    <row r="3100" spans="1:11" x14ac:dyDescent="0.35">
      <c r="A3100" s="1">
        <v>40060</v>
      </c>
      <c r="B3100">
        <v>3.9135000705718901</v>
      </c>
      <c r="C3100">
        <v>3.9890000820159899</v>
      </c>
      <c r="D3100">
        <v>3.8815000057220401</v>
      </c>
      <c r="E3100">
        <v>3.9435000419616699</v>
      </c>
      <c r="F3100">
        <v>3.9435000419616699</v>
      </c>
      <c r="G3100">
        <v>93430000</v>
      </c>
      <c r="H3100">
        <f t="shared" si="192"/>
        <v>2009</v>
      </c>
      <c r="I3100">
        <f t="shared" si="193"/>
        <v>9</v>
      </c>
      <c r="J3100" t="str">
        <f t="shared" si="194"/>
        <v>Sep</v>
      </c>
      <c r="K3100" t="str">
        <f t="shared" si="195"/>
        <v>Fri</v>
      </c>
    </row>
    <row r="3101" spans="1:11" x14ac:dyDescent="0.35">
      <c r="A3101" s="1">
        <v>40064</v>
      </c>
      <c r="B3101">
        <v>3.9930000305175701</v>
      </c>
      <c r="C3101">
        <v>4.0520000457763601</v>
      </c>
      <c r="D3101">
        <v>3.9435000419616699</v>
      </c>
      <c r="E3101">
        <v>4.04500007629394</v>
      </c>
      <c r="F3101">
        <v>4.04500007629394</v>
      </c>
      <c r="G3101">
        <v>140752000</v>
      </c>
      <c r="H3101">
        <f t="shared" si="192"/>
        <v>2009</v>
      </c>
      <c r="I3101">
        <f t="shared" si="193"/>
        <v>9</v>
      </c>
      <c r="J3101" t="str">
        <f t="shared" si="194"/>
        <v>Sep</v>
      </c>
      <c r="K3101" t="str">
        <f t="shared" si="195"/>
        <v>Tue</v>
      </c>
    </row>
    <row r="3102" spans="1:11" x14ac:dyDescent="0.35">
      <c r="A3102" s="1">
        <v>40065</v>
      </c>
      <c r="B3102">
        <v>4.0300002098083496</v>
      </c>
      <c r="C3102">
        <v>4.1314997673034597</v>
      </c>
      <c r="D3102">
        <v>4.0250000953674299</v>
      </c>
      <c r="E3102">
        <v>4.1119999885559002</v>
      </c>
      <c r="F3102">
        <v>4.1119999885559002</v>
      </c>
      <c r="G3102">
        <v>135524000</v>
      </c>
      <c r="H3102">
        <f t="shared" si="192"/>
        <v>2009</v>
      </c>
      <c r="I3102">
        <f t="shared" si="193"/>
        <v>9</v>
      </c>
      <c r="J3102" t="str">
        <f t="shared" si="194"/>
        <v>Sep</v>
      </c>
      <c r="K3102" t="str">
        <f t="shared" si="195"/>
        <v>Wed</v>
      </c>
    </row>
    <row r="3103" spans="1:11" x14ac:dyDescent="0.35">
      <c r="A3103" s="1">
        <v>40066</v>
      </c>
      <c r="B3103">
        <v>4.1164999008178702</v>
      </c>
      <c r="C3103">
        <v>4.2034997940063397</v>
      </c>
      <c r="D3103">
        <v>4.1149997711181596</v>
      </c>
      <c r="E3103">
        <v>4.19250011444091</v>
      </c>
      <c r="F3103">
        <v>4.19250011444091</v>
      </c>
      <c r="G3103">
        <v>140462000</v>
      </c>
      <c r="H3103">
        <f t="shared" si="192"/>
        <v>2009</v>
      </c>
      <c r="I3103">
        <f t="shared" si="193"/>
        <v>9</v>
      </c>
      <c r="J3103" t="str">
        <f t="shared" si="194"/>
        <v>Sep</v>
      </c>
      <c r="K3103" t="str">
        <f t="shared" si="195"/>
        <v>Thu</v>
      </c>
    </row>
    <row r="3104" spans="1:11" x14ac:dyDescent="0.35">
      <c r="A3104" s="1">
        <v>40067</v>
      </c>
      <c r="B3104">
        <v>4.2220001220703098</v>
      </c>
      <c r="C3104">
        <v>4.2449998855590803</v>
      </c>
      <c r="D3104">
        <v>4.1880002021789497</v>
      </c>
      <c r="E3104">
        <v>4.2270002365112296</v>
      </c>
      <c r="F3104">
        <v>4.2270002365112296</v>
      </c>
      <c r="G3104">
        <v>120138000</v>
      </c>
      <c r="H3104">
        <f t="shared" si="192"/>
        <v>2009</v>
      </c>
      <c r="I3104">
        <f t="shared" si="193"/>
        <v>9</v>
      </c>
      <c r="J3104" t="str">
        <f t="shared" si="194"/>
        <v>Sep</v>
      </c>
      <c r="K3104" t="str">
        <f t="shared" si="195"/>
        <v>Fri</v>
      </c>
    </row>
    <row r="3105" spans="1:11" x14ac:dyDescent="0.35">
      <c r="A3105" s="1">
        <v>40070</v>
      </c>
      <c r="B3105">
        <v>4.1904997825622496</v>
      </c>
      <c r="C3105">
        <v>4.2284998893737704</v>
      </c>
      <c r="D3105">
        <v>4.1729998588562003</v>
      </c>
      <c r="E3105">
        <v>4.1929998397827104</v>
      </c>
      <c r="F3105">
        <v>4.1929998397827104</v>
      </c>
      <c r="G3105">
        <v>71440000</v>
      </c>
      <c r="H3105">
        <f t="shared" si="192"/>
        <v>2009</v>
      </c>
      <c r="I3105">
        <f t="shared" si="193"/>
        <v>9</v>
      </c>
      <c r="J3105" t="str">
        <f t="shared" si="194"/>
        <v>Sep</v>
      </c>
      <c r="K3105" t="str">
        <f t="shared" si="195"/>
        <v>Mon</v>
      </c>
    </row>
    <row r="3106" spans="1:11" x14ac:dyDescent="0.35">
      <c r="A3106" s="1">
        <v>40071</v>
      </c>
      <c r="B3106">
        <v>4.2084999084472603</v>
      </c>
      <c r="C3106">
        <v>4.2204999923706001</v>
      </c>
      <c r="D3106">
        <v>4.1395001411437899</v>
      </c>
      <c r="E3106">
        <v>4.1774997711181596</v>
      </c>
      <c r="F3106">
        <v>4.1774997711181596</v>
      </c>
      <c r="G3106">
        <v>88936000</v>
      </c>
      <c r="H3106">
        <f t="shared" si="192"/>
        <v>2009</v>
      </c>
      <c r="I3106">
        <f t="shared" si="193"/>
        <v>9</v>
      </c>
      <c r="J3106" t="str">
        <f t="shared" si="194"/>
        <v>Sep</v>
      </c>
      <c r="K3106" t="str">
        <f t="shared" si="195"/>
        <v>Tue</v>
      </c>
    </row>
    <row r="3107" spans="1:11" x14ac:dyDescent="0.35">
      <c r="A3107" s="1">
        <v>40072</v>
      </c>
      <c r="B3107">
        <v>4.2954998016357404</v>
      </c>
      <c r="C3107">
        <v>4.5489997863769496</v>
      </c>
      <c r="D3107">
        <v>4.29500007629394</v>
      </c>
      <c r="E3107">
        <v>4.5349998474120996</v>
      </c>
      <c r="F3107">
        <v>4.5349998474120996</v>
      </c>
      <c r="G3107">
        <v>262286000</v>
      </c>
      <c r="H3107">
        <f t="shared" si="192"/>
        <v>2009</v>
      </c>
      <c r="I3107">
        <f t="shared" si="193"/>
        <v>9</v>
      </c>
      <c r="J3107" t="str">
        <f t="shared" si="194"/>
        <v>Sep</v>
      </c>
      <c r="K3107" t="str">
        <f t="shared" si="195"/>
        <v>Wed</v>
      </c>
    </row>
    <row r="3108" spans="1:11" x14ac:dyDescent="0.35">
      <c r="A3108" s="1">
        <v>40073</v>
      </c>
      <c r="B3108">
        <v>4.5374999046325604</v>
      </c>
      <c r="C3108">
        <v>4.5595002174377397</v>
      </c>
      <c r="D3108">
        <v>4.4499998092651296</v>
      </c>
      <c r="E3108">
        <v>4.5219998359680096</v>
      </c>
      <c r="F3108">
        <v>4.5219998359680096</v>
      </c>
      <c r="G3108">
        <v>157454000</v>
      </c>
      <c r="H3108">
        <f t="shared" si="192"/>
        <v>2009</v>
      </c>
      <c r="I3108">
        <f t="shared" si="193"/>
        <v>9</v>
      </c>
      <c r="J3108" t="str">
        <f t="shared" si="194"/>
        <v>Sep</v>
      </c>
      <c r="K3108" t="str">
        <f t="shared" si="195"/>
        <v>Thu</v>
      </c>
    </row>
    <row r="3109" spans="1:11" x14ac:dyDescent="0.35">
      <c r="A3109" s="1">
        <v>40074</v>
      </c>
      <c r="B3109">
        <v>4.5370001792907697</v>
      </c>
      <c r="C3109">
        <v>4.5500001907348597</v>
      </c>
      <c r="D3109">
        <v>4.4734997749328604</v>
      </c>
      <c r="E3109">
        <v>4.5139999389648402</v>
      </c>
      <c r="F3109">
        <v>4.5139999389648402</v>
      </c>
      <c r="G3109">
        <v>135390000</v>
      </c>
      <c r="H3109">
        <f t="shared" si="192"/>
        <v>2009</v>
      </c>
      <c r="I3109">
        <f t="shared" si="193"/>
        <v>9</v>
      </c>
      <c r="J3109" t="str">
        <f t="shared" si="194"/>
        <v>Sep</v>
      </c>
      <c r="K3109" t="str">
        <f t="shared" si="195"/>
        <v>Fri</v>
      </c>
    </row>
    <row r="3110" spans="1:11" x14ac:dyDescent="0.35">
      <c r="A3110" s="1">
        <v>40077</v>
      </c>
      <c r="B3110">
        <v>4.4844999313354403</v>
      </c>
      <c r="C3110">
        <v>4.5380001068115199</v>
      </c>
      <c r="D3110">
        <v>4.4239997863769496</v>
      </c>
      <c r="E3110">
        <v>4.5279998779296804</v>
      </c>
      <c r="F3110">
        <v>4.5279998779296804</v>
      </c>
      <c r="G3110">
        <v>84186000</v>
      </c>
      <c r="H3110">
        <f t="shared" si="192"/>
        <v>2009</v>
      </c>
      <c r="I3110">
        <f t="shared" si="193"/>
        <v>9</v>
      </c>
      <c r="J3110" t="str">
        <f t="shared" si="194"/>
        <v>Sep</v>
      </c>
      <c r="K3110" t="str">
        <f t="shared" si="195"/>
        <v>Mon</v>
      </c>
    </row>
    <row r="3111" spans="1:11" x14ac:dyDescent="0.35">
      <c r="A3111" s="1">
        <v>40078</v>
      </c>
      <c r="B3111">
        <v>4.5729999542236301</v>
      </c>
      <c r="C3111">
        <v>4.7094998359680096</v>
      </c>
      <c r="D3111">
        <v>4.5549998283386204</v>
      </c>
      <c r="E3111">
        <v>4.6875</v>
      </c>
      <c r="F3111">
        <v>4.6875</v>
      </c>
      <c r="G3111">
        <v>165298000</v>
      </c>
      <c r="H3111">
        <f t="shared" si="192"/>
        <v>2009</v>
      </c>
      <c r="I3111">
        <f t="shared" si="193"/>
        <v>9</v>
      </c>
      <c r="J3111" t="str">
        <f t="shared" si="194"/>
        <v>Sep</v>
      </c>
      <c r="K3111" t="str">
        <f t="shared" si="195"/>
        <v>Tue</v>
      </c>
    </row>
    <row r="3112" spans="1:11" x14ac:dyDescent="0.35">
      <c r="A3112" s="1">
        <v>40079</v>
      </c>
      <c r="B3112">
        <v>4.6409997940063397</v>
      </c>
      <c r="C3112">
        <v>4.7249999046325604</v>
      </c>
      <c r="D3112">
        <v>4.61100006103515</v>
      </c>
      <c r="E3112">
        <v>4.6189999580383301</v>
      </c>
      <c r="F3112">
        <v>4.6189999580383301</v>
      </c>
      <c r="G3112">
        <v>113706000</v>
      </c>
      <c r="H3112">
        <f t="shared" si="192"/>
        <v>2009</v>
      </c>
      <c r="I3112">
        <f t="shared" si="193"/>
        <v>9</v>
      </c>
      <c r="J3112" t="str">
        <f t="shared" si="194"/>
        <v>Sep</v>
      </c>
      <c r="K3112" t="str">
        <f t="shared" si="195"/>
        <v>Wed</v>
      </c>
    </row>
    <row r="3113" spans="1:11" x14ac:dyDescent="0.35">
      <c r="A3113" s="1">
        <v>40080</v>
      </c>
      <c r="B3113">
        <v>4.5999999046325604</v>
      </c>
      <c r="C3113">
        <v>4.6354999542236301</v>
      </c>
      <c r="D3113">
        <v>4.5384998321533203</v>
      </c>
      <c r="E3113">
        <v>4.6055002212524396</v>
      </c>
      <c r="F3113">
        <v>4.6055002212524396</v>
      </c>
      <c r="G3113">
        <v>101502000</v>
      </c>
      <c r="H3113">
        <f t="shared" si="192"/>
        <v>2009</v>
      </c>
      <c r="I3113">
        <f t="shared" si="193"/>
        <v>9</v>
      </c>
      <c r="J3113" t="str">
        <f t="shared" si="194"/>
        <v>Sep</v>
      </c>
      <c r="K3113" t="str">
        <f t="shared" si="195"/>
        <v>Thu</v>
      </c>
    </row>
    <row r="3114" spans="1:11" x14ac:dyDescent="0.35">
      <c r="A3114" s="1">
        <v>40081</v>
      </c>
      <c r="B3114">
        <v>4.57200002670288</v>
      </c>
      <c r="C3114">
        <v>4.6125001907348597</v>
      </c>
      <c r="D3114">
        <v>4.4875001907348597</v>
      </c>
      <c r="E3114">
        <v>4.52600002288818</v>
      </c>
      <c r="F3114">
        <v>4.52600002288818</v>
      </c>
      <c r="G3114">
        <v>85136000</v>
      </c>
      <c r="H3114">
        <f t="shared" si="192"/>
        <v>2009</v>
      </c>
      <c r="I3114">
        <f t="shared" si="193"/>
        <v>9</v>
      </c>
      <c r="J3114" t="str">
        <f t="shared" si="194"/>
        <v>Sep</v>
      </c>
      <c r="K3114" t="str">
        <f t="shared" si="195"/>
        <v>Fri</v>
      </c>
    </row>
    <row r="3115" spans="1:11" x14ac:dyDescent="0.35">
      <c r="A3115" s="1">
        <v>40084</v>
      </c>
      <c r="B3115">
        <v>4.5520000457763601</v>
      </c>
      <c r="C3115">
        <v>4.6405000686645499</v>
      </c>
      <c r="D3115">
        <v>4.5300002098083496</v>
      </c>
      <c r="E3115">
        <v>4.6104998588562003</v>
      </c>
      <c r="F3115">
        <v>4.6104998588562003</v>
      </c>
      <c r="G3115">
        <v>70160000</v>
      </c>
      <c r="H3115">
        <f t="shared" si="192"/>
        <v>2009</v>
      </c>
      <c r="I3115">
        <f t="shared" si="193"/>
        <v>9</v>
      </c>
      <c r="J3115" t="str">
        <f t="shared" si="194"/>
        <v>Sep</v>
      </c>
      <c r="K3115" t="str">
        <f t="shared" si="195"/>
        <v>Mon</v>
      </c>
    </row>
    <row r="3116" spans="1:11" x14ac:dyDescent="0.35">
      <c r="A3116" s="1">
        <v>40085</v>
      </c>
      <c r="B3116">
        <v>4.59800004959106</v>
      </c>
      <c r="C3116">
        <v>4.6164999008178702</v>
      </c>
      <c r="D3116">
        <v>4.50500011444091</v>
      </c>
      <c r="E3116">
        <v>4.5859999656677202</v>
      </c>
      <c r="F3116">
        <v>4.5859999656677202</v>
      </c>
      <c r="G3116">
        <v>87878000</v>
      </c>
      <c r="H3116">
        <f t="shared" si="192"/>
        <v>2009</v>
      </c>
      <c r="I3116">
        <f t="shared" si="193"/>
        <v>9</v>
      </c>
      <c r="J3116" t="str">
        <f t="shared" si="194"/>
        <v>Sep</v>
      </c>
      <c r="K3116" t="str">
        <f t="shared" si="195"/>
        <v>Tue</v>
      </c>
    </row>
    <row r="3117" spans="1:11" x14ac:dyDescent="0.35">
      <c r="A3117" s="1">
        <v>40086</v>
      </c>
      <c r="B3117">
        <v>4.6129999160766602</v>
      </c>
      <c r="C3117">
        <v>4.7084999084472603</v>
      </c>
      <c r="D3117">
        <v>4.5714998245239196</v>
      </c>
      <c r="E3117">
        <v>4.6680002212524396</v>
      </c>
      <c r="F3117">
        <v>4.6680002212524396</v>
      </c>
      <c r="G3117">
        <v>170784000</v>
      </c>
      <c r="H3117">
        <f t="shared" si="192"/>
        <v>2009</v>
      </c>
      <c r="I3117">
        <f t="shared" si="193"/>
        <v>9</v>
      </c>
      <c r="J3117" t="str">
        <f t="shared" si="194"/>
        <v>Sep</v>
      </c>
      <c r="K3117" t="str">
        <f t="shared" si="195"/>
        <v>Wed</v>
      </c>
    </row>
    <row r="3118" spans="1:11" x14ac:dyDescent="0.35">
      <c r="A3118" s="1">
        <v>40087</v>
      </c>
      <c r="B3118">
        <v>4.625</v>
      </c>
      <c r="C3118">
        <v>4.6449999809265101</v>
      </c>
      <c r="D3118">
        <v>4.5184998512268004</v>
      </c>
      <c r="E3118">
        <v>4.5520000457763601</v>
      </c>
      <c r="F3118">
        <v>4.5520000457763601</v>
      </c>
      <c r="G3118">
        <v>132902000</v>
      </c>
      <c r="H3118">
        <f t="shared" si="192"/>
        <v>2009</v>
      </c>
      <c r="I3118">
        <f t="shared" si="193"/>
        <v>10</v>
      </c>
      <c r="J3118" t="str">
        <f t="shared" si="194"/>
        <v>Oct</v>
      </c>
      <c r="K3118" t="str">
        <f t="shared" si="195"/>
        <v>Thu</v>
      </c>
    </row>
    <row r="3119" spans="1:11" x14ac:dyDescent="0.35">
      <c r="A3119" s="1">
        <v>40088</v>
      </c>
      <c r="B3119">
        <v>4.5025000572204501</v>
      </c>
      <c r="C3119">
        <v>4.5570001602172798</v>
      </c>
      <c r="D3119">
        <v>4.4790000915527299</v>
      </c>
      <c r="E3119">
        <v>4.4924998283386204</v>
      </c>
      <c r="F3119">
        <v>4.4924998283386204</v>
      </c>
      <c r="G3119">
        <v>100788000</v>
      </c>
      <c r="H3119">
        <f t="shared" si="192"/>
        <v>2009</v>
      </c>
      <c r="I3119">
        <f t="shared" si="193"/>
        <v>10</v>
      </c>
      <c r="J3119" t="str">
        <f t="shared" si="194"/>
        <v>Oct</v>
      </c>
      <c r="K3119" t="str">
        <f t="shared" si="195"/>
        <v>Fri</v>
      </c>
    </row>
    <row r="3120" spans="1:11" x14ac:dyDescent="0.35">
      <c r="A3120" s="1">
        <v>40091</v>
      </c>
      <c r="B3120">
        <v>4.5124998092651296</v>
      </c>
      <c r="C3120">
        <v>4.5465002059936497</v>
      </c>
      <c r="D3120">
        <v>4.4134998321533203</v>
      </c>
      <c r="E3120">
        <v>4.4334998130798304</v>
      </c>
      <c r="F3120">
        <v>4.4334998130798304</v>
      </c>
      <c r="G3120">
        <v>140570000</v>
      </c>
      <c r="H3120">
        <f t="shared" si="192"/>
        <v>2009</v>
      </c>
      <c r="I3120">
        <f t="shared" si="193"/>
        <v>10</v>
      </c>
      <c r="J3120" t="str">
        <f t="shared" si="194"/>
        <v>Oct</v>
      </c>
      <c r="K3120" t="str">
        <f t="shared" si="195"/>
        <v>Mon</v>
      </c>
    </row>
    <row r="3121" spans="1:11" x14ac:dyDescent="0.35">
      <c r="A3121" s="1">
        <v>40092</v>
      </c>
      <c r="B3121">
        <v>4.4664998054504297</v>
      </c>
      <c r="C3121">
        <v>4.5539999008178702</v>
      </c>
      <c r="D3121">
        <v>4.42000007629394</v>
      </c>
      <c r="E3121">
        <v>4.5454998016357404</v>
      </c>
      <c r="F3121">
        <v>4.5454998016357404</v>
      </c>
      <c r="G3121">
        <v>139274000</v>
      </c>
      <c r="H3121">
        <f t="shared" si="192"/>
        <v>2009</v>
      </c>
      <c r="I3121">
        <f t="shared" si="193"/>
        <v>10</v>
      </c>
      <c r="J3121" t="str">
        <f t="shared" si="194"/>
        <v>Oct</v>
      </c>
      <c r="K3121" t="str">
        <f t="shared" si="195"/>
        <v>Tue</v>
      </c>
    </row>
    <row r="3122" spans="1:11" x14ac:dyDescent="0.35">
      <c r="A3122" s="1">
        <v>40093</v>
      </c>
      <c r="B3122">
        <v>4.5749998092651296</v>
      </c>
      <c r="C3122">
        <v>4.7239999771118102</v>
      </c>
      <c r="D3122">
        <v>4.5574998855590803</v>
      </c>
      <c r="E3122">
        <v>4.6985001564025799</v>
      </c>
      <c r="F3122">
        <v>4.6985001564025799</v>
      </c>
      <c r="G3122">
        <v>148902000</v>
      </c>
      <c r="H3122">
        <f t="shared" si="192"/>
        <v>2009</v>
      </c>
      <c r="I3122">
        <f t="shared" si="193"/>
        <v>10</v>
      </c>
      <c r="J3122" t="str">
        <f t="shared" si="194"/>
        <v>Oct</v>
      </c>
      <c r="K3122" t="str">
        <f t="shared" si="195"/>
        <v>Wed</v>
      </c>
    </row>
    <row r="3123" spans="1:11" x14ac:dyDescent="0.35">
      <c r="A3123" s="1">
        <v>40094</v>
      </c>
      <c r="B3123">
        <v>4.7399997711181596</v>
      </c>
      <c r="C3123">
        <v>4.8359999656677202</v>
      </c>
      <c r="D3123">
        <v>4.7115001678466797</v>
      </c>
      <c r="E3123">
        <v>4.7610001564025799</v>
      </c>
      <c r="F3123">
        <v>4.7610001564025799</v>
      </c>
      <c r="G3123">
        <v>193486000</v>
      </c>
      <c r="H3123">
        <f t="shared" si="192"/>
        <v>2009</v>
      </c>
      <c r="I3123">
        <f t="shared" si="193"/>
        <v>10</v>
      </c>
      <c r="J3123" t="str">
        <f t="shared" si="194"/>
        <v>Oct</v>
      </c>
      <c r="K3123" t="str">
        <f t="shared" si="195"/>
        <v>Thu</v>
      </c>
    </row>
    <row r="3124" spans="1:11" x14ac:dyDescent="0.35">
      <c r="A3124" s="1">
        <v>40095</v>
      </c>
      <c r="B3124">
        <v>4.75</v>
      </c>
      <c r="C3124">
        <v>4.7975001335143999</v>
      </c>
      <c r="D3124">
        <v>4.7129998207092196</v>
      </c>
      <c r="E3124">
        <v>4.78550004959106</v>
      </c>
      <c r="F3124">
        <v>4.78550004959106</v>
      </c>
      <c r="G3124">
        <v>93880000</v>
      </c>
      <c r="H3124">
        <f t="shared" si="192"/>
        <v>2009</v>
      </c>
      <c r="I3124">
        <f t="shared" si="193"/>
        <v>10</v>
      </c>
      <c r="J3124" t="str">
        <f t="shared" si="194"/>
        <v>Oct</v>
      </c>
      <c r="K3124" t="str">
        <f t="shared" si="195"/>
        <v>Fri</v>
      </c>
    </row>
    <row r="3125" spans="1:11" x14ac:dyDescent="0.35">
      <c r="A3125" s="1">
        <v>40098</v>
      </c>
      <c r="B3125">
        <v>4.8084998130798304</v>
      </c>
      <c r="C3125">
        <v>4.8125</v>
      </c>
      <c r="D3125">
        <v>4.6535000801086399</v>
      </c>
      <c r="E3125">
        <v>4.6799998283386204</v>
      </c>
      <c r="F3125">
        <v>4.6799998283386204</v>
      </c>
      <c r="G3125">
        <v>111828000</v>
      </c>
      <c r="H3125">
        <f t="shared" si="192"/>
        <v>2009</v>
      </c>
      <c r="I3125">
        <f t="shared" si="193"/>
        <v>10</v>
      </c>
      <c r="J3125" t="str">
        <f t="shared" si="194"/>
        <v>Oct</v>
      </c>
      <c r="K3125" t="str">
        <f t="shared" si="195"/>
        <v>Mon</v>
      </c>
    </row>
    <row r="3126" spans="1:11" x14ac:dyDescent="0.35">
      <c r="A3126" s="1">
        <v>40099</v>
      </c>
      <c r="B3126">
        <v>4.6915001869201598</v>
      </c>
      <c r="C3126">
        <v>4.7624998092651296</v>
      </c>
      <c r="D3126">
        <v>4.6840000152587802</v>
      </c>
      <c r="E3126">
        <v>4.7414999008178702</v>
      </c>
      <c r="F3126">
        <v>4.7414999008178702</v>
      </c>
      <c r="G3126">
        <v>94400000</v>
      </c>
      <c r="H3126">
        <f t="shared" si="192"/>
        <v>2009</v>
      </c>
      <c r="I3126">
        <f t="shared" si="193"/>
        <v>10</v>
      </c>
      <c r="J3126" t="str">
        <f t="shared" si="194"/>
        <v>Oct</v>
      </c>
      <c r="K3126" t="str">
        <f t="shared" si="195"/>
        <v>Tue</v>
      </c>
    </row>
    <row r="3127" spans="1:11" x14ac:dyDescent="0.35">
      <c r="A3127" s="1">
        <v>40100</v>
      </c>
      <c r="B3127">
        <v>4.8109998703002903</v>
      </c>
      <c r="C3127">
        <v>4.8909997940063397</v>
      </c>
      <c r="D3127">
        <v>4.8010001182556099</v>
      </c>
      <c r="E3127">
        <v>4.8730001449584899</v>
      </c>
      <c r="F3127">
        <v>4.8730001449584899</v>
      </c>
      <c r="G3127">
        <v>111136000</v>
      </c>
      <c r="H3127">
        <f t="shared" si="192"/>
        <v>2009</v>
      </c>
      <c r="I3127">
        <f t="shared" si="193"/>
        <v>10</v>
      </c>
      <c r="J3127" t="str">
        <f t="shared" si="194"/>
        <v>Oct</v>
      </c>
      <c r="K3127" t="str">
        <f t="shared" si="195"/>
        <v>Wed</v>
      </c>
    </row>
    <row r="3128" spans="1:11" x14ac:dyDescent="0.35">
      <c r="A3128" s="1">
        <v>40101</v>
      </c>
      <c r="B3128">
        <v>4.7564997673034597</v>
      </c>
      <c r="C3128">
        <v>4.8530001640319798</v>
      </c>
      <c r="D3128">
        <v>4.7540001869201598</v>
      </c>
      <c r="E3128">
        <v>4.8004999160766602</v>
      </c>
      <c r="F3128">
        <v>4.8004999160766602</v>
      </c>
      <c r="G3128">
        <v>124842000</v>
      </c>
      <c r="H3128">
        <f t="shared" si="192"/>
        <v>2009</v>
      </c>
      <c r="I3128">
        <f t="shared" si="193"/>
        <v>10</v>
      </c>
      <c r="J3128" t="str">
        <f t="shared" si="194"/>
        <v>Oct</v>
      </c>
      <c r="K3128" t="str">
        <f t="shared" si="195"/>
        <v>Thu</v>
      </c>
    </row>
    <row r="3129" spans="1:11" x14ac:dyDescent="0.35">
      <c r="A3129" s="1">
        <v>40102</v>
      </c>
      <c r="B3129">
        <v>4.7649998664855904</v>
      </c>
      <c r="C3129">
        <v>4.8060002326965297</v>
      </c>
      <c r="D3129">
        <v>4.6805000305175701</v>
      </c>
      <c r="E3129">
        <v>4.7659997940063397</v>
      </c>
      <c r="F3129">
        <v>4.7659997940063397</v>
      </c>
      <c r="G3129">
        <v>140768000</v>
      </c>
      <c r="H3129">
        <f t="shared" si="192"/>
        <v>2009</v>
      </c>
      <c r="I3129">
        <f t="shared" si="193"/>
        <v>10</v>
      </c>
      <c r="J3129" t="str">
        <f t="shared" si="194"/>
        <v>Oct</v>
      </c>
      <c r="K3129" t="str">
        <f t="shared" si="195"/>
        <v>Fri</v>
      </c>
    </row>
    <row r="3130" spans="1:11" x14ac:dyDescent="0.35">
      <c r="A3130" s="1">
        <v>40105</v>
      </c>
      <c r="B3130">
        <v>4.7674999237060502</v>
      </c>
      <c r="C3130">
        <v>4.8140001296996999</v>
      </c>
      <c r="D3130">
        <v>4.7125000953674299</v>
      </c>
      <c r="E3130">
        <v>4.7340002059936497</v>
      </c>
      <c r="F3130">
        <v>4.7340002059936497</v>
      </c>
      <c r="G3130">
        <v>120348000</v>
      </c>
      <c r="H3130">
        <f t="shared" si="192"/>
        <v>2009</v>
      </c>
      <c r="I3130">
        <f t="shared" si="193"/>
        <v>10</v>
      </c>
      <c r="J3130" t="str">
        <f t="shared" si="194"/>
        <v>Oct</v>
      </c>
      <c r="K3130" t="str">
        <f t="shared" si="195"/>
        <v>Mon</v>
      </c>
    </row>
    <row r="3131" spans="1:11" x14ac:dyDescent="0.35">
      <c r="A3131" s="1">
        <v>40106</v>
      </c>
      <c r="B3131">
        <v>4.7954998016357404</v>
      </c>
      <c r="C3131">
        <v>4.8049998283386204</v>
      </c>
      <c r="D3131">
        <v>4.71350002288818</v>
      </c>
      <c r="E3131">
        <v>4.7490000724792401</v>
      </c>
      <c r="F3131">
        <v>4.7490000724792401</v>
      </c>
      <c r="G3131">
        <v>155552000</v>
      </c>
      <c r="H3131">
        <f t="shared" si="192"/>
        <v>2009</v>
      </c>
      <c r="I3131">
        <f t="shared" si="193"/>
        <v>10</v>
      </c>
      <c r="J3131" t="str">
        <f t="shared" si="194"/>
        <v>Oct</v>
      </c>
      <c r="K3131" t="str">
        <f t="shared" si="195"/>
        <v>Tue</v>
      </c>
    </row>
    <row r="3132" spans="1:11" x14ac:dyDescent="0.35">
      <c r="A3132" s="1">
        <v>40107</v>
      </c>
      <c r="B3132">
        <v>4.7635002136230398</v>
      </c>
      <c r="C3132">
        <v>4.8315000534057599</v>
      </c>
      <c r="D3132">
        <v>4.6455001831054599</v>
      </c>
      <c r="E3132">
        <v>4.6710000038146902</v>
      </c>
      <c r="F3132">
        <v>4.6710000038146902</v>
      </c>
      <c r="G3132">
        <v>155224000</v>
      </c>
      <c r="H3132">
        <f t="shared" si="192"/>
        <v>2009</v>
      </c>
      <c r="I3132">
        <f t="shared" si="193"/>
        <v>10</v>
      </c>
      <c r="J3132" t="str">
        <f t="shared" si="194"/>
        <v>Oct</v>
      </c>
      <c r="K3132" t="str">
        <f t="shared" si="195"/>
        <v>Wed</v>
      </c>
    </row>
    <row r="3133" spans="1:11" x14ac:dyDescent="0.35">
      <c r="A3133" s="1">
        <v>40108</v>
      </c>
      <c r="B3133">
        <v>4.68300008773803</v>
      </c>
      <c r="C3133">
        <v>4.7049999237060502</v>
      </c>
      <c r="D3133">
        <v>4.58500003814697</v>
      </c>
      <c r="E3133">
        <v>4.6725001335143999</v>
      </c>
      <c r="F3133">
        <v>4.6725001335143999</v>
      </c>
      <c r="G3133">
        <v>330370000</v>
      </c>
      <c r="H3133">
        <f t="shared" si="192"/>
        <v>2009</v>
      </c>
      <c r="I3133">
        <f t="shared" si="193"/>
        <v>10</v>
      </c>
      <c r="J3133" t="str">
        <f t="shared" si="194"/>
        <v>Oct</v>
      </c>
      <c r="K3133" t="str">
        <f t="shared" si="195"/>
        <v>Thu</v>
      </c>
    </row>
    <row r="3134" spans="1:11" x14ac:dyDescent="0.35">
      <c r="A3134" s="1">
        <v>40109</v>
      </c>
      <c r="B3134">
        <v>5.5524997711181596</v>
      </c>
      <c r="C3134">
        <v>5.98250007629394</v>
      </c>
      <c r="D3134">
        <v>5.5310001373290998</v>
      </c>
      <c r="E3134">
        <v>5.9244999885559002</v>
      </c>
      <c r="F3134">
        <v>5.9244999885559002</v>
      </c>
      <c r="G3134">
        <v>1166116000</v>
      </c>
      <c r="H3134">
        <f t="shared" si="192"/>
        <v>2009</v>
      </c>
      <c r="I3134">
        <f t="shared" si="193"/>
        <v>10</v>
      </c>
      <c r="J3134" t="str">
        <f t="shared" si="194"/>
        <v>Oct</v>
      </c>
      <c r="K3134" t="str">
        <f t="shared" si="195"/>
        <v>Fri</v>
      </c>
    </row>
    <row r="3135" spans="1:11" x14ac:dyDescent="0.35">
      <c r="A3135" s="1">
        <v>40112</v>
      </c>
      <c r="B3135">
        <v>5.9604997634887598</v>
      </c>
      <c r="C3135">
        <v>6.2839999198913503</v>
      </c>
      <c r="D3135">
        <v>5.9244999885559002</v>
      </c>
      <c r="E3135">
        <v>6.2319998741149902</v>
      </c>
      <c r="F3135">
        <v>6.2319998741149902</v>
      </c>
      <c r="G3135">
        <v>645424000</v>
      </c>
      <c r="H3135">
        <f t="shared" si="192"/>
        <v>2009</v>
      </c>
      <c r="I3135">
        <f t="shared" si="193"/>
        <v>10</v>
      </c>
      <c r="J3135" t="str">
        <f t="shared" si="194"/>
        <v>Oct</v>
      </c>
      <c r="K3135" t="str">
        <f t="shared" si="195"/>
        <v>Mon</v>
      </c>
    </row>
    <row r="3136" spans="1:11" x14ac:dyDescent="0.35">
      <c r="A3136" s="1">
        <v>40113</v>
      </c>
      <c r="B3136">
        <v>6.1465001106262198</v>
      </c>
      <c r="C3136">
        <v>6.2129998207092196</v>
      </c>
      <c r="D3136">
        <v>5.9710001945495597</v>
      </c>
      <c r="E3136">
        <v>6.1034998893737704</v>
      </c>
      <c r="F3136">
        <v>6.1034998893737704</v>
      </c>
      <c r="G3136">
        <v>406084000</v>
      </c>
      <c r="H3136">
        <f t="shared" si="192"/>
        <v>2009</v>
      </c>
      <c r="I3136">
        <f t="shared" si="193"/>
        <v>10</v>
      </c>
      <c r="J3136" t="str">
        <f t="shared" si="194"/>
        <v>Oct</v>
      </c>
      <c r="K3136" t="str">
        <f t="shared" si="195"/>
        <v>Tue</v>
      </c>
    </row>
    <row r="3137" spans="1:11" x14ac:dyDescent="0.35">
      <c r="A3137" s="1">
        <v>40114</v>
      </c>
      <c r="B3137">
        <v>6.0784997940063397</v>
      </c>
      <c r="C3137">
        <v>6.2560000419616699</v>
      </c>
      <c r="D3137">
        <v>6.0380001068115199</v>
      </c>
      <c r="E3137">
        <v>6.0819997787475497</v>
      </c>
      <c r="F3137">
        <v>6.0819997787475497</v>
      </c>
      <c r="G3137">
        <v>337754000</v>
      </c>
      <c r="H3137">
        <f t="shared" si="192"/>
        <v>2009</v>
      </c>
      <c r="I3137">
        <f t="shared" si="193"/>
        <v>10</v>
      </c>
      <c r="J3137" t="str">
        <f t="shared" si="194"/>
        <v>Oct</v>
      </c>
      <c r="K3137" t="str">
        <f t="shared" si="195"/>
        <v>Wed</v>
      </c>
    </row>
    <row r="3138" spans="1:11" x14ac:dyDescent="0.35">
      <c r="A3138" s="1">
        <v>40115</v>
      </c>
      <c r="B3138">
        <v>6.1950001716613698</v>
      </c>
      <c r="C3138">
        <v>6.2150001525878897</v>
      </c>
      <c r="D3138">
        <v>6.0060000419616699</v>
      </c>
      <c r="E3138">
        <v>6.1290001869201598</v>
      </c>
      <c r="F3138">
        <v>6.1290001869201598</v>
      </c>
      <c r="G3138">
        <v>256436000</v>
      </c>
      <c r="H3138">
        <f t="shared" si="192"/>
        <v>2009</v>
      </c>
      <c r="I3138">
        <f t="shared" si="193"/>
        <v>10</v>
      </c>
      <c r="J3138" t="str">
        <f t="shared" si="194"/>
        <v>Oct</v>
      </c>
      <c r="K3138" t="str">
        <f t="shared" si="195"/>
        <v>Thu</v>
      </c>
    </row>
    <row r="3139" spans="1:11" x14ac:dyDescent="0.35">
      <c r="A3139" s="1">
        <v>40116</v>
      </c>
      <c r="B3139">
        <v>6.0984997749328604</v>
      </c>
      <c r="C3139">
        <v>6.1449999809265101</v>
      </c>
      <c r="D3139">
        <v>5.91050004959106</v>
      </c>
      <c r="E3139">
        <v>5.9404997825622496</v>
      </c>
      <c r="F3139">
        <v>5.9404997825622496</v>
      </c>
      <c r="G3139">
        <v>266244000</v>
      </c>
      <c r="H3139">
        <f t="shared" si="192"/>
        <v>2009</v>
      </c>
      <c r="I3139">
        <f t="shared" si="193"/>
        <v>10</v>
      </c>
      <c r="J3139" t="str">
        <f t="shared" si="194"/>
        <v>Oct</v>
      </c>
      <c r="K3139" t="str">
        <f t="shared" si="195"/>
        <v>Fri</v>
      </c>
    </row>
    <row r="3140" spans="1:11" x14ac:dyDescent="0.35">
      <c r="A3140" s="1">
        <v>40119</v>
      </c>
      <c r="B3140">
        <v>5.93300008773803</v>
      </c>
      <c r="C3140">
        <v>5.9749999046325604</v>
      </c>
      <c r="D3140">
        <v>5.8354997634887598</v>
      </c>
      <c r="E3140">
        <v>5.9419999122619602</v>
      </c>
      <c r="F3140">
        <v>5.9419999122619602</v>
      </c>
      <c r="G3140">
        <v>225600000</v>
      </c>
      <c r="H3140">
        <f t="shared" ref="H3140:H3203" si="196">YEAR($A3140)</f>
        <v>2009</v>
      </c>
      <c r="I3140">
        <f t="shared" ref="I3140:I3203" si="197">MONTH($A3140)</f>
        <v>11</v>
      </c>
      <c r="J3140" t="str">
        <f t="shared" ref="J3140:J3203" si="198">TEXT($A3140,"mmm")</f>
        <v>Nov</v>
      </c>
      <c r="K3140" t="str">
        <f t="shared" ref="K3140:K3203" si="199">TEXT($A3140,"ddd")</f>
        <v>Mon</v>
      </c>
    </row>
    <row r="3141" spans="1:11" x14ac:dyDescent="0.35">
      <c r="A3141" s="1">
        <v>40120</v>
      </c>
      <c r="B3141">
        <v>5.88350009918212</v>
      </c>
      <c r="C3141">
        <v>5.9439997673034597</v>
      </c>
      <c r="D3141">
        <v>5.8315000534057599</v>
      </c>
      <c r="E3141">
        <v>5.9184999465942303</v>
      </c>
      <c r="F3141">
        <v>5.9184999465942303</v>
      </c>
      <c r="G3141">
        <v>189570000</v>
      </c>
      <c r="H3141">
        <f t="shared" si="196"/>
        <v>2009</v>
      </c>
      <c r="I3141">
        <f t="shared" si="197"/>
        <v>11</v>
      </c>
      <c r="J3141" t="str">
        <f t="shared" si="198"/>
        <v>Nov</v>
      </c>
      <c r="K3141" t="str">
        <f t="shared" si="199"/>
        <v>Tue</v>
      </c>
    </row>
    <row r="3142" spans="1:11" x14ac:dyDescent="0.35">
      <c r="A3142" s="1">
        <v>40121</v>
      </c>
      <c r="B3142">
        <v>5.9499998092651296</v>
      </c>
      <c r="C3142">
        <v>5.9625000953674299</v>
      </c>
      <c r="D3142">
        <v>5.8379998207092196</v>
      </c>
      <c r="E3142">
        <v>5.8550000190734801</v>
      </c>
      <c r="F3142">
        <v>5.8550000190734801</v>
      </c>
      <c r="G3142">
        <v>152350000</v>
      </c>
      <c r="H3142">
        <f t="shared" si="196"/>
        <v>2009</v>
      </c>
      <c r="I3142">
        <f t="shared" si="197"/>
        <v>11</v>
      </c>
      <c r="J3142" t="str">
        <f t="shared" si="198"/>
        <v>Nov</v>
      </c>
      <c r="K3142" t="str">
        <f t="shared" si="199"/>
        <v>Wed</v>
      </c>
    </row>
    <row r="3143" spans="1:11" x14ac:dyDescent="0.35">
      <c r="A3143" s="1">
        <v>40122</v>
      </c>
      <c r="B3143">
        <v>5.8730001449584899</v>
      </c>
      <c r="C3143">
        <v>6.0475001335143999</v>
      </c>
      <c r="D3143">
        <v>5.8125</v>
      </c>
      <c r="E3143">
        <v>6.0304999351501403</v>
      </c>
      <c r="F3143">
        <v>6.0304999351501403</v>
      </c>
      <c r="G3143">
        <v>181736000</v>
      </c>
      <c r="H3143">
        <f t="shared" si="196"/>
        <v>2009</v>
      </c>
      <c r="I3143">
        <f t="shared" si="197"/>
        <v>11</v>
      </c>
      <c r="J3143" t="str">
        <f t="shared" si="198"/>
        <v>Nov</v>
      </c>
      <c r="K3143" t="str">
        <f t="shared" si="199"/>
        <v>Thu</v>
      </c>
    </row>
    <row r="3144" spans="1:11" x14ac:dyDescent="0.35">
      <c r="A3144" s="1">
        <v>40123</v>
      </c>
      <c r="B3144">
        <v>6.1500000953674299</v>
      </c>
      <c r="C3144">
        <v>6.3489999771118102</v>
      </c>
      <c r="D3144">
        <v>6.13350009918212</v>
      </c>
      <c r="E3144">
        <v>6.3099999427795401</v>
      </c>
      <c r="F3144">
        <v>6.3099999427795401</v>
      </c>
      <c r="G3144">
        <v>264520000</v>
      </c>
      <c r="H3144">
        <f t="shared" si="196"/>
        <v>2009</v>
      </c>
      <c r="I3144">
        <f t="shared" si="197"/>
        <v>11</v>
      </c>
      <c r="J3144" t="str">
        <f t="shared" si="198"/>
        <v>Nov</v>
      </c>
      <c r="K3144" t="str">
        <f t="shared" si="199"/>
        <v>Fri</v>
      </c>
    </row>
    <row r="3145" spans="1:11" x14ac:dyDescent="0.35">
      <c r="A3145" s="1">
        <v>40126</v>
      </c>
      <c r="B3145">
        <v>6.3555002212524396</v>
      </c>
      <c r="C3145">
        <v>6.4159998893737704</v>
      </c>
      <c r="D3145">
        <v>6.2795000076293901</v>
      </c>
      <c r="E3145">
        <v>6.3334999084472603</v>
      </c>
      <c r="F3145">
        <v>6.3334999084472603</v>
      </c>
      <c r="G3145">
        <v>172484000</v>
      </c>
      <c r="H3145">
        <f t="shared" si="196"/>
        <v>2009</v>
      </c>
      <c r="I3145">
        <f t="shared" si="197"/>
        <v>11</v>
      </c>
      <c r="J3145" t="str">
        <f t="shared" si="198"/>
        <v>Nov</v>
      </c>
      <c r="K3145" t="str">
        <f t="shared" si="199"/>
        <v>Mon</v>
      </c>
    </row>
    <row r="3146" spans="1:11" x14ac:dyDescent="0.35">
      <c r="A3146" s="1">
        <v>40127</v>
      </c>
      <c r="B3146">
        <v>6.3400001525878897</v>
      </c>
      <c r="C3146">
        <v>6.5304999351501403</v>
      </c>
      <c r="D3146">
        <v>6.3000001907348597</v>
      </c>
      <c r="E3146">
        <v>6.5075001716613698</v>
      </c>
      <c r="F3146">
        <v>6.5075001716613698</v>
      </c>
      <c r="G3146">
        <v>210586000</v>
      </c>
      <c r="H3146">
        <f t="shared" si="196"/>
        <v>2009</v>
      </c>
      <c r="I3146">
        <f t="shared" si="197"/>
        <v>11</v>
      </c>
      <c r="J3146" t="str">
        <f t="shared" si="198"/>
        <v>Nov</v>
      </c>
      <c r="K3146" t="str">
        <f t="shared" si="199"/>
        <v>Tue</v>
      </c>
    </row>
    <row r="3147" spans="1:11" x14ac:dyDescent="0.35">
      <c r="A3147" s="1">
        <v>40128</v>
      </c>
      <c r="B3147">
        <v>6.5539999008178702</v>
      </c>
      <c r="C3147">
        <v>6.5654997825622496</v>
      </c>
      <c r="D3147">
        <v>6.4165000915527299</v>
      </c>
      <c r="E3147">
        <v>6.49550008773803</v>
      </c>
      <c r="F3147">
        <v>6.49550008773803</v>
      </c>
      <c r="G3147">
        <v>148684000</v>
      </c>
      <c r="H3147">
        <f t="shared" si="196"/>
        <v>2009</v>
      </c>
      <c r="I3147">
        <f t="shared" si="197"/>
        <v>11</v>
      </c>
      <c r="J3147" t="str">
        <f t="shared" si="198"/>
        <v>Nov</v>
      </c>
      <c r="K3147" t="str">
        <f t="shared" si="199"/>
        <v>Wed</v>
      </c>
    </row>
    <row r="3148" spans="1:11" x14ac:dyDescent="0.35">
      <c r="A3148" s="1">
        <v>40129</v>
      </c>
      <c r="B3148">
        <v>6.4990000724792401</v>
      </c>
      <c r="C3148">
        <v>6.60750007629394</v>
      </c>
      <c r="D3148">
        <v>6.4990000724792401</v>
      </c>
      <c r="E3148">
        <v>6.5265002250671298</v>
      </c>
      <c r="F3148">
        <v>6.5265002250671298</v>
      </c>
      <c r="G3148">
        <v>144202000</v>
      </c>
      <c r="H3148">
        <f t="shared" si="196"/>
        <v>2009</v>
      </c>
      <c r="I3148">
        <f t="shared" si="197"/>
        <v>11</v>
      </c>
      <c r="J3148" t="str">
        <f t="shared" si="198"/>
        <v>Nov</v>
      </c>
      <c r="K3148" t="str">
        <f t="shared" si="199"/>
        <v>Thu</v>
      </c>
    </row>
    <row r="3149" spans="1:11" x14ac:dyDescent="0.35">
      <c r="A3149" s="1">
        <v>40130</v>
      </c>
      <c r="B3149">
        <v>6.55800008773803</v>
      </c>
      <c r="C3149">
        <v>6.6494998931884703</v>
      </c>
      <c r="D3149">
        <v>6.4875001907348597</v>
      </c>
      <c r="E3149">
        <v>6.6484999656677202</v>
      </c>
      <c r="F3149">
        <v>6.6484999656677202</v>
      </c>
      <c r="G3149">
        <v>147536000</v>
      </c>
      <c r="H3149">
        <f t="shared" si="196"/>
        <v>2009</v>
      </c>
      <c r="I3149">
        <f t="shared" si="197"/>
        <v>11</v>
      </c>
      <c r="J3149" t="str">
        <f t="shared" si="198"/>
        <v>Nov</v>
      </c>
      <c r="K3149" t="str">
        <f t="shared" si="199"/>
        <v>Fri</v>
      </c>
    </row>
    <row r="3150" spans="1:11" x14ac:dyDescent="0.35">
      <c r="A3150" s="1">
        <v>40133</v>
      </c>
      <c r="B3150">
        <v>6.6059999465942303</v>
      </c>
      <c r="C3150">
        <v>6.7280001640319798</v>
      </c>
      <c r="D3150">
        <v>6.5489997863769496</v>
      </c>
      <c r="E3150">
        <v>6.5795001983642498</v>
      </c>
      <c r="F3150">
        <v>6.5795001983642498</v>
      </c>
      <c r="G3150">
        <v>180366000</v>
      </c>
      <c r="H3150">
        <f t="shared" si="196"/>
        <v>2009</v>
      </c>
      <c r="I3150">
        <f t="shared" si="197"/>
        <v>11</v>
      </c>
      <c r="J3150" t="str">
        <f t="shared" si="198"/>
        <v>Nov</v>
      </c>
      <c r="K3150" t="str">
        <f t="shared" si="199"/>
        <v>Mon</v>
      </c>
    </row>
    <row r="3151" spans="1:11" x14ac:dyDescent="0.35">
      <c r="A3151" s="1">
        <v>40134</v>
      </c>
      <c r="B3151">
        <v>6.5700001716613698</v>
      </c>
      <c r="C3151">
        <v>6.5925002098083496</v>
      </c>
      <c r="D3151">
        <v>6.4660000801086399</v>
      </c>
      <c r="E3151">
        <v>6.5625</v>
      </c>
      <c r="F3151">
        <v>6.5625</v>
      </c>
      <c r="G3151">
        <v>154960000</v>
      </c>
      <c r="H3151">
        <f t="shared" si="196"/>
        <v>2009</v>
      </c>
      <c r="I3151">
        <f t="shared" si="197"/>
        <v>11</v>
      </c>
      <c r="J3151" t="str">
        <f t="shared" si="198"/>
        <v>Nov</v>
      </c>
      <c r="K3151" t="str">
        <f t="shared" si="199"/>
        <v>Tue</v>
      </c>
    </row>
    <row r="3152" spans="1:11" x14ac:dyDescent="0.35">
      <c r="A3152" s="1">
        <v>40135</v>
      </c>
      <c r="B3152">
        <v>6.54500007629394</v>
      </c>
      <c r="C3152">
        <v>6.5704998970031703</v>
      </c>
      <c r="D3152">
        <v>6.4765000343322701</v>
      </c>
      <c r="E3152">
        <v>6.5644998550415004</v>
      </c>
      <c r="F3152">
        <v>6.5644998550415004</v>
      </c>
      <c r="G3152">
        <v>104270000</v>
      </c>
      <c r="H3152">
        <f t="shared" si="196"/>
        <v>2009</v>
      </c>
      <c r="I3152">
        <f t="shared" si="197"/>
        <v>11</v>
      </c>
      <c r="J3152" t="str">
        <f t="shared" si="198"/>
        <v>Nov</v>
      </c>
      <c r="K3152" t="str">
        <f t="shared" si="199"/>
        <v>Wed</v>
      </c>
    </row>
    <row r="3153" spans="1:11" x14ac:dyDescent="0.35">
      <c r="A3153" s="1">
        <v>40136</v>
      </c>
      <c r="B3153">
        <v>6.5269999504089302</v>
      </c>
      <c r="C3153">
        <v>6.5269999504089302</v>
      </c>
      <c r="D3153">
        <v>6.4239997863769496</v>
      </c>
      <c r="E3153">
        <v>6.4495000839233398</v>
      </c>
      <c r="F3153">
        <v>6.4495000839233398</v>
      </c>
      <c r="G3153">
        <v>119964000</v>
      </c>
      <c r="H3153">
        <f t="shared" si="196"/>
        <v>2009</v>
      </c>
      <c r="I3153">
        <f t="shared" si="197"/>
        <v>11</v>
      </c>
      <c r="J3153" t="str">
        <f t="shared" si="198"/>
        <v>Nov</v>
      </c>
      <c r="K3153" t="str">
        <f t="shared" si="199"/>
        <v>Thu</v>
      </c>
    </row>
    <row r="3154" spans="1:11" x14ac:dyDescent="0.35">
      <c r="A3154" s="1">
        <v>40137</v>
      </c>
      <c r="B3154">
        <v>6.38800001144409</v>
      </c>
      <c r="C3154">
        <v>6.4994997978210396</v>
      </c>
      <c r="D3154">
        <v>6.37050008773803</v>
      </c>
      <c r="E3154">
        <v>6.4829998016357404</v>
      </c>
      <c r="F3154">
        <v>6.4829998016357404</v>
      </c>
      <c r="G3154">
        <v>133052000</v>
      </c>
      <c r="H3154">
        <f t="shared" si="196"/>
        <v>2009</v>
      </c>
      <c r="I3154">
        <f t="shared" si="197"/>
        <v>11</v>
      </c>
      <c r="J3154" t="str">
        <f t="shared" si="198"/>
        <v>Nov</v>
      </c>
      <c r="K3154" t="str">
        <f t="shared" si="199"/>
        <v>Fri</v>
      </c>
    </row>
    <row r="3155" spans="1:11" x14ac:dyDescent="0.35">
      <c r="A3155" s="1">
        <v>40140</v>
      </c>
      <c r="B3155">
        <v>6.5524997711181596</v>
      </c>
      <c r="C3155">
        <v>6.6500000953674299</v>
      </c>
      <c r="D3155">
        <v>6.5500001907348597</v>
      </c>
      <c r="E3155">
        <v>6.6500000953674299</v>
      </c>
      <c r="F3155">
        <v>6.6500000953674299</v>
      </c>
      <c r="G3155">
        <v>137562000</v>
      </c>
      <c r="H3155">
        <f t="shared" si="196"/>
        <v>2009</v>
      </c>
      <c r="I3155">
        <f t="shared" si="197"/>
        <v>11</v>
      </c>
      <c r="J3155" t="str">
        <f t="shared" si="198"/>
        <v>Nov</v>
      </c>
      <c r="K3155" t="str">
        <f t="shared" si="199"/>
        <v>Mon</v>
      </c>
    </row>
    <row r="3156" spans="1:11" x14ac:dyDescent="0.35">
      <c r="A3156" s="1">
        <v>40141</v>
      </c>
      <c r="B3156">
        <v>6.6785001754760698</v>
      </c>
      <c r="C3156">
        <v>6.7164998054504297</v>
      </c>
      <c r="D3156">
        <v>6.61100006103515</v>
      </c>
      <c r="E3156">
        <v>6.6469998359680096</v>
      </c>
      <c r="F3156">
        <v>6.6469998359680096</v>
      </c>
      <c r="G3156">
        <v>146394000</v>
      </c>
      <c r="H3156">
        <f t="shared" si="196"/>
        <v>2009</v>
      </c>
      <c r="I3156">
        <f t="shared" si="197"/>
        <v>11</v>
      </c>
      <c r="J3156" t="str">
        <f t="shared" si="198"/>
        <v>Nov</v>
      </c>
      <c r="K3156" t="str">
        <f t="shared" si="199"/>
        <v>Tue</v>
      </c>
    </row>
    <row r="3157" spans="1:11" x14ac:dyDescent="0.35">
      <c r="A3157" s="1">
        <v>40142</v>
      </c>
      <c r="B3157">
        <v>6.6655001640319798</v>
      </c>
      <c r="C3157">
        <v>6.71000003814697</v>
      </c>
      <c r="D3157">
        <v>6.6199998855590803</v>
      </c>
      <c r="E3157">
        <v>6.7014999389648402</v>
      </c>
      <c r="F3157">
        <v>6.7014999389648402</v>
      </c>
      <c r="G3157">
        <v>101424000</v>
      </c>
      <c r="H3157">
        <f t="shared" si="196"/>
        <v>2009</v>
      </c>
      <c r="I3157">
        <f t="shared" si="197"/>
        <v>11</v>
      </c>
      <c r="J3157" t="str">
        <f t="shared" si="198"/>
        <v>Nov</v>
      </c>
      <c r="K3157" t="str">
        <f t="shared" si="199"/>
        <v>Wed</v>
      </c>
    </row>
    <row r="3158" spans="1:11" x14ac:dyDescent="0.35">
      <c r="A3158" s="1">
        <v>40144</v>
      </c>
      <c r="B3158">
        <v>6.5149998664855904</v>
      </c>
      <c r="C3158">
        <v>6.6500000953674299</v>
      </c>
      <c r="D3158">
        <v>6.4939999580383301</v>
      </c>
      <c r="E3158">
        <v>6.5869998931884703</v>
      </c>
      <c r="F3158">
        <v>6.5869998931884703</v>
      </c>
      <c r="G3158">
        <v>88452000</v>
      </c>
      <c r="H3158">
        <f t="shared" si="196"/>
        <v>2009</v>
      </c>
      <c r="I3158">
        <f t="shared" si="197"/>
        <v>11</v>
      </c>
      <c r="J3158" t="str">
        <f t="shared" si="198"/>
        <v>Nov</v>
      </c>
      <c r="K3158" t="str">
        <f t="shared" si="199"/>
        <v>Fri</v>
      </c>
    </row>
    <row r="3159" spans="1:11" x14ac:dyDescent="0.35">
      <c r="A3159" s="1">
        <v>40147</v>
      </c>
      <c r="B3159">
        <v>6.6094999313354403</v>
      </c>
      <c r="C3159">
        <v>6.8039999008178702</v>
      </c>
      <c r="D3159">
        <v>6.6079998016357404</v>
      </c>
      <c r="E3159">
        <v>6.7954998016357404</v>
      </c>
      <c r="F3159">
        <v>6.7954998016357404</v>
      </c>
      <c r="G3159">
        <v>202390000</v>
      </c>
      <c r="H3159">
        <f t="shared" si="196"/>
        <v>2009</v>
      </c>
      <c r="I3159">
        <f t="shared" si="197"/>
        <v>11</v>
      </c>
      <c r="J3159" t="str">
        <f t="shared" si="198"/>
        <v>Nov</v>
      </c>
      <c r="K3159" t="str">
        <f t="shared" si="199"/>
        <v>Mon</v>
      </c>
    </row>
    <row r="3160" spans="1:11" x14ac:dyDescent="0.35">
      <c r="A3160" s="1">
        <v>40148</v>
      </c>
      <c r="B3160">
        <v>6.8470001220703098</v>
      </c>
      <c r="C3160">
        <v>6.9675002098083496</v>
      </c>
      <c r="D3160">
        <v>6.7874999046325604</v>
      </c>
      <c r="E3160">
        <v>6.9250001907348597</v>
      </c>
      <c r="F3160">
        <v>6.9250001907348597</v>
      </c>
      <c r="G3160">
        <v>193152000</v>
      </c>
      <c r="H3160">
        <f t="shared" si="196"/>
        <v>2009</v>
      </c>
      <c r="I3160">
        <f t="shared" si="197"/>
        <v>12</v>
      </c>
      <c r="J3160" t="str">
        <f t="shared" si="198"/>
        <v>Dec</v>
      </c>
      <c r="K3160" t="str">
        <f t="shared" si="199"/>
        <v>Tue</v>
      </c>
    </row>
    <row r="3161" spans="1:11" x14ac:dyDescent="0.35">
      <c r="A3161" s="1">
        <v>40149</v>
      </c>
      <c r="B3161">
        <v>6.9574999809265101</v>
      </c>
      <c r="C3161">
        <v>7.13350009918212</v>
      </c>
      <c r="D3161">
        <v>6.9479999542236301</v>
      </c>
      <c r="E3161">
        <v>7.1125001907348597</v>
      </c>
      <c r="F3161">
        <v>7.1125001907348597</v>
      </c>
      <c r="G3161">
        <v>235960000</v>
      </c>
      <c r="H3161">
        <f t="shared" si="196"/>
        <v>2009</v>
      </c>
      <c r="I3161">
        <f t="shared" si="197"/>
        <v>12</v>
      </c>
      <c r="J3161" t="str">
        <f t="shared" si="198"/>
        <v>Dec</v>
      </c>
      <c r="K3161" t="str">
        <f t="shared" si="199"/>
        <v>Wed</v>
      </c>
    </row>
    <row r="3162" spans="1:11" x14ac:dyDescent="0.35">
      <c r="A3162" s="1">
        <v>40150</v>
      </c>
      <c r="B3162">
        <v>7.1810002326965297</v>
      </c>
      <c r="C3162">
        <v>7.2954998016357404</v>
      </c>
      <c r="D3162">
        <v>7.0384998321533203</v>
      </c>
      <c r="E3162">
        <v>7.0584998130798304</v>
      </c>
      <c r="F3162">
        <v>7.0584998130798304</v>
      </c>
      <c r="G3162">
        <v>330470000</v>
      </c>
      <c r="H3162">
        <f t="shared" si="196"/>
        <v>2009</v>
      </c>
      <c r="I3162">
        <f t="shared" si="197"/>
        <v>12</v>
      </c>
      <c r="J3162" t="str">
        <f t="shared" si="198"/>
        <v>Dec</v>
      </c>
      <c r="K3162" t="str">
        <f t="shared" si="199"/>
        <v>Thu</v>
      </c>
    </row>
    <row r="3163" spans="1:11" x14ac:dyDescent="0.35">
      <c r="A3163" s="1">
        <v>40151</v>
      </c>
      <c r="B3163">
        <v>7.1710000038146902</v>
      </c>
      <c r="C3163">
        <v>7.1725001335143999</v>
      </c>
      <c r="D3163">
        <v>6.7554998397827104</v>
      </c>
      <c r="E3163">
        <v>6.8790001869201598</v>
      </c>
      <c r="F3163">
        <v>6.8790001869201598</v>
      </c>
      <c r="G3163">
        <v>296548000</v>
      </c>
      <c r="H3163">
        <f t="shared" si="196"/>
        <v>2009</v>
      </c>
      <c r="I3163">
        <f t="shared" si="197"/>
        <v>12</v>
      </c>
      <c r="J3163" t="str">
        <f t="shared" si="198"/>
        <v>Dec</v>
      </c>
      <c r="K3163" t="str">
        <f t="shared" si="199"/>
        <v>Fri</v>
      </c>
    </row>
    <row r="3164" spans="1:11" x14ac:dyDescent="0.35">
      <c r="A3164" s="1">
        <v>40154</v>
      </c>
      <c r="B3164">
        <v>6.9000000953674299</v>
      </c>
      <c r="C3164">
        <v>6.9499998092651296</v>
      </c>
      <c r="D3164">
        <v>6.6919999122619602</v>
      </c>
      <c r="E3164">
        <v>6.7104997634887598</v>
      </c>
      <c r="F3164">
        <v>6.7104997634887598</v>
      </c>
      <c r="G3164">
        <v>156740000</v>
      </c>
      <c r="H3164">
        <f t="shared" si="196"/>
        <v>2009</v>
      </c>
      <c r="I3164">
        <f t="shared" si="197"/>
        <v>12</v>
      </c>
      <c r="J3164" t="str">
        <f t="shared" si="198"/>
        <v>Dec</v>
      </c>
      <c r="K3164" t="str">
        <f t="shared" si="199"/>
        <v>Mon</v>
      </c>
    </row>
    <row r="3165" spans="1:11" x14ac:dyDescent="0.35">
      <c r="A3165" s="1">
        <v>40155</v>
      </c>
      <c r="B3165">
        <v>6.7150001525878897</v>
      </c>
      <c r="C3165">
        <v>6.8039999008178702</v>
      </c>
      <c r="D3165">
        <v>6.6434998512268004</v>
      </c>
      <c r="E3165">
        <v>6.7055001258850098</v>
      </c>
      <c r="F3165">
        <v>6.7055001258850098</v>
      </c>
      <c r="G3165">
        <v>160056000</v>
      </c>
      <c r="H3165">
        <f t="shared" si="196"/>
        <v>2009</v>
      </c>
      <c r="I3165">
        <f t="shared" si="197"/>
        <v>12</v>
      </c>
      <c r="J3165" t="str">
        <f t="shared" si="198"/>
        <v>Dec</v>
      </c>
      <c r="K3165" t="str">
        <f t="shared" si="199"/>
        <v>Tue</v>
      </c>
    </row>
    <row r="3166" spans="1:11" x14ac:dyDescent="0.35">
      <c r="A3166" s="1">
        <v>40156</v>
      </c>
      <c r="B3166">
        <v>6.7300000190734801</v>
      </c>
      <c r="C3166">
        <v>6.7354998588562003</v>
      </c>
      <c r="D3166">
        <v>6.4910001754760698</v>
      </c>
      <c r="E3166">
        <v>6.5654997825622496</v>
      </c>
      <c r="F3166">
        <v>6.5654997825622496</v>
      </c>
      <c r="G3166">
        <v>252658000</v>
      </c>
      <c r="H3166">
        <f t="shared" si="196"/>
        <v>2009</v>
      </c>
      <c r="I3166">
        <f t="shared" si="197"/>
        <v>12</v>
      </c>
      <c r="J3166" t="str">
        <f t="shared" si="198"/>
        <v>Dec</v>
      </c>
      <c r="K3166" t="str">
        <f t="shared" si="199"/>
        <v>Wed</v>
      </c>
    </row>
    <row r="3167" spans="1:11" x14ac:dyDescent="0.35">
      <c r="A3167" s="1">
        <v>40157</v>
      </c>
      <c r="B3167">
        <v>6.62050008773803</v>
      </c>
      <c r="C3167">
        <v>6.8095002174377397</v>
      </c>
      <c r="D3167">
        <v>6.6199998855590803</v>
      </c>
      <c r="E3167">
        <v>6.7690000534057599</v>
      </c>
      <c r="F3167">
        <v>6.7690000534057599</v>
      </c>
      <c r="G3167">
        <v>226872000</v>
      </c>
      <c r="H3167">
        <f t="shared" si="196"/>
        <v>2009</v>
      </c>
      <c r="I3167">
        <f t="shared" si="197"/>
        <v>12</v>
      </c>
      <c r="J3167" t="str">
        <f t="shared" si="198"/>
        <v>Dec</v>
      </c>
      <c r="K3167" t="str">
        <f t="shared" si="199"/>
        <v>Thu</v>
      </c>
    </row>
    <row r="3168" spans="1:11" x14ac:dyDescent="0.35">
      <c r="A3168" s="1">
        <v>40158</v>
      </c>
      <c r="B3168">
        <v>6.8035001754760698</v>
      </c>
      <c r="C3168">
        <v>6.8144998550415004</v>
      </c>
      <c r="D3168">
        <v>6.6599998474120996</v>
      </c>
      <c r="E3168">
        <v>6.7074999809265101</v>
      </c>
      <c r="F3168">
        <v>6.7074999809265101</v>
      </c>
      <c r="G3168">
        <v>160934000</v>
      </c>
      <c r="H3168">
        <f t="shared" si="196"/>
        <v>2009</v>
      </c>
      <c r="I3168">
        <f t="shared" si="197"/>
        <v>12</v>
      </c>
      <c r="J3168" t="str">
        <f t="shared" si="198"/>
        <v>Dec</v>
      </c>
      <c r="K3168" t="str">
        <f t="shared" si="199"/>
        <v>Fri</v>
      </c>
    </row>
    <row r="3169" spans="1:11" x14ac:dyDescent="0.35">
      <c r="A3169" s="1">
        <v>40161</v>
      </c>
      <c r="B3169">
        <v>6.625</v>
      </c>
      <c r="C3169">
        <v>6.6304998397827104</v>
      </c>
      <c r="D3169">
        <v>6.4675002098083496</v>
      </c>
      <c r="E3169">
        <v>6.5689997673034597</v>
      </c>
      <c r="F3169">
        <v>6.5689997673034597</v>
      </c>
      <c r="G3169">
        <v>200458000</v>
      </c>
      <c r="H3169">
        <f t="shared" si="196"/>
        <v>2009</v>
      </c>
      <c r="I3169">
        <f t="shared" si="197"/>
        <v>12</v>
      </c>
      <c r="J3169" t="str">
        <f t="shared" si="198"/>
        <v>Dec</v>
      </c>
      <c r="K3169" t="str">
        <f t="shared" si="199"/>
        <v>Mon</v>
      </c>
    </row>
    <row r="3170" spans="1:11" x14ac:dyDescent="0.35">
      <c r="A3170" s="1">
        <v>40162</v>
      </c>
      <c r="B3170">
        <v>6.5380001068115199</v>
      </c>
      <c r="C3170">
        <v>6.6230001449584899</v>
      </c>
      <c r="D3170">
        <v>6.4794998168945304</v>
      </c>
      <c r="E3170">
        <v>6.5114998817443803</v>
      </c>
      <c r="F3170">
        <v>6.5114998817443803</v>
      </c>
      <c r="G3170">
        <v>148576000</v>
      </c>
      <c r="H3170">
        <f t="shared" si="196"/>
        <v>2009</v>
      </c>
      <c r="I3170">
        <f t="shared" si="197"/>
        <v>12</v>
      </c>
      <c r="J3170" t="str">
        <f t="shared" si="198"/>
        <v>Dec</v>
      </c>
      <c r="K3170" t="str">
        <f t="shared" si="199"/>
        <v>Tue</v>
      </c>
    </row>
    <row r="3171" spans="1:11" x14ac:dyDescent="0.35">
      <c r="A3171" s="1">
        <v>40163</v>
      </c>
      <c r="B3171">
        <v>6.5465002059936497</v>
      </c>
      <c r="C3171">
        <v>6.5725002288818297</v>
      </c>
      <c r="D3171">
        <v>6.3825001716613698</v>
      </c>
      <c r="E3171">
        <v>6.4180002212524396</v>
      </c>
      <c r="F3171">
        <v>6.4180002212524396</v>
      </c>
      <c r="G3171">
        <v>205226000</v>
      </c>
      <c r="H3171">
        <f t="shared" si="196"/>
        <v>2009</v>
      </c>
      <c r="I3171">
        <f t="shared" si="197"/>
        <v>12</v>
      </c>
      <c r="J3171" t="str">
        <f t="shared" si="198"/>
        <v>Dec</v>
      </c>
      <c r="K3171" t="str">
        <f t="shared" si="199"/>
        <v>Wed</v>
      </c>
    </row>
    <row r="3172" spans="1:11" x14ac:dyDescent="0.35">
      <c r="A3172" s="1">
        <v>40164</v>
      </c>
      <c r="B3172">
        <v>6.4679999351501403</v>
      </c>
      <c r="C3172">
        <v>6.5040001869201598</v>
      </c>
      <c r="D3172">
        <v>6.3449997901916504</v>
      </c>
      <c r="E3172">
        <v>6.3454999923706001</v>
      </c>
      <c r="F3172">
        <v>6.3454999923706001</v>
      </c>
      <c r="G3172">
        <v>169530000</v>
      </c>
      <c r="H3172">
        <f t="shared" si="196"/>
        <v>2009</v>
      </c>
      <c r="I3172">
        <f t="shared" si="197"/>
        <v>12</v>
      </c>
      <c r="J3172" t="str">
        <f t="shared" si="198"/>
        <v>Dec</v>
      </c>
      <c r="K3172" t="str">
        <f t="shared" si="199"/>
        <v>Thu</v>
      </c>
    </row>
    <row r="3173" spans="1:11" x14ac:dyDescent="0.35">
      <c r="A3173" s="1">
        <v>40165</v>
      </c>
      <c r="B3173">
        <v>6.3955001831054599</v>
      </c>
      <c r="C3173">
        <v>6.4394998550415004</v>
      </c>
      <c r="D3173">
        <v>6.2824997901916504</v>
      </c>
      <c r="E3173">
        <v>6.4239997863769496</v>
      </c>
      <c r="F3173">
        <v>6.4239997863769496</v>
      </c>
      <c r="G3173">
        <v>192108000</v>
      </c>
      <c r="H3173">
        <f t="shared" si="196"/>
        <v>2009</v>
      </c>
      <c r="I3173">
        <f t="shared" si="197"/>
        <v>12</v>
      </c>
      <c r="J3173" t="str">
        <f t="shared" si="198"/>
        <v>Dec</v>
      </c>
      <c r="K3173" t="str">
        <f t="shared" si="199"/>
        <v>Fri</v>
      </c>
    </row>
    <row r="3174" spans="1:11" x14ac:dyDescent="0.35">
      <c r="A3174" s="1">
        <v>40168</v>
      </c>
      <c r="B3174">
        <v>6.5240001678466797</v>
      </c>
      <c r="C3174">
        <v>6.6599998474120996</v>
      </c>
      <c r="D3174">
        <v>6.50950002670288</v>
      </c>
      <c r="E3174">
        <v>6.6395001411437899</v>
      </c>
      <c r="F3174">
        <v>6.6395001411437899</v>
      </c>
      <c r="G3174">
        <v>189472000</v>
      </c>
      <c r="H3174">
        <f t="shared" si="196"/>
        <v>2009</v>
      </c>
      <c r="I3174">
        <f t="shared" si="197"/>
        <v>12</v>
      </c>
      <c r="J3174" t="str">
        <f t="shared" si="198"/>
        <v>Dec</v>
      </c>
      <c r="K3174" t="str">
        <f t="shared" si="199"/>
        <v>Mon</v>
      </c>
    </row>
    <row r="3175" spans="1:11" x14ac:dyDescent="0.35">
      <c r="A3175" s="1">
        <v>40169</v>
      </c>
      <c r="B3175">
        <v>6.6880002021789497</v>
      </c>
      <c r="C3175">
        <v>6.7994999885559002</v>
      </c>
      <c r="D3175">
        <v>6.6325001716613698</v>
      </c>
      <c r="E3175">
        <v>6.6875</v>
      </c>
      <c r="F3175">
        <v>6.6875</v>
      </c>
      <c r="G3175">
        <v>165150000</v>
      </c>
      <c r="H3175">
        <f t="shared" si="196"/>
        <v>2009</v>
      </c>
      <c r="I3175">
        <f t="shared" si="197"/>
        <v>12</v>
      </c>
      <c r="J3175" t="str">
        <f t="shared" si="198"/>
        <v>Dec</v>
      </c>
      <c r="K3175" t="str">
        <f t="shared" si="199"/>
        <v>Tue</v>
      </c>
    </row>
    <row r="3176" spans="1:11" x14ac:dyDescent="0.35">
      <c r="A3176" s="1">
        <v>40170</v>
      </c>
      <c r="B3176">
        <v>6.7399997711181596</v>
      </c>
      <c r="C3176">
        <v>6.9524998664855904</v>
      </c>
      <c r="D3176">
        <v>6.7175002098083496</v>
      </c>
      <c r="E3176">
        <v>6.94700002670288</v>
      </c>
      <c r="F3176">
        <v>6.94700002670288</v>
      </c>
      <c r="G3176">
        <v>190922000</v>
      </c>
      <c r="H3176">
        <f t="shared" si="196"/>
        <v>2009</v>
      </c>
      <c r="I3176">
        <f t="shared" si="197"/>
        <v>12</v>
      </c>
      <c r="J3176" t="str">
        <f t="shared" si="198"/>
        <v>Dec</v>
      </c>
      <c r="K3176" t="str">
        <f t="shared" si="199"/>
        <v>Wed</v>
      </c>
    </row>
    <row r="3177" spans="1:11" x14ac:dyDescent="0.35">
      <c r="A3177" s="1">
        <v>40171</v>
      </c>
      <c r="B3177">
        <v>6.96000003814697</v>
      </c>
      <c r="C3177">
        <v>6.9850001335143999</v>
      </c>
      <c r="D3177">
        <v>6.8769998550415004</v>
      </c>
      <c r="E3177">
        <v>6.92350006103515</v>
      </c>
      <c r="F3177">
        <v>6.92350006103515</v>
      </c>
      <c r="G3177">
        <v>102576000</v>
      </c>
      <c r="H3177">
        <f t="shared" si="196"/>
        <v>2009</v>
      </c>
      <c r="I3177">
        <f t="shared" si="197"/>
        <v>12</v>
      </c>
      <c r="J3177" t="str">
        <f t="shared" si="198"/>
        <v>Dec</v>
      </c>
      <c r="K3177" t="str">
        <f t="shared" si="199"/>
        <v>Thu</v>
      </c>
    </row>
    <row r="3178" spans="1:11" x14ac:dyDescent="0.35">
      <c r="A3178" s="1">
        <v>40175</v>
      </c>
      <c r="B3178">
        <v>6.9875001907348597</v>
      </c>
      <c r="C3178">
        <v>7.0989999771118102</v>
      </c>
      <c r="D3178">
        <v>6.9264998435974103</v>
      </c>
      <c r="E3178">
        <v>6.9654998779296804</v>
      </c>
      <c r="F3178">
        <v>6.9654998779296804</v>
      </c>
      <c r="G3178">
        <v>175278000</v>
      </c>
      <c r="H3178">
        <f t="shared" si="196"/>
        <v>2009</v>
      </c>
      <c r="I3178">
        <f t="shared" si="197"/>
        <v>12</v>
      </c>
      <c r="J3178" t="str">
        <f t="shared" si="198"/>
        <v>Dec</v>
      </c>
      <c r="K3178" t="str">
        <f t="shared" si="199"/>
        <v>Mon</v>
      </c>
    </row>
    <row r="3179" spans="1:11" x14ac:dyDescent="0.35">
      <c r="A3179" s="1">
        <v>40176</v>
      </c>
      <c r="B3179">
        <v>7.0644998550415004</v>
      </c>
      <c r="C3179">
        <v>7.1290001869201598</v>
      </c>
      <c r="D3179">
        <v>6.9274997711181596</v>
      </c>
      <c r="E3179">
        <v>6.9704999923706001</v>
      </c>
      <c r="F3179">
        <v>6.9704999923706001</v>
      </c>
      <c r="G3179">
        <v>168012000</v>
      </c>
      <c r="H3179">
        <f t="shared" si="196"/>
        <v>2009</v>
      </c>
      <c r="I3179">
        <f t="shared" si="197"/>
        <v>12</v>
      </c>
      <c r="J3179" t="str">
        <f t="shared" si="198"/>
        <v>Dec</v>
      </c>
      <c r="K3179" t="str">
        <f t="shared" si="199"/>
        <v>Tue</v>
      </c>
    </row>
    <row r="3180" spans="1:11" x14ac:dyDescent="0.35">
      <c r="A3180" s="1">
        <v>40177</v>
      </c>
      <c r="B3180">
        <v>6.92000007629394</v>
      </c>
      <c r="C3180">
        <v>6.92000007629394</v>
      </c>
      <c r="D3180">
        <v>6.7639999389648402</v>
      </c>
      <c r="E3180">
        <v>6.8245000839233398</v>
      </c>
      <c r="F3180">
        <v>6.8245000839233398</v>
      </c>
      <c r="G3180">
        <v>138264000</v>
      </c>
      <c r="H3180">
        <f t="shared" si="196"/>
        <v>2009</v>
      </c>
      <c r="I3180">
        <f t="shared" si="197"/>
        <v>12</v>
      </c>
      <c r="J3180" t="str">
        <f t="shared" si="198"/>
        <v>Dec</v>
      </c>
      <c r="K3180" t="str">
        <f t="shared" si="199"/>
        <v>Wed</v>
      </c>
    </row>
    <row r="3181" spans="1:11" x14ac:dyDescent="0.35">
      <c r="A3181" s="1">
        <v>40178</v>
      </c>
      <c r="B3181">
        <v>6.8544998168945304</v>
      </c>
      <c r="C3181">
        <v>6.8639998435974103</v>
      </c>
      <c r="D3181">
        <v>6.7259998321533203</v>
      </c>
      <c r="E3181">
        <v>6.7259998321533203</v>
      </c>
      <c r="F3181">
        <v>6.7259998321533203</v>
      </c>
      <c r="G3181">
        <v>90460000</v>
      </c>
      <c r="H3181">
        <f t="shared" si="196"/>
        <v>2009</v>
      </c>
      <c r="I3181">
        <f t="shared" si="197"/>
        <v>12</v>
      </c>
      <c r="J3181" t="str">
        <f t="shared" si="198"/>
        <v>Dec</v>
      </c>
      <c r="K3181" t="str">
        <f t="shared" si="199"/>
        <v>Thu</v>
      </c>
    </row>
    <row r="3182" spans="1:11" x14ac:dyDescent="0.35">
      <c r="A3182" s="1">
        <v>40182</v>
      </c>
      <c r="B3182">
        <v>6.8125</v>
      </c>
      <c r="C3182">
        <v>6.8305001258850098</v>
      </c>
      <c r="D3182">
        <v>6.65700006484985</v>
      </c>
      <c r="E3182">
        <v>6.6950001716613698</v>
      </c>
      <c r="F3182">
        <v>6.6950001716613698</v>
      </c>
      <c r="G3182">
        <v>151998000</v>
      </c>
      <c r="H3182">
        <f t="shared" si="196"/>
        <v>2010</v>
      </c>
      <c r="I3182">
        <f t="shared" si="197"/>
        <v>1</v>
      </c>
      <c r="J3182" t="str">
        <f t="shared" si="198"/>
        <v>Jan</v>
      </c>
      <c r="K3182" t="str">
        <f t="shared" si="199"/>
        <v>Mon</v>
      </c>
    </row>
    <row r="3183" spans="1:11" x14ac:dyDescent="0.35">
      <c r="A3183" s="1">
        <v>40183</v>
      </c>
      <c r="B3183">
        <v>6.6715002059936497</v>
      </c>
      <c r="C3183">
        <v>6.7740001678466797</v>
      </c>
      <c r="D3183">
        <v>6.5904998779296804</v>
      </c>
      <c r="E3183">
        <v>6.7344999313354403</v>
      </c>
      <c r="F3183">
        <v>6.7344999313354403</v>
      </c>
      <c r="G3183">
        <v>177038000</v>
      </c>
      <c r="H3183">
        <f t="shared" si="196"/>
        <v>2010</v>
      </c>
      <c r="I3183">
        <f t="shared" si="197"/>
        <v>1</v>
      </c>
      <c r="J3183" t="str">
        <f t="shared" si="198"/>
        <v>Jan</v>
      </c>
      <c r="K3183" t="str">
        <f t="shared" si="199"/>
        <v>Tue</v>
      </c>
    </row>
    <row r="3184" spans="1:11" x14ac:dyDescent="0.35">
      <c r="A3184" s="1">
        <v>40184</v>
      </c>
      <c r="B3184">
        <v>6.7300000190734801</v>
      </c>
      <c r="C3184">
        <v>6.7364997863769496</v>
      </c>
      <c r="D3184">
        <v>6.5824999809265101</v>
      </c>
      <c r="E3184">
        <v>6.6125001907348597</v>
      </c>
      <c r="F3184">
        <v>6.6125001907348597</v>
      </c>
      <c r="G3184">
        <v>143576000</v>
      </c>
      <c r="H3184">
        <f t="shared" si="196"/>
        <v>2010</v>
      </c>
      <c r="I3184">
        <f t="shared" si="197"/>
        <v>1</v>
      </c>
      <c r="J3184" t="str">
        <f t="shared" si="198"/>
        <v>Jan</v>
      </c>
      <c r="K3184" t="str">
        <f t="shared" si="199"/>
        <v>Wed</v>
      </c>
    </row>
    <row r="3185" spans="1:11" x14ac:dyDescent="0.35">
      <c r="A3185" s="1">
        <v>40185</v>
      </c>
      <c r="B3185">
        <v>6.6005001068115199</v>
      </c>
      <c r="C3185">
        <v>6.6160001754760698</v>
      </c>
      <c r="D3185">
        <v>6.4400000572204501</v>
      </c>
      <c r="E3185">
        <v>6.5</v>
      </c>
      <c r="F3185">
        <v>6.5</v>
      </c>
      <c r="G3185">
        <v>220604000</v>
      </c>
      <c r="H3185">
        <f t="shared" si="196"/>
        <v>2010</v>
      </c>
      <c r="I3185">
        <f t="shared" si="197"/>
        <v>1</v>
      </c>
      <c r="J3185" t="str">
        <f t="shared" si="198"/>
        <v>Jan</v>
      </c>
      <c r="K3185" t="str">
        <f t="shared" si="199"/>
        <v>Thu</v>
      </c>
    </row>
    <row r="3186" spans="1:11" x14ac:dyDescent="0.35">
      <c r="A3186" s="1">
        <v>40186</v>
      </c>
      <c r="B3186">
        <v>6.5279998779296804</v>
      </c>
      <c r="C3186">
        <v>6.6840000152587802</v>
      </c>
      <c r="D3186">
        <v>6.4514999389648402</v>
      </c>
      <c r="E3186">
        <v>6.6760001182556099</v>
      </c>
      <c r="F3186">
        <v>6.6760001182556099</v>
      </c>
      <c r="G3186">
        <v>196610000</v>
      </c>
      <c r="H3186">
        <f t="shared" si="196"/>
        <v>2010</v>
      </c>
      <c r="I3186">
        <f t="shared" si="197"/>
        <v>1</v>
      </c>
      <c r="J3186" t="str">
        <f t="shared" si="198"/>
        <v>Jan</v>
      </c>
      <c r="K3186" t="str">
        <f t="shared" si="199"/>
        <v>Fri</v>
      </c>
    </row>
    <row r="3187" spans="1:11" x14ac:dyDescent="0.35">
      <c r="A3187" s="1">
        <v>40189</v>
      </c>
      <c r="B3187">
        <v>6.6310000419616699</v>
      </c>
      <c r="C3187">
        <v>6.6399998664855904</v>
      </c>
      <c r="D3187">
        <v>6.4604997634887598</v>
      </c>
      <c r="E3187">
        <v>6.5155000686645499</v>
      </c>
      <c r="F3187">
        <v>6.5155000686645499</v>
      </c>
      <c r="G3187">
        <v>175588000</v>
      </c>
      <c r="H3187">
        <f t="shared" si="196"/>
        <v>2010</v>
      </c>
      <c r="I3187">
        <f t="shared" si="197"/>
        <v>1</v>
      </c>
      <c r="J3187" t="str">
        <f t="shared" si="198"/>
        <v>Jan</v>
      </c>
      <c r="K3187" t="str">
        <f t="shared" si="199"/>
        <v>Mon</v>
      </c>
    </row>
    <row r="3188" spans="1:11" x14ac:dyDescent="0.35">
      <c r="A3188" s="1">
        <v>40190</v>
      </c>
      <c r="B3188">
        <v>6.4495000839233398</v>
      </c>
      <c r="C3188">
        <v>6.4910001754760698</v>
      </c>
      <c r="D3188">
        <v>6.3274998664855904</v>
      </c>
      <c r="E3188">
        <v>6.3674998283386204</v>
      </c>
      <c r="F3188">
        <v>6.3674998283386204</v>
      </c>
      <c r="G3188">
        <v>181926000</v>
      </c>
      <c r="H3188">
        <f t="shared" si="196"/>
        <v>2010</v>
      </c>
      <c r="I3188">
        <f t="shared" si="197"/>
        <v>1</v>
      </c>
      <c r="J3188" t="str">
        <f t="shared" si="198"/>
        <v>Jan</v>
      </c>
      <c r="K3188" t="str">
        <f t="shared" si="199"/>
        <v>Tue</v>
      </c>
    </row>
    <row r="3189" spans="1:11" x14ac:dyDescent="0.35">
      <c r="A3189" s="1">
        <v>40191</v>
      </c>
      <c r="B3189">
        <v>6.3949999809265101</v>
      </c>
      <c r="C3189">
        <v>6.4854998588562003</v>
      </c>
      <c r="D3189">
        <v>6.2874999046325604</v>
      </c>
      <c r="E3189">
        <v>6.4555001258850098</v>
      </c>
      <c r="F3189">
        <v>6.4555001258850098</v>
      </c>
      <c r="G3189">
        <v>214464000</v>
      </c>
      <c r="H3189">
        <f t="shared" si="196"/>
        <v>2010</v>
      </c>
      <c r="I3189">
        <f t="shared" si="197"/>
        <v>1</v>
      </c>
      <c r="J3189" t="str">
        <f t="shared" si="198"/>
        <v>Jan</v>
      </c>
      <c r="K3189" t="str">
        <f t="shared" si="199"/>
        <v>Wed</v>
      </c>
    </row>
    <row r="3190" spans="1:11" x14ac:dyDescent="0.35">
      <c r="A3190" s="1">
        <v>40192</v>
      </c>
      <c r="B3190">
        <v>6.4569997787475497</v>
      </c>
      <c r="C3190">
        <v>6.5190000534057599</v>
      </c>
      <c r="D3190">
        <v>6.3200001716613698</v>
      </c>
      <c r="E3190">
        <v>6.3674998283386204</v>
      </c>
      <c r="F3190">
        <v>6.3674998283386204</v>
      </c>
      <c r="G3190">
        <v>195498000</v>
      </c>
      <c r="H3190">
        <f t="shared" si="196"/>
        <v>2010</v>
      </c>
      <c r="I3190">
        <f t="shared" si="197"/>
        <v>1</v>
      </c>
      <c r="J3190" t="str">
        <f t="shared" si="198"/>
        <v>Jan</v>
      </c>
      <c r="K3190" t="str">
        <f t="shared" si="199"/>
        <v>Thu</v>
      </c>
    </row>
    <row r="3191" spans="1:11" x14ac:dyDescent="0.35">
      <c r="A3191" s="1">
        <v>40193</v>
      </c>
      <c r="B3191">
        <v>6.4590001106262198</v>
      </c>
      <c r="C3191">
        <v>6.48250007629394</v>
      </c>
      <c r="D3191">
        <v>6.3530001640319798</v>
      </c>
      <c r="E3191">
        <v>6.3569998741149902</v>
      </c>
      <c r="F3191">
        <v>6.3569998741149902</v>
      </c>
      <c r="G3191">
        <v>307530000</v>
      </c>
      <c r="H3191">
        <f t="shared" si="196"/>
        <v>2010</v>
      </c>
      <c r="I3191">
        <f t="shared" si="197"/>
        <v>1</v>
      </c>
      <c r="J3191" t="str">
        <f t="shared" si="198"/>
        <v>Jan</v>
      </c>
      <c r="K3191" t="str">
        <f t="shared" si="199"/>
        <v>Fri</v>
      </c>
    </row>
    <row r="3192" spans="1:11" x14ac:dyDescent="0.35">
      <c r="A3192" s="1">
        <v>40197</v>
      </c>
      <c r="B3192">
        <v>6.3154997825622496</v>
      </c>
      <c r="C3192">
        <v>6.4000000953674299</v>
      </c>
      <c r="D3192">
        <v>6.2164998054504297</v>
      </c>
      <c r="E3192">
        <v>6.3804998397827104</v>
      </c>
      <c r="F3192">
        <v>6.3804998397827104</v>
      </c>
      <c r="G3192">
        <v>177852000</v>
      </c>
      <c r="H3192">
        <f t="shared" si="196"/>
        <v>2010</v>
      </c>
      <c r="I3192">
        <f t="shared" si="197"/>
        <v>1</v>
      </c>
      <c r="J3192" t="str">
        <f t="shared" si="198"/>
        <v>Jan</v>
      </c>
      <c r="K3192" t="str">
        <f t="shared" si="199"/>
        <v>Tue</v>
      </c>
    </row>
    <row r="3193" spans="1:11" x14ac:dyDescent="0.35">
      <c r="A3193" s="1">
        <v>40198</v>
      </c>
      <c r="B3193">
        <v>6.3565001487731898</v>
      </c>
      <c r="C3193">
        <v>6.46000003814697</v>
      </c>
      <c r="D3193">
        <v>6.2540001869201598</v>
      </c>
      <c r="E3193">
        <v>6.2890000343322701</v>
      </c>
      <c r="F3193">
        <v>6.2890000343322701</v>
      </c>
      <c r="G3193">
        <v>181494000</v>
      </c>
      <c r="H3193">
        <f t="shared" si="196"/>
        <v>2010</v>
      </c>
      <c r="I3193">
        <f t="shared" si="197"/>
        <v>1</v>
      </c>
      <c r="J3193" t="str">
        <f t="shared" si="198"/>
        <v>Jan</v>
      </c>
      <c r="K3193" t="str">
        <f t="shared" si="199"/>
        <v>Wed</v>
      </c>
    </row>
    <row r="3194" spans="1:11" x14ac:dyDescent="0.35">
      <c r="A3194" s="1">
        <v>40199</v>
      </c>
      <c r="B3194">
        <v>6.3629999160766602</v>
      </c>
      <c r="C3194">
        <v>6.4074997901916504</v>
      </c>
      <c r="D3194">
        <v>6.25</v>
      </c>
      <c r="E3194">
        <v>6.3309998512268004</v>
      </c>
      <c r="F3194">
        <v>6.3309998512268004</v>
      </c>
      <c r="G3194">
        <v>199412000</v>
      </c>
      <c r="H3194">
        <f t="shared" si="196"/>
        <v>2010</v>
      </c>
      <c r="I3194">
        <f t="shared" si="197"/>
        <v>1</v>
      </c>
      <c r="J3194" t="str">
        <f t="shared" si="198"/>
        <v>Jan</v>
      </c>
      <c r="K3194" t="str">
        <f t="shared" si="199"/>
        <v>Thu</v>
      </c>
    </row>
    <row r="3195" spans="1:11" x14ac:dyDescent="0.35">
      <c r="A3195" s="1">
        <v>40200</v>
      </c>
      <c r="B3195">
        <v>6.2800002098083496</v>
      </c>
      <c r="C3195">
        <v>6.38350009918212</v>
      </c>
      <c r="D3195">
        <v>6.0380001068115199</v>
      </c>
      <c r="E3195">
        <v>6.0714998245239196</v>
      </c>
      <c r="F3195">
        <v>6.0714998245239196</v>
      </c>
      <c r="G3195">
        <v>231378000</v>
      </c>
      <c r="H3195">
        <f t="shared" si="196"/>
        <v>2010</v>
      </c>
      <c r="I3195">
        <f t="shared" si="197"/>
        <v>1</v>
      </c>
      <c r="J3195" t="str">
        <f t="shared" si="198"/>
        <v>Jan</v>
      </c>
      <c r="K3195" t="str">
        <f t="shared" si="199"/>
        <v>Fri</v>
      </c>
    </row>
    <row r="3196" spans="1:11" x14ac:dyDescent="0.35">
      <c r="A3196" s="1">
        <v>40203</v>
      </c>
      <c r="B3196">
        <v>6.1050000190734801</v>
      </c>
      <c r="C3196">
        <v>6.1139998435974103</v>
      </c>
      <c r="D3196">
        <v>5.9060001373290998</v>
      </c>
      <c r="E3196">
        <v>6.0155000686645499</v>
      </c>
      <c r="F3196">
        <v>6.0155000686645499</v>
      </c>
      <c r="G3196">
        <v>240478000</v>
      </c>
      <c r="H3196">
        <f t="shared" si="196"/>
        <v>2010</v>
      </c>
      <c r="I3196">
        <f t="shared" si="197"/>
        <v>1</v>
      </c>
      <c r="J3196" t="str">
        <f t="shared" si="198"/>
        <v>Jan</v>
      </c>
      <c r="K3196" t="str">
        <f t="shared" si="199"/>
        <v>Mon</v>
      </c>
    </row>
    <row r="3197" spans="1:11" x14ac:dyDescent="0.35">
      <c r="A3197" s="1">
        <v>40204</v>
      </c>
      <c r="B3197">
        <v>6.0279998779296804</v>
      </c>
      <c r="C3197">
        <v>6.1490001678466797</v>
      </c>
      <c r="D3197">
        <v>5.9530000686645499</v>
      </c>
      <c r="E3197">
        <v>5.9739999771118102</v>
      </c>
      <c r="F3197">
        <v>5.9739999771118102</v>
      </c>
      <c r="G3197">
        <v>191180000</v>
      </c>
      <c r="H3197">
        <f t="shared" si="196"/>
        <v>2010</v>
      </c>
      <c r="I3197">
        <f t="shared" si="197"/>
        <v>1</v>
      </c>
      <c r="J3197" t="str">
        <f t="shared" si="198"/>
        <v>Jan</v>
      </c>
      <c r="K3197" t="str">
        <f t="shared" si="199"/>
        <v>Tue</v>
      </c>
    </row>
    <row r="3198" spans="1:11" x14ac:dyDescent="0.35">
      <c r="A3198" s="1">
        <v>40205</v>
      </c>
      <c r="B3198">
        <v>6.0514998435974103</v>
      </c>
      <c r="C3198">
        <v>6.1665000915527299</v>
      </c>
      <c r="D3198">
        <v>5.9400000572204501</v>
      </c>
      <c r="E3198">
        <v>6.1374998092651296</v>
      </c>
      <c r="F3198">
        <v>6.1374998092651296</v>
      </c>
      <c r="G3198">
        <v>295306000</v>
      </c>
      <c r="H3198">
        <f t="shared" si="196"/>
        <v>2010</v>
      </c>
      <c r="I3198">
        <f t="shared" si="197"/>
        <v>1</v>
      </c>
      <c r="J3198" t="str">
        <f t="shared" si="198"/>
        <v>Jan</v>
      </c>
      <c r="K3198" t="str">
        <f t="shared" si="199"/>
        <v>Wed</v>
      </c>
    </row>
    <row r="3199" spans="1:11" x14ac:dyDescent="0.35">
      <c r="A3199" s="1">
        <v>40206</v>
      </c>
      <c r="B3199">
        <v>6.2214999198913503</v>
      </c>
      <c r="C3199">
        <v>6.3600001335143999</v>
      </c>
      <c r="D3199">
        <v>6.1399998664855904</v>
      </c>
      <c r="E3199">
        <v>6.3014998435974103</v>
      </c>
      <c r="F3199">
        <v>6.3014998435974103</v>
      </c>
      <c r="G3199">
        <v>545862000</v>
      </c>
      <c r="H3199">
        <f t="shared" si="196"/>
        <v>2010</v>
      </c>
      <c r="I3199">
        <f t="shared" si="197"/>
        <v>1</v>
      </c>
      <c r="J3199" t="str">
        <f t="shared" si="198"/>
        <v>Jan</v>
      </c>
      <c r="K3199" t="str">
        <f t="shared" si="199"/>
        <v>Thu</v>
      </c>
    </row>
    <row r="3200" spans="1:11" x14ac:dyDescent="0.35">
      <c r="A3200" s="1">
        <v>40207</v>
      </c>
      <c r="B3200">
        <v>6.4885001182556099</v>
      </c>
      <c r="C3200">
        <v>6.5925002098083496</v>
      </c>
      <c r="D3200">
        <v>6.2069997787475497</v>
      </c>
      <c r="E3200">
        <v>6.2705001831054599</v>
      </c>
      <c r="F3200">
        <v>6.2705001831054599</v>
      </c>
      <c r="G3200">
        <v>589426000</v>
      </c>
      <c r="H3200">
        <f t="shared" si="196"/>
        <v>2010</v>
      </c>
      <c r="I3200">
        <f t="shared" si="197"/>
        <v>1</v>
      </c>
      <c r="J3200" t="str">
        <f t="shared" si="198"/>
        <v>Jan</v>
      </c>
      <c r="K3200" t="str">
        <f t="shared" si="199"/>
        <v>Fri</v>
      </c>
    </row>
    <row r="3201" spans="1:11" x14ac:dyDescent="0.35">
      <c r="A3201" s="1">
        <v>40210</v>
      </c>
      <c r="B3201">
        <v>6.1589999198913503</v>
      </c>
      <c r="C3201">
        <v>6.2430000305175701</v>
      </c>
      <c r="D3201">
        <v>5.69099998474121</v>
      </c>
      <c r="E3201">
        <v>5.9435000419616699</v>
      </c>
      <c r="F3201">
        <v>5.9435000419616699</v>
      </c>
      <c r="G3201">
        <v>755488000</v>
      </c>
      <c r="H3201">
        <f t="shared" si="196"/>
        <v>2010</v>
      </c>
      <c r="I3201">
        <f t="shared" si="197"/>
        <v>2</v>
      </c>
      <c r="J3201" t="str">
        <f t="shared" si="198"/>
        <v>Feb</v>
      </c>
      <c r="K3201" t="str">
        <f t="shared" si="199"/>
        <v>Mon</v>
      </c>
    </row>
    <row r="3202" spans="1:11" x14ac:dyDescent="0.35">
      <c r="A3202" s="1">
        <v>40211</v>
      </c>
      <c r="B3202">
        <v>5.9394998550415004</v>
      </c>
      <c r="C3202">
        <v>5.9489998817443803</v>
      </c>
      <c r="D3202">
        <v>5.7199997901916504</v>
      </c>
      <c r="E3202">
        <v>5.9060001373290998</v>
      </c>
      <c r="F3202">
        <v>5.9060001373290998</v>
      </c>
      <c r="G3202">
        <v>461594000</v>
      </c>
      <c r="H3202">
        <f t="shared" si="196"/>
        <v>2010</v>
      </c>
      <c r="I3202">
        <f t="shared" si="197"/>
        <v>2</v>
      </c>
      <c r="J3202" t="str">
        <f t="shared" si="198"/>
        <v>Feb</v>
      </c>
      <c r="K3202" t="str">
        <f t="shared" si="199"/>
        <v>Tue</v>
      </c>
    </row>
    <row r="3203" spans="1:11" x14ac:dyDescent="0.35">
      <c r="A3203" s="1">
        <v>40212</v>
      </c>
      <c r="B3203">
        <v>5.8559999465942303</v>
      </c>
      <c r="C3203">
        <v>5.9805002212524396</v>
      </c>
      <c r="D3203">
        <v>5.8280000686645499</v>
      </c>
      <c r="E3203">
        <v>5.9549999237060502</v>
      </c>
      <c r="F3203">
        <v>5.9549999237060502</v>
      </c>
      <c r="G3203">
        <v>248118000</v>
      </c>
      <c r="H3203">
        <f t="shared" si="196"/>
        <v>2010</v>
      </c>
      <c r="I3203">
        <f t="shared" si="197"/>
        <v>2</v>
      </c>
      <c r="J3203" t="str">
        <f t="shared" si="198"/>
        <v>Feb</v>
      </c>
      <c r="K3203" t="str">
        <f t="shared" si="199"/>
        <v>Wed</v>
      </c>
    </row>
    <row r="3204" spans="1:11" x14ac:dyDescent="0.35">
      <c r="A3204" s="1">
        <v>40213</v>
      </c>
      <c r="B3204">
        <v>5.9320001602172798</v>
      </c>
      <c r="C3204">
        <v>6.0164999961853001</v>
      </c>
      <c r="D3204">
        <v>5.7870001792907697</v>
      </c>
      <c r="E3204">
        <v>5.7969999313354403</v>
      </c>
      <c r="F3204">
        <v>5.7969999313354403</v>
      </c>
      <c r="G3204">
        <v>255680000</v>
      </c>
      <c r="H3204">
        <f t="shared" ref="H3204:H3267" si="200">YEAR($A3204)</f>
        <v>2010</v>
      </c>
      <c r="I3204">
        <f t="shared" ref="I3204:I3267" si="201">MONTH($A3204)</f>
        <v>2</v>
      </c>
      <c r="J3204" t="str">
        <f t="shared" ref="J3204:J3267" si="202">TEXT($A3204,"mmm")</f>
        <v>Feb</v>
      </c>
      <c r="K3204" t="str">
        <f t="shared" ref="K3204:K3267" si="203">TEXT($A3204,"ddd")</f>
        <v>Thu</v>
      </c>
    </row>
    <row r="3205" spans="1:11" x14ac:dyDescent="0.35">
      <c r="A3205" s="1">
        <v>40214</v>
      </c>
      <c r="B3205">
        <v>5.7940001487731898</v>
      </c>
      <c r="C3205">
        <v>5.8825001716613698</v>
      </c>
      <c r="D3205">
        <v>5.7049999237060502</v>
      </c>
      <c r="E3205">
        <v>5.8695001602172798</v>
      </c>
      <c r="F3205">
        <v>5.8695001602172798</v>
      </c>
      <c r="G3205">
        <v>220496000</v>
      </c>
      <c r="H3205">
        <f t="shared" si="200"/>
        <v>2010</v>
      </c>
      <c r="I3205">
        <f t="shared" si="201"/>
        <v>2</v>
      </c>
      <c r="J3205" t="str">
        <f t="shared" si="202"/>
        <v>Feb</v>
      </c>
      <c r="K3205" t="str">
        <f t="shared" si="203"/>
        <v>Fri</v>
      </c>
    </row>
    <row r="3206" spans="1:11" x14ac:dyDescent="0.35">
      <c r="A3206" s="1">
        <v>40217</v>
      </c>
      <c r="B3206">
        <v>5.9689998626708896</v>
      </c>
      <c r="C3206">
        <v>6.0500001907348597</v>
      </c>
      <c r="D3206">
        <v>5.8280000686645499</v>
      </c>
      <c r="E3206">
        <v>5.8414998054504297</v>
      </c>
      <c r="F3206">
        <v>5.8414998054504297</v>
      </c>
      <c r="G3206">
        <v>197804000</v>
      </c>
      <c r="H3206">
        <f t="shared" si="200"/>
        <v>2010</v>
      </c>
      <c r="I3206">
        <f t="shared" si="201"/>
        <v>2</v>
      </c>
      <c r="J3206" t="str">
        <f t="shared" si="202"/>
        <v>Feb</v>
      </c>
      <c r="K3206" t="str">
        <f t="shared" si="203"/>
        <v>Mon</v>
      </c>
    </row>
    <row r="3207" spans="1:11" x14ac:dyDescent="0.35">
      <c r="A3207" s="1">
        <v>40218</v>
      </c>
      <c r="B3207">
        <v>5.9099998474120996</v>
      </c>
      <c r="C3207">
        <v>5.9545001983642498</v>
      </c>
      <c r="D3207">
        <v>5.8499999046325604</v>
      </c>
      <c r="E3207">
        <v>5.9015002250671298</v>
      </c>
      <c r="F3207">
        <v>5.9015002250671298</v>
      </c>
      <c r="G3207">
        <v>184460000</v>
      </c>
      <c r="H3207">
        <f t="shared" si="200"/>
        <v>2010</v>
      </c>
      <c r="I3207">
        <f t="shared" si="201"/>
        <v>2</v>
      </c>
      <c r="J3207" t="str">
        <f t="shared" si="202"/>
        <v>Feb</v>
      </c>
      <c r="K3207" t="str">
        <f t="shared" si="203"/>
        <v>Tue</v>
      </c>
    </row>
    <row r="3208" spans="1:11" x14ac:dyDescent="0.35">
      <c r="A3208" s="1">
        <v>40219</v>
      </c>
      <c r="B3208">
        <v>5.9000000953674299</v>
      </c>
      <c r="C3208">
        <v>5.9305000305175701</v>
      </c>
      <c r="D3208">
        <v>5.8000001907348597</v>
      </c>
      <c r="E3208">
        <v>5.8680000305175701</v>
      </c>
      <c r="F3208">
        <v>5.8680000305175701</v>
      </c>
      <c r="G3208">
        <v>124664000</v>
      </c>
      <c r="H3208">
        <f t="shared" si="200"/>
        <v>2010</v>
      </c>
      <c r="I3208">
        <f t="shared" si="201"/>
        <v>2</v>
      </c>
      <c r="J3208" t="str">
        <f t="shared" si="202"/>
        <v>Feb</v>
      </c>
      <c r="K3208" t="str">
        <f t="shared" si="203"/>
        <v>Wed</v>
      </c>
    </row>
    <row r="3209" spans="1:11" x14ac:dyDescent="0.35">
      <c r="A3209" s="1">
        <v>40220</v>
      </c>
      <c r="B3209">
        <v>5.8604998588562003</v>
      </c>
      <c r="C3209">
        <v>6.0209999084472603</v>
      </c>
      <c r="D3209">
        <v>5.8249998092651296</v>
      </c>
      <c r="E3209">
        <v>6.0044999122619602</v>
      </c>
      <c r="F3209">
        <v>6.0044999122619602</v>
      </c>
      <c r="G3209">
        <v>166870000</v>
      </c>
      <c r="H3209">
        <f t="shared" si="200"/>
        <v>2010</v>
      </c>
      <c r="I3209">
        <f t="shared" si="201"/>
        <v>2</v>
      </c>
      <c r="J3209" t="str">
        <f t="shared" si="202"/>
        <v>Feb</v>
      </c>
      <c r="K3209" t="str">
        <f t="shared" si="203"/>
        <v>Thu</v>
      </c>
    </row>
    <row r="3210" spans="1:11" x14ac:dyDescent="0.35">
      <c r="A3210" s="1">
        <v>40221</v>
      </c>
      <c r="B3210">
        <v>5.9495000839233398</v>
      </c>
      <c r="C3210">
        <v>5.9970002174377397</v>
      </c>
      <c r="D3210">
        <v>5.875</v>
      </c>
      <c r="E3210">
        <v>5.9829998016357404</v>
      </c>
      <c r="F3210">
        <v>5.9829998016357404</v>
      </c>
      <c r="G3210">
        <v>161470000</v>
      </c>
      <c r="H3210">
        <f t="shared" si="200"/>
        <v>2010</v>
      </c>
      <c r="I3210">
        <f t="shared" si="201"/>
        <v>2</v>
      </c>
      <c r="J3210" t="str">
        <f t="shared" si="202"/>
        <v>Feb</v>
      </c>
      <c r="K3210" t="str">
        <f t="shared" si="203"/>
        <v>Fri</v>
      </c>
    </row>
    <row r="3211" spans="1:11" x14ac:dyDescent="0.35">
      <c r="A3211" s="1">
        <v>40225</v>
      </c>
      <c r="B3211">
        <v>6.0029997825622496</v>
      </c>
      <c r="C3211">
        <v>6.0250000953674299</v>
      </c>
      <c r="D3211">
        <v>5.8590002059936497</v>
      </c>
      <c r="E3211">
        <v>5.8765001296996999</v>
      </c>
      <c r="F3211">
        <v>5.8765001296996999</v>
      </c>
      <c r="G3211">
        <v>178654000</v>
      </c>
      <c r="H3211">
        <f t="shared" si="200"/>
        <v>2010</v>
      </c>
      <c r="I3211">
        <f t="shared" si="201"/>
        <v>2</v>
      </c>
      <c r="J3211" t="str">
        <f t="shared" si="202"/>
        <v>Feb</v>
      </c>
      <c r="K3211" t="str">
        <f t="shared" si="203"/>
        <v>Tue</v>
      </c>
    </row>
    <row r="3212" spans="1:11" x14ac:dyDescent="0.35">
      <c r="A3212" s="1">
        <v>40226</v>
      </c>
      <c r="B3212">
        <v>5.8534998893737704</v>
      </c>
      <c r="C3212">
        <v>5.8565001487731898</v>
      </c>
      <c r="D3212">
        <v>5.7775001525878897</v>
      </c>
      <c r="E3212">
        <v>5.8154997825622496</v>
      </c>
      <c r="F3212">
        <v>5.8154997825622496</v>
      </c>
      <c r="G3212">
        <v>178896000</v>
      </c>
      <c r="H3212">
        <f t="shared" si="200"/>
        <v>2010</v>
      </c>
      <c r="I3212">
        <f t="shared" si="201"/>
        <v>2</v>
      </c>
      <c r="J3212" t="str">
        <f t="shared" si="202"/>
        <v>Feb</v>
      </c>
      <c r="K3212" t="str">
        <f t="shared" si="203"/>
        <v>Wed</v>
      </c>
    </row>
    <row r="3213" spans="1:11" x14ac:dyDescent="0.35">
      <c r="A3213" s="1">
        <v>40227</v>
      </c>
      <c r="B3213">
        <v>5.7919998168945304</v>
      </c>
      <c r="C3213">
        <v>5.9254999160766602</v>
      </c>
      <c r="D3213">
        <v>5.7410001754760698</v>
      </c>
      <c r="E3213">
        <v>5.9039998054504297</v>
      </c>
      <c r="F3213">
        <v>5.9039998054504297</v>
      </c>
      <c r="G3213">
        <v>196002000</v>
      </c>
      <c r="H3213">
        <f t="shared" si="200"/>
        <v>2010</v>
      </c>
      <c r="I3213">
        <f t="shared" si="201"/>
        <v>2</v>
      </c>
      <c r="J3213" t="str">
        <f t="shared" si="202"/>
        <v>Feb</v>
      </c>
      <c r="K3213" t="str">
        <f t="shared" si="203"/>
        <v>Thu</v>
      </c>
    </row>
    <row r="3214" spans="1:11" x14ac:dyDescent="0.35">
      <c r="A3214" s="1">
        <v>40228</v>
      </c>
      <c r="B3214">
        <v>5.8955001831054599</v>
      </c>
      <c r="C3214">
        <v>5.9545001983642498</v>
      </c>
      <c r="D3214">
        <v>5.8499999046325604</v>
      </c>
      <c r="E3214">
        <v>5.8759999275207502</v>
      </c>
      <c r="F3214">
        <v>5.8759999275207502</v>
      </c>
      <c r="G3214">
        <v>142312000</v>
      </c>
      <c r="H3214">
        <f t="shared" si="200"/>
        <v>2010</v>
      </c>
      <c r="I3214">
        <f t="shared" si="201"/>
        <v>2</v>
      </c>
      <c r="J3214" t="str">
        <f t="shared" si="202"/>
        <v>Feb</v>
      </c>
      <c r="K3214" t="str">
        <f t="shared" si="203"/>
        <v>Fri</v>
      </c>
    </row>
    <row r="3215" spans="1:11" x14ac:dyDescent="0.35">
      <c r="A3215" s="1">
        <v>40231</v>
      </c>
      <c r="B3215">
        <v>5.8685002326965297</v>
      </c>
      <c r="C3215">
        <v>5.9485001564025799</v>
      </c>
      <c r="D3215">
        <v>5.8090000152587802</v>
      </c>
      <c r="E3215">
        <v>5.9004998207092196</v>
      </c>
      <c r="F3215">
        <v>5.9004998207092196</v>
      </c>
      <c r="G3215">
        <v>136146000</v>
      </c>
      <c r="H3215">
        <f t="shared" si="200"/>
        <v>2010</v>
      </c>
      <c r="I3215">
        <f t="shared" si="201"/>
        <v>2</v>
      </c>
      <c r="J3215" t="str">
        <f t="shared" si="202"/>
        <v>Feb</v>
      </c>
      <c r="K3215" t="str">
        <f t="shared" si="203"/>
        <v>Mon</v>
      </c>
    </row>
    <row r="3216" spans="1:11" x14ac:dyDescent="0.35">
      <c r="A3216" s="1">
        <v>40232</v>
      </c>
      <c r="B3216">
        <v>5.9004998207092196</v>
      </c>
      <c r="C3216">
        <v>5.9625000953674299</v>
      </c>
      <c r="D3216">
        <v>5.82550001144409</v>
      </c>
      <c r="E3216">
        <v>5.8619999885559002</v>
      </c>
      <c r="F3216">
        <v>5.8619999885559002</v>
      </c>
      <c r="G3216">
        <v>141364000</v>
      </c>
      <c r="H3216">
        <f t="shared" si="200"/>
        <v>2010</v>
      </c>
      <c r="I3216">
        <f t="shared" si="201"/>
        <v>2</v>
      </c>
      <c r="J3216" t="str">
        <f t="shared" si="202"/>
        <v>Feb</v>
      </c>
      <c r="K3216" t="str">
        <f t="shared" si="203"/>
        <v>Tue</v>
      </c>
    </row>
    <row r="3217" spans="1:11" x14ac:dyDescent="0.35">
      <c r="A3217" s="1">
        <v>40233</v>
      </c>
      <c r="B3217">
        <v>5.8979997634887598</v>
      </c>
      <c r="C3217">
        <v>5.9899997711181596</v>
      </c>
      <c r="D3217">
        <v>5.85750007629394</v>
      </c>
      <c r="E3217">
        <v>5.98600006103515</v>
      </c>
      <c r="F3217">
        <v>5.98600006103515</v>
      </c>
      <c r="G3217">
        <v>147798000</v>
      </c>
      <c r="H3217">
        <f t="shared" si="200"/>
        <v>2010</v>
      </c>
      <c r="I3217">
        <f t="shared" si="201"/>
        <v>2</v>
      </c>
      <c r="J3217" t="str">
        <f t="shared" si="202"/>
        <v>Feb</v>
      </c>
      <c r="K3217" t="str">
        <f t="shared" si="203"/>
        <v>Wed</v>
      </c>
    </row>
    <row r="3218" spans="1:11" x14ac:dyDescent="0.35">
      <c r="A3218" s="1">
        <v>40234</v>
      </c>
      <c r="B3218">
        <v>5.9085001945495597</v>
      </c>
      <c r="C3218">
        <v>5.9169998168945304</v>
      </c>
      <c r="D3218">
        <v>5.7925000190734801</v>
      </c>
      <c r="E3218">
        <v>5.9099998474120996</v>
      </c>
      <c r="F3218">
        <v>5.9099998474120996</v>
      </c>
      <c r="G3218">
        <v>190668000</v>
      </c>
      <c r="H3218">
        <f t="shared" si="200"/>
        <v>2010</v>
      </c>
      <c r="I3218">
        <f t="shared" si="201"/>
        <v>2</v>
      </c>
      <c r="J3218" t="str">
        <f t="shared" si="202"/>
        <v>Feb</v>
      </c>
      <c r="K3218" t="str">
        <f t="shared" si="203"/>
        <v>Thu</v>
      </c>
    </row>
    <row r="3219" spans="1:11" x14ac:dyDescent="0.35">
      <c r="A3219" s="1">
        <v>40235</v>
      </c>
      <c r="B3219">
        <v>5.8940000534057599</v>
      </c>
      <c r="C3219">
        <v>5.9714999198913503</v>
      </c>
      <c r="D3219">
        <v>5.8499999046325604</v>
      </c>
      <c r="E3219">
        <v>5.92000007629394</v>
      </c>
      <c r="F3219">
        <v>5.92000007629394</v>
      </c>
      <c r="G3219">
        <v>114432000</v>
      </c>
      <c r="H3219">
        <f t="shared" si="200"/>
        <v>2010</v>
      </c>
      <c r="I3219">
        <f t="shared" si="201"/>
        <v>2</v>
      </c>
      <c r="J3219" t="str">
        <f t="shared" si="202"/>
        <v>Feb</v>
      </c>
      <c r="K3219" t="str">
        <f t="shared" si="203"/>
        <v>Fri</v>
      </c>
    </row>
    <row r="3220" spans="1:11" x14ac:dyDescent="0.35">
      <c r="A3220" s="1">
        <v>40238</v>
      </c>
      <c r="B3220">
        <v>5.9349999427795401</v>
      </c>
      <c r="C3220">
        <v>6.2329998016357404</v>
      </c>
      <c r="D3220">
        <v>5.8765001296996999</v>
      </c>
      <c r="E3220">
        <v>6.2270002365112296</v>
      </c>
      <c r="F3220">
        <v>6.2270002365112296</v>
      </c>
      <c r="G3220">
        <v>265930000</v>
      </c>
      <c r="H3220">
        <f t="shared" si="200"/>
        <v>2010</v>
      </c>
      <c r="I3220">
        <f t="shared" si="201"/>
        <v>3</v>
      </c>
      <c r="J3220" t="str">
        <f t="shared" si="202"/>
        <v>Mar</v>
      </c>
      <c r="K3220" t="str">
        <f t="shared" si="203"/>
        <v>Mon</v>
      </c>
    </row>
    <row r="3221" spans="1:11" x14ac:dyDescent="0.35">
      <c r="A3221" s="1">
        <v>40239</v>
      </c>
      <c r="B3221">
        <v>6.2505002021789497</v>
      </c>
      <c r="C3221">
        <v>6.3674998283386204</v>
      </c>
      <c r="D3221">
        <v>6.2399997711181596</v>
      </c>
      <c r="E3221">
        <v>6.2765002250671298</v>
      </c>
      <c r="F3221">
        <v>6.2765002250671298</v>
      </c>
      <c r="G3221">
        <v>241950000</v>
      </c>
      <c r="H3221">
        <f t="shared" si="200"/>
        <v>2010</v>
      </c>
      <c r="I3221">
        <f t="shared" si="201"/>
        <v>3</v>
      </c>
      <c r="J3221" t="str">
        <f t="shared" si="202"/>
        <v>Mar</v>
      </c>
      <c r="K3221" t="str">
        <f t="shared" si="203"/>
        <v>Tue</v>
      </c>
    </row>
    <row r="3222" spans="1:11" x14ac:dyDescent="0.35">
      <c r="A3222" s="1">
        <v>40240</v>
      </c>
      <c r="B3222">
        <v>6.2699999809265101</v>
      </c>
      <c r="C3222">
        <v>6.3470001220703098</v>
      </c>
      <c r="D3222">
        <v>6.2214999198913503</v>
      </c>
      <c r="E3222">
        <v>6.2944998741149902</v>
      </c>
      <c r="F3222">
        <v>6.2944998741149902</v>
      </c>
      <c r="G3222">
        <v>128808000</v>
      </c>
      <c r="H3222">
        <f t="shared" si="200"/>
        <v>2010</v>
      </c>
      <c r="I3222">
        <f t="shared" si="201"/>
        <v>3</v>
      </c>
      <c r="J3222" t="str">
        <f t="shared" si="202"/>
        <v>Mar</v>
      </c>
      <c r="K3222" t="str">
        <f t="shared" si="203"/>
        <v>Wed</v>
      </c>
    </row>
    <row r="3223" spans="1:11" x14ac:dyDescent="0.35">
      <c r="A3223" s="1">
        <v>40241</v>
      </c>
      <c r="B3223">
        <v>6.2989997863769496</v>
      </c>
      <c r="C3223">
        <v>6.44250011444091</v>
      </c>
      <c r="D3223">
        <v>6.2785000801086399</v>
      </c>
      <c r="E3223">
        <v>6.4264998435974103</v>
      </c>
      <c r="F3223">
        <v>6.4264998435974103</v>
      </c>
      <c r="G3223">
        <v>150194000</v>
      </c>
      <c r="H3223">
        <f t="shared" si="200"/>
        <v>2010</v>
      </c>
      <c r="I3223">
        <f t="shared" si="201"/>
        <v>3</v>
      </c>
      <c r="J3223" t="str">
        <f t="shared" si="202"/>
        <v>Mar</v>
      </c>
      <c r="K3223" t="str">
        <f t="shared" si="203"/>
        <v>Thu</v>
      </c>
    </row>
    <row r="3224" spans="1:11" x14ac:dyDescent="0.35">
      <c r="A3224" s="1">
        <v>40242</v>
      </c>
      <c r="B3224">
        <v>6.4565000534057599</v>
      </c>
      <c r="C3224">
        <v>6.4724998474120996</v>
      </c>
      <c r="D3224">
        <v>6.3534998893737704</v>
      </c>
      <c r="E3224">
        <v>6.4454998970031703</v>
      </c>
      <c r="F3224">
        <v>6.4454998970031703</v>
      </c>
      <c r="G3224">
        <v>135386000</v>
      </c>
      <c r="H3224">
        <f t="shared" si="200"/>
        <v>2010</v>
      </c>
      <c r="I3224">
        <f t="shared" si="201"/>
        <v>3</v>
      </c>
      <c r="J3224" t="str">
        <f t="shared" si="202"/>
        <v>Mar</v>
      </c>
      <c r="K3224" t="str">
        <f t="shared" si="203"/>
        <v>Fri</v>
      </c>
    </row>
    <row r="3225" spans="1:11" x14ac:dyDescent="0.35">
      <c r="A3225" s="1">
        <v>40245</v>
      </c>
      <c r="B3225">
        <v>6.4149999618530202</v>
      </c>
      <c r="C3225">
        <v>6.5425000190734801</v>
      </c>
      <c r="D3225">
        <v>6.3854999542236301</v>
      </c>
      <c r="E3225">
        <v>6.5054998397827104</v>
      </c>
      <c r="F3225">
        <v>6.5054998397827104</v>
      </c>
      <c r="G3225">
        <v>112118000</v>
      </c>
      <c r="H3225">
        <f t="shared" si="200"/>
        <v>2010</v>
      </c>
      <c r="I3225">
        <f t="shared" si="201"/>
        <v>3</v>
      </c>
      <c r="J3225" t="str">
        <f t="shared" si="202"/>
        <v>Mar</v>
      </c>
      <c r="K3225" t="str">
        <f t="shared" si="203"/>
        <v>Mon</v>
      </c>
    </row>
    <row r="3226" spans="1:11" x14ac:dyDescent="0.35">
      <c r="A3226" s="1">
        <v>40246</v>
      </c>
      <c r="B3226">
        <v>6.4794998168945304</v>
      </c>
      <c r="C3226">
        <v>6.5405001640319798</v>
      </c>
      <c r="D3226">
        <v>6.3984999656677202</v>
      </c>
      <c r="E3226">
        <v>6.44099998474121</v>
      </c>
      <c r="F3226">
        <v>6.44099998474121</v>
      </c>
      <c r="G3226">
        <v>121416000</v>
      </c>
      <c r="H3226">
        <f t="shared" si="200"/>
        <v>2010</v>
      </c>
      <c r="I3226">
        <f t="shared" si="201"/>
        <v>3</v>
      </c>
      <c r="J3226" t="str">
        <f t="shared" si="202"/>
        <v>Mar</v>
      </c>
      <c r="K3226" t="str">
        <f t="shared" si="203"/>
        <v>Tue</v>
      </c>
    </row>
    <row r="3227" spans="1:11" x14ac:dyDescent="0.35">
      <c r="A3227" s="1">
        <v>40247</v>
      </c>
      <c r="B3227">
        <v>6.4555001258850098</v>
      </c>
      <c r="C3227">
        <v>6.5584998130798304</v>
      </c>
      <c r="D3227">
        <v>6.4239997863769496</v>
      </c>
      <c r="E3227">
        <v>6.5254998207092196</v>
      </c>
      <c r="F3227">
        <v>6.5254998207092196</v>
      </c>
      <c r="G3227">
        <v>112514000</v>
      </c>
      <c r="H3227">
        <f t="shared" si="200"/>
        <v>2010</v>
      </c>
      <c r="I3227">
        <f t="shared" si="201"/>
        <v>3</v>
      </c>
      <c r="J3227" t="str">
        <f t="shared" si="202"/>
        <v>Mar</v>
      </c>
      <c r="K3227" t="str">
        <f t="shared" si="203"/>
        <v>Wed</v>
      </c>
    </row>
    <row r="3228" spans="1:11" x14ac:dyDescent="0.35">
      <c r="A3228" s="1">
        <v>40248</v>
      </c>
      <c r="B3228">
        <v>6.52250003814697</v>
      </c>
      <c r="C3228">
        <v>6.6810002326965297</v>
      </c>
      <c r="D3228">
        <v>6.5180001258850098</v>
      </c>
      <c r="E3228">
        <v>6.6789999008178702</v>
      </c>
      <c r="F3228">
        <v>6.6789999008178702</v>
      </c>
      <c r="G3228">
        <v>144816000</v>
      </c>
      <c r="H3228">
        <f t="shared" si="200"/>
        <v>2010</v>
      </c>
      <c r="I3228">
        <f t="shared" si="201"/>
        <v>3</v>
      </c>
      <c r="J3228" t="str">
        <f t="shared" si="202"/>
        <v>Mar</v>
      </c>
      <c r="K3228" t="str">
        <f t="shared" si="203"/>
        <v>Thu</v>
      </c>
    </row>
    <row r="3229" spans="1:11" x14ac:dyDescent="0.35">
      <c r="A3229" s="1">
        <v>40249</v>
      </c>
      <c r="B3229">
        <v>6.71000003814697</v>
      </c>
      <c r="C3229">
        <v>6.71000003814697</v>
      </c>
      <c r="D3229">
        <v>6.5590000152587802</v>
      </c>
      <c r="E3229">
        <v>6.5910000801086399</v>
      </c>
      <c r="F3229">
        <v>6.5910000801086399</v>
      </c>
      <c r="G3229">
        <v>123016000</v>
      </c>
      <c r="H3229">
        <f t="shared" si="200"/>
        <v>2010</v>
      </c>
      <c r="I3229">
        <f t="shared" si="201"/>
        <v>3</v>
      </c>
      <c r="J3229" t="str">
        <f t="shared" si="202"/>
        <v>Mar</v>
      </c>
      <c r="K3229" t="str">
        <f t="shared" si="203"/>
        <v>Fri</v>
      </c>
    </row>
    <row r="3230" spans="1:11" x14ac:dyDescent="0.35">
      <c r="A3230" s="1">
        <v>40252</v>
      </c>
      <c r="B3230">
        <v>6.58500003814697</v>
      </c>
      <c r="C3230">
        <v>6.5999999046325604</v>
      </c>
      <c r="D3230">
        <v>6.4314999580383301</v>
      </c>
      <c r="E3230">
        <v>6.5564999580383301</v>
      </c>
      <c r="F3230">
        <v>6.5564999580383301</v>
      </c>
      <c r="G3230">
        <v>126584000</v>
      </c>
      <c r="H3230">
        <f t="shared" si="200"/>
        <v>2010</v>
      </c>
      <c r="I3230">
        <f t="shared" si="201"/>
        <v>3</v>
      </c>
      <c r="J3230" t="str">
        <f t="shared" si="202"/>
        <v>Mar</v>
      </c>
      <c r="K3230" t="str">
        <f t="shared" si="203"/>
        <v>Mon</v>
      </c>
    </row>
    <row r="3231" spans="1:11" x14ac:dyDescent="0.35">
      <c r="A3231" s="1">
        <v>40253</v>
      </c>
      <c r="B3231">
        <v>6.5619997978210396</v>
      </c>
      <c r="C3231">
        <v>6.6145000457763601</v>
      </c>
      <c r="D3231">
        <v>6.5250000953674299</v>
      </c>
      <c r="E3231">
        <v>6.5894999504089302</v>
      </c>
      <c r="F3231">
        <v>6.5894999504089302</v>
      </c>
      <c r="G3231">
        <v>82650000</v>
      </c>
      <c r="H3231">
        <f t="shared" si="200"/>
        <v>2010</v>
      </c>
      <c r="I3231">
        <f t="shared" si="201"/>
        <v>3</v>
      </c>
      <c r="J3231" t="str">
        <f t="shared" si="202"/>
        <v>Mar</v>
      </c>
      <c r="K3231" t="str">
        <f t="shared" si="203"/>
        <v>Tue</v>
      </c>
    </row>
    <row r="3232" spans="1:11" x14ac:dyDescent="0.35">
      <c r="A3232" s="1">
        <v>40254</v>
      </c>
      <c r="B3232">
        <v>6.62050008773803</v>
      </c>
      <c r="C3232">
        <v>6.63450002670288</v>
      </c>
      <c r="D3232">
        <v>6.5609998703002903</v>
      </c>
      <c r="E3232">
        <v>6.5669999122619602</v>
      </c>
      <c r="F3232">
        <v>6.5669999122619602</v>
      </c>
      <c r="G3232">
        <v>87176000</v>
      </c>
      <c r="H3232">
        <f t="shared" si="200"/>
        <v>2010</v>
      </c>
      <c r="I3232">
        <f t="shared" si="201"/>
        <v>3</v>
      </c>
      <c r="J3232" t="str">
        <f t="shared" si="202"/>
        <v>Mar</v>
      </c>
      <c r="K3232" t="str">
        <f t="shared" si="203"/>
        <v>Wed</v>
      </c>
    </row>
    <row r="3233" spans="1:11" x14ac:dyDescent="0.35">
      <c r="A3233" s="1">
        <v>40255</v>
      </c>
      <c r="B3233">
        <v>6.5510001182556099</v>
      </c>
      <c r="C3233">
        <v>6.6424999237060502</v>
      </c>
      <c r="D3233">
        <v>6.5219998359680096</v>
      </c>
      <c r="E3233">
        <v>6.63800001144409</v>
      </c>
      <c r="F3233">
        <v>6.63800001144409</v>
      </c>
      <c r="G3233">
        <v>100426000</v>
      </c>
      <c r="H3233">
        <f t="shared" si="200"/>
        <v>2010</v>
      </c>
      <c r="I3233">
        <f t="shared" si="201"/>
        <v>3</v>
      </c>
      <c r="J3233" t="str">
        <f t="shared" si="202"/>
        <v>Mar</v>
      </c>
      <c r="K3233" t="str">
        <f t="shared" si="203"/>
        <v>Thu</v>
      </c>
    </row>
    <row r="3234" spans="1:11" x14ac:dyDescent="0.35">
      <c r="A3234" s="1">
        <v>40256</v>
      </c>
      <c r="B3234">
        <v>6.6855001449584899</v>
      </c>
      <c r="C3234">
        <v>6.6855001449584899</v>
      </c>
      <c r="D3234">
        <v>6.4829998016357404</v>
      </c>
      <c r="E3234">
        <v>6.5174999237060502</v>
      </c>
      <c r="F3234">
        <v>6.5174999237060502</v>
      </c>
      <c r="G3234">
        <v>178100000</v>
      </c>
      <c r="H3234">
        <f t="shared" si="200"/>
        <v>2010</v>
      </c>
      <c r="I3234">
        <f t="shared" si="201"/>
        <v>3</v>
      </c>
      <c r="J3234" t="str">
        <f t="shared" si="202"/>
        <v>Mar</v>
      </c>
      <c r="K3234" t="str">
        <f t="shared" si="203"/>
        <v>Fri</v>
      </c>
    </row>
    <row r="3235" spans="1:11" x14ac:dyDescent="0.35">
      <c r="A3235" s="1">
        <v>40259</v>
      </c>
      <c r="B3235">
        <v>6.5100002288818297</v>
      </c>
      <c r="C3235">
        <v>6.5479998588562003</v>
      </c>
      <c r="D3235">
        <v>6.4320001602172798</v>
      </c>
      <c r="E3235">
        <v>6.5234999656677202</v>
      </c>
      <c r="F3235">
        <v>6.5234999656677202</v>
      </c>
      <c r="G3235">
        <v>107668000</v>
      </c>
      <c r="H3235">
        <f t="shared" si="200"/>
        <v>2010</v>
      </c>
      <c r="I3235">
        <f t="shared" si="201"/>
        <v>3</v>
      </c>
      <c r="J3235" t="str">
        <f t="shared" si="202"/>
        <v>Mar</v>
      </c>
      <c r="K3235" t="str">
        <f t="shared" si="203"/>
        <v>Mon</v>
      </c>
    </row>
    <row r="3236" spans="1:11" x14ac:dyDescent="0.35">
      <c r="A3236" s="1">
        <v>40260</v>
      </c>
      <c r="B3236">
        <v>6.5444998741149902</v>
      </c>
      <c r="C3236">
        <v>6.5469999313354403</v>
      </c>
      <c r="D3236">
        <v>6.4035000801086399</v>
      </c>
      <c r="E3236">
        <v>6.4629998207092196</v>
      </c>
      <c r="F3236">
        <v>6.4629998207092196</v>
      </c>
      <c r="G3236">
        <v>84262000</v>
      </c>
      <c r="H3236">
        <f t="shared" si="200"/>
        <v>2010</v>
      </c>
      <c r="I3236">
        <f t="shared" si="201"/>
        <v>3</v>
      </c>
      <c r="J3236" t="str">
        <f t="shared" si="202"/>
        <v>Mar</v>
      </c>
      <c r="K3236" t="str">
        <f t="shared" si="203"/>
        <v>Tue</v>
      </c>
    </row>
    <row r="3237" spans="1:11" x14ac:dyDescent="0.35">
      <c r="A3237" s="1">
        <v>40261</v>
      </c>
      <c r="B3237">
        <v>6.4320001602172798</v>
      </c>
      <c r="C3237">
        <v>6.4699997901916504</v>
      </c>
      <c r="D3237">
        <v>6.3600001335143999</v>
      </c>
      <c r="E3237">
        <v>6.4019999504089302</v>
      </c>
      <c r="F3237">
        <v>6.4019999504089302</v>
      </c>
      <c r="G3237">
        <v>93928000</v>
      </c>
      <c r="H3237">
        <f t="shared" si="200"/>
        <v>2010</v>
      </c>
      <c r="I3237">
        <f t="shared" si="201"/>
        <v>3</v>
      </c>
      <c r="J3237" t="str">
        <f t="shared" si="202"/>
        <v>Mar</v>
      </c>
      <c r="K3237" t="str">
        <f t="shared" si="203"/>
        <v>Wed</v>
      </c>
    </row>
    <row r="3238" spans="1:11" x14ac:dyDescent="0.35">
      <c r="A3238" s="1">
        <v>40262</v>
      </c>
      <c r="B3238">
        <v>6.4569997787475497</v>
      </c>
      <c r="C3238">
        <v>6.8454999923706001</v>
      </c>
      <c r="D3238">
        <v>6.4019999504089302</v>
      </c>
      <c r="E3238">
        <v>6.7364997863769496</v>
      </c>
      <c r="F3238">
        <v>6.7364997863769496</v>
      </c>
      <c r="G3238">
        <v>324192000</v>
      </c>
      <c r="H3238">
        <f t="shared" si="200"/>
        <v>2010</v>
      </c>
      <c r="I3238">
        <f t="shared" si="201"/>
        <v>3</v>
      </c>
      <c r="J3238" t="str">
        <f t="shared" si="202"/>
        <v>Mar</v>
      </c>
      <c r="K3238" t="str">
        <f t="shared" si="203"/>
        <v>Thu</v>
      </c>
    </row>
    <row r="3239" spans="1:11" x14ac:dyDescent="0.35">
      <c r="A3239" s="1">
        <v>40263</v>
      </c>
      <c r="B3239">
        <v>6.7449998855590803</v>
      </c>
      <c r="C3239">
        <v>6.8495001792907697</v>
      </c>
      <c r="D3239">
        <v>6.6880002021789497</v>
      </c>
      <c r="E3239">
        <v>6.7529997825622496</v>
      </c>
      <c r="F3239">
        <v>6.7529997825622496</v>
      </c>
      <c r="G3239">
        <v>131314000</v>
      </c>
      <c r="H3239">
        <f t="shared" si="200"/>
        <v>2010</v>
      </c>
      <c r="I3239">
        <f t="shared" si="201"/>
        <v>3</v>
      </c>
      <c r="J3239" t="str">
        <f t="shared" si="202"/>
        <v>Mar</v>
      </c>
      <c r="K3239" t="str">
        <f t="shared" si="203"/>
        <v>Fri</v>
      </c>
    </row>
    <row r="3240" spans="1:11" x14ac:dyDescent="0.35">
      <c r="A3240" s="1">
        <v>40266</v>
      </c>
      <c r="B3240">
        <v>6.7684998512268004</v>
      </c>
      <c r="C3240">
        <v>6.8315000534057599</v>
      </c>
      <c r="D3240">
        <v>6.7164998054504297</v>
      </c>
      <c r="E3240">
        <v>6.7560000419616699</v>
      </c>
      <c r="F3240">
        <v>6.7560000419616699</v>
      </c>
      <c r="G3240">
        <v>92538000</v>
      </c>
      <c r="H3240">
        <f t="shared" si="200"/>
        <v>2010</v>
      </c>
      <c r="I3240">
        <f t="shared" si="201"/>
        <v>3</v>
      </c>
      <c r="J3240" t="str">
        <f t="shared" si="202"/>
        <v>Mar</v>
      </c>
      <c r="K3240" t="str">
        <f t="shared" si="203"/>
        <v>Mon</v>
      </c>
    </row>
    <row r="3241" spans="1:11" x14ac:dyDescent="0.35">
      <c r="A3241" s="1">
        <v>40267</v>
      </c>
      <c r="B3241">
        <v>6.7870001792907697</v>
      </c>
      <c r="C3241">
        <v>6.9095001220703098</v>
      </c>
      <c r="D3241">
        <v>6.7680001258850098</v>
      </c>
      <c r="E3241">
        <v>6.8289999961853001</v>
      </c>
      <c r="F3241">
        <v>6.8289999961853001</v>
      </c>
      <c r="G3241">
        <v>123854000</v>
      </c>
      <c r="H3241">
        <f t="shared" si="200"/>
        <v>2010</v>
      </c>
      <c r="I3241">
        <f t="shared" si="201"/>
        <v>3</v>
      </c>
      <c r="J3241" t="str">
        <f t="shared" si="202"/>
        <v>Mar</v>
      </c>
      <c r="K3241" t="str">
        <f t="shared" si="203"/>
        <v>Tue</v>
      </c>
    </row>
    <row r="3242" spans="1:11" x14ac:dyDescent="0.35">
      <c r="A3242" s="1">
        <v>40268</v>
      </c>
      <c r="B3242">
        <v>6.8000001907348597</v>
      </c>
      <c r="C3242">
        <v>6.8400001525878897</v>
      </c>
      <c r="D3242">
        <v>6.7239999771118102</v>
      </c>
      <c r="E3242">
        <v>6.7884998321533203</v>
      </c>
      <c r="F3242">
        <v>6.7884998321533203</v>
      </c>
      <c r="G3242">
        <v>92012000</v>
      </c>
      <c r="H3242">
        <f t="shared" si="200"/>
        <v>2010</v>
      </c>
      <c r="I3242">
        <f t="shared" si="201"/>
        <v>3</v>
      </c>
      <c r="J3242" t="str">
        <f t="shared" si="202"/>
        <v>Mar</v>
      </c>
      <c r="K3242" t="str">
        <f t="shared" si="203"/>
        <v>Wed</v>
      </c>
    </row>
    <row r="3243" spans="1:11" x14ac:dyDescent="0.35">
      <c r="A3243" s="1">
        <v>40269</v>
      </c>
      <c r="B3243">
        <v>6.7899999618530202</v>
      </c>
      <c r="C3243">
        <v>6.82550001144409</v>
      </c>
      <c r="D3243">
        <v>6.5590000152587802</v>
      </c>
      <c r="E3243">
        <v>6.5904998779296804</v>
      </c>
      <c r="F3243">
        <v>6.5904998779296804</v>
      </c>
      <c r="G3243">
        <v>175716000</v>
      </c>
      <c r="H3243">
        <f t="shared" si="200"/>
        <v>2010</v>
      </c>
      <c r="I3243">
        <f t="shared" si="201"/>
        <v>4</v>
      </c>
      <c r="J3243" t="str">
        <f t="shared" si="202"/>
        <v>Apr</v>
      </c>
      <c r="K3243" t="str">
        <f t="shared" si="203"/>
        <v>Thu</v>
      </c>
    </row>
    <row r="3244" spans="1:11" x14ac:dyDescent="0.35">
      <c r="A3244" s="1">
        <v>40273</v>
      </c>
      <c r="B3244">
        <v>6.6424999237060502</v>
      </c>
      <c r="C3244">
        <v>6.6869997978210396</v>
      </c>
      <c r="D3244">
        <v>6.5390000343322701</v>
      </c>
      <c r="E3244">
        <v>6.5745000839233398</v>
      </c>
      <c r="F3244">
        <v>6.5745000839233398</v>
      </c>
      <c r="G3244">
        <v>116330000</v>
      </c>
      <c r="H3244">
        <f t="shared" si="200"/>
        <v>2010</v>
      </c>
      <c r="I3244">
        <f t="shared" si="201"/>
        <v>4</v>
      </c>
      <c r="J3244" t="str">
        <f t="shared" si="202"/>
        <v>Apr</v>
      </c>
      <c r="K3244" t="str">
        <f t="shared" si="203"/>
        <v>Mon</v>
      </c>
    </row>
    <row r="3245" spans="1:11" x14ac:dyDescent="0.35">
      <c r="A3245" s="1">
        <v>40274</v>
      </c>
      <c r="B3245">
        <v>6.5615000724792401</v>
      </c>
      <c r="C3245">
        <v>6.8000001907348597</v>
      </c>
      <c r="D3245">
        <v>6.5590000152587802</v>
      </c>
      <c r="E3245">
        <v>6.7779998779296804</v>
      </c>
      <c r="F3245">
        <v>6.7779998779296804</v>
      </c>
      <c r="G3245">
        <v>159006000</v>
      </c>
      <c r="H3245">
        <f t="shared" si="200"/>
        <v>2010</v>
      </c>
      <c r="I3245">
        <f t="shared" si="201"/>
        <v>4</v>
      </c>
      <c r="J3245" t="str">
        <f t="shared" si="202"/>
        <v>Apr</v>
      </c>
      <c r="K3245" t="str">
        <f t="shared" si="203"/>
        <v>Tue</v>
      </c>
    </row>
    <row r="3246" spans="1:11" x14ac:dyDescent="0.35">
      <c r="A3246" s="1">
        <v>40275</v>
      </c>
      <c r="B3246">
        <v>6.7979998588562003</v>
      </c>
      <c r="C3246">
        <v>6.8039999008178702</v>
      </c>
      <c r="D3246">
        <v>6.6929998397827104</v>
      </c>
      <c r="E3246">
        <v>6.7435002326965297</v>
      </c>
      <c r="F3246">
        <v>6.7435002326965297</v>
      </c>
      <c r="G3246">
        <v>118908000</v>
      </c>
      <c r="H3246">
        <f t="shared" si="200"/>
        <v>2010</v>
      </c>
      <c r="I3246">
        <f t="shared" si="201"/>
        <v>4</v>
      </c>
      <c r="J3246" t="str">
        <f t="shared" si="202"/>
        <v>Apr</v>
      </c>
      <c r="K3246" t="str">
        <f t="shared" si="203"/>
        <v>Wed</v>
      </c>
    </row>
    <row r="3247" spans="1:11" x14ac:dyDescent="0.35">
      <c r="A3247" s="1">
        <v>40276</v>
      </c>
      <c r="B3247">
        <v>6.7354998588562003</v>
      </c>
      <c r="C3247">
        <v>7.0625</v>
      </c>
      <c r="D3247">
        <v>6.7354998588562003</v>
      </c>
      <c r="E3247">
        <v>7.0479998588562003</v>
      </c>
      <c r="F3247">
        <v>7.0479998588562003</v>
      </c>
      <c r="G3247">
        <v>253782000</v>
      </c>
      <c r="H3247">
        <f t="shared" si="200"/>
        <v>2010</v>
      </c>
      <c r="I3247">
        <f t="shared" si="201"/>
        <v>4</v>
      </c>
      <c r="J3247" t="str">
        <f t="shared" si="202"/>
        <v>Apr</v>
      </c>
      <c r="K3247" t="str">
        <f t="shared" si="203"/>
        <v>Thu</v>
      </c>
    </row>
    <row r="3248" spans="1:11" x14ac:dyDescent="0.35">
      <c r="A3248" s="1">
        <v>40277</v>
      </c>
      <c r="B3248">
        <v>7.0359997749328604</v>
      </c>
      <c r="C3248">
        <v>7.0665001869201598</v>
      </c>
      <c r="D3248">
        <v>6.9534997940063397</v>
      </c>
      <c r="E3248">
        <v>7.0029997825622496</v>
      </c>
      <c r="F3248">
        <v>7.0029997825622496</v>
      </c>
      <c r="G3248">
        <v>120222000</v>
      </c>
      <c r="H3248">
        <f t="shared" si="200"/>
        <v>2010</v>
      </c>
      <c r="I3248">
        <f t="shared" si="201"/>
        <v>4</v>
      </c>
      <c r="J3248" t="str">
        <f t="shared" si="202"/>
        <v>Apr</v>
      </c>
      <c r="K3248" t="str">
        <f t="shared" si="203"/>
        <v>Fri</v>
      </c>
    </row>
    <row r="3249" spans="1:11" x14ac:dyDescent="0.35">
      <c r="A3249" s="1">
        <v>40280</v>
      </c>
      <c r="B3249">
        <v>7</v>
      </c>
      <c r="C3249">
        <v>7.1455001831054599</v>
      </c>
      <c r="D3249">
        <v>6.9840002059936497</v>
      </c>
      <c r="E3249">
        <v>7.0599999427795401</v>
      </c>
      <c r="F3249">
        <v>7.0599999427795401</v>
      </c>
      <c r="G3249">
        <v>108906000</v>
      </c>
      <c r="H3249">
        <f t="shared" si="200"/>
        <v>2010</v>
      </c>
      <c r="I3249">
        <f t="shared" si="201"/>
        <v>4</v>
      </c>
      <c r="J3249" t="str">
        <f t="shared" si="202"/>
        <v>Apr</v>
      </c>
      <c r="K3249" t="str">
        <f t="shared" si="203"/>
        <v>Mon</v>
      </c>
    </row>
    <row r="3250" spans="1:11" x14ac:dyDescent="0.35">
      <c r="A3250" s="1">
        <v>40281</v>
      </c>
      <c r="B3250">
        <v>7.0615000724792401</v>
      </c>
      <c r="C3250">
        <v>7.0989999771118102</v>
      </c>
      <c r="D3250">
        <v>6.9559998512268004</v>
      </c>
      <c r="E3250">
        <v>7.0079998970031703</v>
      </c>
      <c r="F3250">
        <v>7.0079998970031703</v>
      </c>
      <c r="G3250">
        <v>95710000</v>
      </c>
      <c r="H3250">
        <f t="shared" si="200"/>
        <v>2010</v>
      </c>
      <c r="I3250">
        <f t="shared" si="201"/>
        <v>4</v>
      </c>
      <c r="J3250" t="str">
        <f t="shared" si="202"/>
        <v>Apr</v>
      </c>
      <c r="K3250" t="str">
        <f t="shared" si="203"/>
        <v>Tue</v>
      </c>
    </row>
    <row r="3251" spans="1:11" x14ac:dyDescent="0.35">
      <c r="A3251" s="1">
        <v>40282</v>
      </c>
      <c r="B3251">
        <v>7.0170001983642498</v>
      </c>
      <c r="C3251">
        <v>7.2249999046325604</v>
      </c>
      <c r="D3251">
        <v>6.96000003814697</v>
      </c>
      <c r="E3251">
        <v>7.2140002250671298</v>
      </c>
      <c r="F3251">
        <v>7.2140002250671298</v>
      </c>
      <c r="G3251">
        <v>158006000</v>
      </c>
      <c r="H3251">
        <f t="shared" si="200"/>
        <v>2010</v>
      </c>
      <c r="I3251">
        <f t="shared" si="201"/>
        <v>4</v>
      </c>
      <c r="J3251" t="str">
        <f t="shared" si="202"/>
        <v>Apr</v>
      </c>
      <c r="K3251" t="str">
        <f t="shared" si="203"/>
        <v>Wed</v>
      </c>
    </row>
    <row r="3252" spans="1:11" x14ac:dyDescent="0.35">
      <c r="A3252" s="1">
        <v>40283</v>
      </c>
      <c r="B3252">
        <v>7.2274999618530202</v>
      </c>
      <c r="C3252">
        <v>7.3544998168945304</v>
      </c>
      <c r="D3252">
        <v>7.1999998092651296</v>
      </c>
      <c r="E3252">
        <v>7.2909998893737704</v>
      </c>
      <c r="F3252">
        <v>7.2909998893737704</v>
      </c>
      <c r="G3252">
        <v>156592000</v>
      </c>
      <c r="H3252">
        <f t="shared" si="200"/>
        <v>2010</v>
      </c>
      <c r="I3252">
        <f t="shared" si="201"/>
        <v>4</v>
      </c>
      <c r="J3252" t="str">
        <f t="shared" si="202"/>
        <v>Apr</v>
      </c>
      <c r="K3252" t="str">
        <f t="shared" si="203"/>
        <v>Thu</v>
      </c>
    </row>
    <row r="3253" spans="1:11" x14ac:dyDescent="0.35">
      <c r="A3253" s="1">
        <v>40284</v>
      </c>
      <c r="B3253">
        <v>7.2439999580383301</v>
      </c>
      <c r="C3253">
        <v>7.3585000038146902</v>
      </c>
      <c r="D3253">
        <v>7.0725002288818297</v>
      </c>
      <c r="E3253">
        <v>7.1085000038146902</v>
      </c>
      <c r="F3253">
        <v>7.1085000038146902</v>
      </c>
      <c r="G3253">
        <v>167936000</v>
      </c>
      <c r="H3253">
        <f t="shared" si="200"/>
        <v>2010</v>
      </c>
      <c r="I3253">
        <f t="shared" si="201"/>
        <v>4</v>
      </c>
      <c r="J3253" t="str">
        <f t="shared" si="202"/>
        <v>Apr</v>
      </c>
      <c r="K3253" t="str">
        <f t="shared" si="203"/>
        <v>Fri</v>
      </c>
    </row>
    <row r="3254" spans="1:11" x14ac:dyDescent="0.35">
      <c r="A3254" s="1">
        <v>40287</v>
      </c>
      <c r="B3254">
        <v>7.1174998283386204</v>
      </c>
      <c r="C3254">
        <v>7.1834998130798304</v>
      </c>
      <c r="D3254">
        <v>6.9565000534057599</v>
      </c>
      <c r="E3254">
        <v>7.1215000152587802</v>
      </c>
      <c r="F3254">
        <v>7.1215000152587802</v>
      </c>
      <c r="G3254">
        <v>120440000</v>
      </c>
      <c r="H3254">
        <f t="shared" si="200"/>
        <v>2010</v>
      </c>
      <c r="I3254">
        <f t="shared" si="201"/>
        <v>4</v>
      </c>
      <c r="J3254" t="str">
        <f t="shared" si="202"/>
        <v>Apr</v>
      </c>
      <c r="K3254" t="str">
        <f t="shared" si="203"/>
        <v>Mon</v>
      </c>
    </row>
    <row r="3255" spans="1:11" x14ac:dyDescent="0.35">
      <c r="A3255" s="1">
        <v>40288</v>
      </c>
      <c r="B3255">
        <v>7.1915001869201598</v>
      </c>
      <c r="C3255">
        <v>7.2319998741149902</v>
      </c>
      <c r="D3255">
        <v>7.1050000190734801</v>
      </c>
      <c r="E3255">
        <v>7.21000003814697</v>
      </c>
      <c r="F3255">
        <v>7.21000003814697</v>
      </c>
      <c r="G3255">
        <v>86234000</v>
      </c>
      <c r="H3255">
        <f t="shared" si="200"/>
        <v>2010</v>
      </c>
      <c r="I3255">
        <f t="shared" si="201"/>
        <v>4</v>
      </c>
      <c r="J3255" t="str">
        <f t="shared" si="202"/>
        <v>Apr</v>
      </c>
      <c r="K3255" t="str">
        <f t="shared" si="203"/>
        <v>Tue</v>
      </c>
    </row>
    <row r="3256" spans="1:11" x14ac:dyDescent="0.35">
      <c r="A3256" s="1">
        <v>40289</v>
      </c>
      <c r="B3256">
        <v>7.25850009918212</v>
      </c>
      <c r="C3256">
        <v>7.4499998092651296</v>
      </c>
      <c r="D3256">
        <v>7.1760001182556099</v>
      </c>
      <c r="E3256">
        <v>7.3214998245239196</v>
      </c>
      <c r="F3256">
        <v>7.3214998245239196</v>
      </c>
      <c r="G3256">
        <v>147488000</v>
      </c>
      <c r="H3256">
        <f t="shared" si="200"/>
        <v>2010</v>
      </c>
      <c r="I3256">
        <f t="shared" si="201"/>
        <v>4</v>
      </c>
      <c r="J3256" t="str">
        <f t="shared" si="202"/>
        <v>Apr</v>
      </c>
      <c r="K3256" t="str">
        <f t="shared" si="203"/>
        <v>Wed</v>
      </c>
    </row>
    <row r="3257" spans="1:11" x14ac:dyDescent="0.35">
      <c r="A3257" s="1">
        <v>40290</v>
      </c>
      <c r="B3257">
        <v>7.3505001068115199</v>
      </c>
      <c r="C3257">
        <v>7.55450010299682</v>
      </c>
      <c r="D3257">
        <v>7.2940001487731898</v>
      </c>
      <c r="E3257">
        <v>7.5044999122619602</v>
      </c>
      <c r="F3257">
        <v>7.5044999122619602</v>
      </c>
      <c r="G3257">
        <v>303316000</v>
      </c>
      <c r="H3257">
        <f t="shared" si="200"/>
        <v>2010</v>
      </c>
      <c r="I3257">
        <f t="shared" si="201"/>
        <v>4</v>
      </c>
      <c r="J3257" t="str">
        <f t="shared" si="202"/>
        <v>Apr</v>
      </c>
      <c r="K3257" t="str">
        <f t="shared" si="203"/>
        <v>Thu</v>
      </c>
    </row>
    <row r="3258" spans="1:11" x14ac:dyDescent="0.35">
      <c r="A3258" s="1">
        <v>40291</v>
      </c>
      <c r="B3258">
        <v>7.2690000534057599</v>
      </c>
      <c r="C3258">
        <v>7.4545001983642498</v>
      </c>
      <c r="D3258">
        <v>7.1209998130798304</v>
      </c>
      <c r="E3258">
        <v>7.1814999580383301</v>
      </c>
      <c r="F3258">
        <v>7.1814999580383301</v>
      </c>
      <c r="G3258">
        <v>379504000</v>
      </c>
      <c r="H3258">
        <f t="shared" si="200"/>
        <v>2010</v>
      </c>
      <c r="I3258">
        <f t="shared" si="201"/>
        <v>4</v>
      </c>
      <c r="J3258" t="str">
        <f t="shared" si="202"/>
        <v>Apr</v>
      </c>
      <c r="K3258" t="str">
        <f t="shared" si="203"/>
        <v>Fri</v>
      </c>
    </row>
    <row r="3259" spans="1:11" x14ac:dyDescent="0.35">
      <c r="A3259" s="1">
        <v>40294</v>
      </c>
      <c r="B3259">
        <v>7.1599998474120996</v>
      </c>
      <c r="C3259">
        <v>7.3864998817443803</v>
      </c>
      <c r="D3259">
        <v>7.1449999809265101</v>
      </c>
      <c r="E3259">
        <v>7.3555002212524396</v>
      </c>
      <c r="F3259">
        <v>7.3555002212524396</v>
      </c>
      <c r="G3259">
        <v>186366000</v>
      </c>
      <c r="H3259">
        <f t="shared" si="200"/>
        <v>2010</v>
      </c>
      <c r="I3259">
        <f t="shared" si="201"/>
        <v>4</v>
      </c>
      <c r="J3259" t="str">
        <f t="shared" si="202"/>
        <v>Apr</v>
      </c>
      <c r="K3259" t="str">
        <f t="shared" si="203"/>
        <v>Mon</v>
      </c>
    </row>
    <row r="3260" spans="1:11" x14ac:dyDescent="0.35">
      <c r="A3260" s="1">
        <v>40295</v>
      </c>
      <c r="B3260">
        <v>7.2775001525878897</v>
      </c>
      <c r="C3260">
        <v>7.32200002670288</v>
      </c>
      <c r="D3260">
        <v>7.0555000305175701</v>
      </c>
      <c r="E3260">
        <v>7.1009998321533203</v>
      </c>
      <c r="F3260">
        <v>7.1009998321533203</v>
      </c>
      <c r="G3260">
        <v>172780000</v>
      </c>
      <c r="H3260">
        <f t="shared" si="200"/>
        <v>2010</v>
      </c>
      <c r="I3260">
        <f t="shared" si="201"/>
        <v>4</v>
      </c>
      <c r="J3260" t="str">
        <f t="shared" si="202"/>
        <v>Apr</v>
      </c>
      <c r="K3260" t="str">
        <f t="shared" si="203"/>
        <v>Tue</v>
      </c>
    </row>
    <row r="3261" spans="1:11" x14ac:dyDescent="0.35">
      <c r="A3261" s="1">
        <v>40296</v>
      </c>
      <c r="B3261">
        <v>7.1294999122619602</v>
      </c>
      <c r="C3261">
        <v>7.1374998092651296</v>
      </c>
      <c r="D3261">
        <v>6.9345002174377397</v>
      </c>
      <c r="E3261">
        <v>6.9675002098083496</v>
      </c>
      <c r="F3261">
        <v>6.9675002098083496</v>
      </c>
      <c r="G3261">
        <v>184706000</v>
      </c>
      <c r="H3261">
        <f t="shared" si="200"/>
        <v>2010</v>
      </c>
      <c r="I3261">
        <f t="shared" si="201"/>
        <v>4</v>
      </c>
      <c r="J3261" t="str">
        <f t="shared" si="202"/>
        <v>Apr</v>
      </c>
      <c r="K3261" t="str">
        <f t="shared" si="203"/>
        <v>Wed</v>
      </c>
    </row>
    <row r="3262" spans="1:11" x14ac:dyDescent="0.35">
      <c r="A3262" s="1">
        <v>40297</v>
      </c>
      <c r="B3262">
        <v>7.0044999122619602</v>
      </c>
      <c r="C3262">
        <v>7.1224999427795401</v>
      </c>
      <c r="D3262">
        <v>6.9895000457763601</v>
      </c>
      <c r="E3262">
        <v>7.0865001678466797</v>
      </c>
      <c r="F3262">
        <v>7.0865001678466797</v>
      </c>
      <c r="G3262">
        <v>126284000</v>
      </c>
      <c r="H3262">
        <f t="shared" si="200"/>
        <v>2010</v>
      </c>
      <c r="I3262">
        <f t="shared" si="201"/>
        <v>4</v>
      </c>
      <c r="J3262" t="str">
        <f t="shared" si="202"/>
        <v>Apr</v>
      </c>
      <c r="K3262" t="str">
        <f t="shared" si="203"/>
        <v>Thu</v>
      </c>
    </row>
    <row r="3263" spans="1:11" x14ac:dyDescent="0.35">
      <c r="A3263" s="1">
        <v>40298</v>
      </c>
      <c r="B3263">
        <v>7.0700001716613698</v>
      </c>
      <c r="C3263">
        <v>7.0700001716613698</v>
      </c>
      <c r="D3263">
        <v>6.8454999923706001</v>
      </c>
      <c r="E3263">
        <v>6.8550000190734801</v>
      </c>
      <c r="F3263">
        <v>6.8550000190734801</v>
      </c>
      <c r="G3263">
        <v>122270000</v>
      </c>
      <c r="H3263">
        <f t="shared" si="200"/>
        <v>2010</v>
      </c>
      <c r="I3263">
        <f t="shared" si="201"/>
        <v>4</v>
      </c>
      <c r="J3263" t="str">
        <f t="shared" si="202"/>
        <v>Apr</v>
      </c>
      <c r="K3263" t="str">
        <f t="shared" si="203"/>
        <v>Fri</v>
      </c>
    </row>
    <row r="3264" spans="1:11" x14ac:dyDescent="0.35">
      <c r="A3264" s="1">
        <v>40301</v>
      </c>
      <c r="B3264">
        <v>6.8600001335143999</v>
      </c>
      <c r="C3264">
        <v>6.9720001220703098</v>
      </c>
      <c r="D3264">
        <v>6.8055000305175701</v>
      </c>
      <c r="E3264">
        <v>6.8744997978210396</v>
      </c>
      <c r="F3264">
        <v>6.8744997978210396</v>
      </c>
      <c r="G3264">
        <v>113092000</v>
      </c>
      <c r="H3264">
        <f t="shared" si="200"/>
        <v>2010</v>
      </c>
      <c r="I3264">
        <f t="shared" si="201"/>
        <v>5</v>
      </c>
      <c r="J3264" t="str">
        <f t="shared" si="202"/>
        <v>May</v>
      </c>
      <c r="K3264" t="str">
        <f t="shared" si="203"/>
        <v>Mon</v>
      </c>
    </row>
    <row r="3265" spans="1:11" x14ac:dyDescent="0.35">
      <c r="A3265" s="1">
        <v>40302</v>
      </c>
      <c r="B3265">
        <v>6.7810001373290998</v>
      </c>
      <c r="C3265">
        <v>6.7905001640319798</v>
      </c>
      <c r="D3265">
        <v>6.4190001487731898</v>
      </c>
      <c r="E3265">
        <v>6.4914999008178702</v>
      </c>
      <c r="F3265">
        <v>6.4914999008178702</v>
      </c>
      <c r="G3265">
        <v>253356000</v>
      </c>
      <c r="H3265">
        <f t="shared" si="200"/>
        <v>2010</v>
      </c>
      <c r="I3265">
        <f t="shared" si="201"/>
        <v>5</v>
      </c>
      <c r="J3265" t="str">
        <f t="shared" si="202"/>
        <v>May</v>
      </c>
      <c r="K3265" t="str">
        <f t="shared" si="203"/>
        <v>Tue</v>
      </c>
    </row>
    <row r="3266" spans="1:11" x14ac:dyDescent="0.35">
      <c r="A3266" s="1">
        <v>40303</v>
      </c>
      <c r="B3266">
        <v>6.4000000953674299</v>
      </c>
      <c r="C3266">
        <v>6.5805001258850098</v>
      </c>
      <c r="D3266">
        <v>6.3775000572204501</v>
      </c>
      <c r="E3266">
        <v>6.5465002059936497</v>
      </c>
      <c r="F3266">
        <v>6.5465002059936497</v>
      </c>
      <c r="G3266">
        <v>189162000</v>
      </c>
      <c r="H3266">
        <f t="shared" si="200"/>
        <v>2010</v>
      </c>
      <c r="I3266">
        <f t="shared" si="201"/>
        <v>5</v>
      </c>
      <c r="J3266" t="str">
        <f t="shared" si="202"/>
        <v>May</v>
      </c>
      <c r="K3266" t="str">
        <f t="shared" si="203"/>
        <v>Wed</v>
      </c>
    </row>
    <row r="3267" spans="1:11" x14ac:dyDescent="0.35">
      <c r="A3267" s="1">
        <v>40304</v>
      </c>
      <c r="B3267">
        <v>6.5</v>
      </c>
      <c r="C3267">
        <v>6.6164999008178702</v>
      </c>
      <c r="D3267">
        <v>6.0300002098083496</v>
      </c>
      <c r="E3267">
        <v>6.4355001449584899</v>
      </c>
      <c r="F3267">
        <v>6.4355001449584899</v>
      </c>
      <c r="G3267">
        <v>203780000</v>
      </c>
      <c r="H3267">
        <f t="shared" si="200"/>
        <v>2010</v>
      </c>
      <c r="I3267">
        <f t="shared" si="201"/>
        <v>5</v>
      </c>
      <c r="J3267" t="str">
        <f t="shared" si="202"/>
        <v>May</v>
      </c>
      <c r="K3267" t="str">
        <f t="shared" si="203"/>
        <v>Thu</v>
      </c>
    </row>
    <row r="3268" spans="1:11" x14ac:dyDescent="0.35">
      <c r="A3268" s="1">
        <v>40305</v>
      </c>
      <c r="B3268">
        <v>6.3984999656677202</v>
      </c>
      <c r="C3268">
        <v>6.5590000152587802</v>
      </c>
      <c r="D3268">
        <v>6.1880002021789497</v>
      </c>
      <c r="E3268">
        <v>6.2490000724792401</v>
      </c>
      <c r="F3268">
        <v>6.2490000724792401</v>
      </c>
      <c r="G3268">
        <v>238552000</v>
      </c>
      <c r="H3268">
        <f t="shared" ref="H3268:H3331" si="204">YEAR($A3268)</f>
        <v>2010</v>
      </c>
      <c r="I3268">
        <f t="shared" ref="I3268:I3331" si="205">MONTH($A3268)</f>
        <v>5</v>
      </c>
      <c r="J3268" t="str">
        <f t="shared" ref="J3268:J3331" si="206">TEXT($A3268,"mmm")</f>
        <v>May</v>
      </c>
      <c r="K3268" t="str">
        <f t="shared" ref="K3268:K3331" si="207">TEXT($A3268,"ddd")</f>
        <v>Fri</v>
      </c>
    </row>
    <row r="3269" spans="1:11" x14ac:dyDescent="0.35">
      <c r="A3269" s="1">
        <v>40308</v>
      </c>
      <c r="B3269">
        <v>6.4864997863769496</v>
      </c>
      <c r="C3269">
        <v>6.6104998588562003</v>
      </c>
      <c r="D3269">
        <v>6.4629998207092196</v>
      </c>
      <c r="E3269">
        <v>6.5644998550415004</v>
      </c>
      <c r="F3269">
        <v>6.5644998550415004</v>
      </c>
      <c r="G3269">
        <v>136122000</v>
      </c>
      <c r="H3269">
        <f t="shared" si="204"/>
        <v>2010</v>
      </c>
      <c r="I3269">
        <f t="shared" si="205"/>
        <v>5</v>
      </c>
      <c r="J3269" t="str">
        <f t="shared" si="206"/>
        <v>May</v>
      </c>
      <c r="K3269" t="str">
        <f t="shared" si="207"/>
        <v>Mon</v>
      </c>
    </row>
    <row r="3270" spans="1:11" x14ac:dyDescent="0.35">
      <c r="A3270" s="1">
        <v>40309</v>
      </c>
      <c r="B3270">
        <v>6.4974999427795401</v>
      </c>
      <c r="C3270">
        <v>6.6539998054504297</v>
      </c>
      <c r="D3270">
        <v>6.42350006103515</v>
      </c>
      <c r="E3270">
        <v>6.5229997634887598</v>
      </c>
      <c r="F3270">
        <v>6.5229997634887598</v>
      </c>
      <c r="G3270">
        <v>120882000</v>
      </c>
      <c r="H3270">
        <f t="shared" si="204"/>
        <v>2010</v>
      </c>
      <c r="I3270">
        <f t="shared" si="205"/>
        <v>5</v>
      </c>
      <c r="J3270" t="str">
        <f t="shared" si="206"/>
        <v>May</v>
      </c>
      <c r="K3270" t="str">
        <f t="shared" si="207"/>
        <v>Tue</v>
      </c>
    </row>
    <row r="3271" spans="1:11" x14ac:dyDescent="0.35">
      <c r="A3271" s="1">
        <v>40310</v>
      </c>
      <c r="B3271">
        <v>6.5704998970031703</v>
      </c>
      <c r="C3271">
        <v>6.7065000534057599</v>
      </c>
      <c r="D3271">
        <v>6.4840002059936497</v>
      </c>
      <c r="E3271">
        <v>6.6935000419616699</v>
      </c>
      <c r="F3271">
        <v>6.6935000419616699</v>
      </c>
      <c r="G3271">
        <v>118090000</v>
      </c>
      <c r="H3271">
        <f t="shared" si="204"/>
        <v>2010</v>
      </c>
      <c r="I3271">
        <f t="shared" si="205"/>
        <v>5</v>
      </c>
      <c r="J3271" t="str">
        <f t="shared" si="206"/>
        <v>May</v>
      </c>
      <c r="K3271" t="str">
        <f t="shared" si="207"/>
        <v>Wed</v>
      </c>
    </row>
    <row r="3272" spans="1:11" x14ac:dyDescent="0.35">
      <c r="A3272" s="1">
        <v>40311</v>
      </c>
      <c r="B3272">
        <v>6.6964998245239196</v>
      </c>
      <c r="C3272">
        <v>6.8495001792907697</v>
      </c>
      <c r="D3272">
        <v>6.5500001907348597</v>
      </c>
      <c r="E3272">
        <v>6.5735001564025799</v>
      </c>
      <c r="F3272">
        <v>6.5735001564025799</v>
      </c>
      <c r="G3272">
        <v>118804000</v>
      </c>
      <c r="H3272">
        <f t="shared" si="204"/>
        <v>2010</v>
      </c>
      <c r="I3272">
        <f t="shared" si="205"/>
        <v>5</v>
      </c>
      <c r="J3272" t="str">
        <f t="shared" si="206"/>
        <v>May</v>
      </c>
      <c r="K3272" t="str">
        <f t="shared" si="207"/>
        <v>Thu</v>
      </c>
    </row>
    <row r="3273" spans="1:11" x14ac:dyDescent="0.35">
      <c r="A3273" s="1">
        <v>40312</v>
      </c>
      <c r="B3273">
        <v>6.5180001258850098</v>
      </c>
      <c r="C3273">
        <v>6.5500001907348597</v>
      </c>
      <c r="D3273">
        <v>6.3379998207092196</v>
      </c>
      <c r="E3273">
        <v>6.4264998435974103</v>
      </c>
      <c r="F3273">
        <v>6.4264998435974103</v>
      </c>
      <c r="G3273">
        <v>105556000</v>
      </c>
      <c r="H3273">
        <f t="shared" si="204"/>
        <v>2010</v>
      </c>
      <c r="I3273">
        <f t="shared" si="205"/>
        <v>5</v>
      </c>
      <c r="J3273" t="str">
        <f t="shared" si="206"/>
        <v>May</v>
      </c>
      <c r="K3273" t="str">
        <f t="shared" si="207"/>
        <v>Fri</v>
      </c>
    </row>
    <row r="3274" spans="1:11" x14ac:dyDescent="0.35">
      <c r="A3274" s="1">
        <v>40315</v>
      </c>
      <c r="B3274">
        <v>6.4120001792907697</v>
      </c>
      <c r="C3274">
        <v>6.4974999427795401</v>
      </c>
      <c r="D3274">
        <v>6.2899999618530202</v>
      </c>
      <c r="E3274">
        <v>6.4454998970031703</v>
      </c>
      <c r="F3274">
        <v>6.4454998970031703</v>
      </c>
      <c r="G3274">
        <v>112844000</v>
      </c>
      <c r="H3274">
        <f t="shared" si="204"/>
        <v>2010</v>
      </c>
      <c r="I3274">
        <f t="shared" si="205"/>
        <v>5</v>
      </c>
      <c r="J3274" t="str">
        <f t="shared" si="206"/>
        <v>May</v>
      </c>
      <c r="K3274" t="str">
        <f t="shared" si="207"/>
        <v>Mon</v>
      </c>
    </row>
    <row r="3275" spans="1:11" x14ac:dyDescent="0.35">
      <c r="A3275" s="1">
        <v>40316</v>
      </c>
      <c r="B3275">
        <v>6.5069999694824201</v>
      </c>
      <c r="C3275">
        <v>6.5625</v>
      </c>
      <c r="D3275">
        <v>6.2754998207092196</v>
      </c>
      <c r="E3275">
        <v>6.3140001296996999</v>
      </c>
      <c r="F3275">
        <v>6.3140001296996999</v>
      </c>
      <c r="G3275">
        <v>105138000</v>
      </c>
      <c r="H3275">
        <f t="shared" si="204"/>
        <v>2010</v>
      </c>
      <c r="I3275">
        <f t="shared" si="205"/>
        <v>5</v>
      </c>
      <c r="J3275" t="str">
        <f t="shared" si="206"/>
        <v>May</v>
      </c>
      <c r="K3275" t="str">
        <f t="shared" si="207"/>
        <v>Tue</v>
      </c>
    </row>
    <row r="3276" spans="1:11" x14ac:dyDescent="0.35">
      <c r="A3276" s="1">
        <v>40317</v>
      </c>
      <c r="B3276">
        <v>6.2754998207092196</v>
      </c>
      <c r="C3276">
        <v>6.3965001106262198</v>
      </c>
      <c r="D3276">
        <v>6.1900000572204501</v>
      </c>
      <c r="E3276">
        <v>6.2294998168945304</v>
      </c>
      <c r="F3276">
        <v>6.2294998168945304</v>
      </c>
      <c r="G3276">
        <v>129266000</v>
      </c>
      <c r="H3276">
        <f t="shared" si="204"/>
        <v>2010</v>
      </c>
      <c r="I3276">
        <f t="shared" si="205"/>
        <v>5</v>
      </c>
      <c r="J3276" t="str">
        <f t="shared" si="206"/>
        <v>May</v>
      </c>
      <c r="K3276" t="str">
        <f t="shared" si="207"/>
        <v>Wed</v>
      </c>
    </row>
    <row r="3277" spans="1:11" x14ac:dyDescent="0.35">
      <c r="A3277" s="1">
        <v>40318</v>
      </c>
      <c r="B3277">
        <v>6.1319999694824201</v>
      </c>
      <c r="C3277">
        <v>6.25</v>
      </c>
      <c r="D3277">
        <v>5.9390001296996999</v>
      </c>
      <c r="E3277">
        <v>5.9854998588562003</v>
      </c>
      <c r="F3277">
        <v>5.9854998588562003</v>
      </c>
      <c r="G3277">
        <v>171888000</v>
      </c>
      <c r="H3277">
        <f t="shared" si="204"/>
        <v>2010</v>
      </c>
      <c r="I3277">
        <f t="shared" si="205"/>
        <v>5</v>
      </c>
      <c r="J3277" t="str">
        <f t="shared" si="206"/>
        <v>May</v>
      </c>
      <c r="K3277" t="str">
        <f t="shared" si="207"/>
        <v>Thu</v>
      </c>
    </row>
    <row r="3278" spans="1:11" x14ac:dyDescent="0.35">
      <c r="A3278" s="1">
        <v>40319</v>
      </c>
      <c r="B3278">
        <v>5.8949999809265101</v>
      </c>
      <c r="C3278">
        <v>6.2484998703002903</v>
      </c>
      <c r="D3278">
        <v>5.8759999275207502</v>
      </c>
      <c r="E3278">
        <v>6.1360001564025799</v>
      </c>
      <c r="F3278">
        <v>6.1360001564025799</v>
      </c>
      <c r="G3278">
        <v>159338000</v>
      </c>
      <c r="H3278">
        <f t="shared" si="204"/>
        <v>2010</v>
      </c>
      <c r="I3278">
        <f t="shared" si="205"/>
        <v>5</v>
      </c>
      <c r="J3278" t="str">
        <f t="shared" si="206"/>
        <v>May</v>
      </c>
      <c r="K3278" t="str">
        <f t="shared" si="207"/>
        <v>Fri</v>
      </c>
    </row>
    <row r="3279" spans="1:11" x14ac:dyDescent="0.35">
      <c r="A3279" s="1">
        <v>40322</v>
      </c>
      <c r="B3279">
        <v>6.12849998474121</v>
      </c>
      <c r="C3279">
        <v>6.2249999046325604</v>
      </c>
      <c r="D3279">
        <v>6.0324997901916504</v>
      </c>
      <c r="E3279">
        <v>6.1059999465942303</v>
      </c>
      <c r="F3279">
        <v>6.1059999465942303</v>
      </c>
      <c r="G3279">
        <v>90718000</v>
      </c>
      <c r="H3279">
        <f t="shared" si="204"/>
        <v>2010</v>
      </c>
      <c r="I3279">
        <f t="shared" si="205"/>
        <v>5</v>
      </c>
      <c r="J3279" t="str">
        <f t="shared" si="206"/>
        <v>May</v>
      </c>
      <c r="K3279" t="str">
        <f t="shared" si="207"/>
        <v>Mon</v>
      </c>
    </row>
    <row r="3280" spans="1:11" x14ac:dyDescent="0.35">
      <c r="A3280" s="1">
        <v>40323</v>
      </c>
      <c r="B3280">
        <v>5.9270000457763601</v>
      </c>
      <c r="C3280">
        <v>6.25950002670288</v>
      </c>
      <c r="D3280">
        <v>5.9250001907348597</v>
      </c>
      <c r="E3280">
        <v>6.2430000305175701</v>
      </c>
      <c r="F3280">
        <v>6.2430000305175701</v>
      </c>
      <c r="G3280">
        <v>138268000</v>
      </c>
      <c r="H3280">
        <f t="shared" si="204"/>
        <v>2010</v>
      </c>
      <c r="I3280">
        <f t="shared" si="205"/>
        <v>5</v>
      </c>
      <c r="J3280" t="str">
        <f t="shared" si="206"/>
        <v>May</v>
      </c>
      <c r="K3280" t="str">
        <f t="shared" si="207"/>
        <v>Tue</v>
      </c>
    </row>
    <row r="3281" spans="1:11" x14ac:dyDescent="0.35">
      <c r="A3281" s="1">
        <v>40324</v>
      </c>
      <c r="B3281">
        <v>6.2525000572204501</v>
      </c>
      <c r="C3281">
        <v>6.2895002365112296</v>
      </c>
      <c r="D3281">
        <v>6.1149997711181596</v>
      </c>
      <c r="E3281">
        <v>6.16050004959106</v>
      </c>
      <c r="F3281">
        <v>6.16050004959106</v>
      </c>
      <c r="G3281">
        <v>139292000</v>
      </c>
      <c r="H3281">
        <f t="shared" si="204"/>
        <v>2010</v>
      </c>
      <c r="I3281">
        <f t="shared" si="205"/>
        <v>5</v>
      </c>
      <c r="J3281" t="str">
        <f t="shared" si="206"/>
        <v>May</v>
      </c>
      <c r="K3281" t="str">
        <f t="shared" si="207"/>
        <v>Wed</v>
      </c>
    </row>
    <row r="3282" spans="1:11" x14ac:dyDescent="0.35">
      <c r="A3282" s="1">
        <v>40325</v>
      </c>
      <c r="B3282">
        <v>6.2490000724792401</v>
      </c>
      <c r="C3282">
        <v>6.3425002098083496</v>
      </c>
      <c r="D3282">
        <v>6.0300002098083496</v>
      </c>
      <c r="E3282">
        <v>6.33500003814697</v>
      </c>
      <c r="F3282">
        <v>6.33500003814697</v>
      </c>
      <c r="G3282">
        <v>94954000</v>
      </c>
      <c r="H3282">
        <f t="shared" si="204"/>
        <v>2010</v>
      </c>
      <c r="I3282">
        <f t="shared" si="205"/>
        <v>5</v>
      </c>
      <c r="J3282" t="str">
        <f t="shared" si="206"/>
        <v>May</v>
      </c>
      <c r="K3282" t="str">
        <f t="shared" si="207"/>
        <v>Thu</v>
      </c>
    </row>
    <row r="3283" spans="1:11" x14ac:dyDescent="0.35">
      <c r="A3283" s="1">
        <v>40326</v>
      </c>
      <c r="B3283">
        <v>6.3035001754760698</v>
      </c>
      <c r="C3283">
        <v>6.38000011444091</v>
      </c>
      <c r="D3283">
        <v>6.20050001144409</v>
      </c>
      <c r="E3283">
        <v>6.2729997634887598</v>
      </c>
      <c r="F3283">
        <v>6.2729997634887598</v>
      </c>
      <c r="G3283">
        <v>79096000</v>
      </c>
      <c r="H3283">
        <f t="shared" si="204"/>
        <v>2010</v>
      </c>
      <c r="I3283">
        <f t="shared" si="205"/>
        <v>5</v>
      </c>
      <c r="J3283" t="str">
        <f t="shared" si="206"/>
        <v>May</v>
      </c>
      <c r="K3283" t="str">
        <f t="shared" si="207"/>
        <v>Fri</v>
      </c>
    </row>
    <row r="3284" spans="1:11" x14ac:dyDescent="0.35">
      <c r="A3284" s="1">
        <v>40330</v>
      </c>
      <c r="B3284">
        <v>6.2484998703002903</v>
      </c>
      <c r="C3284">
        <v>6.3284997940063397</v>
      </c>
      <c r="D3284">
        <v>6.15100002288818</v>
      </c>
      <c r="E3284">
        <v>6.1620001792907697</v>
      </c>
      <c r="F3284">
        <v>6.1620001792907697</v>
      </c>
      <c r="G3284">
        <v>73190000</v>
      </c>
      <c r="H3284">
        <f t="shared" si="204"/>
        <v>2010</v>
      </c>
      <c r="I3284">
        <f t="shared" si="205"/>
        <v>6</v>
      </c>
      <c r="J3284" t="str">
        <f t="shared" si="206"/>
        <v>Jun</v>
      </c>
      <c r="K3284" t="str">
        <f t="shared" si="207"/>
        <v>Tue</v>
      </c>
    </row>
    <row r="3285" spans="1:11" x14ac:dyDescent="0.35">
      <c r="A3285" s="1">
        <v>40331</v>
      </c>
      <c r="B3285">
        <v>6.2010002136230398</v>
      </c>
      <c r="C3285">
        <v>6.3214998245239196</v>
      </c>
      <c r="D3285">
        <v>6.0824999809265101</v>
      </c>
      <c r="E3285">
        <v>6.3154997825622496</v>
      </c>
      <c r="F3285">
        <v>6.3154997825622496</v>
      </c>
      <c r="G3285">
        <v>95294000</v>
      </c>
      <c r="H3285">
        <f t="shared" si="204"/>
        <v>2010</v>
      </c>
      <c r="I3285">
        <f t="shared" si="205"/>
        <v>6</v>
      </c>
      <c r="J3285" t="str">
        <f t="shared" si="206"/>
        <v>Jun</v>
      </c>
      <c r="K3285" t="str">
        <f t="shared" si="207"/>
        <v>Wed</v>
      </c>
    </row>
    <row r="3286" spans="1:11" x14ac:dyDescent="0.35">
      <c r="A3286" s="1">
        <v>40332</v>
      </c>
      <c r="B3286">
        <v>6.3125</v>
      </c>
      <c r="C3286">
        <v>6.4574999809265101</v>
      </c>
      <c r="D3286">
        <v>6.2424998283386204</v>
      </c>
      <c r="E3286">
        <v>6.4380002021789497</v>
      </c>
      <c r="F3286">
        <v>6.4380002021789497</v>
      </c>
      <c r="G3286">
        <v>105538000</v>
      </c>
      <c r="H3286">
        <f t="shared" si="204"/>
        <v>2010</v>
      </c>
      <c r="I3286">
        <f t="shared" si="205"/>
        <v>6</v>
      </c>
      <c r="J3286" t="str">
        <f t="shared" si="206"/>
        <v>Jun</v>
      </c>
      <c r="K3286" t="str">
        <f t="shared" si="207"/>
        <v>Thu</v>
      </c>
    </row>
    <row r="3287" spans="1:11" x14ac:dyDescent="0.35">
      <c r="A3287" s="1">
        <v>40333</v>
      </c>
      <c r="B3287">
        <v>6.3165001869201598</v>
      </c>
      <c r="C3287">
        <v>6.4099998474120996</v>
      </c>
      <c r="D3287">
        <v>6.1090002059936497</v>
      </c>
      <c r="E3287">
        <v>6.1385002136230398</v>
      </c>
      <c r="F3287">
        <v>6.1385002136230398</v>
      </c>
      <c r="G3287">
        <v>109954000</v>
      </c>
      <c r="H3287">
        <f t="shared" si="204"/>
        <v>2010</v>
      </c>
      <c r="I3287">
        <f t="shared" si="205"/>
        <v>6</v>
      </c>
      <c r="J3287" t="str">
        <f t="shared" si="206"/>
        <v>Jun</v>
      </c>
      <c r="K3287" t="str">
        <f t="shared" si="207"/>
        <v>Fri</v>
      </c>
    </row>
    <row r="3288" spans="1:11" x14ac:dyDescent="0.35">
      <c r="A3288" s="1">
        <v>40336</v>
      </c>
      <c r="B3288">
        <v>6.2919998168945304</v>
      </c>
      <c r="C3288">
        <v>6.3305001258850098</v>
      </c>
      <c r="D3288">
        <v>6.0834999084472603</v>
      </c>
      <c r="E3288">
        <v>6.1005001068115199</v>
      </c>
      <c r="F3288">
        <v>6.1005001068115199</v>
      </c>
      <c r="G3288">
        <v>131328000</v>
      </c>
      <c r="H3288">
        <f t="shared" si="204"/>
        <v>2010</v>
      </c>
      <c r="I3288">
        <f t="shared" si="205"/>
        <v>6</v>
      </c>
      <c r="J3288" t="str">
        <f t="shared" si="206"/>
        <v>Jun</v>
      </c>
      <c r="K3288" t="str">
        <f t="shared" si="207"/>
        <v>Mon</v>
      </c>
    </row>
    <row r="3289" spans="1:11" x14ac:dyDescent="0.35">
      <c r="A3289" s="1">
        <v>40337</v>
      </c>
      <c r="B3289">
        <v>6.0999999046325604</v>
      </c>
      <c r="C3289">
        <v>6.0999999046325604</v>
      </c>
      <c r="D3289">
        <v>5.7899999618530202</v>
      </c>
      <c r="E3289">
        <v>5.9419999122619602</v>
      </c>
      <c r="F3289">
        <v>5.9419999122619602</v>
      </c>
      <c r="G3289">
        <v>229688000</v>
      </c>
      <c r="H3289">
        <f t="shared" si="204"/>
        <v>2010</v>
      </c>
      <c r="I3289">
        <f t="shared" si="205"/>
        <v>6</v>
      </c>
      <c r="J3289" t="str">
        <f t="shared" si="206"/>
        <v>Jun</v>
      </c>
      <c r="K3289" t="str">
        <f t="shared" si="207"/>
        <v>Tue</v>
      </c>
    </row>
    <row r="3290" spans="1:11" x14ac:dyDescent="0.35">
      <c r="A3290" s="1">
        <v>40338</v>
      </c>
      <c r="B3290">
        <v>6.0155000686645499</v>
      </c>
      <c r="C3290">
        <v>6.0735001564025799</v>
      </c>
      <c r="D3290">
        <v>5.8680000305175701</v>
      </c>
      <c r="E3290">
        <v>5.8955001831054599</v>
      </c>
      <c r="F3290">
        <v>5.8955001831054599</v>
      </c>
      <c r="G3290">
        <v>147384000</v>
      </c>
      <c r="H3290">
        <f t="shared" si="204"/>
        <v>2010</v>
      </c>
      <c r="I3290">
        <f t="shared" si="205"/>
        <v>6</v>
      </c>
      <c r="J3290" t="str">
        <f t="shared" si="206"/>
        <v>Jun</v>
      </c>
      <c r="K3290" t="str">
        <f t="shared" si="207"/>
        <v>Wed</v>
      </c>
    </row>
    <row r="3291" spans="1:11" x14ac:dyDescent="0.35">
      <c r="A3291" s="1">
        <v>40339</v>
      </c>
      <c r="B3291">
        <v>6</v>
      </c>
      <c r="C3291">
        <v>6.1750001907348597</v>
      </c>
      <c r="D3291">
        <v>5.96000003814697</v>
      </c>
      <c r="E3291">
        <v>6.16050004959106</v>
      </c>
      <c r="F3291">
        <v>6.16050004959106</v>
      </c>
      <c r="G3291">
        <v>121236000</v>
      </c>
      <c r="H3291">
        <f t="shared" si="204"/>
        <v>2010</v>
      </c>
      <c r="I3291">
        <f t="shared" si="205"/>
        <v>6</v>
      </c>
      <c r="J3291" t="str">
        <f t="shared" si="206"/>
        <v>Jun</v>
      </c>
      <c r="K3291" t="str">
        <f t="shared" si="207"/>
        <v>Thu</v>
      </c>
    </row>
    <row r="3292" spans="1:11" x14ac:dyDescent="0.35">
      <c r="A3292" s="1">
        <v>40340</v>
      </c>
      <c r="B3292">
        <v>6.0694999694824201</v>
      </c>
      <c r="C3292">
        <v>6.1764998435974103</v>
      </c>
      <c r="D3292">
        <v>6.0145001411437899</v>
      </c>
      <c r="E3292">
        <v>6.1515002250671298</v>
      </c>
      <c r="F3292">
        <v>6.1515002250671298</v>
      </c>
      <c r="G3292">
        <v>84092000</v>
      </c>
      <c r="H3292">
        <f t="shared" si="204"/>
        <v>2010</v>
      </c>
      <c r="I3292">
        <f t="shared" si="205"/>
        <v>6</v>
      </c>
      <c r="J3292" t="str">
        <f t="shared" si="206"/>
        <v>Jun</v>
      </c>
      <c r="K3292" t="str">
        <f t="shared" si="207"/>
        <v>Fri</v>
      </c>
    </row>
    <row r="3293" spans="1:11" x14ac:dyDescent="0.35">
      <c r="A3293" s="1">
        <v>40343</v>
      </c>
      <c r="B3293">
        <v>6.2119998931884703</v>
      </c>
      <c r="C3293">
        <v>6.2849998474120996</v>
      </c>
      <c r="D3293">
        <v>6.1750001907348597</v>
      </c>
      <c r="E3293">
        <v>6.1915001869201598</v>
      </c>
      <c r="F3293">
        <v>6.1915001869201598</v>
      </c>
      <c r="G3293">
        <v>78460000</v>
      </c>
      <c r="H3293">
        <f t="shared" si="204"/>
        <v>2010</v>
      </c>
      <c r="I3293">
        <f t="shared" si="205"/>
        <v>6</v>
      </c>
      <c r="J3293" t="str">
        <f t="shared" si="206"/>
        <v>Jun</v>
      </c>
      <c r="K3293" t="str">
        <f t="shared" si="207"/>
        <v>Mon</v>
      </c>
    </row>
    <row r="3294" spans="1:11" x14ac:dyDescent="0.35">
      <c r="A3294" s="1">
        <v>40344</v>
      </c>
      <c r="B3294">
        <v>6.1599998474120996</v>
      </c>
      <c r="C3294">
        <v>6.3460001945495597</v>
      </c>
      <c r="D3294">
        <v>6.125</v>
      </c>
      <c r="E3294">
        <v>6.3420000076293901</v>
      </c>
      <c r="F3294">
        <v>6.3420000076293901</v>
      </c>
      <c r="G3294">
        <v>90820000</v>
      </c>
      <c r="H3294">
        <f t="shared" si="204"/>
        <v>2010</v>
      </c>
      <c r="I3294">
        <f t="shared" si="205"/>
        <v>6</v>
      </c>
      <c r="J3294" t="str">
        <f t="shared" si="206"/>
        <v>Jun</v>
      </c>
      <c r="K3294" t="str">
        <f t="shared" si="207"/>
        <v>Tue</v>
      </c>
    </row>
    <row r="3295" spans="1:11" x14ac:dyDescent="0.35">
      <c r="A3295" s="1">
        <v>40345</v>
      </c>
      <c r="B3295">
        <v>6.2694997787475497</v>
      </c>
      <c r="C3295">
        <v>6.3990001678466797</v>
      </c>
      <c r="D3295">
        <v>6.2680001258850098</v>
      </c>
      <c r="E3295">
        <v>6.3449997901916504</v>
      </c>
      <c r="F3295">
        <v>6.3449997901916504</v>
      </c>
      <c r="G3295">
        <v>79286000</v>
      </c>
      <c r="H3295">
        <f t="shared" si="204"/>
        <v>2010</v>
      </c>
      <c r="I3295">
        <f t="shared" si="205"/>
        <v>6</v>
      </c>
      <c r="J3295" t="str">
        <f t="shared" si="206"/>
        <v>Jun</v>
      </c>
      <c r="K3295" t="str">
        <f t="shared" si="207"/>
        <v>Wed</v>
      </c>
    </row>
    <row r="3296" spans="1:11" x14ac:dyDescent="0.35">
      <c r="A3296" s="1">
        <v>40346</v>
      </c>
      <c r="B3296">
        <v>6.3369998931884703</v>
      </c>
      <c r="C3296">
        <v>6.3899998664855904</v>
      </c>
      <c r="D3296">
        <v>6.2344999313354403</v>
      </c>
      <c r="E3296">
        <v>6.2944998741149902</v>
      </c>
      <c r="F3296">
        <v>6.2944998741149902</v>
      </c>
      <c r="G3296">
        <v>69580000</v>
      </c>
      <c r="H3296">
        <f t="shared" si="204"/>
        <v>2010</v>
      </c>
      <c r="I3296">
        <f t="shared" si="205"/>
        <v>6</v>
      </c>
      <c r="J3296" t="str">
        <f t="shared" si="206"/>
        <v>Jun</v>
      </c>
      <c r="K3296" t="str">
        <f t="shared" si="207"/>
        <v>Thu</v>
      </c>
    </row>
    <row r="3297" spans="1:11" x14ac:dyDescent="0.35">
      <c r="A3297" s="1">
        <v>40347</v>
      </c>
      <c r="B3297">
        <v>6.3239998817443803</v>
      </c>
      <c r="C3297">
        <v>6.3740000724792401</v>
      </c>
      <c r="D3297">
        <v>6.25349998474121</v>
      </c>
      <c r="E3297">
        <v>6.2915000915527299</v>
      </c>
      <c r="F3297">
        <v>6.2915000915527299</v>
      </c>
      <c r="G3297">
        <v>76720000</v>
      </c>
      <c r="H3297">
        <f t="shared" si="204"/>
        <v>2010</v>
      </c>
      <c r="I3297">
        <f t="shared" si="205"/>
        <v>6</v>
      </c>
      <c r="J3297" t="str">
        <f t="shared" si="206"/>
        <v>Jun</v>
      </c>
      <c r="K3297" t="str">
        <f t="shared" si="207"/>
        <v>Fri</v>
      </c>
    </row>
    <row r="3298" spans="1:11" x14ac:dyDescent="0.35">
      <c r="A3298" s="1">
        <v>40350</v>
      </c>
      <c r="B3298">
        <v>6.3394999504089302</v>
      </c>
      <c r="C3298">
        <v>6.3740000724792401</v>
      </c>
      <c r="D3298">
        <v>6.0704998970031703</v>
      </c>
      <c r="E3298">
        <v>6.1275000572204501</v>
      </c>
      <c r="F3298">
        <v>6.1275000572204501</v>
      </c>
      <c r="G3298">
        <v>106554000</v>
      </c>
      <c r="H3298">
        <f t="shared" si="204"/>
        <v>2010</v>
      </c>
      <c r="I3298">
        <f t="shared" si="205"/>
        <v>6</v>
      </c>
      <c r="J3298" t="str">
        <f t="shared" si="206"/>
        <v>Jun</v>
      </c>
      <c r="K3298" t="str">
        <f t="shared" si="207"/>
        <v>Mon</v>
      </c>
    </row>
    <row r="3299" spans="1:11" x14ac:dyDescent="0.35">
      <c r="A3299" s="1">
        <v>40351</v>
      </c>
      <c r="B3299">
        <v>6.1325001716613698</v>
      </c>
      <c r="C3299">
        <v>6.2614998817443803</v>
      </c>
      <c r="D3299">
        <v>6.0774998664855904</v>
      </c>
      <c r="E3299">
        <v>6.1154999732971103</v>
      </c>
      <c r="F3299">
        <v>6.1154999732971103</v>
      </c>
      <c r="G3299">
        <v>124144000</v>
      </c>
      <c r="H3299">
        <f t="shared" si="204"/>
        <v>2010</v>
      </c>
      <c r="I3299">
        <f t="shared" si="205"/>
        <v>6</v>
      </c>
      <c r="J3299" t="str">
        <f t="shared" si="206"/>
        <v>Jun</v>
      </c>
      <c r="K3299" t="str">
        <f t="shared" si="207"/>
        <v>Tue</v>
      </c>
    </row>
    <row r="3300" spans="1:11" x14ac:dyDescent="0.35">
      <c r="A3300" s="1">
        <v>40352</v>
      </c>
      <c r="B3300">
        <v>6.1055002212524396</v>
      </c>
      <c r="C3300">
        <v>6.1609997749328604</v>
      </c>
      <c r="D3300">
        <v>6.0019998550415004</v>
      </c>
      <c r="E3300">
        <v>6.0725002288818297</v>
      </c>
      <c r="F3300">
        <v>6.0725002288818297</v>
      </c>
      <c r="G3300">
        <v>109102000</v>
      </c>
      <c r="H3300">
        <f t="shared" si="204"/>
        <v>2010</v>
      </c>
      <c r="I3300">
        <f t="shared" si="205"/>
        <v>6</v>
      </c>
      <c r="J3300" t="str">
        <f t="shared" si="206"/>
        <v>Jun</v>
      </c>
      <c r="K3300" t="str">
        <f t="shared" si="207"/>
        <v>Wed</v>
      </c>
    </row>
    <row r="3301" spans="1:11" x14ac:dyDescent="0.35">
      <c r="A3301" s="1">
        <v>40353</v>
      </c>
      <c r="B3301">
        <v>6.0304999351501403</v>
      </c>
      <c r="C3301">
        <v>6.0425000190734801</v>
      </c>
      <c r="D3301">
        <v>5.8400001525878897</v>
      </c>
      <c r="E3301">
        <v>5.9165000915527299</v>
      </c>
      <c r="F3301">
        <v>5.9165000915527299</v>
      </c>
      <c r="G3301">
        <v>155422000</v>
      </c>
      <c r="H3301">
        <f t="shared" si="204"/>
        <v>2010</v>
      </c>
      <c r="I3301">
        <f t="shared" si="205"/>
        <v>6</v>
      </c>
      <c r="J3301" t="str">
        <f t="shared" si="206"/>
        <v>Jun</v>
      </c>
      <c r="K3301" t="str">
        <f t="shared" si="207"/>
        <v>Thu</v>
      </c>
    </row>
    <row r="3302" spans="1:11" x14ac:dyDescent="0.35">
      <c r="A3302" s="1">
        <v>40354</v>
      </c>
      <c r="B3302">
        <v>5.90700006484985</v>
      </c>
      <c r="C3302">
        <v>6.0879998207092196</v>
      </c>
      <c r="D3302">
        <v>5.8814997673034597</v>
      </c>
      <c r="E3302">
        <v>6.0500001907348597</v>
      </c>
      <c r="F3302">
        <v>6.0500001907348597</v>
      </c>
      <c r="G3302">
        <v>115394000</v>
      </c>
      <c r="H3302">
        <f t="shared" si="204"/>
        <v>2010</v>
      </c>
      <c r="I3302">
        <f t="shared" si="205"/>
        <v>6</v>
      </c>
      <c r="J3302" t="str">
        <f t="shared" si="206"/>
        <v>Jun</v>
      </c>
      <c r="K3302" t="str">
        <f t="shared" si="207"/>
        <v>Fri</v>
      </c>
    </row>
    <row r="3303" spans="1:11" x14ac:dyDescent="0.35">
      <c r="A3303" s="1">
        <v>40357</v>
      </c>
      <c r="B3303">
        <v>5.94250011444091</v>
      </c>
      <c r="C3303">
        <v>6.0019998550415004</v>
      </c>
      <c r="D3303">
        <v>5.8550000190734801</v>
      </c>
      <c r="E3303">
        <v>5.8899998664855904</v>
      </c>
      <c r="F3303">
        <v>5.8899998664855904</v>
      </c>
      <c r="G3303">
        <v>112244000</v>
      </c>
      <c r="H3303">
        <f t="shared" si="204"/>
        <v>2010</v>
      </c>
      <c r="I3303">
        <f t="shared" si="205"/>
        <v>6</v>
      </c>
      <c r="J3303" t="str">
        <f t="shared" si="206"/>
        <v>Jun</v>
      </c>
      <c r="K3303" t="str">
        <f t="shared" si="207"/>
        <v>Mon</v>
      </c>
    </row>
    <row r="3304" spans="1:11" x14ac:dyDescent="0.35">
      <c r="A3304" s="1">
        <v>40358</v>
      </c>
      <c r="B3304">
        <v>5.8130002021789497</v>
      </c>
      <c r="C3304">
        <v>5.8239998817443803</v>
      </c>
      <c r="D3304">
        <v>5.3004999160766602</v>
      </c>
      <c r="E3304">
        <v>5.4305000305175701</v>
      </c>
      <c r="F3304">
        <v>5.4305000305175701</v>
      </c>
      <c r="G3304">
        <v>257326000</v>
      </c>
      <c r="H3304">
        <f t="shared" si="204"/>
        <v>2010</v>
      </c>
      <c r="I3304">
        <f t="shared" si="205"/>
        <v>6</v>
      </c>
      <c r="J3304" t="str">
        <f t="shared" si="206"/>
        <v>Jun</v>
      </c>
      <c r="K3304" t="str">
        <f t="shared" si="207"/>
        <v>Tue</v>
      </c>
    </row>
    <row r="3305" spans="1:11" x14ac:dyDescent="0.35">
      <c r="A3305" s="1">
        <v>40359</v>
      </c>
      <c r="B3305">
        <v>5.4289999008178702</v>
      </c>
      <c r="C3305">
        <v>5.6339998245239196</v>
      </c>
      <c r="D3305">
        <v>5.4054999351501403</v>
      </c>
      <c r="E3305">
        <v>5.4629998207092196</v>
      </c>
      <c r="F3305">
        <v>5.4629998207092196</v>
      </c>
      <c r="G3305">
        <v>194814000</v>
      </c>
      <c r="H3305">
        <f t="shared" si="204"/>
        <v>2010</v>
      </c>
      <c r="I3305">
        <f t="shared" si="205"/>
        <v>6</v>
      </c>
      <c r="J3305" t="str">
        <f t="shared" si="206"/>
        <v>Jun</v>
      </c>
      <c r="K3305" t="str">
        <f t="shared" si="207"/>
        <v>Wed</v>
      </c>
    </row>
    <row r="3306" spans="1:11" x14ac:dyDescent="0.35">
      <c r="A3306" s="1">
        <v>40360</v>
      </c>
      <c r="B3306">
        <v>5.4450001716613698</v>
      </c>
      <c r="C3306">
        <v>5.5844998359680096</v>
      </c>
      <c r="D3306">
        <v>5.33500003814697</v>
      </c>
      <c r="E3306">
        <v>5.5479998588562003</v>
      </c>
      <c r="F3306">
        <v>5.5479998588562003</v>
      </c>
      <c r="G3306">
        <v>170596000</v>
      </c>
      <c r="H3306">
        <f t="shared" si="204"/>
        <v>2010</v>
      </c>
      <c r="I3306">
        <f t="shared" si="205"/>
        <v>7</v>
      </c>
      <c r="J3306" t="str">
        <f t="shared" si="206"/>
        <v>Jul</v>
      </c>
      <c r="K3306" t="str">
        <f t="shared" si="207"/>
        <v>Thu</v>
      </c>
    </row>
    <row r="3307" spans="1:11" x14ac:dyDescent="0.35">
      <c r="A3307" s="1">
        <v>40361</v>
      </c>
      <c r="B3307">
        <v>5.5460000038146902</v>
      </c>
      <c r="C3307">
        <v>5.5644998550415004</v>
      </c>
      <c r="D3307">
        <v>5.4279999732971103</v>
      </c>
      <c r="E3307">
        <v>5.4569997787475497</v>
      </c>
      <c r="F3307">
        <v>5.4569997787475497</v>
      </c>
      <c r="G3307">
        <v>89542000</v>
      </c>
      <c r="H3307">
        <f t="shared" si="204"/>
        <v>2010</v>
      </c>
      <c r="I3307">
        <f t="shared" si="205"/>
        <v>7</v>
      </c>
      <c r="J3307" t="str">
        <f t="shared" si="206"/>
        <v>Jul</v>
      </c>
      <c r="K3307" t="str">
        <f t="shared" si="207"/>
        <v>Fri</v>
      </c>
    </row>
    <row r="3308" spans="1:11" x14ac:dyDescent="0.35">
      <c r="A3308" s="1">
        <v>40365</v>
      </c>
      <c r="B3308">
        <v>5.5324997901916504</v>
      </c>
      <c r="C3308">
        <v>5.6265001296996999</v>
      </c>
      <c r="D3308">
        <v>5.4499998092651296</v>
      </c>
      <c r="E3308">
        <v>5.5029997825622496</v>
      </c>
      <c r="F3308">
        <v>5.5029997825622496</v>
      </c>
      <c r="G3308">
        <v>104386000</v>
      </c>
      <c r="H3308">
        <f t="shared" si="204"/>
        <v>2010</v>
      </c>
      <c r="I3308">
        <f t="shared" si="205"/>
        <v>7</v>
      </c>
      <c r="J3308" t="str">
        <f t="shared" si="206"/>
        <v>Jul</v>
      </c>
      <c r="K3308" t="str">
        <f t="shared" si="207"/>
        <v>Tue</v>
      </c>
    </row>
    <row r="3309" spans="1:11" x14ac:dyDescent="0.35">
      <c r="A3309" s="1">
        <v>40366</v>
      </c>
      <c r="B3309">
        <v>5.49200010299682</v>
      </c>
      <c r="C3309">
        <v>5.6814999580383301</v>
      </c>
      <c r="D3309">
        <v>5.4904999732971103</v>
      </c>
      <c r="E3309">
        <v>5.6715002059936497</v>
      </c>
      <c r="F3309">
        <v>5.6715002059936497</v>
      </c>
      <c r="G3309">
        <v>98820000</v>
      </c>
      <c r="H3309">
        <f t="shared" si="204"/>
        <v>2010</v>
      </c>
      <c r="I3309">
        <f t="shared" si="205"/>
        <v>7</v>
      </c>
      <c r="J3309" t="str">
        <f t="shared" si="206"/>
        <v>Jul</v>
      </c>
      <c r="K3309" t="str">
        <f t="shared" si="207"/>
        <v>Wed</v>
      </c>
    </row>
    <row r="3310" spans="1:11" x14ac:dyDescent="0.35">
      <c r="A3310" s="1">
        <v>40367</v>
      </c>
      <c r="B3310">
        <v>5.7509999275207502</v>
      </c>
      <c r="C3310">
        <v>5.8740000724792401</v>
      </c>
      <c r="D3310">
        <v>5.7034997940063397</v>
      </c>
      <c r="E3310">
        <v>5.8109998703002903</v>
      </c>
      <c r="F3310">
        <v>5.8109998703002903</v>
      </c>
      <c r="G3310">
        <v>135500000</v>
      </c>
      <c r="H3310">
        <f t="shared" si="204"/>
        <v>2010</v>
      </c>
      <c r="I3310">
        <f t="shared" si="205"/>
        <v>7</v>
      </c>
      <c r="J3310" t="str">
        <f t="shared" si="206"/>
        <v>Jul</v>
      </c>
      <c r="K3310" t="str">
        <f t="shared" si="207"/>
        <v>Thu</v>
      </c>
    </row>
    <row r="3311" spans="1:11" x14ac:dyDescent="0.35">
      <c r="A3311" s="1">
        <v>40368</v>
      </c>
      <c r="B3311">
        <v>5.8274998664855904</v>
      </c>
      <c r="C3311">
        <v>5.8699998855590803</v>
      </c>
      <c r="D3311">
        <v>5.73250007629394</v>
      </c>
      <c r="E3311">
        <v>5.8629999160766602</v>
      </c>
      <c r="F3311">
        <v>5.8629999160766602</v>
      </c>
      <c r="G3311">
        <v>81302000</v>
      </c>
      <c r="H3311">
        <f t="shared" si="204"/>
        <v>2010</v>
      </c>
      <c r="I3311">
        <f t="shared" si="205"/>
        <v>7</v>
      </c>
      <c r="J3311" t="str">
        <f t="shared" si="206"/>
        <v>Jul</v>
      </c>
      <c r="K3311" t="str">
        <f t="shared" si="207"/>
        <v>Fri</v>
      </c>
    </row>
    <row r="3312" spans="1:11" x14ac:dyDescent="0.35">
      <c r="A3312" s="1">
        <v>40371</v>
      </c>
      <c r="B3312">
        <v>5.8905000686645499</v>
      </c>
      <c r="C3312">
        <v>5.9850001335143999</v>
      </c>
      <c r="D3312">
        <v>5.8660001754760698</v>
      </c>
      <c r="E3312">
        <v>5.9755001068115199</v>
      </c>
      <c r="F3312">
        <v>5.9755001068115199</v>
      </c>
      <c r="G3312">
        <v>95672000</v>
      </c>
      <c r="H3312">
        <f t="shared" si="204"/>
        <v>2010</v>
      </c>
      <c r="I3312">
        <f t="shared" si="205"/>
        <v>7</v>
      </c>
      <c r="J3312" t="str">
        <f t="shared" si="206"/>
        <v>Jul</v>
      </c>
      <c r="K3312" t="str">
        <f t="shared" si="207"/>
        <v>Mon</v>
      </c>
    </row>
    <row r="3313" spans="1:11" x14ac:dyDescent="0.35">
      <c r="A3313" s="1">
        <v>40372</v>
      </c>
      <c r="B3313">
        <v>6.0345001220703098</v>
      </c>
      <c r="C3313">
        <v>6.2439999580383301</v>
      </c>
      <c r="D3313">
        <v>6.0149998664855904</v>
      </c>
      <c r="E3313">
        <v>6.1824998855590803</v>
      </c>
      <c r="F3313">
        <v>6.1824998855590803</v>
      </c>
      <c r="G3313">
        <v>141822000</v>
      </c>
      <c r="H3313">
        <f t="shared" si="204"/>
        <v>2010</v>
      </c>
      <c r="I3313">
        <f t="shared" si="205"/>
        <v>7</v>
      </c>
      <c r="J3313" t="str">
        <f t="shared" si="206"/>
        <v>Jul</v>
      </c>
      <c r="K3313" t="str">
        <f t="shared" si="207"/>
        <v>Tue</v>
      </c>
    </row>
    <row r="3314" spans="1:11" x14ac:dyDescent="0.35">
      <c r="A3314" s="1">
        <v>40373</v>
      </c>
      <c r="B3314">
        <v>6.1515002250671298</v>
      </c>
      <c r="C3314">
        <v>6.1875</v>
      </c>
      <c r="D3314">
        <v>6.0735001564025799</v>
      </c>
      <c r="E3314">
        <v>6.1649999618530202</v>
      </c>
      <c r="F3314">
        <v>6.1649999618530202</v>
      </c>
      <c r="G3314">
        <v>105140000</v>
      </c>
      <c r="H3314">
        <f t="shared" si="204"/>
        <v>2010</v>
      </c>
      <c r="I3314">
        <f t="shared" si="205"/>
        <v>7</v>
      </c>
      <c r="J3314" t="str">
        <f t="shared" si="206"/>
        <v>Jul</v>
      </c>
      <c r="K3314" t="str">
        <f t="shared" si="207"/>
        <v>Wed</v>
      </c>
    </row>
    <row r="3315" spans="1:11" x14ac:dyDescent="0.35">
      <c r="A3315" s="1">
        <v>40374</v>
      </c>
      <c r="B3315">
        <v>6.0064997673034597</v>
      </c>
      <c r="C3315">
        <v>6.1240000724792401</v>
      </c>
      <c r="D3315">
        <v>5.9629998207092196</v>
      </c>
      <c r="E3315">
        <v>6.1030001640319798</v>
      </c>
      <c r="F3315">
        <v>6.1030001640319798</v>
      </c>
      <c r="G3315">
        <v>120954000</v>
      </c>
      <c r="H3315">
        <f t="shared" si="204"/>
        <v>2010</v>
      </c>
      <c r="I3315">
        <f t="shared" si="205"/>
        <v>7</v>
      </c>
      <c r="J3315" t="str">
        <f t="shared" si="206"/>
        <v>Jul</v>
      </c>
      <c r="K3315" t="str">
        <f t="shared" si="207"/>
        <v>Thu</v>
      </c>
    </row>
    <row r="3316" spans="1:11" x14ac:dyDescent="0.35">
      <c r="A3316" s="1">
        <v>40375</v>
      </c>
      <c r="B3316">
        <v>6.0640001296996999</v>
      </c>
      <c r="C3316">
        <v>6.0960001945495597</v>
      </c>
      <c r="D3316">
        <v>5.9004998207092196</v>
      </c>
      <c r="E3316">
        <v>5.9244999885559002</v>
      </c>
      <c r="F3316">
        <v>5.9244999885559002</v>
      </c>
      <c r="G3316">
        <v>124558000</v>
      </c>
      <c r="H3316">
        <f t="shared" si="204"/>
        <v>2010</v>
      </c>
      <c r="I3316">
        <f t="shared" si="205"/>
        <v>7</v>
      </c>
      <c r="J3316" t="str">
        <f t="shared" si="206"/>
        <v>Jul</v>
      </c>
      <c r="K3316" t="str">
        <f t="shared" si="207"/>
        <v>Fri</v>
      </c>
    </row>
    <row r="3317" spans="1:11" x14ac:dyDescent="0.35">
      <c r="A3317" s="1">
        <v>40378</v>
      </c>
      <c r="B3317">
        <v>5.9190001487731898</v>
      </c>
      <c r="C3317">
        <v>6.0370001792907697</v>
      </c>
      <c r="D3317">
        <v>5.8499999046325604</v>
      </c>
      <c r="E3317">
        <v>5.9970002174377397</v>
      </c>
      <c r="F3317">
        <v>5.9970002174377397</v>
      </c>
      <c r="G3317">
        <v>100618000</v>
      </c>
      <c r="H3317">
        <f t="shared" si="204"/>
        <v>2010</v>
      </c>
      <c r="I3317">
        <f t="shared" si="205"/>
        <v>7</v>
      </c>
      <c r="J3317" t="str">
        <f t="shared" si="206"/>
        <v>Jul</v>
      </c>
      <c r="K3317" t="str">
        <f t="shared" si="207"/>
        <v>Mon</v>
      </c>
    </row>
    <row r="3318" spans="1:11" x14ac:dyDescent="0.35">
      <c r="A3318" s="1">
        <v>40379</v>
      </c>
      <c r="B3318">
        <v>6.0304999351501403</v>
      </c>
      <c r="C3318">
        <v>6.03550004959106</v>
      </c>
      <c r="D3318">
        <v>5.8755002021789497</v>
      </c>
      <c r="E3318">
        <v>6.00500011444091</v>
      </c>
      <c r="F3318">
        <v>6.00500011444091</v>
      </c>
      <c r="G3318">
        <v>135700000</v>
      </c>
      <c r="H3318">
        <f t="shared" si="204"/>
        <v>2010</v>
      </c>
      <c r="I3318">
        <f t="shared" si="205"/>
        <v>7</v>
      </c>
      <c r="J3318" t="str">
        <f t="shared" si="206"/>
        <v>Jul</v>
      </c>
      <c r="K3318" t="str">
        <f t="shared" si="207"/>
        <v>Tue</v>
      </c>
    </row>
    <row r="3319" spans="1:11" x14ac:dyDescent="0.35">
      <c r="A3319" s="1">
        <v>40380</v>
      </c>
      <c r="B3319">
        <v>6.0310001373290998</v>
      </c>
      <c r="C3319">
        <v>6.0625</v>
      </c>
      <c r="D3319">
        <v>5.8629999160766602</v>
      </c>
      <c r="E3319">
        <v>5.8715000152587802</v>
      </c>
      <c r="F3319">
        <v>5.8715000152587802</v>
      </c>
      <c r="G3319">
        <v>100234000</v>
      </c>
      <c r="H3319">
        <f t="shared" si="204"/>
        <v>2010</v>
      </c>
      <c r="I3319">
        <f t="shared" si="205"/>
        <v>7</v>
      </c>
      <c r="J3319" t="str">
        <f t="shared" si="206"/>
        <v>Jul</v>
      </c>
      <c r="K3319" t="str">
        <f t="shared" si="207"/>
        <v>Wed</v>
      </c>
    </row>
    <row r="3320" spans="1:11" x14ac:dyDescent="0.35">
      <c r="A3320" s="1">
        <v>40381</v>
      </c>
      <c r="B3320">
        <v>5.9355001449584899</v>
      </c>
      <c r="C3320">
        <v>6.0434999465942303</v>
      </c>
      <c r="D3320">
        <v>5.90100002288818</v>
      </c>
      <c r="E3320">
        <v>6.00349998474121</v>
      </c>
      <c r="F3320">
        <v>6.00349998474121</v>
      </c>
      <c r="G3320">
        <v>300068000</v>
      </c>
      <c r="H3320">
        <f t="shared" si="204"/>
        <v>2010</v>
      </c>
      <c r="I3320">
        <f t="shared" si="205"/>
        <v>7</v>
      </c>
      <c r="J3320" t="str">
        <f t="shared" si="206"/>
        <v>Jul</v>
      </c>
      <c r="K3320" t="str">
        <f t="shared" si="207"/>
        <v>Thu</v>
      </c>
    </row>
    <row r="3321" spans="1:11" x14ac:dyDescent="0.35">
      <c r="A3321" s="1">
        <v>40382</v>
      </c>
      <c r="B3321">
        <v>5.2965002059936497</v>
      </c>
      <c r="C3321">
        <v>5.9640002250671298</v>
      </c>
      <c r="D3321">
        <v>5.2899999618530202</v>
      </c>
      <c r="E3321">
        <v>5.9435000419616699</v>
      </c>
      <c r="F3321">
        <v>5.9435000419616699</v>
      </c>
      <c r="G3321">
        <v>848422000</v>
      </c>
      <c r="H3321">
        <f t="shared" si="204"/>
        <v>2010</v>
      </c>
      <c r="I3321">
        <f t="shared" si="205"/>
        <v>7</v>
      </c>
      <c r="J3321" t="str">
        <f t="shared" si="206"/>
        <v>Jul</v>
      </c>
      <c r="K3321" t="str">
        <f t="shared" si="207"/>
        <v>Fri</v>
      </c>
    </row>
    <row r="3322" spans="1:11" x14ac:dyDescent="0.35">
      <c r="A3322" s="1">
        <v>40385</v>
      </c>
      <c r="B3322">
        <v>5.9130001068115199</v>
      </c>
      <c r="C3322">
        <v>5.9299998283386204</v>
      </c>
      <c r="D3322">
        <v>5.7439999580383301</v>
      </c>
      <c r="E3322">
        <v>5.92000007629394</v>
      </c>
      <c r="F3322">
        <v>5.92000007629394</v>
      </c>
      <c r="G3322">
        <v>222756000</v>
      </c>
      <c r="H3322">
        <f t="shared" si="204"/>
        <v>2010</v>
      </c>
      <c r="I3322">
        <f t="shared" si="205"/>
        <v>7</v>
      </c>
      <c r="J3322" t="str">
        <f t="shared" si="206"/>
        <v>Jul</v>
      </c>
      <c r="K3322" t="str">
        <f t="shared" si="207"/>
        <v>Mon</v>
      </c>
    </row>
    <row r="3323" spans="1:11" x14ac:dyDescent="0.35">
      <c r="A3323" s="1">
        <v>40386</v>
      </c>
      <c r="B3323">
        <v>5.9215002059936497</v>
      </c>
      <c r="C3323">
        <v>5.9250001907348597</v>
      </c>
      <c r="D3323">
        <v>5.75349998474121</v>
      </c>
      <c r="E3323">
        <v>5.8565001487731898</v>
      </c>
      <c r="F3323">
        <v>5.8565001487731898</v>
      </c>
      <c r="G3323">
        <v>155922000</v>
      </c>
      <c r="H3323">
        <f t="shared" si="204"/>
        <v>2010</v>
      </c>
      <c r="I3323">
        <f t="shared" si="205"/>
        <v>7</v>
      </c>
      <c r="J3323" t="str">
        <f t="shared" si="206"/>
        <v>Jul</v>
      </c>
      <c r="K3323" t="str">
        <f t="shared" si="207"/>
        <v>Tue</v>
      </c>
    </row>
    <row r="3324" spans="1:11" x14ac:dyDescent="0.35">
      <c r="A3324" s="1">
        <v>40387</v>
      </c>
      <c r="B3324">
        <v>5.8499999046325604</v>
      </c>
      <c r="C3324">
        <v>5.9099998474120996</v>
      </c>
      <c r="D3324">
        <v>5.8200001716613698</v>
      </c>
      <c r="E3324">
        <v>5.8565001487731898</v>
      </c>
      <c r="F3324">
        <v>5.8565001487731898</v>
      </c>
      <c r="G3324">
        <v>109446000</v>
      </c>
      <c r="H3324">
        <f t="shared" si="204"/>
        <v>2010</v>
      </c>
      <c r="I3324">
        <f t="shared" si="205"/>
        <v>7</v>
      </c>
      <c r="J3324" t="str">
        <f t="shared" si="206"/>
        <v>Jul</v>
      </c>
      <c r="K3324" t="str">
        <f t="shared" si="207"/>
        <v>Wed</v>
      </c>
    </row>
    <row r="3325" spans="1:11" x14ac:dyDescent="0.35">
      <c r="A3325" s="1">
        <v>40388</v>
      </c>
      <c r="B3325">
        <v>5.8994998931884703</v>
      </c>
      <c r="C3325">
        <v>5.9435000419616699</v>
      </c>
      <c r="D3325">
        <v>5.77600002288818</v>
      </c>
      <c r="E3325">
        <v>5.8429999351501403</v>
      </c>
      <c r="F3325">
        <v>5.8429999351501403</v>
      </c>
      <c r="G3325">
        <v>123516000</v>
      </c>
      <c r="H3325">
        <f t="shared" si="204"/>
        <v>2010</v>
      </c>
      <c r="I3325">
        <f t="shared" si="205"/>
        <v>7</v>
      </c>
      <c r="J3325" t="str">
        <f t="shared" si="206"/>
        <v>Jul</v>
      </c>
      <c r="K3325" t="str">
        <f t="shared" si="207"/>
        <v>Thu</v>
      </c>
    </row>
    <row r="3326" spans="1:11" x14ac:dyDescent="0.35">
      <c r="A3326" s="1">
        <v>40389</v>
      </c>
      <c r="B3326">
        <v>5.7765002250671298</v>
      </c>
      <c r="C3326">
        <v>5.9369997978210396</v>
      </c>
      <c r="D3326">
        <v>5.7255001068115199</v>
      </c>
      <c r="E3326">
        <v>5.8944997787475497</v>
      </c>
      <c r="F3326">
        <v>5.8944997787475497</v>
      </c>
      <c r="G3326">
        <v>141550000</v>
      </c>
      <c r="H3326">
        <f t="shared" si="204"/>
        <v>2010</v>
      </c>
      <c r="I3326">
        <f t="shared" si="205"/>
        <v>7</v>
      </c>
      <c r="J3326" t="str">
        <f t="shared" si="206"/>
        <v>Jul</v>
      </c>
      <c r="K3326" t="str">
        <f t="shared" si="207"/>
        <v>Fri</v>
      </c>
    </row>
    <row r="3327" spans="1:11" x14ac:dyDescent="0.35">
      <c r="A3327" s="1">
        <v>40392</v>
      </c>
      <c r="B3327">
        <v>5.9574999809265101</v>
      </c>
      <c r="C3327">
        <v>6.0190000534057599</v>
      </c>
      <c r="D3327">
        <v>5.87849998474121</v>
      </c>
      <c r="E3327">
        <v>6.00349998474121</v>
      </c>
      <c r="F3327">
        <v>6.00349998474121</v>
      </c>
      <c r="G3327">
        <v>108874000</v>
      </c>
      <c r="H3327">
        <f t="shared" si="204"/>
        <v>2010</v>
      </c>
      <c r="I3327">
        <f t="shared" si="205"/>
        <v>8</v>
      </c>
      <c r="J3327" t="str">
        <f t="shared" si="206"/>
        <v>Aug</v>
      </c>
      <c r="K3327" t="str">
        <f t="shared" si="207"/>
        <v>Mon</v>
      </c>
    </row>
    <row r="3328" spans="1:11" x14ac:dyDescent="0.35">
      <c r="A3328" s="1">
        <v>40393</v>
      </c>
      <c r="B3328">
        <v>6</v>
      </c>
      <c r="C3328">
        <v>6.1434998512268004</v>
      </c>
      <c r="D3328">
        <v>5.9840002059936497</v>
      </c>
      <c r="E3328">
        <v>6.1209998130798304</v>
      </c>
      <c r="F3328">
        <v>6.1209998130798304</v>
      </c>
      <c r="G3328">
        <v>119076000</v>
      </c>
      <c r="H3328">
        <f t="shared" si="204"/>
        <v>2010</v>
      </c>
      <c r="I3328">
        <f t="shared" si="205"/>
        <v>8</v>
      </c>
      <c r="J3328" t="str">
        <f t="shared" si="206"/>
        <v>Aug</v>
      </c>
      <c r="K3328" t="str">
        <f t="shared" si="207"/>
        <v>Tue</v>
      </c>
    </row>
    <row r="3329" spans="1:11" x14ac:dyDescent="0.35">
      <c r="A3329" s="1">
        <v>40394</v>
      </c>
      <c r="B3329">
        <v>6.1529998779296804</v>
      </c>
      <c r="C3329">
        <v>6.42350006103515</v>
      </c>
      <c r="D3329">
        <v>6.1500000953674299</v>
      </c>
      <c r="E3329">
        <v>6.3790001869201598</v>
      </c>
      <c r="F3329">
        <v>6.3790001869201598</v>
      </c>
      <c r="G3329">
        <v>185416000</v>
      </c>
      <c r="H3329">
        <f t="shared" si="204"/>
        <v>2010</v>
      </c>
      <c r="I3329">
        <f t="shared" si="205"/>
        <v>8</v>
      </c>
      <c r="J3329" t="str">
        <f t="shared" si="206"/>
        <v>Aug</v>
      </c>
      <c r="K3329" t="str">
        <f t="shared" si="207"/>
        <v>Wed</v>
      </c>
    </row>
    <row r="3330" spans="1:11" x14ac:dyDescent="0.35">
      <c r="A3330" s="1">
        <v>40395</v>
      </c>
      <c r="B3330">
        <v>6.33850002288818</v>
      </c>
      <c r="C3330">
        <v>6.4000000953674299</v>
      </c>
      <c r="D3330">
        <v>6.2909998893737704</v>
      </c>
      <c r="E3330">
        <v>6.3914999961853001</v>
      </c>
      <c r="F3330">
        <v>6.3914999961853001</v>
      </c>
      <c r="G3330">
        <v>85646000</v>
      </c>
      <c r="H3330">
        <f t="shared" si="204"/>
        <v>2010</v>
      </c>
      <c r="I3330">
        <f t="shared" si="205"/>
        <v>8</v>
      </c>
      <c r="J3330" t="str">
        <f t="shared" si="206"/>
        <v>Aug</v>
      </c>
      <c r="K3330" t="str">
        <f t="shared" si="207"/>
        <v>Thu</v>
      </c>
    </row>
    <row r="3331" spans="1:11" x14ac:dyDescent="0.35">
      <c r="A3331" s="1">
        <v>40396</v>
      </c>
      <c r="B3331">
        <v>6.3359999656677202</v>
      </c>
      <c r="C3331">
        <v>6.42000007629394</v>
      </c>
      <c r="D3331">
        <v>6.29500007629394</v>
      </c>
      <c r="E3331">
        <v>6.4159998893737704</v>
      </c>
      <c r="F3331">
        <v>6.4159998893737704</v>
      </c>
      <c r="G3331">
        <v>101304000</v>
      </c>
      <c r="H3331">
        <f t="shared" si="204"/>
        <v>2010</v>
      </c>
      <c r="I3331">
        <f t="shared" si="205"/>
        <v>8</v>
      </c>
      <c r="J3331" t="str">
        <f t="shared" si="206"/>
        <v>Aug</v>
      </c>
      <c r="K3331" t="str">
        <f t="shared" si="207"/>
        <v>Fri</v>
      </c>
    </row>
    <row r="3332" spans="1:11" x14ac:dyDescent="0.35">
      <c r="A3332" s="1">
        <v>40399</v>
      </c>
      <c r="B3332">
        <v>6.4229998588562003</v>
      </c>
      <c r="C3332">
        <v>6.4965000152587802</v>
      </c>
      <c r="D3332">
        <v>6.3924999237060502</v>
      </c>
      <c r="E3332">
        <v>6.4415001869201598</v>
      </c>
      <c r="F3332">
        <v>6.4415001869201598</v>
      </c>
      <c r="G3332">
        <v>101716000</v>
      </c>
      <c r="H3332">
        <f t="shared" ref="H3332:H3395" si="208">YEAR($A3332)</f>
        <v>2010</v>
      </c>
      <c r="I3332">
        <f t="shared" ref="I3332:I3395" si="209">MONTH($A3332)</f>
        <v>8</v>
      </c>
      <c r="J3332" t="str">
        <f t="shared" ref="J3332:J3395" si="210">TEXT($A3332,"mmm")</f>
        <v>Aug</v>
      </c>
      <c r="K3332" t="str">
        <f t="shared" ref="K3332:K3395" si="211">TEXT($A3332,"ddd")</f>
        <v>Mon</v>
      </c>
    </row>
    <row r="3333" spans="1:11" x14ac:dyDescent="0.35">
      <c r="A3333" s="1">
        <v>40400</v>
      </c>
      <c r="B3333">
        <v>6.39750003814697</v>
      </c>
      <c r="C3333">
        <v>6.5</v>
      </c>
      <c r="D3333">
        <v>6.3689999580383301</v>
      </c>
      <c r="E3333">
        <v>6.5</v>
      </c>
      <c r="F3333">
        <v>6.5</v>
      </c>
      <c r="G3333">
        <v>114138000</v>
      </c>
      <c r="H3333">
        <f t="shared" si="208"/>
        <v>2010</v>
      </c>
      <c r="I3333">
        <f t="shared" si="209"/>
        <v>8</v>
      </c>
      <c r="J3333" t="str">
        <f t="shared" si="210"/>
        <v>Aug</v>
      </c>
      <c r="K3333" t="str">
        <f t="shared" si="211"/>
        <v>Tue</v>
      </c>
    </row>
    <row r="3334" spans="1:11" x14ac:dyDescent="0.35">
      <c r="A3334" s="1">
        <v>40401</v>
      </c>
      <c r="B3334">
        <v>6.4050002098083496</v>
      </c>
      <c r="C3334">
        <v>6.4060001373290998</v>
      </c>
      <c r="D3334">
        <v>6.2600002288818297</v>
      </c>
      <c r="E3334">
        <v>6.2944998741149902</v>
      </c>
      <c r="F3334">
        <v>6.2944998741149902</v>
      </c>
      <c r="G3334">
        <v>110834000</v>
      </c>
      <c r="H3334">
        <f t="shared" si="208"/>
        <v>2010</v>
      </c>
      <c r="I3334">
        <f t="shared" si="209"/>
        <v>8</v>
      </c>
      <c r="J3334" t="str">
        <f t="shared" si="210"/>
        <v>Aug</v>
      </c>
      <c r="K3334" t="str">
        <f t="shared" si="211"/>
        <v>Wed</v>
      </c>
    </row>
    <row r="3335" spans="1:11" x14ac:dyDescent="0.35">
      <c r="A3335" s="1">
        <v>40402</v>
      </c>
      <c r="B3335">
        <v>6.1880002021789497</v>
      </c>
      <c r="C3335">
        <v>6.3499999046325604</v>
      </c>
      <c r="D3335">
        <v>6.1774997711181596</v>
      </c>
      <c r="E3335">
        <v>6.3280000686645499</v>
      </c>
      <c r="F3335">
        <v>6.3280000686645499</v>
      </c>
      <c r="G3335">
        <v>87358000</v>
      </c>
      <c r="H3335">
        <f t="shared" si="208"/>
        <v>2010</v>
      </c>
      <c r="I3335">
        <f t="shared" si="209"/>
        <v>8</v>
      </c>
      <c r="J3335" t="str">
        <f t="shared" si="210"/>
        <v>Aug</v>
      </c>
      <c r="K3335" t="str">
        <f t="shared" si="211"/>
        <v>Thu</v>
      </c>
    </row>
    <row r="3336" spans="1:11" x14ac:dyDescent="0.35">
      <c r="A3336" s="1">
        <v>40403</v>
      </c>
      <c r="B3336">
        <v>6.3029999732971103</v>
      </c>
      <c r="C3336">
        <v>6.3740000724792401</v>
      </c>
      <c r="D3336">
        <v>6.2129998207092196</v>
      </c>
      <c r="E3336">
        <v>6.2344999313354403</v>
      </c>
      <c r="F3336">
        <v>6.2344999313354403</v>
      </c>
      <c r="G3336">
        <v>79532000</v>
      </c>
      <c r="H3336">
        <f t="shared" si="208"/>
        <v>2010</v>
      </c>
      <c r="I3336">
        <f t="shared" si="209"/>
        <v>8</v>
      </c>
      <c r="J3336" t="str">
        <f t="shared" si="210"/>
        <v>Aug</v>
      </c>
      <c r="K3336" t="str">
        <f t="shared" si="211"/>
        <v>Fri</v>
      </c>
    </row>
    <row r="3337" spans="1:11" x14ac:dyDescent="0.35">
      <c r="A3337" s="1">
        <v>40406</v>
      </c>
      <c r="B3337">
        <v>6.1805000305175701</v>
      </c>
      <c r="C3337">
        <v>6.3685002326965297</v>
      </c>
      <c r="D3337">
        <v>6.1519999504089302</v>
      </c>
      <c r="E3337">
        <v>6.3035001754760698</v>
      </c>
      <c r="F3337">
        <v>6.3035001754760698</v>
      </c>
      <c r="G3337">
        <v>80494000</v>
      </c>
      <c r="H3337">
        <f t="shared" si="208"/>
        <v>2010</v>
      </c>
      <c r="I3337">
        <f t="shared" si="209"/>
        <v>8</v>
      </c>
      <c r="J3337" t="str">
        <f t="shared" si="210"/>
        <v>Aug</v>
      </c>
      <c r="K3337" t="str">
        <f t="shared" si="211"/>
        <v>Mon</v>
      </c>
    </row>
    <row r="3338" spans="1:11" x14ac:dyDescent="0.35">
      <c r="A3338" s="1">
        <v>40407</v>
      </c>
      <c r="B3338">
        <v>6.36700010299682</v>
      </c>
      <c r="C3338">
        <v>6.4990000724792401</v>
      </c>
      <c r="D3338">
        <v>6.3394999504089302</v>
      </c>
      <c r="E3338">
        <v>6.4429998397827104</v>
      </c>
      <c r="F3338">
        <v>6.4429998397827104</v>
      </c>
      <c r="G3338">
        <v>100894000</v>
      </c>
      <c r="H3338">
        <f t="shared" si="208"/>
        <v>2010</v>
      </c>
      <c r="I3338">
        <f t="shared" si="209"/>
        <v>8</v>
      </c>
      <c r="J3338" t="str">
        <f t="shared" si="210"/>
        <v>Aug</v>
      </c>
      <c r="K3338" t="str">
        <f t="shared" si="211"/>
        <v>Tue</v>
      </c>
    </row>
    <row r="3339" spans="1:11" x14ac:dyDescent="0.35">
      <c r="A3339" s="1">
        <v>40408</v>
      </c>
      <c r="B3339">
        <v>6.4625000953674299</v>
      </c>
      <c r="C3339">
        <v>6.5405001640319798</v>
      </c>
      <c r="D3339">
        <v>6.4130001068115199</v>
      </c>
      <c r="E3339">
        <v>6.48250007629394</v>
      </c>
      <c r="F3339">
        <v>6.48250007629394</v>
      </c>
      <c r="G3339">
        <v>158030000</v>
      </c>
      <c r="H3339">
        <f t="shared" si="208"/>
        <v>2010</v>
      </c>
      <c r="I3339">
        <f t="shared" si="209"/>
        <v>8</v>
      </c>
      <c r="J3339" t="str">
        <f t="shared" si="210"/>
        <v>Aug</v>
      </c>
      <c r="K3339" t="str">
        <f t="shared" si="211"/>
        <v>Wed</v>
      </c>
    </row>
    <row r="3340" spans="1:11" x14ac:dyDescent="0.35">
      <c r="A3340" s="1">
        <v>40409</v>
      </c>
      <c r="B3340">
        <v>6.4609999656677202</v>
      </c>
      <c r="C3340">
        <v>6.5009999275207502</v>
      </c>
      <c r="D3340">
        <v>6.3410000801086399</v>
      </c>
      <c r="E3340">
        <v>6.37849998474121</v>
      </c>
      <c r="F3340">
        <v>6.37849998474121</v>
      </c>
      <c r="G3340">
        <v>111650000</v>
      </c>
      <c r="H3340">
        <f t="shared" si="208"/>
        <v>2010</v>
      </c>
      <c r="I3340">
        <f t="shared" si="209"/>
        <v>8</v>
      </c>
      <c r="J3340" t="str">
        <f t="shared" si="210"/>
        <v>Aug</v>
      </c>
      <c r="K3340" t="str">
        <f t="shared" si="211"/>
        <v>Thu</v>
      </c>
    </row>
    <row r="3341" spans="1:11" x14ac:dyDescent="0.35">
      <c r="A3341" s="1">
        <v>40410</v>
      </c>
      <c r="B3341">
        <v>6.3600001335143999</v>
      </c>
      <c r="C3341">
        <v>6.4019999504089302</v>
      </c>
      <c r="D3341">
        <v>6.3010001182556099</v>
      </c>
      <c r="E3341">
        <v>6.38800001144409</v>
      </c>
      <c r="F3341">
        <v>6.38800001144409</v>
      </c>
      <c r="G3341">
        <v>83402000</v>
      </c>
      <c r="H3341">
        <f t="shared" si="208"/>
        <v>2010</v>
      </c>
      <c r="I3341">
        <f t="shared" si="209"/>
        <v>8</v>
      </c>
      <c r="J3341" t="str">
        <f t="shared" si="210"/>
        <v>Aug</v>
      </c>
      <c r="K3341" t="str">
        <f t="shared" si="211"/>
        <v>Fri</v>
      </c>
    </row>
    <row r="3342" spans="1:11" x14ac:dyDescent="0.35">
      <c r="A3342" s="1">
        <v>40413</v>
      </c>
      <c r="B3342">
        <v>6.3930001258850098</v>
      </c>
      <c r="C3342">
        <v>6.4609999656677202</v>
      </c>
      <c r="D3342">
        <v>6.3249998092651296</v>
      </c>
      <c r="E3342">
        <v>6.3299999237060502</v>
      </c>
      <c r="F3342">
        <v>6.3299999237060502</v>
      </c>
      <c r="G3342">
        <v>77226000</v>
      </c>
      <c r="H3342">
        <f t="shared" si="208"/>
        <v>2010</v>
      </c>
      <c r="I3342">
        <f t="shared" si="209"/>
        <v>8</v>
      </c>
      <c r="J3342" t="str">
        <f t="shared" si="210"/>
        <v>Aug</v>
      </c>
      <c r="K3342" t="str">
        <f t="shared" si="211"/>
        <v>Mon</v>
      </c>
    </row>
    <row r="3343" spans="1:11" x14ac:dyDescent="0.35">
      <c r="A3343" s="1">
        <v>40414</v>
      </c>
      <c r="B3343">
        <v>6.2705001831054599</v>
      </c>
      <c r="C3343">
        <v>6.2719998359680096</v>
      </c>
      <c r="D3343">
        <v>6.1589999198913503</v>
      </c>
      <c r="E3343">
        <v>6.2265000343322701</v>
      </c>
      <c r="F3343">
        <v>6.2265000343322701</v>
      </c>
      <c r="G3343">
        <v>107394000</v>
      </c>
      <c r="H3343">
        <f t="shared" si="208"/>
        <v>2010</v>
      </c>
      <c r="I3343">
        <f t="shared" si="209"/>
        <v>8</v>
      </c>
      <c r="J3343" t="str">
        <f t="shared" si="210"/>
        <v>Aug</v>
      </c>
      <c r="K3343" t="str">
        <f t="shared" si="211"/>
        <v>Tue</v>
      </c>
    </row>
    <row r="3344" spans="1:11" x14ac:dyDescent="0.35">
      <c r="A3344" s="1">
        <v>40415</v>
      </c>
      <c r="B3344">
        <v>6.19250011444091</v>
      </c>
      <c r="C3344">
        <v>6.3685002326965297</v>
      </c>
      <c r="D3344">
        <v>6.1915001869201598</v>
      </c>
      <c r="E3344">
        <v>6.3425002098083496</v>
      </c>
      <c r="F3344">
        <v>6.3425002098083496</v>
      </c>
      <c r="G3344">
        <v>106890000</v>
      </c>
      <c r="H3344">
        <f t="shared" si="208"/>
        <v>2010</v>
      </c>
      <c r="I3344">
        <f t="shared" si="209"/>
        <v>8</v>
      </c>
      <c r="J3344" t="str">
        <f t="shared" si="210"/>
        <v>Aug</v>
      </c>
      <c r="K3344" t="str">
        <f t="shared" si="211"/>
        <v>Wed</v>
      </c>
    </row>
    <row r="3345" spans="1:11" x14ac:dyDescent="0.35">
      <c r="A3345" s="1">
        <v>40416</v>
      </c>
      <c r="B3345">
        <v>6.35750007629394</v>
      </c>
      <c r="C3345">
        <v>6.3794999122619602</v>
      </c>
      <c r="D3345">
        <v>6.2410001754760698</v>
      </c>
      <c r="E3345">
        <v>6.2430000305175701</v>
      </c>
      <c r="F3345">
        <v>6.2430000305175701</v>
      </c>
      <c r="G3345">
        <v>93890000</v>
      </c>
      <c r="H3345">
        <f t="shared" si="208"/>
        <v>2010</v>
      </c>
      <c r="I3345">
        <f t="shared" si="209"/>
        <v>8</v>
      </c>
      <c r="J3345" t="str">
        <f t="shared" si="210"/>
        <v>Aug</v>
      </c>
      <c r="K3345" t="str">
        <f t="shared" si="211"/>
        <v>Thu</v>
      </c>
    </row>
    <row r="3346" spans="1:11" x14ac:dyDescent="0.35">
      <c r="A3346" s="1">
        <v>40417</v>
      </c>
      <c r="B3346">
        <v>6.2729997634887598</v>
      </c>
      <c r="C3346">
        <v>6.3319997787475497</v>
      </c>
      <c r="D3346">
        <v>6.1125001907348597</v>
      </c>
      <c r="E3346">
        <v>6.3319997787475497</v>
      </c>
      <c r="F3346">
        <v>6.3319997787475497</v>
      </c>
      <c r="G3346">
        <v>101600000</v>
      </c>
      <c r="H3346">
        <f t="shared" si="208"/>
        <v>2010</v>
      </c>
      <c r="I3346">
        <f t="shared" si="209"/>
        <v>8</v>
      </c>
      <c r="J3346" t="str">
        <f t="shared" si="210"/>
        <v>Aug</v>
      </c>
      <c r="K3346" t="str">
        <f t="shared" si="211"/>
        <v>Fri</v>
      </c>
    </row>
    <row r="3347" spans="1:11" x14ac:dyDescent="0.35">
      <c r="A3347" s="1">
        <v>40420</v>
      </c>
      <c r="B3347">
        <v>6.3014998435974103</v>
      </c>
      <c r="C3347">
        <v>6.3474998474120996</v>
      </c>
      <c r="D3347">
        <v>6.1845002174377397</v>
      </c>
      <c r="E3347">
        <v>6.1894998550415004</v>
      </c>
      <c r="F3347">
        <v>6.1894998550415004</v>
      </c>
      <c r="G3347">
        <v>68520000</v>
      </c>
      <c r="H3347">
        <f t="shared" si="208"/>
        <v>2010</v>
      </c>
      <c r="I3347">
        <f t="shared" si="209"/>
        <v>8</v>
      </c>
      <c r="J3347" t="str">
        <f t="shared" si="210"/>
        <v>Aug</v>
      </c>
      <c r="K3347" t="str">
        <f t="shared" si="211"/>
        <v>Mon</v>
      </c>
    </row>
    <row r="3348" spans="1:11" x14ac:dyDescent="0.35">
      <c r="A3348" s="1">
        <v>40421</v>
      </c>
      <c r="B3348">
        <v>6.1424999237060502</v>
      </c>
      <c r="C3348">
        <v>6.29500007629394</v>
      </c>
      <c r="D3348">
        <v>6.125</v>
      </c>
      <c r="E3348">
        <v>6.2414999008178702</v>
      </c>
      <c r="F3348">
        <v>6.2414999008178702</v>
      </c>
      <c r="G3348">
        <v>84512000</v>
      </c>
      <c r="H3348">
        <f t="shared" si="208"/>
        <v>2010</v>
      </c>
      <c r="I3348">
        <f t="shared" si="209"/>
        <v>8</v>
      </c>
      <c r="J3348" t="str">
        <f t="shared" si="210"/>
        <v>Aug</v>
      </c>
      <c r="K3348" t="str">
        <f t="shared" si="211"/>
        <v>Tue</v>
      </c>
    </row>
    <row r="3349" spans="1:11" x14ac:dyDescent="0.35">
      <c r="A3349" s="1">
        <v>40422</v>
      </c>
      <c r="B3349">
        <v>6.3179998397827104</v>
      </c>
      <c r="C3349">
        <v>6.63000011444091</v>
      </c>
      <c r="D3349">
        <v>6.3084998130798304</v>
      </c>
      <c r="E3349">
        <v>6.6244997978210396</v>
      </c>
      <c r="F3349">
        <v>6.6244997978210396</v>
      </c>
      <c r="G3349">
        <v>142766000</v>
      </c>
      <c r="H3349">
        <f t="shared" si="208"/>
        <v>2010</v>
      </c>
      <c r="I3349">
        <f t="shared" si="209"/>
        <v>9</v>
      </c>
      <c r="J3349" t="str">
        <f t="shared" si="210"/>
        <v>Sep</v>
      </c>
      <c r="K3349" t="str">
        <f t="shared" si="211"/>
        <v>Wed</v>
      </c>
    </row>
    <row r="3350" spans="1:11" x14ac:dyDescent="0.35">
      <c r="A3350" s="1">
        <v>40423</v>
      </c>
      <c r="B3350">
        <v>6.6085000038146902</v>
      </c>
      <c r="C3350">
        <v>6.7604999542236301</v>
      </c>
      <c r="D3350">
        <v>6.6024999618530202</v>
      </c>
      <c r="E3350">
        <v>6.7604999542236301</v>
      </c>
      <c r="F3350">
        <v>6.7604999542236301</v>
      </c>
      <c r="G3350">
        <v>108148000</v>
      </c>
      <c r="H3350">
        <f t="shared" si="208"/>
        <v>2010</v>
      </c>
      <c r="I3350">
        <f t="shared" si="209"/>
        <v>9</v>
      </c>
      <c r="J3350" t="str">
        <f t="shared" si="210"/>
        <v>Sep</v>
      </c>
      <c r="K3350" t="str">
        <f t="shared" si="211"/>
        <v>Thu</v>
      </c>
    </row>
    <row r="3351" spans="1:11" x14ac:dyDescent="0.35">
      <c r="A3351" s="1">
        <v>40424</v>
      </c>
      <c r="B3351">
        <v>6.84450006484985</v>
      </c>
      <c r="C3351">
        <v>6.9749999046325604</v>
      </c>
      <c r="D3351">
        <v>6.8315000534057599</v>
      </c>
      <c r="E3351">
        <v>6.9394998550415004</v>
      </c>
      <c r="F3351">
        <v>6.9394998550415004</v>
      </c>
      <c r="G3351">
        <v>131624000</v>
      </c>
      <c r="H3351">
        <f t="shared" si="208"/>
        <v>2010</v>
      </c>
      <c r="I3351">
        <f t="shared" si="209"/>
        <v>9</v>
      </c>
      <c r="J3351" t="str">
        <f t="shared" si="210"/>
        <v>Sep</v>
      </c>
      <c r="K3351" t="str">
        <f t="shared" si="211"/>
        <v>Fri</v>
      </c>
    </row>
    <row r="3352" spans="1:11" x14ac:dyDescent="0.35">
      <c r="A3352" s="1">
        <v>40428</v>
      </c>
      <c r="B3352">
        <v>6.8779997825622496</v>
      </c>
      <c r="C3352">
        <v>6.9299998283386204</v>
      </c>
      <c r="D3352">
        <v>6.84450006484985</v>
      </c>
      <c r="E3352">
        <v>6.86100006103515</v>
      </c>
      <c r="F3352">
        <v>6.86100006103515</v>
      </c>
      <c r="G3352">
        <v>77660000</v>
      </c>
      <c r="H3352">
        <f t="shared" si="208"/>
        <v>2010</v>
      </c>
      <c r="I3352">
        <f t="shared" si="209"/>
        <v>9</v>
      </c>
      <c r="J3352" t="str">
        <f t="shared" si="210"/>
        <v>Sep</v>
      </c>
      <c r="K3352" t="str">
        <f t="shared" si="211"/>
        <v>Tue</v>
      </c>
    </row>
    <row r="3353" spans="1:11" x14ac:dyDescent="0.35">
      <c r="A3353" s="1">
        <v>40429</v>
      </c>
      <c r="B3353">
        <v>6.8965001106262198</v>
      </c>
      <c r="C3353">
        <v>6.9850001335143999</v>
      </c>
      <c r="D3353">
        <v>6.8225002288818297</v>
      </c>
      <c r="E3353">
        <v>6.9569997787475497</v>
      </c>
      <c r="F3353">
        <v>6.9569997787475497</v>
      </c>
      <c r="G3353">
        <v>116570000</v>
      </c>
      <c r="H3353">
        <f t="shared" si="208"/>
        <v>2010</v>
      </c>
      <c r="I3353">
        <f t="shared" si="209"/>
        <v>9</v>
      </c>
      <c r="J3353" t="str">
        <f t="shared" si="210"/>
        <v>Sep</v>
      </c>
      <c r="K3353" t="str">
        <f t="shared" si="211"/>
        <v>Wed</v>
      </c>
    </row>
    <row r="3354" spans="1:11" x14ac:dyDescent="0.35">
      <c r="A3354" s="1">
        <v>40430</v>
      </c>
      <c r="B3354">
        <v>7.0194997787475497</v>
      </c>
      <c r="C3354">
        <v>7.0685000419616699</v>
      </c>
      <c r="D3354">
        <v>6.9629998207092196</v>
      </c>
      <c r="E3354">
        <v>7.0190000534057599</v>
      </c>
      <c r="F3354">
        <v>7.0190000534057599</v>
      </c>
      <c r="G3354">
        <v>99160000</v>
      </c>
      <c r="H3354">
        <f t="shared" si="208"/>
        <v>2010</v>
      </c>
      <c r="I3354">
        <f t="shared" si="209"/>
        <v>9</v>
      </c>
      <c r="J3354" t="str">
        <f t="shared" si="210"/>
        <v>Sep</v>
      </c>
      <c r="K3354" t="str">
        <f t="shared" si="211"/>
        <v>Thu</v>
      </c>
    </row>
    <row r="3355" spans="1:11" x14ac:dyDescent="0.35">
      <c r="A3355" s="1">
        <v>40431</v>
      </c>
      <c r="B3355">
        <v>7.0374999046325604</v>
      </c>
      <c r="C3355">
        <v>7.13000011444091</v>
      </c>
      <c r="D3355">
        <v>7.0019998550415004</v>
      </c>
      <c r="E3355">
        <v>7.1220002174377397</v>
      </c>
      <c r="F3355">
        <v>7.1220002174377397</v>
      </c>
      <c r="G3355">
        <v>100872000</v>
      </c>
      <c r="H3355">
        <f t="shared" si="208"/>
        <v>2010</v>
      </c>
      <c r="I3355">
        <f t="shared" si="209"/>
        <v>9</v>
      </c>
      <c r="J3355" t="str">
        <f t="shared" si="210"/>
        <v>Sep</v>
      </c>
      <c r="K3355" t="str">
        <f t="shared" si="211"/>
        <v>Fri</v>
      </c>
    </row>
    <row r="3356" spans="1:11" x14ac:dyDescent="0.35">
      <c r="A3356" s="1">
        <v>40434</v>
      </c>
      <c r="B3356">
        <v>7.2034997940063397</v>
      </c>
      <c r="C3356">
        <v>7.2870001792907697</v>
      </c>
      <c r="D3356">
        <v>7.1880002021789497</v>
      </c>
      <c r="E3356">
        <v>7.25349998474121</v>
      </c>
      <c r="F3356">
        <v>7.25349998474121</v>
      </c>
      <c r="G3356">
        <v>101548000</v>
      </c>
      <c r="H3356">
        <f t="shared" si="208"/>
        <v>2010</v>
      </c>
      <c r="I3356">
        <f t="shared" si="209"/>
        <v>9</v>
      </c>
      <c r="J3356" t="str">
        <f t="shared" si="210"/>
        <v>Sep</v>
      </c>
      <c r="K3356" t="str">
        <f t="shared" si="211"/>
        <v>Mon</v>
      </c>
    </row>
    <row r="3357" spans="1:11" x14ac:dyDescent="0.35">
      <c r="A3357" s="1">
        <v>40435</v>
      </c>
      <c r="B3357">
        <v>7.2249999046325604</v>
      </c>
      <c r="C3357">
        <v>7.33500003814697</v>
      </c>
      <c r="D3357">
        <v>7.1915001869201598</v>
      </c>
      <c r="E3357">
        <v>7.2874999046325604</v>
      </c>
      <c r="F3357">
        <v>7.2874999046325604</v>
      </c>
      <c r="G3357">
        <v>86388000</v>
      </c>
      <c r="H3357">
        <f t="shared" si="208"/>
        <v>2010</v>
      </c>
      <c r="I3357">
        <f t="shared" si="209"/>
        <v>9</v>
      </c>
      <c r="J3357" t="str">
        <f t="shared" si="210"/>
        <v>Sep</v>
      </c>
      <c r="K3357" t="str">
        <f t="shared" si="211"/>
        <v>Tue</v>
      </c>
    </row>
    <row r="3358" spans="1:11" x14ac:dyDescent="0.35">
      <c r="A3358" s="1">
        <v>40436</v>
      </c>
      <c r="B3358">
        <v>7.2439999580383301</v>
      </c>
      <c r="C3358">
        <v>7.2810001373290998</v>
      </c>
      <c r="D3358">
        <v>7.1779999732971103</v>
      </c>
      <c r="E3358">
        <v>7.27250003814697</v>
      </c>
      <c r="F3358">
        <v>7.27250003814697</v>
      </c>
      <c r="G3358">
        <v>98072000</v>
      </c>
      <c r="H3358">
        <f t="shared" si="208"/>
        <v>2010</v>
      </c>
      <c r="I3358">
        <f t="shared" si="209"/>
        <v>9</v>
      </c>
      <c r="J3358" t="str">
        <f t="shared" si="210"/>
        <v>Sep</v>
      </c>
      <c r="K3358" t="str">
        <f t="shared" si="211"/>
        <v>Wed</v>
      </c>
    </row>
    <row r="3359" spans="1:11" x14ac:dyDescent="0.35">
      <c r="A3359" s="1">
        <v>40437</v>
      </c>
      <c r="B3359">
        <v>7.2699999809265101</v>
      </c>
      <c r="C3359">
        <v>7.4114999771118102</v>
      </c>
      <c r="D3359">
        <v>7.2579998970031703</v>
      </c>
      <c r="E3359">
        <v>7.4064998626708896</v>
      </c>
      <c r="F3359">
        <v>7.4064998626708896</v>
      </c>
      <c r="G3359">
        <v>116540000</v>
      </c>
      <c r="H3359">
        <f t="shared" si="208"/>
        <v>2010</v>
      </c>
      <c r="I3359">
        <f t="shared" si="209"/>
        <v>9</v>
      </c>
      <c r="J3359" t="str">
        <f t="shared" si="210"/>
        <v>Sep</v>
      </c>
      <c r="K3359" t="str">
        <f t="shared" si="211"/>
        <v>Thu</v>
      </c>
    </row>
    <row r="3360" spans="1:11" x14ac:dyDescent="0.35">
      <c r="A3360" s="1">
        <v>40438</v>
      </c>
      <c r="B3360">
        <v>7.4450001716613698</v>
      </c>
      <c r="C3360">
        <v>7.4489998817443803</v>
      </c>
      <c r="D3360">
        <v>7.3249998092651296</v>
      </c>
      <c r="E3360">
        <v>7.4159998893737704</v>
      </c>
      <c r="F3360">
        <v>7.4159998893737704</v>
      </c>
      <c r="G3360">
        <v>145192000</v>
      </c>
      <c r="H3360">
        <f t="shared" si="208"/>
        <v>2010</v>
      </c>
      <c r="I3360">
        <f t="shared" si="209"/>
        <v>9</v>
      </c>
      <c r="J3360" t="str">
        <f t="shared" si="210"/>
        <v>Sep</v>
      </c>
      <c r="K3360" t="str">
        <f t="shared" si="211"/>
        <v>Fri</v>
      </c>
    </row>
    <row r="3361" spans="1:11" x14ac:dyDescent="0.35">
      <c r="A3361" s="1">
        <v>40441</v>
      </c>
      <c r="B3361">
        <v>7.4349999427795401</v>
      </c>
      <c r="C3361">
        <v>7.5974998474120996</v>
      </c>
      <c r="D3361">
        <v>7.3674998283386204</v>
      </c>
      <c r="E3361">
        <v>7.5650000572204501</v>
      </c>
      <c r="F3361">
        <v>7.5650000572204501</v>
      </c>
      <c r="G3361">
        <v>128988000</v>
      </c>
      <c r="H3361">
        <f t="shared" si="208"/>
        <v>2010</v>
      </c>
      <c r="I3361">
        <f t="shared" si="209"/>
        <v>9</v>
      </c>
      <c r="J3361" t="str">
        <f t="shared" si="210"/>
        <v>Sep</v>
      </c>
      <c r="K3361" t="str">
        <f t="shared" si="211"/>
        <v>Mon</v>
      </c>
    </row>
    <row r="3362" spans="1:11" x14ac:dyDescent="0.35">
      <c r="A3362" s="1">
        <v>40442</v>
      </c>
      <c r="B3362">
        <v>7.5380001068115199</v>
      </c>
      <c r="C3362">
        <v>7.6655001640319798</v>
      </c>
      <c r="D3362">
        <v>7.4800000190734801</v>
      </c>
      <c r="E3362">
        <v>7.5364999771118102</v>
      </c>
      <c r="F3362">
        <v>7.5364999771118102</v>
      </c>
      <c r="G3362">
        <v>150840000</v>
      </c>
      <c r="H3362">
        <f t="shared" si="208"/>
        <v>2010</v>
      </c>
      <c r="I3362">
        <f t="shared" si="209"/>
        <v>9</v>
      </c>
      <c r="J3362" t="str">
        <f t="shared" si="210"/>
        <v>Sep</v>
      </c>
      <c r="K3362" t="str">
        <f t="shared" si="211"/>
        <v>Tue</v>
      </c>
    </row>
    <row r="3363" spans="1:11" x14ac:dyDescent="0.35">
      <c r="A3363" s="1">
        <v>40443</v>
      </c>
      <c r="B3363">
        <v>7.49200010299682</v>
      </c>
      <c r="C3363">
        <v>7.6350002288818297</v>
      </c>
      <c r="D3363">
        <v>7.4549999237060502</v>
      </c>
      <c r="E3363">
        <v>7.5914998054504297</v>
      </c>
      <c r="F3363">
        <v>7.5914998054504297</v>
      </c>
      <c r="G3363">
        <v>132248000</v>
      </c>
      <c r="H3363">
        <f t="shared" si="208"/>
        <v>2010</v>
      </c>
      <c r="I3363">
        <f t="shared" si="209"/>
        <v>9</v>
      </c>
      <c r="J3363" t="str">
        <f t="shared" si="210"/>
        <v>Sep</v>
      </c>
      <c r="K3363" t="str">
        <f t="shared" si="211"/>
        <v>Wed</v>
      </c>
    </row>
    <row r="3364" spans="1:11" x14ac:dyDescent="0.35">
      <c r="A3364" s="1">
        <v>40444</v>
      </c>
      <c r="B3364">
        <v>7.5599999427795401</v>
      </c>
      <c r="C3364">
        <v>7.7960000038146902</v>
      </c>
      <c r="D3364">
        <v>7.54850006103515</v>
      </c>
      <c r="E3364">
        <v>7.6424999237060502</v>
      </c>
      <c r="F3364">
        <v>7.6424999237060502</v>
      </c>
      <c r="G3364">
        <v>141312000</v>
      </c>
      <c r="H3364">
        <f t="shared" si="208"/>
        <v>2010</v>
      </c>
      <c r="I3364">
        <f t="shared" si="209"/>
        <v>9</v>
      </c>
      <c r="J3364" t="str">
        <f t="shared" si="210"/>
        <v>Sep</v>
      </c>
      <c r="K3364" t="str">
        <f t="shared" si="211"/>
        <v>Thu</v>
      </c>
    </row>
    <row r="3365" spans="1:11" x14ac:dyDescent="0.35">
      <c r="A3365" s="1">
        <v>40445</v>
      </c>
      <c r="B3365">
        <v>7.7715001106262198</v>
      </c>
      <c r="C3365">
        <v>8.0445003509521396</v>
      </c>
      <c r="D3365">
        <v>7.7709999084472603</v>
      </c>
      <c r="E3365">
        <v>8.0364999771118093</v>
      </c>
      <c r="F3365">
        <v>8.0364999771118093</v>
      </c>
      <c r="G3365">
        <v>211812000</v>
      </c>
      <c r="H3365">
        <f t="shared" si="208"/>
        <v>2010</v>
      </c>
      <c r="I3365">
        <f t="shared" si="209"/>
        <v>9</v>
      </c>
      <c r="J3365" t="str">
        <f t="shared" si="210"/>
        <v>Sep</v>
      </c>
      <c r="K3365" t="str">
        <f t="shared" si="211"/>
        <v>Fri</v>
      </c>
    </row>
    <row r="3366" spans="1:11" x14ac:dyDescent="0.35">
      <c r="A3366" s="1">
        <v>40448</v>
      </c>
      <c r="B3366">
        <v>8.0109996795654297</v>
      </c>
      <c r="C3366">
        <v>8.0600004196166992</v>
      </c>
      <c r="D3366">
        <v>7.8940000534057599</v>
      </c>
      <c r="E3366">
        <v>7.9685001373290998</v>
      </c>
      <c r="F3366">
        <v>7.9685001373290998</v>
      </c>
      <c r="G3366">
        <v>128926000</v>
      </c>
      <c r="H3366">
        <f t="shared" si="208"/>
        <v>2010</v>
      </c>
      <c r="I3366">
        <f t="shared" si="209"/>
        <v>9</v>
      </c>
      <c r="J3366" t="str">
        <f t="shared" si="210"/>
        <v>Sep</v>
      </c>
      <c r="K3366" t="str">
        <f t="shared" si="211"/>
        <v>Mon</v>
      </c>
    </row>
    <row r="3367" spans="1:11" x14ac:dyDescent="0.35">
      <c r="A3367" s="1">
        <v>40449</v>
      </c>
      <c r="B3367">
        <v>7.99200010299682</v>
      </c>
      <c r="C3367">
        <v>8.0439996719360298</v>
      </c>
      <c r="D3367">
        <v>7.7445001602172798</v>
      </c>
      <c r="E3367">
        <v>7.9850001335143999</v>
      </c>
      <c r="F3367">
        <v>7.9850001335143999</v>
      </c>
      <c r="G3367">
        <v>169884000</v>
      </c>
      <c r="H3367">
        <f t="shared" si="208"/>
        <v>2010</v>
      </c>
      <c r="I3367">
        <f t="shared" si="209"/>
        <v>9</v>
      </c>
      <c r="J3367" t="str">
        <f t="shared" si="210"/>
        <v>Sep</v>
      </c>
      <c r="K3367" t="str">
        <f t="shared" si="211"/>
        <v>Tue</v>
      </c>
    </row>
    <row r="3368" spans="1:11" x14ac:dyDescent="0.35">
      <c r="A3368" s="1">
        <v>40450</v>
      </c>
      <c r="B3368">
        <v>7.9514999389648402</v>
      </c>
      <c r="C3368">
        <v>8.0889997482299805</v>
      </c>
      <c r="D3368">
        <v>7.8874998092651296</v>
      </c>
      <c r="E3368">
        <v>7.9495000839233398</v>
      </c>
      <c r="F3368">
        <v>7.9495000839233398</v>
      </c>
      <c r="G3368">
        <v>145750000</v>
      </c>
      <c r="H3368">
        <f t="shared" si="208"/>
        <v>2010</v>
      </c>
      <c r="I3368">
        <f t="shared" si="209"/>
        <v>9</v>
      </c>
      <c r="J3368" t="str">
        <f t="shared" si="210"/>
        <v>Sep</v>
      </c>
      <c r="K3368" t="str">
        <f t="shared" si="211"/>
        <v>Wed</v>
      </c>
    </row>
    <row r="3369" spans="1:11" x14ac:dyDescent="0.35">
      <c r="A3369" s="1">
        <v>40451</v>
      </c>
      <c r="B3369">
        <v>8.0004997253417898</v>
      </c>
      <c r="C3369">
        <v>8.0465002059936506</v>
      </c>
      <c r="D3369">
        <v>7.7800002098083496</v>
      </c>
      <c r="E3369">
        <v>7.8530001640319798</v>
      </c>
      <c r="F3369">
        <v>7.8530001640319798</v>
      </c>
      <c r="G3369">
        <v>152120000</v>
      </c>
      <c r="H3369">
        <f t="shared" si="208"/>
        <v>2010</v>
      </c>
      <c r="I3369">
        <f t="shared" si="209"/>
        <v>9</v>
      </c>
      <c r="J3369" t="str">
        <f t="shared" si="210"/>
        <v>Sep</v>
      </c>
      <c r="K3369" t="str">
        <f t="shared" si="211"/>
        <v>Thu</v>
      </c>
    </row>
    <row r="3370" spans="1:11" x14ac:dyDescent="0.35">
      <c r="A3370" s="1">
        <v>40452</v>
      </c>
      <c r="B3370">
        <v>7.8540000915527299</v>
      </c>
      <c r="C3370">
        <v>7.8720002174377397</v>
      </c>
      <c r="D3370">
        <v>7.6100001335143999</v>
      </c>
      <c r="E3370">
        <v>7.6855001449584899</v>
      </c>
      <c r="F3370">
        <v>7.6855001449584899</v>
      </c>
      <c r="G3370">
        <v>173668000</v>
      </c>
      <c r="H3370">
        <f t="shared" si="208"/>
        <v>2010</v>
      </c>
      <c r="I3370">
        <f t="shared" si="209"/>
        <v>10</v>
      </c>
      <c r="J3370" t="str">
        <f t="shared" si="210"/>
        <v>Oct</v>
      </c>
      <c r="K3370" t="str">
        <f t="shared" si="211"/>
        <v>Fri</v>
      </c>
    </row>
    <row r="3371" spans="1:11" x14ac:dyDescent="0.35">
      <c r="A3371" s="1">
        <v>40455</v>
      </c>
      <c r="B3371">
        <v>7.6975002288818297</v>
      </c>
      <c r="C3371">
        <v>7.7979998588562003</v>
      </c>
      <c r="D3371">
        <v>7.6395001411437899</v>
      </c>
      <c r="E3371">
        <v>7.7694997787475497</v>
      </c>
      <c r="F3371">
        <v>7.7694997787475497</v>
      </c>
      <c r="G3371">
        <v>106930000</v>
      </c>
      <c r="H3371">
        <f t="shared" si="208"/>
        <v>2010</v>
      </c>
      <c r="I3371">
        <f t="shared" si="209"/>
        <v>10</v>
      </c>
      <c r="J3371" t="str">
        <f t="shared" si="210"/>
        <v>Oct</v>
      </c>
      <c r="K3371" t="str">
        <f t="shared" si="211"/>
        <v>Mon</v>
      </c>
    </row>
    <row r="3372" spans="1:11" x14ac:dyDescent="0.35">
      <c r="A3372" s="1">
        <v>40456</v>
      </c>
      <c r="B3372">
        <v>7.8540000915527299</v>
      </c>
      <c r="C3372">
        <v>8.0605001449584908</v>
      </c>
      <c r="D3372">
        <v>7.8505001068115199</v>
      </c>
      <c r="E3372">
        <v>8.0434999465942294</v>
      </c>
      <c r="F3372">
        <v>8.0434999465942294</v>
      </c>
      <c r="G3372">
        <v>112400000</v>
      </c>
      <c r="H3372">
        <f t="shared" si="208"/>
        <v>2010</v>
      </c>
      <c r="I3372">
        <f t="shared" si="209"/>
        <v>10</v>
      </c>
      <c r="J3372" t="str">
        <f t="shared" si="210"/>
        <v>Oct</v>
      </c>
      <c r="K3372" t="str">
        <f t="shared" si="211"/>
        <v>Tue</v>
      </c>
    </row>
    <row r="3373" spans="1:11" x14ac:dyDescent="0.35">
      <c r="A3373" s="1">
        <v>40457</v>
      </c>
      <c r="B3373">
        <v>8.0299997329711896</v>
      </c>
      <c r="C3373">
        <v>8.0340003967285103</v>
      </c>
      <c r="D3373">
        <v>7.7300000190734801</v>
      </c>
      <c r="E3373">
        <v>7.7699999809265101</v>
      </c>
      <c r="F3373">
        <v>7.7699999809265101</v>
      </c>
      <c r="G3373">
        <v>121216000</v>
      </c>
      <c r="H3373">
        <f t="shared" si="208"/>
        <v>2010</v>
      </c>
      <c r="I3373">
        <f t="shared" si="209"/>
        <v>10</v>
      </c>
      <c r="J3373" t="str">
        <f t="shared" si="210"/>
        <v>Oct</v>
      </c>
      <c r="K3373" t="str">
        <f t="shared" si="211"/>
        <v>Wed</v>
      </c>
    </row>
    <row r="3374" spans="1:11" x14ac:dyDescent="0.35">
      <c r="A3374" s="1">
        <v>40458</v>
      </c>
      <c r="B3374">
        <v>7.82550001144409</v>
      </c>
      <c r="C3374">
        <v>7.8699998855590803</v>
      </c>
      <c r="D3374">
        <v>7.6694998741149902</v>
      </c>
      <c r="E3374">
        <v>7.8134999275207502</v>
      </c>
      <c r="F3374">
        <v>7.8134999275207502</v>
      </c>
      <c r="G3374">
        <v>92440000</v>
      </c>
      <c r="H3374">
        <f t="shared" si="208"/>
        <v>2010</v>
      </c>
      <c r="I3374">
        <f t="shared" si="209"/>
        <v>10</v>
      </c>
      <c r="J3374" t="str">
        <f t="shared" si="210"/>
        <v>Oct</v>
      </c>
      <c r="K3374" t="str">
        <f t="shared" si="211"/>
        <v>Thu</v>
      </c>
    </row>
    <row r="3375" spans="1:11" x14ac:dyDescent="0.35">
      <c r="A3375" s="1">
        <v>40459</v>
      </c>
      <c r="B3375">
        <v>7.7589998245239196</v>
      </c>
      <c r="C3375">
        <v>7.8140001296996999</v>
      </c>
      <c r="D3375">
        <v>7.6389999389648402</v>
      </c>
      <c r="E3375">
        <v>7.7775001525878897</v>
      </c>
      <c r="F3375">
        <v>7.7775001525878897</v>
      </c>
      <c r="G3375">
        <v>138368000</v>
      </c>
      <c r="H3375">
        <f t="shared" si="208"/>
        <v>2010</v>
      </c>
      <c r="I3375">
        <f t="shared" si="209"/>
        <v>10</v>
      </c>
      <c r="J3375" t="str">
        <f t="shared" si="210"/>
        <v>Oct</v>
      </c>
      <c r="K3375" t="str">
        <f t="shared" si="211"/>
        <v>Fri</v>
      </c>
    </row>
    <row r="3376" spans="1:11" x14ac:dyDescent="0.35">
      <c r="A3376" s="1">
        <v>40462</v>
      </c>
      <c r="B3376">
        <v>7.7445001602172798</v>
      </c>
      <c r="C3376">
        <v>7.8315000534057599</v>
      </c>
      <c r="D3376">
        <v>7.61700010299682</v>
      </c>
      <c r="E3376">
        <v>7.6515002250671298</v>
      </c>
      <c r="F3376">
        <v>7.6515002250671298</v>
      </c>
      <c r="G3376">
        <v>89728000</v>
      </c>
      <c r="H3376">
        <f t="shared" si="208"/>
        <v>2010</v>
      </c>
      <c r="I3376">
        <f t="shared" si="209"/>
        <v>10</v>
      </c>
      <c r="J3376" t="str">
        <f t="shared" si="210"/>
        <v>Oct</v>
      </c>
      <c r="K3376" t="str">
        <f t="shared" si="211"/>
        <v>Mon</v>
      </c>
    </row>
    <row r="3377" spans="1:11" x14ac:dyDescent="0.35">
      <c r="A3377" s="1">
        <v>40463</v>
      </c>
      <c r="B3377">
        <v>7.6255002021789497</v>
      </c>
      <c r="C3377">
        <v>7.8474998474120996</v>
      </c>
      <c r="D3377">
        <v>7.5700001716613698</v>
      </c>
      <c r="E3377">
        <v>7.8239998817443803</v>
      </c>
      <c r="F3377">
        <v>7.8239998817443803</v>
      </c>
      <c r="G3377">
        <v>105616000</v>
      </c>
      <c r="H3377">
        <f t="shared" si="208"/>
        <v>2010</v>
      </c>
      <c r="I3377">
        <f t="shared" si="209"/>
        <v>10</v>
      </c>
      <c r="J3377" t="str">
        <f t="shared" si="210"/>
        <v>Oct</v>
      </c>
      <c r="K3377" t="str">
        <f t="shared" si="211"/>
        <v>Tue</v>
      </c>
    </row>
    <row r="3378" spans="1:11" x14ac:dyDescent="0.35">
      <c r="A3378" s="1">
        <v>40464</v>
      </c>
      <c r="B3378">
        <v>7.8344998359680096</v>
      </c>
      <c r="C3378">
        <v>7.8394999504089302</v>
      </c>
      <c r="D3378">
        <v>7.69250011444091</v>
      </c>
      <c r="E3378">
        <v>7.75850009918212</v>
      </c>
      <c r="F3378">
        <v>7.75850009918212</v>
      </c>
      <c r="G3378">
        <v>112656000</v>
      </c>
      <c r="H3378">
        <f t="shared" si="208"/>
        <v>2010</v>
      </c>
      <c r="I3378">
        <f t="shared" si="209"/>
        <v>10</v>
      </c>
      <c r="J3378" t="str">
        <f t="shared" si="210"/>
        <v>Oct</v>
      </c>
      <c r="K3378" t="str">
        <f t="shared" si="211"/>
        <v>Wed</v>
      </c>
    </row>
    <row r="3379" spans="1:11" x14ac:dyDescent="0.35">
      <c r="A3379" s="1">
        <v>40465</v>
      </c>
      <c r="B3379">
        <v>7.7579998970031703</v>
      </c>
      <c r="C3379">
        <v>7.8474998474120996</v>
      </c>
      <c r="D3379">
        <v>7.7115001678466797</v>
      </c>
      <c r="E3379">
        <v>7.7765002250671298</v>
      </c>
      <c r="F3379">
        <v>7.7765002250671298</v>
      </c>
      <c r="G3379">
        <v>80482000</v>
      </c>
      <c r="H3379">
        <f t="shared" si="208"/>
        <v>2010</v>
      </c>
      <c r="I3379">
        <f t="shared" si="209"/>
        <v>10</v>
      </c>
      <c r="J3379" t="str">
        <f t="shared" si="210"/>
        <v>Oct</v>
      </c>
      <c r="K3379" t="str">
        <f t="shared" si="211"/>
        <v>Thu</v>
      </c>
    </row>
    <row r="3380" spans="1:11" x14ac:dyDescent="0.35">
      <c r="A3380" s="1">
        <v>40466</v>
      </c>
      <c r="B3380">
        <v>7.9210000038146902</v>
      </c>
      <c r="C3380">
        <v>8.2440004348754794</v>
      </c>
      <c r="D3380">
        <v>7.8375000953674299</v>
      </c>
      <c r="E3380">
        <v>8.2320003509521396</v>
      </c>
      <c r="F3380">
        <v>8.2320003509521396</v>
      </c>
      <c r="G3380">
        <v>202710000</v>
      </c>
      <c r="H3380">
        <f t="shared" si="208"/>
        <v>2010</v>
      </c>
      <c r="I3380">
        <f t="shared" si="209"/>
        <v>10</v>
      </c>
      <c r="J3380" t="str">
        <f t="shared" si="210"/>
        <v>Oct</v>
      </c>
      <c r="K3380" t="str">
        <f t="shared" si="211"/>
        <v>Fri</v>
      </c>
    </row>
    <row r="3381" spans="1:11" x14ac:dyDescent="0.35">
      <c r="A3381" s="1">
        <v>40469</v>
      </c>
      <c r="B3381">
        <v>8.25</v>
      </c>
      <c r="C3381">
        <v>8.2594995498657209</v>
      </c>
      <c r="D3381">
        <v>8.0909996032714808</v>
      </c>
      <c r="E3381">
        <v>8.1780004501342702</v>
      </c>
      <c r="F3381">
        <v>8.1780004501342702</v>
      </c>
      <c r="G3381">
        <v>126626000</v>
      </c>
      <c r="H3381">
        <f t="shared" si="208"/>
        <v>2010</v>
      </c>
      <c r="I3381">
        <f t="shared" si="209"/>
        <v>10</v>
      </c>
      <c r="J3381" t="str">
        <f t="shared" si="210"/>
        <v>Oct</v>
      </c>
      <c r="K3381" t="str">
        <f t="shared" si="211"/>
        <v>Mon</v>
      </c>
    </row>
    <row r="3382" spans="1:11" x14ac:dyDescent="0.35">
      <c r="A3382" s="1">
        <v>40470</v>
      </c>
      <c r="B3382">
        <v>8.0340003967285103</v>
      </c>
      <c r="C3382">
        <v>8.1400003433227504</v>
      </c>
      <c r="D3382">
        <v>7.8499999046325604</v>
      </c>
      <c r="E3382">
        <v>7.9334998130798304</v>
      </c>
      <c r="F3382">
        <v>7.9334998130798304</v>
      </c>
      <c r="G3382">
        <v>150500000</v>
      </c>
      <c r="H3382">
        <f t="shared" si="208"/>
        <v>2010</v>
      </c>
      <c r="I3382">
        <f t="shared" si="209"/>
        <v>10</v>
      </c>
      <c r="J3382" t="str">
        <f t="shared" si="210"/>
        <v>Oct</v>
      </c>
      <c r="K3382" t="str">
        <f t="shared" si="211"/>
        <v>Tue</v>
      </c>
    </row>
    <row r="3383" spans="1:11" x14ac:dyDescent="0.35">
      <c r="A3383" s="1">
        <v>40471</v>
      </c>
      <c r="B3383">
        <v>7.9390001296996999</v>
      </c>
      <c r="C3383">
        <v>7.9935002326965297</v>
      </c>
      <c r="D3383">
        <v>7.8284997940063397</v>
      </c>
      <c r="E3383">
        <v>7.9334998130798304</v>
      </c>
      <c r="F3383">
        <v>7.9334998130798304</v>
      </c>
      <c r="G3383">
        <v>115808000</v>
      </c>
      <c r="H3383">
        <f t="shared" si="208"/>
        <v>2010</v>
      </c>
      <c r="I3383">
        <f t="shared" si="209"/>
        <v>10</v>
      </c>
      <c r="J3383" t="str">
        <f t="shared" si="210"/>
        <v>Oct</v>
      </c>
      <c r="K3383" t="str">
        <f t="shared" si="211"/>
        <v>Wed</v>
      </c>
    </row>
    <row r="3384" spans="1:11" x14ac:dyDescent="0.35">
      <c r="A3384" s="1">
        <v>40472</v>
      </c>
      <c r="B3384">
        <v>8.13350009918212</v>
      </c>
      <c r="C3384">
        <v>8.3065004348754794</v>
      </c>
      <c r="D3384">
        <v>8.0644998550415004</v>
      </c>
      <c r="E3384">
        <v>8.2484998703002894</v>
      </c>
      <c r="F3384">
        <v>8.2484998703002894</v>
      </c>
      <c r="G3384">
        <v>269650000</v>
      </c>
      <c r="H3384">
        <f t="shared" si="208"/>
        <v>2010</v>
      </c>
      <c r="I3384">
        <f t="shared" si="209"/>
        <v>10</v>
      </c>
      <c r="J3384" t="str">
        <f t="shared" si="210"/>
        <v>Oct</v>
      </c>
      <c r="K3384" t="str">
        <f t="shared" si="211"/>
        <v>Thu</v>
      </c>
    </row>
    <row r="3385" spans="1:11" x14ac:dyDescent="0.35">
      <c r="A3385" s="1">
        <v>40473</v>
      </c>
      <c r="B3385">
        <v>8.1225004196166992</v>
      </c>
      <c r="C3385">
        <v>8.50850009918212</v>
      </c>
      <c r="D3385">
        <v>8.1134996414184499</v>
      </c>
      <c r="E3385">
        <v>8.4565000534057599</v>
      </c>
      <c r="F3385">
        <v>8.4565000534057599</v>
      </c>
      <c r="G3385">
        <v>326368000</v>
      </c>
      <c r="H3385">
        <f t="shared" si="208"/>
        <v>2010</v>
      </c>
      <c r="I3385">
        <f t="shared" si="209"/>
        <v>10</v>
      </c>
      <c r="J3385" t="str">
        <f t="shared" si="210"/>
        <v>Oct</v>
      </c>
      <c r="K3385" t="str">
        <f t="shared" si="211"/>
        <v>Fri</v>
      </c>
    </row>
    <row r="3386" spans="1:11" x14ac:dyDescent="0.35">
      <c r="A3386" s="1">
        <v>40476</v>
      </c>
      <c r="B3386">
        <v>8.5784997940063406</v>
      </c>
      <c r="C3386">
        <v>8.5994997024536097</v>
      </c>
      <c r="D3386">
        <v>8.4160003662109304</v>
      </c>
      <c r="E3386">
        <v>8.4499998092651296</v>
      </c>
      <c r="F3386">
        <v>8.4499998092651296</v>
      </c>
      <c r="G3386">
        <v>130618000</v>
      </c>
      <c r="H3386">
        <f t="shared" si="208"/>
        <v>2010</v>
      </c>
      <c r="I3386">
        <f t="shared" si="209"/>
        <v>10</v>
      </c>
      <c r="J3386" t="str">
        <f t="shared" si="210"/>
        <v>Oct</v>
      </c>
      <c r="K3386" t="str">
        <f t="shared" si="211"/>
        <v>Mon</v>
      </c>
    </row>
    <row r="3387" spans="1:11" x14ac:dyDescent="0.35">
      <c r="A3387" s="1">
        <v>40477</v>
      </c>
      <c r="B3387">
        <v>8.3784999847412092</v>
      </c>
      <c r="C3387">
        <v>8.5500001907348597</v>
      </c>
      <c r="D3387">
        <v>8.375</v>
      </c>
      <c r="E3387">
        <v>8.4975004196166992</v>
      </c>
      <c r="F3387">
        <v>8.4975004196166992</v>
      </c>
      <c r="G3387">
        <v>93792000</v>
      </c>
      <c r="H3387">
        <f t="shared" si="208"/>
        <v>2010</v>
      </c>
      <c r="I3387">
        <f t="shared" si="209"/>
        <v>10</v>
      </c>
      <c r="J3387" t="str">
        <f t="shared" si="210"/>
        <v>Oct</v>
      </c>
      <c r="K3387" t="str">
        <f t="shared" si="211"/>
        <v>Tue</v>
      </c>
    </row>
    <row r="3388" spans="1:11" x14ac:dyDescent="0.35">
      <c r="A3388" s="1">
        <v>40478</v>
      </c>
      <c r="B3388">
        <v>8.4455003738403303</v>
      </c>
      <c r="C3388">
        <v>8.4875001907348597</v>
      </c>
      <c r="D3388">
        <v>8.3269996643066406</v>
      </c>
      <c r="E3388">
        <v>8.3754997253417898</v>
      </c>
      <c r="F3388">
        <v>8.3754997253417898</v>
      </c>
      <c r="G3388">
        <v>114436000</v>
      </c>
      <c r="H3388">
        <f t="shared" si="208"/>
        <v>2010</v>
      </c>
      <c r="I3388">
        <f t="shared" si="209"/>
        <v>10</v>
      </c>
      <c r="J3388" t="str">
        <f t="shared" si="210"/>
        <v>Oct</v>
      </c>
      <c r="K3388" t="str">
        <f t="shared" si="211"/>
        <v>Wed</v>
      </c>
    </row>
    <row r="3389" spans="1:11" x14ac:dyDescent="0.35">
      <c r="A3389" s="1">
        <v>40479</v>
      </c>
      <c r="B3389">
        <v>8.4154996871948207</v>
      </c>
      <c r="C3389">
        <v>8.4245004653930593</v>
      </c>
      <c r="D3389">
        <v>8.2524995803833008</v>
      </c>
      <c r="E3389">
        <v>8.3420000076293892</v>
      </c>
      <c r="F3389">
        <v>8.3420000076293892</v>
      </c>
      <c r="G3389">
        <v>93688000</v>
      </c>
      <c r="H3389">
        <f t="shared" si="208"/>
        <v>2010</v>
      </c>
      <c r="I3389">
        <f t="shared" si="209"/>
        <v>10</v>
      </c>
      <c r="J3389" t="str">
        <f t="shared" si="210"/>
        <v>Oct</v>
      </c>
      <c r="K3389" t="str">
        <f t="shared" si="211"/>
        <v>Thu</v>
      </c>
    </row>
    <row r="3390" spans="1:11" x14ac:dyDescent="0.35">
      <c r="A3390" s="1">
        <v>40480</v>
      </c>
      <c r="B3390">
        <v>8.2899999618530202</v>
      </c>
      <c r="C3390">
        <v>8.4250001907348597</v>
      </c>
      <c r="D3390">
        <v>8.2405004501342702</v>
      </c>
      <c r="E3390">
        <v>8.2615003585815394</v>
      </c>
      <c r="F3390">
        <v>8.2615003585815394</v>
      </c>
      <c r="G3390">
        <v>99970000</v>
      </c>
      <c r="H3390">
        <f t="shared" si="208"/>
        <v>2010</v>
      </c>
      <c r="I3390">
        <f t="shared" si="209"/>
        <v>10</v>
      </c>
      <c r="J3390" t="str">
        <f t="shared" si="210"/>
        <v>Oct</v>
      </c>
      <c r="K3390" t="str">
        <f t="shared" si="211"/>
        <v>Fri</v>
      </c>
    </row>
    <row r="3391" spans="1:11" x14ac:dyDescent="0.35">
      <c r="A3391" s="1">
        <v>40483</v>
      </c>
      <c r="B3391">
        <v>8.2224998474121094</v>
      </c>
      <c r="C3391">
        <v>8.2290000915527308</v>
      </c>
      <c r="D3391">
        <v>8.0760002136230398</v>
      </c>
      <c r="E3391">
        <v>8.1289997100830007</v>
      </c>
      <c r="F3391">
        <v>8.1289997100830007</v>
      </c>
      <c r="G3391">
        <v>104798000</v>
      </c>
      <c r="H3391">
        <f t="shared" si="208"/>
        <v>2010</v>
      </c>
      <c r="I3391">
        <f t="shared" si="209"/>
        <v>11</v>
      </c>
      <c r="J3391" t="str">
        <f t="shared" si="210"/>
        <v>Nov</v>
      </c>
      <c r="K3391" t="str">
        <f t="shared" si="211"/>
        <v>Mon</v>
      </c>
    </row>
    <row r="3392" spans="1:11" x14ac:dyDescent="0.35">
      <c r="A3392" s="1">
        <v>40484</v>
      </c>
      <c r="B3392">
        <v>8.1875</v>
      </c>
      <c r="C3392">
        <v>8.2969999313354492</v>
      </c>
      <c r="D3392">
        <v>8.1680002212524396</v>
      </c>
      <c r="E3392">
        <v>8.2305002212524396</v>
      </c>
      <c r="F3392">
        <v>8.2305002212524396</v>
      </c>
      <c r="G3392">
        <v>85200000</v>
      </c>
      <c r="H3392">
        <f t="shared" si="208"/>
        <v>2010</v>
      </c>
      <c r="I3392">
        <f t="shared" si="209"/>
        <v>11</v>
      </c>
      <c r="J3392" t="str">
        <f t="shared" si="210"/>
        <v>Nov</v>
      </c>
      <c r="K3392" t="str">
        <f t="shared" si="211"/>
        <v>Tue</v>
      </c>
    </row>
    <row r="3393" spans="1:11" x14ac:dyDescent="0.35">
      <c r="A3393" s="1">
        <v>40485</v>
      </c>
      <c r="B3393">
        <v>8.2700004577636701</v>
      </c>
      <c r="C3393">
        <v>8.4305000305175692</v>
      </c>
      <c r="D3393">
        <v>8.1145000457763601</v>
      </c>
      <c r="E3393">
        <v>8.4235000610351491</v>
      </c>
      <c r="F3393">
        <v>8.4235000610351491</v>
      </c>
      <c r="G3393">
        <v>122242000</v>
      </c>
      <c r="H3393">
        <f t="shared" si="208"/>
        <v>2010</v>
      </c>
      <c r="I3393">
        <f t="shared" si="209"/>
        <v>11</v>
      </c>
      <c r="J3393" t="str">
        <f t="shared" si="210"/>
        <v>Nov</v>
      </c>
      <c r="K3393" t="str">
        <f t="shared" si="211"/>
        <v>Wed</v>
      </c>
    </row>
    <row r="3394" spans="1:11" x14ac:dyDescent="0.35">
      <c r="A3394" s="1">
        <v>40486</v>
      </c>
      <c r="B3394">
        <v>8.4930000305175692</v>
      </c>
      <c r="C3394">
        <v>8.6265001296996999</v>
      </c>
      <c r="D3394">
        <v>8.42000007629394</v>
      </c>
      <c r="E3394">
        <v>8.4464998245239205</v>
      </c>
      <c r="F3394">
        <v>8.4464998245239205</v>
      </c>
      <c r="G3394">
        <v>147918000</v>
      </c>
      <c r="H3394">
        <f t="shared" si="208"/>
        <v>2010</v>
      </c>
      <c r="I3394">
        <f t="shared" si="209"/>
        <v>11</v>
      </c>
      <c r="J3394" t="str">
        <f t="shared" si="210"/>
        <v>Nov</v>
      </c>
      <c r="K3394" t="str">
        <f t="shared" si="211"/>
        <v>Thu</v>
      </c>
    </row>
    <row r="3395" spans="1:11" x14ac:dyDescent="0.35">
      <c r="A3395" s="1">
        <v>40487</v>
      </c>
      <c r="B3395">
        <v>8.4674997329711896</v>
      </c>
      <c r="C3395">
        <v>8.5825004577636701</v>
      </c>
      <c r="D3395">
        <v>8.4294996261596609</v>
      </c>
      <c r="E3395">
        <v>8.5384998321533203</v>
      </c>
      <c r="F3395">
        <v>8.5384998321533203</v>
      </c>
      <c r="G3395">
        <v>104244000</v>
      </c>
      <c r="H3395">
        <f t="shared" si="208"/>
        <v>2010</v>
      </c>
      <c r="I3395">
        <f t="shared" si="209"/>
        <v>11</v>
      </c>
      <c r="J3395" t="str">
        <f t="shared" si="210"/>
        <v>Nov</v>
      </c>
      <c r="K3395" t="str">
        <f t="shared" si="211"/>
        <v>Fri</v>
      </c>
    </row>
    <row r="3396" spans="1:11" x14ac:dyDescent="0.35">
      <c r="A3396" s="1">
        <v>40490</v>
      </c>
      <c r="B3396">
        <v>8.5419998168945295</v>
      </c>
      <c r="C3396">
        <v>8.6599998474121094</v>
      </c>
      <c r="D3396">
        <v>8.4390001296996999</v>
      </c>
      <c r="E3396">
        <v>8.5994997024536097</v>
      </c>
      <c r="F3396">
        <v>8.5994997024536097</v>
      </c>
      <c r="G3396">
        <v>114120000</v>
      </c>
      <c r="H3396">
        <f t="shared" ref="H3396:H3459" si="212">YEAR($A3396)</f>
        <v>2010</v>
      </c>
      <c r="I3396">
        <f t="shared" ref="I3396:I3459" si="213">MONTH($A3396)</f>
        <v>11</v>
      </c>
      <c r="J3396" t="str">
        <f t="shared" ref="J3396:J3459" si="214">TEXT($A3396,"mmm")</f>
        <v>Nov</v>
      </c>
      <c r="K3396" t="str">
        <f t="shared" ref="K3396:K3459" si="215">TEXT($A3396,"ddd")</f>
        <v>Mon</v>
      </c>
    </row>
    <row r="3397" spans="1:11" x14ac:dyDescent="0.35">
      <c r="A3397" s="1">
        <v>40491</v>
      </c>
      <c r="B3397">
        <v>8.63350009918212</v>
      </c>
      <c r="C3397">
        <v>8.65699958801269</v>
      </c>
      <c r="D3397">
        <v>8.4530000686645508</v>
      </c>
      <c r="E3397">
        <v>8.5135002136230398</v>
      </c>
      <c r="F3397">
        <v>8.5135002136230398</v>
      </c>
      <c r="G3397">
        <v>79572000</v>
      </c>
      <c r="H3397">
        <f t="shared" si="212"/>
        <v>2010</v>
      </c>
      <c r="I3397">
        <f t="shared" si="213"/>
        <v>11</v>
      </c>
      <c r="J3397" t="str">
        <f t="shared" si="214"/>
        <v>Nov</v>
      </c>
      <c r="K3397" t="str">
        <f t="shared" si="215"/>
        <v>Tue</v>
      </c>
    </row>
    <row r="3398" spans="1:11" x14ac:dyDescent="0.35">
      <c r="A3398" s="1">
        <v>40492</v>
      </c>
      <c r="B3398">
        <v>8.5295000076293892</v>
      </c>
      <c r="C3398">
        <v>8.6684999465942294</v>
      </c>
      <c r="D3398">
        <v>8.4704999923706001</v>
      </c>
      <c r="E3398">
        <v>8.6665000915527308</v>
      </c>
      <c r="F3398">
        <v>8.6665000915527308</v>
      </c>
      <c r="G3398">
        <v>108806000</v>
      </c>
      <c r="H3398">
        <f t="shared" si="212"/>
        <v>2010</v>
      </c>
      <c r="I3398">
        <f t="shared" si="213"/>
        <v>11</v>
      </c>
      <c r="J3398" t="str">
        <f t="shared" si="214"/>
        <v>Nov</v>
      </c>
      <c r="K3398" t="str">
        <f t="shared" si="215"/>
        <v>Wed</v>
      </c>
    </row>
    <row r="3399" spans="1:11" x14ac:dyDescent="0.35">
      <c r="A3399" s="1">
        <v>40493</v>
      </c>
      <c r="B3399">
        <v>8.5500001907348597</v>
      </c>
      <c r="C3399">
        <v>8.6024999618530202</v>
      </c>
      <c r="D3399">
        <v>8.4709997177124006</v>
      </c>
      <c r="E3399">
        <v>8.5185003280639595</v>
      </c>
      <c r="F3399">
        <v>8.5185003280639595</v>
      </c>
      <c r="G3399">
        <v>113834000</v>
      </c>
      <c r="H3399">
        <f t="shared" si="212"/>
        <v>2010</v>
      </c>
      <c r="I3399">
        <f t="shared" si="213"/>
        <v>11</v>
      </c>
      <c r="J3399" t="str">
        <f t="shared" si="214"/>
        <v>Nov</v>
      </c>
      <c r="K3399" t="str">
        <f t="shared" si="215"/>
        <v>Thu</v>
      </c>
    </row>
    <row r="3400" spans="1:11" x14ac:dyDescent="0.35">
      <c r="A3400" s="1">
        <v>40494</v>
      </c>
      <c r="B3400">
        <v>8.5059995651245099</v>
      </c>
      <c r="C3400">
        <v>8.5629997253417898</v>
      </c>
      <c r="D3400">
        <v>8.2524995803833008</v>
      </c>
      <c r="E3400">
        <v>8.2840003967285103</v>
      </c>
      <c r="F3400">
        <v>8.2840003967285103</v>
      </c>
      <c r="G3400">
        <v>143212000</v>
      </c>
      <c r="H3400">
        <f t="shared" si="212"/>
        <v>2010</v>
      </c>
      <c r="I3400">
        <f t="shared" si="213"/>
        <v>11</v>
      </c>
      <c r="J3400" t="str">
        <f t="shared" si="214"/>
        <v>Nov</v>
      </c>
      <c r="K3400" t="str">
        <f t="shared" si="215"/>
        <v>Fri</v>
      </c>
    </row>
    <row r="3401" spans="1:11" x14ac:dyDescent="0.35">
      <c r="A3401" s="1">
        <v>40497</v>
      </c>
      <c r="B3401">
        <v>8.2580003738403303</v>
      </c>
      <c r="C3401">
        <v>8.2674999237060494</v>
      </c>
      <c r="D3401">
        <v>7.9279999732971103</v>
      </c>
      <c r="E3401">
        <v>7.9450001716613698</v>
      </c>
      <c r="F3401">
        <v>7.9450001716613698</v>
      </c>
      <c r="G3401">
        <v>192972000</v>
      </c>
      <c r="H3401">
        <f t="shared" si="212"/>
        <v>2010</v>
      </c>
      <c r="I3401">
        <f t="shared" si="213"/>
        <v>11</v>
      </c>
      <c r="J3401" t="str">
        <f t="shared" si="214"/>
        <v>Nov</v>
      </c>
      <c r="K3401" t="str">
        <f t="shared" si="215"/>
        <v>Mon</v>
      </c>
    </row>
    <row r="3402" spans="1:11" x14ac:dyDescent="0.35">
      <c r="A3402" s="1">
        <v>40498</v>
      </c>
      <c r="B3402">
        <v>7.9369997978210396</v>
      </c>
      <c r="C3402">
        <v>8.0454998016357404</v>
      </c>
      <c r="D3402">
        <v>7.83850002288818</v>
      </c>
      <c r="E3402">
        <v>7.8889999389648402</v>
      </c>
      <c r="F3402">
        <v>7.8889999389648402</v>
      </c>
      <c r="G3402">
        <v>131428000</v>
      </c>
      <c r="H3402">
        <f t="shared" si="212"/>
        <v>2010</v>
      </c>
      <c r="I3402">
        <f t="shared" si="213"/>
        <v>11</v>
      </c>
      <c r="J3402" t="str">
        <f t="shared" si="214"/>
        <v>Nov</v>
      </c>
      <c r="K3402" t="str">
        <f t="shared" si="215"/>
        <v>Tue</v>
      </c>
    </row>
    <row r="3403" spans="1:11" x14ac:dyDescent="0.35">
      <c r="A3403" s="1">
        <v>40499</v>
      </c>
      <c r="B3403">
        <v>7.8920001983642498</v>
      </c>
      <c r="C3403">
        <v>8.0424995422363192</v>
      </c>
      <c r="D3403">
        <v>7.8775000572204501</v>
      </c>
      <c r="E3403">
        <v>7.9175000190734801</v>
      </c>
      <c r="F3403">
        <v>7.9175000190734801</v>
      </c>
      <c r="G3403">
        <v>90498000</v>
      </c>
      <c r="H3403">
        <f t="shared" si="212"/>
        <v>2010</v>
      </c>
      <c r="I3403">
        <f t="shared" si="213"/>
        <v>11</v>
      </c>
      <c r="J3403" t="str">
        <f t="shared" si="214"/>
        <v>Nov</v>
      </c>
      <c r="K3403" t="str">
        <f t="shared" si="215"/>
        <v>Wed</v>
      </c>
    </row>
    <row r="3404" spans="1:11" x14ac:dyDescent="0.35">
      <c r="A3404" s="1">
        <v>40500</v>
      </c>
      <c r="B3404">
        <v>8.0369997024536097</v>
      </c>
      <c r="C3404">
        <v>8.25</v>
      </c>
      <c r="D3404">
        <v>8.0369997024536097</v>
      </c>
      <c r="E3404">
        <v>8.2084999084472603</v>
      </c>
      <c r="F3404">
        <v>8.2084999084472603</v>
      </c>
      <c r="G3404">
        <v>124506000</v>
      </c>
      <c r="H3404">
        <f t="shared" si="212"/>
        <v>2010</v>
      </c>
      <c r="I3404">
        <f t="shared" si="213"/>
        <v>11</v>
      </c>
      <c r="J3404" t="str">
        <f t="shared" si="214"/>
        <v>Nov</v>
      </c>
      <c r="K3404" t="str">
        <f t="shared" si="215"/>
        <v>Thu</v>
      </c>
    </row>
    <row r="3405" spans="1:11" x14ac:dyDescent="0.35">
      <c r="A3405" s="1">
        <v>40501</v>
      </c>
      <c r="B3405">
        <v>8.1975002288818306</v>
      </c>
      <c r="C3405">
        <v>8.2495002746581996</v>
      </c>
      <c r="D3405">
        <v>8.1420001983642507</v>
      </c>
      <c r="E3405">
        <v>8.2410001754760707</v>
      </c>
      <c r="F3405">
        <v>8.2410001754760707</v>
      </c>
      <c r="G3405">
        <v>89296000</v>
      </c>
      <c r="H3405">
        <f t="shared" si="212"/>
        <v>2010</v>
      </c>
      <c r="I3405">
        <f t="shared" si="213"/>
        <v>11</v>
      </c>
      <c r="J3405" t="str">
        <f t="shared" si="214"/>
        <v>Nov</v>
      </c>
      <c r="K3405" t="str">
        <f t="shared" si="215"/>
        <v>Fri</v>
      </c>
    </row>
    <row r="3406" spans="1:11" x14ac:dyDescent="0.35">
      <c r="A3406" s="1">
        <v>40504</v>
      </c>
      <c r="B3406">
        <v>8.2550001144409109</v>
      </c>
      <c r="C3406">
        <v>8.5299997329711896</v>
      </c>
      <c r="D3406">
        <v>8.25</v>
      </c>
      <c r="E3406">
        <v>8.5194997787475497</v>
      </c>
      <c r="F3406">
        <v>8.5194997787475497</v>
      </c>
      <c r="G3406">
        <v>122850000</v>
      </c>
      <c r="H3406">
        <f t="shared" si="212"/>
        <v>2010</v>
      </c>
      <c r="I3406">
        <f t="shared" si="213"/>
        <v>11</v>
      </c>
      <c r="J3406" t="str">
        <f t="shared" si="214"/>
        <v>Nov</v>
      </c>
      <c r="K3406" t="str">
        <f t="shared" si="215"/>
        <v>Mon</v>
      </c>
    </row>
    <row r="3407" spans="1:11" x14ac:dyDescent="0.35">
      <c r="A3407" s="1">
        <v>40505</v>
      </c>
      <c r="B3407">
        <v>8.4305000305175692</v>
      </c>
      <c r="C3407">
        <v>8.4405002593994105</v>
      </c>
      <c r="D3407">
        <v>8.2309999465942294</v>
      </c>
      <c r="E3407">
        <v>8.4099998474121094</v>
      </c>
      <c r="F3407">
        <v>8.4099998474121094</v>
      </c>
      <c r="G3407">
        <v>129306000</v>
      </c>
      <c r="H3407">
        <f t="shared" si="212"/>
        <v>2010</v>
      </c>
      <c r="I3407">
        <f t="shared" si="213"/>
        <v>11</v>
      </c>
      <c r="J3407" t="str">
        <f t="shared" si="214"/>
        <v>Nov</v>
      </c>
      <c r="K3407" t="str">
        <f t="shared" si="215"/>
        <v>Tue</v>
      </c>
    </row>
    <row r="3408" spans="1:11" x14ac:dyDescent="0.35">
      <c r="A3408" s="1">
        <v>40506</v>
      </c>
      <c r="B3408">
        <v>8.5764999389648402</v>
      </c>
      <c r="C3408">
        <v>8.8944997787475497</v>
      </c>
      <c r="D3408">
        <v>8.5764999389648402</v>
      </c>
      <c r="E3408">
        <v>8.8625001907348597</v>
      </c>
      <c r="F3408">
        <v>8.8625001907348597</v>
      </c>
      <c r="G3408">
        <v>200850000</v>
      </c>
      <c r="H3408">
        <f t="shared" si="212"/>
        <v>2010</v>
      </c>
      <c r="I3408">
        <f t="shared" si="213"/>
        <v>11</v>
      </c>
      <c r="J3408" t="str">
        <f t="shared" si="214"/>
        <v>Nov</v>
      </c>
      <c r="K3408" t="str">
        <f t="shared" si="215"/>
        <v>Wed</v>
      </c>
    </row>
    <row r="3409" spans="1:11" x14ac:dyDescent="0.35">
      <c r="A3409" s="1">
        <v>40508</v>
      </c>
      <c r="B3409">
        <v>8.8680000305175692</v>
      </c>
      <c r="C3409">
        <v>8.9189996719360298</v>
      </c>
      <c r="D3409">
        <v>8.80799961090087</v>
      </c>
      <c r="E3409">
        <v>8.8599996566772408</v>
      </c>
      <c r="F3409">
        <v>8.8599996566772408</v>
      </c>
      <c r="G3409">
        <v>85432000</v>
      </c>
      <c r="H3409">
        <f t="shared" si="212"/>
        <v>2010</v>
      </c>
      <c r="I3409">
        <f t="shared" si="213"/>
        <v>11</v>
      </c>
      <c r="J3409" t="str">
        <f t="shared" si="214"/>
        <v>Nov</v>
      </c>
      <c r="K3409" t="str">
        <f t="shared" si="215"/>
        <v>Fri</v>
      </c>
    </row>
    <row r="3410" spans="1:11" x14ac:dyDescent="0.35">
      <c r="A3410" s="1">
        <v>40511</v>
      </c>
      <c r="B3410">
        <v>8.9995002746581996</v>
      </c>
      <c r="C3410">
        <v>9.0920000076293892</v>
      </c>
      <c r="D3410">
        <v>8.8784999847412092</v>
      </c>
      <c r="E3410">
        <v>8.9744997024536097</v>
      </c>
      <c r="F3410">
        <v>8.9744997024536097</v>
      </c>
      <c r="G3410">
        <v>193900000</v>
      </c>
      <c r="H3410">
        <f t="shared" si="212"/>
        <v>2010</v>
      </c>
      <c r="I3410">
        <f t="shared" si="213"/>
        <v>11</v>
      </c>
      <c r="J3410" t="str">
        <f t="shared" si="214"/>
        <v>Nov</v>
      </c>
      <c r="K3410" t="str">
        <f t="shared" si="215"/>
        <v>Mon</v>
      </c>
    </row>
    <row r="3411" spans="1:11" x14ac:dyDescent="0.35">
      <c r="A3411" s="1">
        <v>40512</v>
      </c>
      <c r="B3411">
        <v>8.8474998474121094</v>
      </c>
      <c r="C3411">
        <v>8.8850002288818306</v>
      </c>
      <c r="D3411">
        <v>8.7449998855590803</v>
      </c>
      <c r="E3411">
        <v>8.7700004577636701</v>
      </c>
      <c r="F3411">
        <v>8.7700004577636701</v>
      </c>
      <c r="G3411">
        <v>135244000</v>
      </c>
      <c r="H3411">
        <f t="shared" si="212"/>
        <v>2010</v>
      </c>
      <c r="I3411">
        <f t="shared" si="213"/>
        <v>11</v>
      </c>
      <c r="J3411" t="str">
        <f t="shared" si="214"/>
        <v>Nov</v>
      </c>
      <c r="K3411" t="str">
        <f t="shared" si="215"/>
        <v>Tue</v>
      </c>
    </row>
    <row r="3412" spans="1:11" x14ac:dyDescent="0.35">
      <c r="A3412" s="1">
        <v>40513</v>
      </c>
      <c r="B3412">
        <v>8.9580001831054599</v>
      </c>
      <c r="C3412">
        <v>8.9659996032714808</v>
      </c>
      <c r="D3412">
        <v>8.8000001907348597</v>
      </c>
      <c r="E3412">
        <v>8.8275003433227504</v>
      </c>
      <c r="F3412">
        <v>8.8275003433227504</v>
      </c>
      <c r="G3412">
        <v>115402000</v>
      </c>
      <c r="H3412">
        <f t="shared" si="212"/>
        <v>2010</v>
      </c>
      <c r="I3412">
        <f t="shared" si="213"/>
        <v>12</v>
      </c>
      <c r="J3412" t="str">
        <f t="shared" si="214"/>
        <v>Dec</v>
      </c>
      <c r="K3412" t="str">
        <f t="shared" si="215"/>
        <v>Wed</v>
      </c>
    </row>
    <row r="3413" spans="1:11" x14ac:dyDescent="0.35">
      <c r="A3413" s="1">
        <v>40514</v>
      </c>
      <c r="B3413">
        <v>8.8430004119872994</v>
      </c>
      <c r="C3413">
        <v>8.8725004196166992</v>
      </c>
      <c r="D3413">
        <v>8.69600009918212</v>
      </c>
      <c r="E3413">
        <v>8.8264999389648402</v>
      </c>
      <c r="F3413">
        <v>8.8264999389648402</v>
      </c>
      <c r="G3413">
        <v>110752000</v>
      </c>
      <c r="H3413">
        <f t="shared" si="212"/>
        <v>2010</v>
      </c>
      <c r="I3413">
        <f t="shared" si="213"/>
        <v>12</v>
      </c>
      <c r="J3413" t="str">
        <f t="shared" si="214"/>
        <v>Dec</v>
      </c>
      <c r="K3413" t="str">
        <f t="shared" si="215"/>
        <v>Thu</v>
      </c>
    </row>
    <row r="3414" spans="1:11" x14ac:dyDescent="0.35">
      <c r="A3414" s="1">
        <v>40515</v>
      </c>
      <c r="B3414">
        <v>8.7749996185302699</v>
      </c>
      <c r="C3414">
        <v>8.8199996948242099</v>
      </c>
      <c r="D3414">
        <v>8.7025003433227504</v>
      </c>
      <c r="E3414">
        <v>8.7840003967285103</v>
      </c>
      <c r="F3414">
        <v>8.7840003967285103</v>
      </c>
      <c r="G3414">
        <v>98150000</v>
      </c>
      <c r="H3414">
        <f t="shared" si="212"/>
        <v>2010</v>
      </c>
      <c r="I3414">
        <f t="shared" si="213"/>
        <v>12</v>
      </c>
      <c r="J3414" t="str">
        <f t="shared" si="214"/>
        <v>Dec</v>
      </c>
      <c r="K3414" t="str">
        <f t="shared" si="215"/>
        <v>Fri</v>
      </c>
    </row>
    <row r="3415" spans="1:11" x14ac:dyDescent="0.35">
      <c r="A3415" s="1">
        <v>40518</v>
      </c>
      <c r="B3415">
        <v>8.77600002288818</v>
      </c>
      <c r="C3415">
        <v>8.9215002059936506</v>
      </c>
      <c r="D3415">
        <v>8.7299995422363192</v>
      </c>
      <c r="E3415">
        <v>8.9025001525878906</v>
      </c>
      <c r="F3415">
        <v>8.9025001525878906</v>
      </c>
      <c r="G3415">
        <v>113084000</v>
      </c>
      <c r="H3415">
        <f t="shared" si="212"/>
        <v>2010</v>
      </c>
      <c r="I3415">
        <f t="shared" si="213"/>
        <v>12</v>
      </c>
      <c r="J3415" t="str">
        <f t="shared" si="214"/>
        <v>Dec</v>
      </c>
      <c r="K3415" t="str">
        <f t="shared" si="215"/>
        <v>Mon</v>
      </c>
    </row>
    <row r="3416" spans="1:11" x14ac:dyDescent="0.35">
      <c r="A3416" s="1">
        <v>40519</v>
      </c>
      <c r="B3416">
        <v>9.0249996185302699</v>
      </c>
      <c r="C3416">
        <v>9.0734996795654297</v>
      </c>
      <c r="D3416">
        <v>8.8284997940063406</v>
      </c>
      <c r="E3416">
        <v>8.83850002288818</v>
      </c>
      <c r="F3416">
        <v>8.83850002288818</v>
      </c>
      <c r="G3416">
        <v>101542000</v>
      </c>
      <c r="H3416">
        <f t="shared" si="212"/>
        <v>2010</v>
      </c>
      <c r="I3416">
        <f t="shared" si="213"/>
        <v>12</v>
      </c>
      <c r="J3416" t="str">
        <f t="shared" si="214"/>
        <v>Dec</v>
      </c>
      <c r="K3416" t="str">
        <f t="shared" si="215"/>
        <v>Tue</v>
      </c>
    </row>
    <row r="3417" spans="1:11" x14ac:dyDescent="0.35">
      <c r="A3417" s="1">
        <v>40520</v>
      </c>
      <c r="B3417">
        <v>8.8745002746581996</v>
      </c>
      <c r="C3417">
        <v>8.9079999923706001</v>
      </c>
      <c r="D3417">
        <v>8.7600002288818306</v>
      </c>
      <c r="E3417">
        <v>8.8144998550415004</v>
      </c>
      <c r="F3417">
        <v>8.8144998550415004</v>
      </c>
      <c r="G3417">
        <v>74538000</v>
      </c>
      <c r="H3417">
        <f t="shared" si="212"/>
        <v>2010</v>
      </c>
      <c r="I3417">
        <f t="shared" si="213"/>
        <v>12</v>
      </c>
      <c r="J3417" t="str">
        <f t="shared" si="214"/>
        <v>Dec</v>
      </c>
      <c r="K3417" t="str">
        <f t="shared" si="215"/>
        <v>Wed</v>
      </c>
    </row>
    <row r="3418" spans="1:11" x14ac:dyDescent="0.35">
      <c r="A3418" s="1">
        <v>40521</v>
      </c>
      <c r="B3418">
        <v>8.8885002136230398</v>
      </c>
      <c r="C3418">
        <v>8.9055004119872994</v>
      </c>
      <c r="D3418">
        <v>8.6899995803833008</v>
      </c>
      <c r="E3418">
        <v>8.7425003051757795</v>
      </c>
      <c r="F3418">
        <v>8.7425003051757795</v>
      </c>
      <c r="G3418">
        <v>91110000</v>
      </c>
      <c r="H3418">
        <f t="shared" si="212"/>
        <v>2010</v>
      </c>
      <c r="I3418">
        <f t="shared" si="213"/>
        <v>12</v>
      </c>
      <c r="J3418" t="str">
        <f t="shared" si="214"/>
        <v>Dec</v>
      </c>
      <c r="K3418" t="str">
        <f t="shared" si="215"/>
        <v>Thu</v>
      </c>
    </row>
    <row r="3419" spans="1:11" x14ac:dyDescent="0.35">
      <c r="A3419" s="1">
        <v>40522</v>
      </c>
      <c r="B3419">
        <v>8.7440004348754794</v>
      </c>
      <c r="C3419">
        <v>8.7974996566772408</v>
      </c>
      <c r="D3419">
        <v>8.6680002212524396</v>
      </c>
      <c r="E3419">
        <v>8.7810001373290998</v>
      </c>
      <c r="F3419">
        <v>8.7810001373290998</v>
      </c>
      <c r="G3419">
        <v>71310000</v>
      </c>
      <c r="H3419">
        <f t="shared" si="212"/>
        <v>2010</v>
      </c>
      <c r="I3419">
        <f t="shared" si="213"/>
        <v>12</v>
      </c>
      <c r="J3419" t="str">
        <f t="shared" si="214"/>
        <v>Dec</v>
      </c>
      <c r="K3419" t="str">
        <f t="shared" si="215"/>
        <v>Fri</v>
      </c>
    </row>
    <row r="3420" spans="1:11" x14ac:dyDescent="0.35">
      <c r="A3420" s="1">
        <v>40525</v>
      </c>
      <c r="B3420">
        <v>8.8164997100830007</v>
      </c>
      <c r="C3420">
        <v>8.8970003128051705</v>
      </c>
      <c r="D3420">
        <v>8.6864995956420898</v>
      </c>
      <c r="E3420">
        <v>8.7124996185302699</v>
      </c>
      <c r="F3420">
        <v>8.7124996185302699</v>
      </c>
      <c r="G3420">
        <v>84050000</v>
      </c>
      <c r="H3420">
        <f t="shared" si="212"/>
        <v>2010</v>
      </c>
      <c r="I3420">
        <f t="shared" si="213"/>
        <v>12</v>
      </c>
      <c r="J3420" t="str">
        <f t="shared" si="214"/>
        <v>Dec</v>
      </c>
      <c r="K3420" t="str">
        <f t="shared" si="215"/>
        <v>Mon</v>
      </c>
    </row>
    <row r="3421" spans="1:11" x14ac:dyDescent="0.35">
      <c r="A3421" s="1">
        <v>40526</v>
      </c>
      <c r="B3421">
        <v>8.7139997482299805</v>
      </c>
      <c r="C3421">
        <v>8.7880001068115199</v>
      </c>
      <c r="D3421">
        <v>8.6545000076293892</v>
      </c>
      <c r="E3421">
        <v>8.6969995498657209</v>
      </c>
      <c r="F3421">
        <v>8.6969995498657209</v>
      </c>
      <c r="G3421">
        <v>73706000</v>
      </c>
      <c r="H3421">
        <f t="shared" si="212"/>
        <v>2010</v>
      </c>
      <c r="I3421">
        <f t="shared" si="213"/>
        <v>12</v>
      </c>
      <c r="J3421" t="str">
        <f t="shared" si="214"/>
        <v>Dec</v>
      </c>
      <c r="K3421" t="str">
        <f t="shared" si="215"/>
        <v>Tue</v>
      </c>
    </row>
    <row r="3422" spans="1:11" x14ac:dyDescent="0.35">
      <c r="A3422" s="1">
        <v>40527</v>
      </c>
      <c r="B3422">
        <v>8.6859998703002894</v>
      </c>
      <c r="C3422">
        <v>8.9499998092651296</v>
      </c>
      <c r="D3422">
        <v>8.6794996261596609</v>
      </c>
      <c r="E3422">
        <v>8.7784996032714808</v>
      </c>
      <c r="F3422">
        <v>8.7784996032714808</v>
      </c>
      <c r="G3422">
        <v>116210000</v>
      </c>
      <c r="H3422">
        <f t="shared" si="212"/>
        <v>2010</v>
      </c>
      <c r="I3422">
        <f t="shared" si="213"/>
        <v>12</v>
      </c>
      <c r="J3422" t="str">
        <f t="shared" si="214"/>
        <v>Dec</v>
      </c>
      <c r="K3422" t="str">
        <f t="shared" si="215"/>
        <v>Wed</v>
      </c>
    </row>
    <row r="3423" spans="1:11" x14ac:dyDescent="0.35">
      <c r="A3423" s="1">
        <v>40528</v>
      </c>
      <c r="B3423">
        <v>8.7790002822875906</v>
      </c>
      <c r="C3423">
        <v>8.9149999618530202</v>
      </c>
      <c r="D3423">
        <v>8.7519998550415004</v>
      </c>
      <c r="E3423">
        <v>8.9020004272460902</v>
      </c>
      <c r="F3423">
        <v>8.9020004272460902</v>
      </c>
      <c r="G3423">
        <v>82430000</v>
      </c>
      <c r="H3423">
        <f t="shared" si="212"/>
        <v>2010</v>
      </c>
      <c r="I3423">
        <f t="shared" si="213"/>
        <v>12</v>
      </c>
      <c r="J3423" t="str">
        <f t="shared" si="214"/>
        <v>Dec</v>
      </c>
      <c r="K3423" t="str">
        <f t="shared" si="215"/>
        <v>Thu</v>
      </c>
    </row>
    <row r="3424" spans="1:11" x14ac:dyDescent="0.35">
      <c r="A3424" s="1">
        <v>40529</v>
      </c>
      <c r="B3424">
        <v>8.9204998016357404</v>
      </c>
      <c r="C3424">
        <v>8.9375</v>
      </c>
      <c r="D3424">
        <v>8.8509998321533203</v>
      </c>
      <c r="E3424">
        <v>8.8789997100830007</v>
      </c>
      <c r="F3424">
        <v>8.8789997100830007</v>
      </c>
      <c r="G3424">
        <v>90146000</v>
      </c>
      <c r="H3424">
        <f t="shared" si="212"/>
        <v>2010</v>
      </c>
      <c r="I3424">
        <f t="shared" si="213"/>
        <v>12</v>
      </c>
      <c r="J3424" t="str">
        <f t="shared" si="214"/>
        <v>Dec</v>
      </c>
      <c r="K3424" t="str">
        <f t="shared" si="215"/>
        <v>Fri</v>
      </c>
    </row>
    <row r="3425" spans="1:11" x14ac:dyDescent="0.35">
      <c r="A3425" s="1">
        <v>40532</v>
      </c>
      <c r="B3425">
        <v>8.96350002288818</v>
      </c>
      <c r="C3425">
        <v>9.1990003585815394</v>
      </c>
      <c r="D3425">
        <v>8.9020004272460902</v>
      </c>
      <c r="E3425">
        <v>9.1645002365112305</v>
      </c>
      <c r="F3425">
        <v>9.1645002365112305</v>
      </c>
      <c r="G3425">
        <v>174706000</v>
      </c>
      <c r="H3425">
        <f t="shared" si="212"/>
        <v>2010</v>
      </c>
      <c r="I3425">
        <f t="shared" si="213"/>
        <v>12</v>
      </c>
      <c r="J3425" t="str">
        <f t="shared" si="214"/>
        <v>Dec</v>
      </c>
      <c r="K3425" t="str">
        <f t="shared" si="215"/>
        <v>Mon</v>
      </c>
    </row>
    <row r="3426" spans="1:11" x14ac:dyDescent="0.35">
      <c r="A3426" s="1">
        <v>40533</v>
      </c>
      <c r="B3426">
        <v>9.1940002441406197</v>
      </c>
      <c r="C3426">
        <v>9.2825002670287997</v>
      </c>
      <c r="D3426">
        <v>9.1300001144409109</v>
      </c>
      <c r="E3426">
        <v>9.2375001907348597</v>
      </c>
      <c r="F3426">
        <v>9.2375001907348597</v>
      </c>
      <c r="G3426">
        <v>102220000</v>
      </c>
      <c r="H3426">
        <f t="shared" si="212"/>
        <v>2010</v>
      </c>
      <c r="I3426">
        <f t="shared" si="213"/>
        <v>12</v>
      </c>
      <c r="J3426" t="str">
        <f t="shared" si="214"/>
        <v>Dec</v>
      </c>
      <c r="K3426" t="str">
        <f t="shared" si="215"/>
        <v>Tue</v>
      </c>
    </row>
    <row r="3427" spans="1:11" x14ac:dyDescent="0.35">
      <c r="A3427" s="1">
        <v>40534</v>
      </c>
      <c r="B3427">
        <v>9.25</v>
      </c>
      <c r="C3427">
        <v>9.2725000381469709</v>
      </c>
      <c r="D3427">
        <v>9.2054996490478498</v>
      </c>
      <c r="E3427">
        <v>9.2379999160766602</v>
      </c>
      <c r="F3427">
        <v>9.2379999160766602</v>
      </c>
      <c r="G3427">
        <v>51562000</v>
      </c>
      <c r="H3427">
        <f t="shared" si="212"/>
        <v>2010</v>
      </c>
      <c r="I3427">
        <f t="shared" si="213"/>
        <v>12</v>
      </c>
      <c r="J3427" t="str">
        <f t="shared" si="214"/>
        <v>Dec</v>
      </c>
      <c r="K3427" t="str">
        <f t="shared" si="215"/>
        <v>Wed</v>
      </c>
    </row>
    <row r="3428" spans="1:11" x14ac:dyDescent="0.35">
      <c r="A3428" s="1">
        <v>40535</v>
      </c>
      <c r="B3428">
        <v>9.2170000076293892</v>
      </c>
      <c r="C3428">
        <v>9.2489995956420898</v>
      </c>
      <c r="D3428">
        <v>9.09449958801269</v>
      </c>
      <c r="E3428">
        <v>9.1295003890991193</v>
      </c>
      <c r="F3428">
        <v>9.1295003890991193</v>
      </c>
      <c r="G3428">
        <v>67164000</v>
      </c>
      <c r="H3428">
        <f t="shared" si="212"/>
        <v>2010</v>
      </c>
      <c r="I3428">
        <f t="shared" si="213"/>
        <v>12</v>
      </c>
      <c r="J3428" t="str">
        <f t="shared" si="214"/>
        <v>Dec</v>
      </c>
      <c r="K3428" t="str">
        <f t="shared" si="215"/>
        <v>Thu</v>
      </c>
    </row>
    <row r="3429" spans="1:11" x14ac:dyDescent="0.35">
      <c r="A3429" s="1">
        <v>40539</v>
      </c>
      <c r="B3429">
        <v>9.0950002670287997</v>
      </c>
      <c r="C3429">
        <v>9.15699958801269</v>
      </c>
      <c r="D3429">
        <v>9.0225000381469709</v>
      </c>
      <c r="E3429">
        <v>9.1070003509521396</v>
      </c>
      <c r="F3429">
        <v>9.1070003509521396</v>
      </c>
      <c r="G3429">
        <v>44988000</v>
      </c>
      <c r="H3429">
        <f t="shared" si="212"/>
        <v>2010</v>
      </c>
      <c r="I3429">
        <f t="shared" si="213"/>
        <v>12</v>
      </c>
      <c r="J3429" t="str">
        <f t="shared" si="214"/>
        <v>Dec</v>
      </c>
      <c r="K3429" t="str">
        <f t="shared" si="215"/>
        <v>Mon</v>
      </c>
    </row>
    <row r="3430" spans="1:11" x14ac:dyDescent="0.35">
      <c r="A3430" s="1">
        <v>40540</v>
      </c>
      <c r="B3430">
        <v>9.1049995422363192</v>
      </c>
      <c r="C3430">
        <v>9.1385002136230398</v>
      </c>
      <c r="D3430">
        <v>9.0524997711181605</v>
      </c>
      <c r="E3430">
        <v>9.0544996261596609</v>
      </c>
      <c r="F3430">
        <v>9.0544996261596609</v>
      </c>
      <c r="G3430">
        <v>39500000</v>
      </c>
      <c r="H3430">
        <f t="shared" si="212"/>
        <v>2010</v>
      </c>
      <c r="I3430">
        <f t="shared" si="213"/>
        <v>12</v>
      </c>
      <c r="J3430" t="str">
        <f t="shared" si="214"/>
        <v>Dec</v>
      </c>
      <c r="K3430" t="str">
        <f t="shared" si="215"/>
        <v>Tue</v>
      </c>
    </row>
    <row r="3431" spans="1:11" x14ac:dyDescent="0.35">
      <c r="A3431" s="1">
        <v>40541</v>
      </c>
      <c r="B3431">
        <v>9.0900001525878906</v>
      </c>
      <c r="C3431">
        <v>9.2174997329711896</v>
      </c>
      <c r="D3431">
        <v>9.0205001831054599</v>
      </c>
      <c r="E3431">
        <v>9.1684999465942294</v>
      </c>
      <c r="F3431">
        <v>9.1684999465942294</v>
      </c>
      <c r="G3431">
        <v>62402000</v>
      </c>
      <c r="H3431">
        <f t="shared" si="212"/>
        <v>2010</v>
      </c>
      <c r="I3431">
        <f t="shared" si="213"/>
        <v>12</v>
      </c>
      <c r="J3431" t="str">
        <f t="shared" si="214"/>
        <v>Dec</v>
      </c>
      <c r="K3431" t="str">
        <f t="shared" si="215"/>
        <v>Wed</v>
      </c>
    </row>
    <row r="3432" spans="1:11" x14ac:dyDescent="0.35">
      <c r="A3432" s="1">
        <v>40542</v>
      </c>
      <c r="B3432">
        <v>9.19600009918212</v>
      </c>
      <c r="C3432">
        <v>9.2274999618530202</v>
      </c>
      <c r="D3432">
        <v>9.1374998092651296</v>
      </c>
      <c r="E3432">
        <v>9.1374998092651296</v>
      </c>
      <c r="F3432">
        <v>9.1374998092651296</v>
      </c>
      <c r="G3432">
        <v>39224000</v>
      </c>
      <c r="H3432">
        <f t="shared" si="212"/>
        <v>2010</v>
      </c>
      <c r="I3432">
        <f t="shared" si="213"/>
        <v>12</v>
      </c>
      <c r="J3432" t="str">
        <f t="shared" si="214"/>
        <v>Dec</v>
      </c>
      <c r="K3432" t="str">
        <f t="shared" si="215"/>
        <v>Thu</v>
      </c>
    </row>
    <row r="3433" spans="1:11" x14ac:dyDescent="0.35">
      <c r="A3433" s="1">
        <v>40543</v>
      </c>
      <c r="B3433">
        <v>9.0979995727538991</v>
      </c>
      <c r="C3433">
        <v>9.1149997711181605</v>
      </c>
      <c r="D3433">
        <v>8.9755001068115199</v>
      </c>
      <c r="E3433">
        <v>9</v>
      </c>
      <c r="F3433">
        <v>9</v>
      </c>
      <c r="G3433">
        <v>69038000</v>
      </c>
      <c r="H3433">
        <f t="shared" si="212"/>
        <v>2010</v>
      </c>
      <c r="I3433">
        <f t="shared" si="213"/>
        <v>12</v>
      </c>
      <c r="J3433" t="str">
        <f t="shared" si="214"/>
        <v>Dec</v>
      </c>
      <c r="K3433" t="str">
        <f t="shared" si="215"/>
        <v>Fri</v>
      </c>
    </row>
    <row r="3434" spans="1:11" x14ac:dyDescent="0.35">
      <c r="A3434" s="1">
        <v>40546</v>
      </c>
      <c r="B3434">
        <v>9.0684995651245099</v>
      </c>
      <c r="C3434">
        <v>9.3000001907348597</v>
      </c>
      <c r="D3434">
        <v>9.0605001449584908</v>
      </c>
      <c r="E3434">
        <v>9.2110004425048793</v>
      </c>
      <c r="F3434">
        <v>9.2110004425048793</v>
      </c>
      <c r="G3434">
        <v>106628000</v>
      </c>
      <c r="H3434">
        <f t="shared" si="212"/>
        <v>2011</v>
      </c>
      <c r="I3434">
        <f t="shared" si="213"/>
        <v>1</v>
      </c>
      <c r="J3434" t="str">
        <f t="shared" si="214"/>
        <v>Jan</v>
      </c>
      <c r="K3434" t="str">
        <f t="shared" si="215"/>
        <v>Mon</v>
      </c>
    </row>
    <row r="3435" spans="1:11" x14ac:dyDescent="0.35">
      <c r="A3435" s="1">
        <v>40547</v>
      </c>
      <c r="B3435">
        <v>9.3074998855590803</v>
      </c>
      <c r="C3435">
        <v>9.3850002288818306</v>
      </c>
      <c r="D3435">
        <v>9.1890001296996999</v>
      </c>
      <c r="E3435">
        <v>9.2504997253417898</v>
      </c>
      <c r="F3435">
        <v>9.2504997253417898</v>
      </c>
      <c r="G3435">
        <v>100636000</v>
      </c>
      <c r="H3435">
        <f t="shared" si="212"/>
        <v>2011</v>
      </c>
      <c r="I3435">
        <f t="shared" si="213"/>
        <v>1</v>
      </c>
      <c r="J3435" t="str">
        <f t="shared" si="214"/>
        <v>Jan</v>
      </c>
      <c r="K3435" t="str">
        <f t="shared" si="215"/>
        <v>Tue</v>
      </c>
    </row>
    <row r="3436" spans="1:11" x14ac:dyDescent="0.35">
      <c r="A3436" s="1">
        <v>40548</v>
      </c>
      <c r="B3436">
        <v>9.2049999237060494</v>
      </c>
      <c r="C3436">
        <v>9.3725004196166992</v>
      </c>
      <c r="D3436">
        <v>9.2034997940063406</v>
      </c>
      <c r="E3436">
        <v>9.3710002899169904</v>
      </c>
      <c r="F3436">
        <v>9.3710002899169904</v>
      </c>
      <c r="G3436">
        <v>68376000</v>
      </c>
      <c r="H3436">
        <f t="shared" si="212"/>
        <v>2011</v>
      </c>
      <c r="I3436">
        <f t="shared" si="213"/>
        <v>1</v>
      </c>
      <c r="J3436" t="str">
        <f t="shared" si="214"/>
        <v>Jan</v>
      </c>
      <c r="K3436" t="str">
        <f t="shared" si="215"/>
        <v>Wed</v>
      </c>
    </row>
    <row r="3437" spans="1:11" x14ac:dyDescent="0.35">
      <c r="A3437" s="1">
        <v>40549</v>
      </c>
      <c r="B3437">
        <v>9.3249998092651296</v>
      </c>
      <c r="C3437">
        <v>9.37049961090087</v>
      </c>
      <c r="D3437">
        <v>9.2624998092651296</v>
      </c>
      <c r="E3437">
        <v>9.2930002212524396</v>
      </c>
      <c r="F3437">
        <v>9.2930002212524396</v>
      </c>
      <c r="G3437">
        <v>63594000</v>
      </c>
      <c r="H3437">
        <f t="shared" si="212"/>
        <v>2011</v>
      </c>
      <c r="I3437">
        <f t="shared" si="213"/>
        <v>1</v>
      </c>
      <c r="J3437" t="str">
        <f t="shared" si="214"/>
        <v>Jan</v>
      </c>
      <c r="K3437" t="str">
        <f t="shared" si="215"/>
        <v>Thu</v>
      </c>
    </row>
    <row r="3438" spans="1:11" x14ac:dyDescent="0.35">
      <c r="A3438" s="1">
        <v>40550</v>
      </c>
      <c r="B3438">
        <v>9.3940000534057599</v>
      </c>
      <c r="C3438">
        <v>9.4224996566772408</v>
      </c>
      <c r="D3438">
        <v>9.1870002746581996</v>
      </c>
      <c r="E3438">
        <v>9.2744998931884695</v>
      </c>
      <c r="F3438">
        <v>9.2744998931884695</v>
      </c>
      <c r="G3438">
        <v>104434000</v>
      </c>
      <c r="H3438">
        <f t="shared" si="212"/>
        <v>2011</v>
      </c>
      <c r="I3438">
        <f t="shared" si="213"/>
        <v>1</v>
      </c>
      <c r="J3438" t="str">
        <f t="shared" si="214"/>
        <v>Jan</v>
      </c>
      <c r="K3438" t="str">
        <f t="shared" si="215"/>
        <v>Fri</v>
      </c>
    </row>
    <row r="3439" spans="1:11" x14ac:dyDescent="0.35">
      <c r="A3439" s="1">
        <v>40553</v>
      </c>
      <c r="B3439">
        <v>9.2519998550415004</v>
      </c>
      <c r="C3439">
        <v>9.2644996643066406</v>
      </c>
      <c r="D3439">
        <v>9.1254997253417898</v>
      </c>
      <c r="E3439">
        <v>9.2340002059936506</v>
      </c>
      <c r="F3439">
        <v>9.2340002059936506</v>
      </c>
      <c r="G3439">
        <v>67518000</v>
      </c>
      <c r="H3439">
        <f t="shared" si="212"/>
        <v>2011</v>
      </c>
      <c r="I3439">
        <f t="shared" si="213"/>
        <v>1</v>
      </c>
      <c r="J3439" t="str">
        <f t="shared" si="214"/>
        <v>Jan</v>
      </c>
      <c r="K3439" t="str">
        <f t="shared" si="215"/>
        <v>Mon</v>
      </c>
    </row>
    <row r="3440" spans="1:11" x14ac:dyDescent="0.35">
      <c r="A3440" s="1">
        <v>40554</v>
      </c>
      <c r="B3440">
        <v>9.2709999084472603</v>
      </c>
      <c r="C3440">
        <v>9.3000001907348597</v>
      </c>
      <c r="D3440">
        <v>9.1604995727538991</v>
      </c>
      <c r="E3440">
        <v>9.2170000076293892</v>
      </c>
      <c r="F3440">
        <v>9.2170000076293892</v>
      </c>
      <c r="G3440">
        <v>56284000</v>
      </c>
      <c r="H3440">
        <f t="shared" si="212"/>
        <v>2011</v>
      </c>
      <c r="I3440">
        <f t="shared" si="213"/>
        <v>1</v>
      </c>
      <c r="J3440" t="str">
        <f t="shared" si="214"/>
        <v>Jan</v>
      </c>
      <c r="K3440" t="str">
        <f t="shared" si="215"/>
        <v>Tue</v>
      </c>
    </row>
    <row r="3441" spans="1:11" x14ac:dyDescent="0.35">
      <c r="A3441" s="1">
        <v>40555</v>
      </c>
      <c r="B3441">
        <v>9.2679996490478498</v>
      </c>
      <c r="C3441">
        <v>9.2690000534057599</v>
      </c>
      <c r="D3441">
        <v>9.1649999618530202</v>
      </c>
      <c r="E3441">
        <v>9.2040004730224592</v>
      </c>
      <c r="F3441">
        <v>9.2040004730224592</v>
      </c>
      <c r="G3441">
        <v>53582000</v>
      </c>
      <c r="H3441">
        <f t="shared" si="212"/>
        <v>2011</v>
      </c>
      <c r="I3441">
        <f t="shared" si="213"/>
        <v>1</v>
      </c>
      <c r="J3441" t="str">
        <f t="shared" si="214"/>
        <v>Jan</v>
      </c>
      <c r="K3441" t="str">
        <f t="shared" si="215"/>
        <v>Wed</v>
      </c>
    </row>
    <row r="3442" spans="1:11" x14ac:dyDescent="0.35">
      <c r="A3442" s="1">
        <v>40556</v>
      </c>
      <c r="B3442">
        <v>9.1800003051757795</v>
      </c>
      <c r="C3442">
        <v>9.3225002288818306</v>
      </c>
      <c r="D3442">
        <v>9.1754999160766602</v>
      </c>
      <c r="E3442">
        <v>9.2764997482299805</v>
      </c>
      <c r="F3442">
        <v>9.2764997482299805</v>
      </c>
      <c r="G3442">
        <v>67340000</v>
      </c>
      <c r="H3442">
        <f t="shared" si="212"/>
        <v>2011</v>
      </c>
      <c r="I3442">
        <f t="shared" si="213"/>
        <v>1</v>
      </c>
      <c r="J3442" t="str">
        <f t="shared" si="214"/>
        <v>Jan</v>
      </c>
      <c r="K3442" t="str">
        <f t="shared" si="215"/>
        <v>Thu</v>
      </c>
    </row>
    <row r="3443" spans="1:11" x14ac:dyDescent="0.35">
      <c r="A3443" s="1">
        <v>40557</v>
      </c>
      <c r="B3443">
        <v>9.2749996185302699</v>
      </c>
      <c r="C3443">
        <v>9.4469995498657209</v>
      </c>
      <c r="D3443">
        <v>9.2460002899169904</v>
      </c>
      <c r="E3443">
        <v>9.4375</v>
      </c>
      <c r="F3443">
        <v>9.4375</v>
      </c>
      <c r="G3443">
        <v>73256000</v>
      </c>
      <c r="H3443">
        <f t="shared" si="212"/>
        <v>2011</v>
      </c>
      <c r="I3443">
        <f t="shared" si="213"/>
        <v>1</v>
      </c>
      <c r="J3443" t="str">
        <f t="shared" si="214"/>
        <v>Jan</v>
      </c>
      <c r="K3443" t="str">
        <f t="shared" si="215"/>
        <v>Fri</v>
      </c>
    </row>
    <row r="3444" spans="1:11" x14ac:dyDescent="0.35">
      <c r="A3444" s="1">
        <v>40561</v>
      </c>
      <c r="B3444">
        <v>9.43299961090087</v>
      </c>
      <c r="C3444">
        <v>9.5799999237060494</v>
      </c>
      <c r="D3444">
        <v>9.4125003814697195</v>
      </c>
      <c r="E3444">
        <v>9.5625</v>
      </c>
      <c r="F3444">
        <v>9.5625</v>
      </c>
      <c r="G3444">
        <v>77924000</v>
      </c>
      <c r="H3444">
        <f t="shared" si="212"/>
        <v>2011</v>
      </c>
      <c r="I3444">
        <f t="shared" si="213"/>
        <v>1</v>
      </c>
      <c r="J3444" t="str">
        <f t="shared" si="214"/>
        <v>Jan</v>
      </c>
      <c r="K3444" t="str">
        <f t="shared" si="215"/>
        <v>Tue</v>
      </c>
    </row>
    <row r="3445" spans="1:11" x14ac:dyDescent="0.35">
      <c r="A3445" s="1">
        <v>40562</v>
      </c>
      <c r="B3445">
        <v>9.54500007629394</v>
      </c>
      <c r="C3445">
        <v>9.5500001907348597</v>
      </c>
      <c r="D3445">
        <v>9.3105001449584908</v>
      </c>
      <c r="E3445">
        <v>9.3435001373290998</v>
      </c>
      <c r="F3445">
        <v>9.3435001373290998</v>
      </c>
      <c r="G3445">
        <v>77648000</v>
      </c>
      <c r="H3445">
        <f t="shared" si="212"/>
        <v>2011</v>
      </c>
      <c r="I3445">
        <f t="shared" si="213"/>
        <v>1</v>
      </c>
      <c r="J3445" t="str">
        <f t="shared" si="214"/>
        <v>Jan</v>
      </c>
      <c r="K3445" t="str">
        <f t="shared" si="215"/>
        <v>Wed</v>
      </c>
    </row>
    <row r="3446" spans="1:11" x14ac:dyDescent="0.35">
      <c r="A3446" s="1">
        <v>40563</v>
      </c>
      <c r="B3446">
        <v>9.2644996643066406</v>
      </c>
      <c r="C3446">
        <v>9.3424997329711896</v>
      </c>
      <c r="D3446">
        <v>9.0500001907348597</v>
      </c>
      <c r="E3446">
        <v>9.0979995727538991</v>
      </c>
      <c r="F3446">
        <v>9.0979995727538991</v>
      </c>
      <c r="G3446">
        <v>114198000</v>
      </c>
      <c r="H3446">
        <f t="shared" si="212"/>
        <v>2011</v>
      </c>
      <c r="I3446">
        <f t="shared" si="213"/>
        <v>1</v>
      </c>
      <c r="J3446" t="str">
        <f t="shared" si="214"/>
        <v>Jan</v>
      </c>
      <c r="K3446" t="str">
        <f t="shared" si="215"/>
        <v>Thu</v>
      </c>
    </row>
    <row r="3447" spans="1:11" x14ac:dyDescent="0.35">
      <c r="A3447" s="1">
        <v>40564</v>
      </c>
      <c r="B3447">
        <v>9.1499996185302699</v>
      </c>
      <c r="C3447">
        <v>9.1625003814697195</v>
      </c>
      <c r="D3447">
        <v>8.8420000076293892</v>
      </c>
      <c r="E3447">
        <v>8.8710002899169904</v>
      </c>
      <c r="F3447">
        <v>8.8710002899169904</v>
      </c>
      <c r="G3447">
        <v>136124000</v>
      </c>
      <c r="H3447">
        <f t="shared" si="212"/>
        <v>2011</v>
      </c>
      <c r="I3447">
        <f t="shared" si="213"/>
        <v>1</v>
      </c>
      <c r="J3447" t="str">
        <f t="shared" si="214"/>
        <v>Jan</v>
      </c>
      <c r="K3447" t="str">
        <f t="shared" si="215"/>
        <v>Fri</v>
      </c>
    </row>
    <row r="3448" spans="1:11" x14ac:dyDescent="0.35">
      <c r="A3448" s="1">
        <v>40567</v>
      </c>
      <c r="B3448">
        <v>8.8975000381469709</v>
      </c>
      <c r="C3448">
        <v>8.9245004653930593</v>
      </c>
      <c r="D3448">
        <v>8.7075004577636701</v>
      </c>
      <c r="E3448">
        <v>8.8424997329711896</v>
      </c>
      <c r="F3448">
        <v>8.8424997329711896</v>
      </c>
      <c r="G3448">
        <v>112006000</v>
      </c>
      <c r="H3448">
        <f t="shared" si="212"/>
        <v>2011</v>
      </c>
      <c r="I3448">
        <f t="shared" si="213"/>
        <v>1</v>
      </c>
      <c r="J3448" t="str">
        <f t="shared" si="214"/>
        <v>Jan</v>
      </c>
      <c r="K3448" t="str">
        <f t="shared" si="215"/>
        <v>Mon</v>
      </c>
    </row>
    <row r="3449" spans="1:11" x14ac:dyDescent="0.35">
      <c r="A3449" s="1">
        <v>40568</v>
      </c>
      <c r="B3449">
        <v>8.7749996185302699</v>
      </c>
      <c r="C3449">
        <v>8.8374996185302699</v>
      </c>
      <c r="D3449">
        <v>8.7139997482299805</v>
      </c>
      <c r="E3449">
        <v>8.8350000381469709</v>
      </c>
      <c r="F3449">
        <v>8.8350000381469709</v>
      </c>
      <c r="G3449">
        <v>93020000</v>
      </c>
      <c r="H3449">
        <f t="shared" si="212"/>
        <v>2011</v>
      </c>
      <c r="I3449">
        <f t="shared" si="213"/>
        <v>1</v>
      </c>
      <c r="J3449" t="str">
        <f t="shared" si="214"/>
        <v>Jan</v>
      </c>
      <c r="K3449" t="str">
        <f t="shared" si="215"/>
        <v>Tue</v>
      </c>
    </row>
    <row r="3450" spans="1:11" x14ac:dyDescent="0.35">
      <c r="A3450" s="1">
        <v>40569</v>
      </c>
      <c r="B3450">
        <v>8.8754997253417898</v>
      </c>
      <c r="C3450">
        <v>8.8944997787475497</v>
      </c>
      <c r="D3450">
        <v>8.7314996719360298</v>
      </c>
      <c r="E3450">
        <v>8.7694997787475497</v>
      </c>
      <c r="F3450">
        <v>8.7694997787475497</v>
      </c>
      <c r="G3450">
        <v>75244000</v>
      </c>
      <c r="H3450">
        <f t="shared" si="212"/>
        <v>2011</v>
      </c>
      <c r="I3450">
        <f t="shared" si="213"/>
        <v>1</v>
      </c>
      <c r="J3450" t="str">
        <f t="shared" si="214"/>
        <v>Jan</v>
      </c>
      <c r="K3450" t="str">
        <f t="shared" si="215"/>
        <v>Wed</v>
      </c>
    </row>
    <row r="3451" spans="1:11" x14ac:dyDescent="0.35">
      <c r="A3451" s="1">
        <v>40570</v>
      </c>
      <c r="B3451">
        <v>8.8739995956420898</v>
      </c>
      <c r="C3451">
        <v>9.25</v>
      </c>
      <c r="D3451">
        <v>8.8655004501342702</v>
      </c>
      <c r="E3451">
        <v>9.2224998474121094</v>
      </c>
      <c r="F3451">
        <v>9.2224998474121094</v>
      </c>
      <c r="G3451">
        <v>291888000</v>
      </c>
      <c r="H3451">
        <f t="shared" si="212"/>
        <v>2011</v>
      </c>
      <c r="I3451">
        <f t="shared" si="213"/>
        <v>1</v>
      </c>
      <c r="J3451" t="str">
        <f t="shared" si="214"/>
        <v>Jan</v>
      </c>
      <c r="K3451" t="str">
        <f t="shared" si="215"/>
        <v>Thu</v>
      </c>
    </row>
    <row r="3452" spans="1:11" x14ac:dyDescent="0.35">
      <c r="A3452" s="1">
        <v>40571</v>
      </c>
      <c r="B3452">
        <v>8.5725002288818306</v>
      </c>
      <c r="C3452">
        <v>8.6855001449584908</v>
      </c>
      <c r="D3452">
        <v>8.3450002670287997</v>
      </c>
      <c r="E3452">
        <v>8.5570001602172798</v>
      </c>
      <c r="F3452">
        <v>8.5570001602172798</v>
      </c>
      <c r="G3452">
        <v>398164000</v>
      </c>
      <c r="H3452">
        <f t="shared" si="212"/>
        <v>2011</v>
      </c>
      <c r="I3452">
        <f t="shared" si="213"/>
        <v>1</v>
      </c>
      <c r="J3452" t="str">
        <f t="shared" si="214"/>
        <v>Jan</v>
      </c>
      <c r="K3452" t="str">
        <f t="shared" si="215"/>
        <v>Fri</v>
      </c>
    </row>
    <row r="3453" spans="1:11" x14ac:dyDescent="0.35">
      <c r="A3453" s="1">
        <v>40574</v>
      </c>
      <c r="B3453">
        <v>8.5080003738403303</v>
      </c>
      <c r="C3453">
        <v>8.5719995498657209</v>
      </c>
      <c r="D3453">
        <v>8.37049961090087</v>
      </c>
      <c r="E3453">
        <v>8.4820003509521396</v>
      </c>
      <c r="F3453">
        <v>8.4820003509521396</v>
      </c>
      <c r="G3453">
        <v>134362000</v>
      </c>
      <c r="H3453">
        <f t="shared" si="212"/>
        <v>2011</v>
      </c>
      <c r="I3453">
        <f t="shared" si="213"/>
        <v>1</v>
      </c>
      <c r="J3453" t="str">
        <f t="shared" si="214"/>
        <v>Jan</v>
      </c>
      <c r="K3453" t="str">
        <f t="shared" si="215"/>
        <v>Mon</v>
      </c>
    </row>
    <row r="3454" spans="1:11" x14ac:dyDescent="0.35">
      <c r="A3454" s="1">
        <v>40575</v>
      </c>
      <c r="B3454">
        <v>8.52600002288818</v>
      </c>
      <c r="C3454">
        <v>8.6549997329711896</v>
      </c>
      <c r="D3454">
        <v>8.4755001068115199</v>
      </c>
      <c r="E3454">
        <v>8.6055002212524396</v>
      </c>
      <c r="F3454">
        <v>8.6055002212524396</v>
      </c>
      <c r="G3454">
        <v>101718000</v>
      </c>
      <c r="H3454">
        <f t="shared" si="212"/>
        <v>2011</v>
      </c>
      <c r="I3454">
        <f t="shared" si="213"/>
        <v>2</v>
      </c>
      <c r="J3454" t="str">
        <f t="shared" si="214"/>
        <v>Feb</v>
      </c>
      <c r="K3454" t="str">
        <f t="shared" si="215"/>
        <v>Tue</v>
      </c>
    </row>
    <row r="3455" spans="1:11" x14ac:dyDescent="0.35">
      <c r="A3455" s="1">
        <v>40576</v>
      </c>
      <c r="B3455">
        <v>8.57100009918212</v>
      </c>
      <c r="C3455">
        <v>8.7600002288818306</v>
      </c>
      <c r="D3455">
        <v>8.5434999465942294</v>
      </c>
      <c r="E3455">
        <v>8.6765003204345703</v>
      </c>
      <c r="F3455">
        <v>8.6765003204345703</v>
      </c>
      <c r="G3455">
        <v>90950000</v>
      </c>
      <c r="H3455">
        <f t="shared" si="212"/>
        <v>2011</v>
      </c>
      <c r="I3455">
        <f t="shared" si="213"/>
        <v>2</v>
      </c>
      <c r="J3455" t="str">
        <f t="shared" si="214"/>
        <v>Feb</v>
      </c>
      <c r="K3455" t="str">
        <f t="shared" si="215"/>
        <v>Wed</v>
      </c>
    </row>
    <row r="3456" spans="1:11" x14ac:dyDescent="0.35">
      <c r="A3456" s="1">
        <v>40577</v>
      </c>
      <c r="B3456">
        <v>8.6750001907348597</v>
      </c>
      <c r="C3456">
        <v>8.7334995269775302</v>
      </c>
      <c r="D3456">
        <v>8.5974998474121094</v>
      </c>
      <c r="E3456">
        <v>8.6855001449584908</v>
      </c>
      <c r="F3456">
        <v>8.6855001449584908</v>
      </c>
      <c r="G3456">
        <v>73578000</v>
      </c>
      <c r="H3456">
        <f t="shared" si="212"/>
        <v>2011</v>
      </c>
      <c r="I3456">
        <f t="shared" si="213"/>
        <v>2</v>
      </c>
      <c r="J3456" t="str">
        <f t="shared" si="214"/>
        <v>Feb</v>
      </c>
      <c r="K3456" t="str">
        <f t="shared" si="215"/>
        <v>Thu</v>
      </c>
    </row>
    <row r="3457" spans="1:11" x14ac:dyDescent="0.35">
      <c r="A3457" s="1">
        <v>40578</v>
      </c>
      <c r="B3457">
        <v>8.6999998092651296</v>
      </c>
      <c r="C3457">
        <v>8.8594999313354492</v>
      </c>
      <c r="D3457">
        <v>8.6875</v>
      </c>
      <c r="E3457">
        <v>8.7965002059936506</v>
      </c>
      <c r="F3457">
        <v>8.7965002059936506</v>
      </c>
      <c r="G3457">
        <v>86956000</v>
      </c>
      <c r="H3457">
        <f t="shared" si="212"/>
        <v>2011</v>
      </c>
      <c r="I3457">
        <f t="shared" si="213"/>
        <v>2</v>
      </c>
      <c r="J3457" t="str">
        <f t="shared" si="214"/>
        <v>Feb</v>
      </c>
      <c r="K3457" t="str">
        <f t="shared" si="215"/>
        <v>Fri</v>
      </c>
    </row>
    <row r="3458" spans="1:11" x14ac:dyDescent="0.35">
      <c r="A3458" s="1">
        <v>40581</v>
      </c>
      <c r="B3458">
        <v>8.8074998855590803</v>
      </c>
      <c r="C3458">
        <v>8.8774995803833008</v>
      </c>
      <c r="D3458">
        <v>8.7384996414184499</v>
      </c>
      <c r="E3458">
        <v>8.8214998245239205</v>
      </c>
      <c r="F3458">
        <v>8.8214998245239205</v>
      </c>
      <c r="G3458">
        <v>105094000</v>
      </c>
      <c r="H3458">
        <f t="shared" si="212"/>
        <v>2011</v>
      </c>
      <c r="I3458">
        <f t="shared" si="213"/>
        <v>2</v>
      </c>
      <c r="J3458" t="str">
        <f t="shared" si="214"/>
        <v>Feb</v>
      </c>
      <c r="K3458" t="str">
        <f t="shared" si="215"/>
        <v>Mon</v>
      </c>
    </row>
    <row r="3459" spans="1:11" x14ac:dyDescent="0.35">
      <c r="A3459" s="1">
        <v>40582</v>
      </c>
      <c r="B3459">
        <v>8.8330001831054599</v>
      </c>
      <c r="C3459">
        <v>9.1555004119872994</v>
      </c>
      <c r="D3459">
        <v>8.8295001983642507</v>
      </c>
      <c r="E3459">
        <v>9.1529998779296804</v>
      </c>
      <c r="F3459">
        <v>9.1529998779296804</v>
      </c>
      <c r="G3459">
        <v>155898000</v>
      </c>
      <c r="H3459">
        <f t="shared" si="212"/>
        <v>2011</v>
      </c>
      <c r="I3459">
        <f t="shared" si="213"/>
        <v>2</v>
      </c>
      <c r="J3459" t="str">
        <f t="shared" si="214"/>
        <v>Feb</v>
      </c>
      <c r="K3459" t="str">
        <f t="shared" si="215"/>
        <v>Tue</v>
      </c>
    </row>
    <row r="3460" spans="1:11" x14ac:dyDescent="0.35">
      <c r="A3460" s="1">
        <v>40583</v>
      </c>
      <c r="B3460">
        <v>9.1575002670287997</v>
      </c>
      <c r="C3460">
        <v>9.3234996795654297</v>
      </c>
      <c r="D3460">
        <v>9.1129999160766602</v>
      </c>
      <c r="E3460">
        <v>9.2650003433227504</v>
      </c>
      <c r="F3460">
        <v>9.2650003433227504</v>
      </c>
      <c r="G3460">
        <v>166254000</v>
      </c>
      <c r="H3460">
        <f t="shared" ref="H3460:H3523" si="216">YEAR($A3460)</f>
        <v>2011</v>
      </c>
      <c r="I3460">
        <f t="shared" ref="I3460:I3523" si="217">MONTH($A3460)</f>
        <v>2</v>
      </c>
      <c r="J3460" t="str">
        <f t="shared" ref="J3460:J3523" si="218">TEXT($A3460,"mmm")</f>
        <v>Feb</v>
      </c>
      <c r="K3460" t="str">
        <f t="shared" ref="K3460:K3523" si="219">TEXT($A3460,"ddd")</f>
        <v>Wed</v>
      </c>
    </row>
    <row r="3461" spans="1:11" x14ac:dyDescent="0.35">
      <c r="A3461" s="1">
        <v>40584</v>
      </c>
      <c r="B3461">
        <v>9.21949958801269</v>
      </c>
      <c r="C3461">
        <v>9.3620004653930593</v>
      </c>
      <c r="D3461">
        <v>9.1800003051757795</v>
      </c>
      <c r="E3461">
        <v>9.3105001449584908</v>
      </c>
      <c r="F3461">
        <v>9.3105001449584908</v>
      </c>
      <c r="G3461">
        <v>106628000</v>
      </c>
      <c r="H3461">
        <f t="shared" si="216"/>
        <v>2011</v>
      </c>
      <c r="I3461">
        <f t="shared" si="217"/>
        <v>2</v>
      </c>
      <c r="J3461" t="str">
        <f t="shared" si="218"/>
        <v>Feb</v>
      </c>
      <c r="K3461" t="str">
        <f t="shared" si="219"/>
        <v>Thu</v>
      </c>
    </row>
    <row r="3462" spans="1:11" x14ac:dyDescent="0.35">
      <c r="A3462" s="1">
        <v>40585</v>
      </c>
      <c r="B3462">
        <v>9.2779998779296804</v>
      </c>
      <c r="C3462">
        <v>9.4750003814697195</v>
      </c>
      <c r="D3462">
        <v>9.2685003280639595</v>
      </c>
      <c r="E3462">
        <v>9.4624996185302699</v>
      </c>
      <c r="F3462">
        <v>9.4624996185302699</v>
      </c>
      <c r="G3462">
        <v>89758000</v>
      </c>
      <c r="H3462">
        <f t="shared" si="216"/>
        <v>2011</v>
      </c>
      <c r="I3462">
        <f t="shared" si="217"/>
        <v>2</v>
      </c>
      <c r="J3462" t="str">
        <f t="shared" si="218"/>
        <v>Feb</v>
      </c>
      <c r="K3462" t="str">
        <f t="shared" si="219"/>
        <v>Fri</v>
      </c>
    </row>
    <row r="3463" spans="1:11" x14ac:dyDescent="0.35">
      <c r="A3463" s="1">
        <v>40588</v>
      </c>
      <c r="B3463">
        <v>9.4624996185302699</v>
      </c>
      <c r="C3463">
        <v>9.5699996948242099</v>
      </c>
      <c r="D3463">
        <v>9.4174995422363192</v>
      </c>
      <c r="E3463">
        <v>9.5209999084472603</v>
      </c>
      <c r="F3463">
        <v>9.5209999084472603</v>
      </c>
      <c r="G3463">
        <v>81226000</v>
      </c>
      <c r="H3463">
        <f t="shared" si="216"/>
        <v>2011</v>
      </c>
      <c r="I3463">
        <f t="shared" si="217"/>
        <v>2</v>
      </c>
      <c r="J3463" t="str">
        <f t="shared" si="218"/>
        <v>Feb</v>
      </c>
      <c r="K3463" t="str">
        <f t="shared" si="219"/>
        <v>Mon</v>
      </c>
    </row>
    <row r="3464" spans="1:11" x14ac:dyDescent="0.35">
      <c r="A3464" s="1">
        <v>40589</v>
      </c>
      <c r="B3464">
        <v>9.4364995956420898</v>
      </c>
      <c r="C3464">
        <v>9.5244998931884695</v>
      </c>
      <c r="D3464">
        <v>9.4125003814697195</v>
      </c>
      <c r="E3464">
        <v>9.4514999389648402</v>
      </c>
      <c r="F3464">
        <v>9.4514999389648402</v>
      </c>
      <c r="G3464">
        <v>77818000</v>
      </c>
      <c r="H3464">
        <f t="shared" si="216"/>
        <v>2011</v>
      </c>
      <c r="I3464">
        <f t="shared" si="217"/>
        <v>2</v>
      </c>
      <c r="J3464" t="str">
        <f t="shared" si="218"/>
        <v>Feb</v>
      </c>
      <c r="K3464" t="str">
        <f t="shared" si="219"/>
        <v>Tue</v>
      </c>
    </row>
    <row r="3465" spans="1:11" x14ac:dyDescent="0.35">
      <c r="A3465" s="1">
        <v>40590</v>
      </c>
      <c r="B3465">
        <v>9.4884996414184499</v>
      </c>
      <c r="C3465">
        <v>9.5</v>
      </c>
      <c r="D3465">
        <v>9.3175001144409109</v>
      </c>
      <c r="E3465">
        <v>9.3310003280639595</v>
      </c>
      <c r="F3465">
        <v>9.3310003280639595</v>
      </c>
      <c r="G3465">
        <v>92564000</v>
      </c>
      <c r="H3465">
        <f t="shared" si="216"/>
        <v>2011</v>
      </c>
      <c r="I3465">
        <f t="shared" si="217"/>
        <v>2</v>
      </c>
      <c r="J3465" t="str">
        <f t="shared" si="218"/>
        <v>Feb</v>
      </c>
      <c r="K3465" t="str">
        <f t="shared" si="219"/>
        <v>Wed</v>
      </c>
    </row>
    <row r="3466" spans="1:11" x14ac:dyDescent="0.35">
      <c r="A3466" s="1">
        <v>40591</v>
      </c>
      <c r="B3466">
        <v>9.2884998321533203</v>
      </c>
      <c r="C3466">
        <v>9.4545001983642507</v>
      </c>
      <c r="D3466">
        <v>9.2655000686645508</v>
      </c>
      <c r="E3466">
        <v>9.38799953460693</v>
      </c>
      <c r="F3466">
        <v>9.38799953460693</v>
      </c>
      <c r="G3466">
        <v>68510000</v>
      </c>
      <c r="H3466">
        <f t="shared" si="216"/>
        <v>2011</v>
      </c>
      <c r="I3466">
        <f t="shared" si="217"/>
        <v>2</v>
      </c>
      <c r="J3466" t="str">
        <f t="shared" si="218"/>
        <v>Feb</v>
      </c>
      <c r="K3466" t="str">
        <f t="shared" si="219"/>
        <v>Thu</v>
      </c>
    </row>
    <row r="3467" spans="1:11" x14ac:dyDescent="0.35">
      <c r="A3467" s="1">
        <v>40592</v>
      </c>
      <c r="B3467">
        <v>9.3769998550415004</v>
      </c>
      <c r="C3467">
        <v>9.4250001907348597</v>
      </c>
      <c r="D3467">
        <v>9.2565002441406197</v>
      </c>
      <c r="E3467">
        <v>9.3249998092651296</v>
      </c>
      <c r="F3467">
        <v>9.3249998092651296</v>
      </c>
      <c r="G3467">
        <v>83572000</v>
      </c>
      <c r="H3467">
        <f t="shared" si="216"/>
        <v>2011</v>
      </c>
      <c r="I3467">
        <f t="shared" si="217"/>
        <v>2</v>
      </c>
      <c r="J3467" t="str">
        <f t="shared" si="218"/>
        <v>Feb</v>
      </c>
      <c r="K3467" t="str">
        <f t="shared" si="219"/>
        <v>Fri</v>
      </c>
    </row>
    <row r="3468" spans="1:11" x14ac:dyDescent="0.35">
      <c r="A3468" s="1">
        <v>40596</v>
      </c>
      <c r="B3468">
        <v>9.1840000152587802</v>
      </c>
      <c r="C3468">
        <v>9.2360000610351491</v>
      </c>
      <c r="D3468">
        <v>8.9659996032714808</v>
      </c>
      <c r="E3468">
        <v>9.0209999084472603</v>
      </c>
      <c r="F3468">
        <v>9.0209999084472603</v>
      </c>
      <c r="G3468">
        <v>112742000</v>
      </c>
      <c r="H3468">
        <f t="shared" si="216"/>
        <v>2011</v>
      </c>
      <c r="I3468">
        <f t="shared" si="217"/>
        <v>2</v>
      </c>
      <c r="J3468" t="str">
        <f t="shared" si="218"/>
        <v>Feb</v>
      </c>
      <c r="K3468" t="str">
        <f t="shared" si="219"/>
        <v>Tue</v>
      </c>
    </row>
    <row r="3469" spans="1:11" x14ac:dyDescent="0.35">
      <c r="A3469" s="1">
        <v>40597</v>
      </c>
      <c r="B3469">
        <v>9.0124998092651296</v>
      </c>
      <c r="C3469">
        <v>9.0574998855590803</v>
      </c>
      <c r="D3469">
        <v>8.71949958801269</v>
      </c>
      <c r="E3469">
        <v>8.8339996337890607</v>
      </c>
      <c r="F3469">
        <v>8.8339996337890607</v>
      </c>
      <c r="G3469">
        <v>109640000</v>
      </c>
      <c r="H3469">
        <f t="shared" si="216"/>
        <v>2011</v>
      </c>
      <c r="I3469">
        <f t="shared" si="217"/>
        <v>2</v>
      </c>
      <c r="J3469" t="str">
        <f t="shared" si="218"/>
        <v>Feb</v>
      </c>
      <c r="K3469" t="str">
        <f t="shared" si="219"/>
        <v>Wed</v>
      </c>
    </row>
    <row r="3470" spans="1:11" x14ac:dyDescent="0.35">
      <c r="A3470" s="1">
        <v>40598</v>
      </c>
      <c r="B3470">
        <v>8.8430004119872994</v>
      </c>
      <c r="C3470">
        <v>8.9875001907348597</v>
      </c>
      <c r="D3470">
        <v>8.7279996871948207</v>
      </c>
      <c r="E3470">
        <v>8.8874998092651296</v>
      </c>
      <c r="F3470">
        <v>8.8874998092651296</v>
      </c>
      <c r="G3470">
        <v>93130000</v>
      </c>
      <c r="H3470">
        <f t="shared" si="216"/>
        <v>2011</v>
      </c>
      <c r="I3470">
        <f t="shared" si="217"/>
        <v>2</v>
      </c>
      <c r="J3470" t="str">
        <f t="shared" si="218"/>
        <v>Feb</v>
      </c>
      <c r="K3470" t="str">
        <f t="shared" si="219"/>
        <v>Thu</v>
      </c>
    </row>
    <row r="3471" spans="1:11" x14ac:dyDescent="0.35">
      <c r="A3471" s="1">
        <v>40599</v>
      </c>
      <c r="B3471">
        <v>8.9475002288818306</v>
      </c>
      <c r="C3471">
        <v>9.0375003814697195</v>
      </c>
      <c r="D3471">
        <v>8.8549995422363192</v>
      </c>
      <c r="E3471">
        <v>8.8620004653930593</v>
      </c>
      <c r="F3471">
        <v>8.8620004653930593</v>
      </c>
      <c r="G3471">
        <v>83828000</v>
      </c>
      <c r="H3471">
        <f t="shared" si="216"/>
        <v>2011</v>
      </c>
      <c r="I3471">
        <f t="shared" si="217"/>
        <v>2</v>
      </c>
      <c r="J3471" t="str">
        <f t="shared" si="218"/>
        <v>Feb</v>
      </c>
      <c r="K3471" t="str">
        <f t="shared" si="219"/>
        <v>Fri</v>
      </c>
    </row>
    <row r="3472" spans="1:11" x14ac:dyDescent="0.35">
      <c r="A3472" s="1">
        <v>40602</v>
      </c>
      <c r="B3472">
        <v>8.6955003738403303</v>
      </c>
      <c r="C3472">
        <v>8.7945003509521396</v>
      </c>
      <c r="D3472">
        <v>8.60750007629394</v>
      </c>
      <c r="E3472">
        <v>8.6645002365112305</v>
      </c>
      <c r="F3472">
        <v>8.6645002365112305</v>
      </c>
      <c r="G3472">
        <v>135664000</v>
      </c>
      <c r="H3472">
        <f t="shared" si="216"/>
        <v>2011</v>
      </c>
      <c r="I3472">
        <f t="shared" si="217"/>
        <v>2</v>
      </c>
      <c r="J3472" t="str">
        <f t="shared" si="218"/>
        <v>Feb</v>
      </c>
      <c r="K3472" t="str">
        <f t="shared" si="219"/>
        <v>Mon</v>
      </c>
    </row>
    <row r="3473" spans="1:11" x14ac:dyDescent="0.35">
      <c r="A3473" s="1">
        <v>40603</v>
      </c>
      <c r="B3473">
        <v>8.6765003204345703</v>
      </c>
      <c r="C3473">
        <v>8.6979999542236293</v>
      </c>
      <c r="D3473">
        <v>8.4335002899169904</v>
      </c>
      <c r="E3473">
        <v>8.4720001220703107</v>
      </c>
      <c r="F3473">
        <v>8.4720001220703107</v>
      </c>
      <c r="G3473">
        <v>116942000</v>
      </c>
      <c r="H3473">
        <f t="shared" si="216"/>
        <v>2011</v>
      </c>
      <c r="I3473">
        <f t="shared" si="217"/>
        <v>3</v>
      </c>
      <c r="J3473" t="str">
        <f t="shared" si="218"/>
        <v>Mar</v>
      </c>
      <c r="K3473" t="str">
        <f t="shared" si="219"/>
        <v>Tue</v>
      </c>
    </row>
    <row r="3474" spans="1:11" x14ac:dyDescent="0.35">
      <c r="A3474" s="1">
        <v>40604</v>
      </c>
      <c r="B3474">
        <v>8.4545001983642507</v>
      </c>
      <c r="C3474">
        <v>8.6649999618530202</v>
      </c>
      <c r="D3474">
        <v>8.4174995422363192</v>
      </c>
      <c r="E3474">
        <v>8.6009998321533203</v>
      </c>
      <c r="F3474">
        <v>8.6009998321533203</v>
      </c>
      <c r="G3474">
        <v>103714000</v>
      </c>
      <c r="H3474">
        <f t="shared" si="216"/>
        <v>2011</v>
      </c>
      <c r="I3474">
        <f t="shared" si="217"/>
        <v>3</v>
      </c>
      <c r="J3474" t="str">
        <f t="shared" si="218"/>
        <v>Mar</v>
      </c>
      <c r="K3474" t="str">
        <f t="shared" si="219"/>
        <v>Wed</v>
      </c>
    </row>
    <row r="3475" spans="1:11" x14ac:dyDescent="0.35">
      <c r="A3475" s="1">
        <v>40605</v>
      </c>
      <c r="B3475">
        <v>8.6855001449584908</v>
      </c>
      <c r="C3475">
        <v>8.7229995727538991</v>
      </c>
      <c r="D3475">
        <v>8.6024999618530202</v>
      </c>
      <c r="E3475">
        <v>8.6394996643066406</v>
      </c>
      <c r="F3475">
        <v>8.6394996643066406</v>
      </c>
      <c r="G3475">
        <v>82764000</v>
      </c>
      <c r="H3475">
        <f t="shared" si="216"/>
        <v>2011</v>
      </c>
      <c r="I3475">
        <f t="shared" si="217"/>
        <v>3</v>
      </c>
      <c r="J3475" t="str">
        <f t="shared" si="218"/>
        <v>Mar</v>
      </c>
      <c r="K3475" t="str">
        <f t="shared" si="219"/>
        <v>Thu</v>
      </c>
    </row>
    <row r="3476" spans="1:11" x14ac:dyDescent="0.35">
      <c r="A3476" s="1">
        <v>40606</v>
      </c>
      <c r="B3476">
        <v>8.6309995651245099</v>
      </c>
      <c r="C3476">
        <v>8.6374998092651296</v>
      </c>
      <c r="D3476">
        <v>8.4755001068115199</v>
      </c>
      <c r="E3476">
        <v>8.5834999084472603</v>
      </c>
      <c r="F3476">
        <v>8.5834999084472603</v>
      </c>
      <c r="G3476">
        <v>98486000</v>
      </c>
      <c r="H3476">
        <f t="shared" si="216"/>
        <v>2011</v>
      </c>
      <c r="I3476">
        <f t="shared" si="217"/>
        <v>3</v>
      </c>
      <c r="J3476" t="str">
        <f t="shared" si="218"/>
        <v>Mar</v>
      </c>
      <c r="K3476" t="str">
        <f t="shared" si="219"/>
        <v>Fri</v>
      </c>
    </row>
    <row r="3477" spans="1:11" x14ac:dyDescent="0.35">
      <c r="A3477" s="1">
        <v>40609</v>
      </c>
      <c r="B3477">
        <v>8.5959997177124006</v>
      </c>
      <c r="C3477">
        <v>8.6044998168945295</v>
      </c>
      <c r="D3477">
        <v>8.3120002746581996</v>
      </c>
      <c r="E3477">
        <v>8.4540004730224592</v>
      </c>
      <c r="F3477">
        <v>8.4540004730224592</v>
      </c>
      <c r="G3477">
        <v>118658000</v>
      </c>
      <c r="H3477">
        <f t="shared" si="216"/>
        <v>2011</v>
      </c>
      <c r="I3477">
        <f t="shared" si="217"/>
        <v>3</v>
      </c>
      <c r="J3477" t="str">
        <f t="shared" si="218"/>
        <v>Mar</v>
      </c>
      <c r="K3477" t="str">
        <f t="shared" si="219"/>
        <v>Mon</v>
      </c>
    </row>
    <row r="3478" spans="1:11" x14ac:dyDescent="0.35">
      <c r="A3478" s="1">
        <v>40610</v>
      </c>
      <c r="B3478">
        <v>8.46949958801269</v>
      </c>
      <c r="C3478">
        <v>8.4855003356933594</v>
      </c>
      <c r="D3478">
        <v>8.3360004425048793</v>
      </c>
      <c r="E3478">
        <v>8.34449958801269</v>
      </c>
      <c r="F3478">
        <v>8.34449958801269</v>
      </c>
      <c r="G3478">
        <v>84380000</v>
      </c>
      <c r="H3478">
        <f t="shared" si="216"/>
        <v>2011</v>
      </c>
      <c r="I3478">
        <f t="shared" si="217"/>
        <v>3</v>
      </c>
      <c r="J3478" t="str">
        <f t="shared" si="218"/>
        <v>Mar</v>
      </c>
      <c r="K3478" t="str">
        <f t="shared" si="219"/>
        <v>Tue</v>
      </c>
    </row>
    <row r="3479" spans="1:11" x14ac:dyDescent="0.35">
      <c r="A3479" s="1">
        <v>40611</v>
      </c>
      <c r="B3479">
        <v>8.3334999084472603</v>
      </c>
      <c r="C3479">
        <v>8.4875001907348597</v>
      </c>
      <c r="D3479">
        <v>8.1949996948242099</v>
      </c>
      <c r="E3479">
        <v>8.4525003433227504</v>
      </c>
      <c r="F3479">
        <v>8.4525003433227504</v>
      </c>
      <c r="G3479">
        <v>142178000</v>
      </c>
      <c r="H3479">
        <f t="shared" si="216"/>
        <v>2011</v>
      </c>
      <c r="I3479">
        <f t="shared" si="217"/>
        <v>3</v>
      </c>
      <c r="J3479" t="str">
        <f t="shared" si="218"/>
        <v>Mar</v>
      </c>
      <c r="K3479" t="str">
        <f t="shared" si="219"/>
        <v>Wed</v>
      </c>
    </row>
    <row r="3480" spans="1:11" x14ac:dyDescent="0.35">
      <c r="A3480" s="1">
        <v>40612</v>
      </c>
      <c r="B3480">
        <v>8.3535003662109304</v>
      </c>
      <c r="C3480">
        <v>8.4235000610351491</v>
      </c>
      <c r="D3480">
        <v>8.2410001754760707</v>
      </c>
      <c r="E3480">
        <v>8.3070001602172798</v>
      </c>
      <c r="F3480">
        <v>8.3070001602172798</v>
      </c>
      <c r="G3480">
        <v>119968000</v>
      </c>
      <c r="H3480">
        <f t="shared" si="216"/>
        <v>2011</v>
      </c>
      <c r="I3480">
        <f t="shared" si="217"/>
        <v>3</v>
      </c>
      <c r="J3480" t="str">
        <f t="shared" si="218"/>
        <v>Mar</v>
      </c>
      <c r="K3480" t="str">
        <f t="shared" si="219"/>
        <v>Thu</v>
      </c>
    </row>
    <row r="3481" spans="1:11" x14ac:dyDescent="0.35">
      <c r="A3481" s="1">
        <v>40613</v>
      </c>
      <c r="B3481">
        <v>8.2749996185302699</v>
      </c>
      <c r="C3481">
        <v>8.4600000381469709</v>
      </c>
      <c r="D3481">
        <v>8.2060003280639595</v>
      </c>
      <c r="E3481">
        <v>8.4034996032714808</v>
      </c>
      <c r="F3481">
        <v>8.4034996032714808</v>
      </c>
      <c r="G3481">
        <v>92198000</v>
      </c>
      <c r="H3481">
        <f t="shared" si="216"/>
        <v>2011</v>
      </c>
      <c r="I3481">
        <f t="shared" si="217"/>
        <v>3</v>
      </c>
      <c r="J3481" t="str">
        <f t="shared" si="218"/>
        <v>Mar</v>
      </c>
      <c r="K3481" t="str">
        <f t="shared" si="219"/>
        <v>Fri</v>
      </c>
    </row>
    <row r="3482" spans="1:11" x14ac:dyDescent="0.35">
      <c r="A3482" s="1">
        <v>40616</v>
      </c>
      <c r="B3482">
        <v>8.3299999237060494</v>
      </c>
      <c r="C3482">
        <v>8.4040002822875906</v>
      </c>
      <c r="D3482">
        <v>8.2285003662109304</v>
      </c>
      <c r="E3482">
        <v>8.3365001678466797</v>
      </c>
      <c r="F3482">
        <v>8.3365001678466797</v>
      </c>
      <c r="G3482">
        <v>80440000</v>
      </c>
      <c r="H3482">
        <f t="shared" si="216"/>
        <v>2011</v>
      </c>
      <c r="I3482">
        <f t="shared" si="217"/>
        <v>3</v>
      </c>
      <c r="J3482" t="str">
        <f t="shared" si="218"/>
        <v>Mar</v>
      </c>
      <c r="K3482" t="str">
        <f t="shared" si="219"/>
        <v>Mon</v>
      </c>
    </row>
    <row r="3483" spans="1:11" x14ac:dyDescent="0.35">
      <c r="A3483" s="1">
        <v>40617</v>
      </c>
      <c r="B3483">
        <v>8.0694999694824201</v>
      </c>
      <c r="C3483">
        <v>8.3439998626708896</v>
      </c>
      <c r="D3483">
        <v>8.0380001068115199</v>
      </c>
      <c r="E3483">
        <v>8.2539997100830007</v>
      </c>
      <c r="F3483">
        <v>8.2539997100830007</v>
      </c>
      <c r="G3483">
        <v>98690000</v>
      </c>
      <c r="H3483">
        <f t="shared" si="216"/>
        <v>2011</v>
      </c>
      <c r="I3483">
        <f t="shared" si="217"/>
        <v>3</v>
      </c>
      <c r="J3483" t="str">
        <f t="shared" si="218"/>
        <v>Mar</v>
      </c>
      <c r="K3483" t="str">
        <f t="shared" si="219"/>
        <v>Tue</v>
      </c>
    </row>
    <row r="3484" spans="1:11" x14ac:dyDescent="0.35">
      <c r="A3484" s="1">
        <v>40618</v>
      </c>
      <c r="B3484">
        <v>8.2349996566772408</v>
      </c>
      <c r="C3484">
        <v>8.40699958801269</v>
      </c>
      <c r="D3484">
        <v>8.1435003280639595</v>
      </c>
      <c r="E3484">
        <v>8.2349996566772408</v>
      </c>
      <c r="F3484">
        <v>8.2349996566772408</v>
      </c>
      <c r="G3484">
        <v>104162000</v>
      </c>
      <c r="H3484">
        <f t="shared" si="216"/>
        <v>2011</v>
      </c>
      <c r="I3484">
        <f t="shared" si="217"/>
        <v>3</v>
      </c>
      <c r="J3484" t="str">
        <f t="shared" si="218"/>
        <v>Mar</v>
      </c>
      <c r="K3484" t="str">
        <f t="shared" si="219"/>
        <v>Wed</v>
      </c>
    </row>
    <row r="3485" spans="1:11" x14ac:dyDescent="0.35">
      <c r="A3485" s="1">
        <v>40619</v>
      </c>
      <c r="B3485">
        <v>8.2954998016357404</v>
      </c>
      <c r="C3485">
        <v>8.3149995803833008</v>
      </c>
      <c r="D3485">
        <v>8.0389995574951101</v>
      </c>
      <c r="E3485">
        <v>8.0485000610351491</v>
      </c>
      <c r="F3485">
        <v>8.0485000610351491</v>
      </c>
      <c r="G3485">
        <v>129428000</v>
      </c>
      <c r="H3485">
        <f t="shared" si="216"/>
        <v>2011</v>
      </c>
      <c r="I3485">
        <f t="shared" si="217"/>
        <v>3</v>
      </c>
      <c r="J3485" t="str">
        <f t="shared" si="218"/>
        <v>Mar</v>
      </c>
      <c r="K3485" t="str">
        <f t="shared" si="219"/>
        <v>Thu</v>
      </c>
    </row>
    <row r="3486" spans="1:11" x14ac:dyDescent="0.35">
      <c r="A3486" s="1">
        <v>40620</v>
      </c>
      <c r="B3486">
        <v>8.0594997406005806</v>
      </c>
      <c r="C3486">
        <v>8.1770000457763601</v>
      </c>
      <c r="D3486">
        <v>8.0295000076293892</v>
      </c>
      <c r="E3486">
        <v>8.0909996032714808</v>
      </c>
      <c r="F3486">
        <v>8.0909996032714808</v>
      </c>
      <c r="G3486">
        <v>148854000</v>
      </c>
      <c r="H3486">
        <f t="shared" si="216"/>
        <v>2011</v>
      </c>
      <c r="I3486">
        <f t="shared" si="217"/>
        <v>3</v>
      </c>
      <c r="J3486" t="str">
        <f t="shared" si="218"/>
        <v>Mar</v>
      </c>
      <c r="K3486" t="str">
        <f t="shared" si="219"/>
        <v>Fri</v>
      </c>
    </row>
    <row r="3487" spans="1:11" x14ac:dyDescent="0.35">
      <c r="A3487" s="1">
        <v>40623</v>
      </c>
      <c r="B3487">
        <v>8.1684999465942294</v>
      </c>
      <c r="C3487">
        <v>8.2895002365112305</v>
      </c>
      <c r="D3487">
        <v>8.0860004425048793</v>
      </c>
      <c r="E3487">
        <v>8.2259998321533203</v>
      </c>
      <c r="F3487">
        <v>8.2259998321533203</v>
      </c>
      <c r="G3487">
        <v>81102000</v>
      </c>
      <c r="H3487">
        <f t="shared" si="216"/>
        <v>2011</v>
      </c>
      <c r="I3487">
        <f t="shared" si="217"/>
        <v>3</v>
      </c>
      <c r="J3487" t="str">
        <f t="shared" si="218"/>
        <v>Mar</v>
      </c>
      <c r="K3487" t="str">
        <f t="shared" si="219"/>
        <v>Mon</v>
      </c>
    </row>
    <row r="3488" spans="1:11" x14ac:dyDescent="0.35">
      <c r="A3488" s="1">
        <v>40624</v>
      </c>
      <c r="B3488">
        <v>8.2034997940063406</v>
      </c>
      <c r="C3488">
        <v>8.2220001220703107</v>
      </c>
      <c r="D3488">
        <v>8.1125001907348597</v>
      </c>
      <c r="E3488">
        <v>8.1300001144409109</v>
      </c>
      <c r="F3488">
        <v>8.1300001144409109</v>
      </c>
      <c r="G3488">
        <v>72228000</v>
      </c>
      <c r="H3488">
        <f t="shared" si="216"/>
        <v>2011</v>
      </c>
      <c r="I3488">
        <f t="shared" si="217"/>
        <v>3</v>
      </c>
      <c r="J3488" t="str">
        <f t="shared" si="218"/>
        <v>Mar</v>
      </c>
      <c r="K3488" t="str">
        <f t="shared" si="219"/>
        <v>Tue</v>
      </c>
    </row>
    <row r="3489" spans="1:11" x14ac:dyDescent="0.35">
      <c r="A3489" s="1">
        <v>40625</v>
      </c>
      <c r="B3489">
        <v>8.1149997711181605</v>
      </c>
      <c r="C3489">
        <v>8.3129997253417898</v>
      </c>
      <c r="D3489">
        <v>8.0410003662109304</v>
      </c>
      <c r="E3489">
        <v>8.2659997940063406</v>
      </c>
      <c r="F3489">
        <v>8.2659997940063406</v>
      </c>
      <c r="G3489">
        <v>94426000</v>
      </c>
      <c r="H3489">
        <f t="shared" si="216"/>
        <v>2011</v>
      </c>
      <c r="I3489">
        <f t="shared" si="217"/>
        <v>3</v>
      </c>
      <c r="J3489" t="str">
        <f t="shared" si="218"/>
        <v>Mar</v>
      </c>
      <c r="K3489" t="str">
        <f t="shared" si="219"/>
        <v>Wed</v>
      </c>
    </row>
    <row r="3490" spans="1:11" x14ac:dyDescent="0.35">
      <c r="A3490" s="1">
        <v>40626</v>
      </c>
      <c r="B3490">
        <v>8.4104995727538991</v>
      </c>
      <c r="C3490">
        <v>8.6000003814697195</v>
      </c>
      <c r="D3490">
        <v>8.3680000305175692</v>
      </c>
      <c r="E3490">
        <v>8.5550003051757795</v>
      </c>
      <c r="F3490">
        <v>8.5550003051757795</v>
      </c>
      <c r="G3490">
        <v>125664000</v>
      </c>
      <c r="H3490">
        <f t="shared" si="216"/>
        <v>2011</v>
      </c>
      <c r="I3490">
        <f t="shared" si="217"/>
        <v>3</v>
      </c>
      <c r="J3490" t="str">
        <f t="shared" si="218"/>
        <v>Mar</v>
      </c>
      <c r="K3490" t="str">
        <f t="shared" si="219"/>
        <v>Thu</v>
      </c>
    </row>
    <row r="3491" spans="1:11" x14ac:dyDescent="0.35">
      <c r="A3491" s="1">
        <v>40627</v>
      </c>
      <c r="B3491">
        <v>8.5819997787475497</v>
      </c>
      <c r="C3491">
        <v>8.6745004653930593</v>
      </c>
      <c r="D3491">
        <v>8.5150003433227504</v>
      </c>
      <c r="E3491">
        <v>8.5489997863769496</v>
      </c>
      <c r="F3491">
        <v>8.5489997863769496</v>
      </c>
      <c r="G3491">
        <v>85876000</v>
      </c>
      <c r="H3491">
        <f t="shared" si="216"/>
        <v>2011</v>
      </c>
      <c r="I3491">
        <f t="shared" si="217"/>
        <v>3</v>
      </c>
      <c r="J3491" t="str">
        <f t="shared" si="218"/>
        <v>Mar</v>
      </c>
      <c r="K3491" t="str">
        <f t="shared" si="219"/>
        <v>Fri</v>
      </c>
    </row>
    <row r="3492" spans="1:11" x14ac:dyDescent="0.35">
      <c r="A3492" s="1">
        <v>40630</v>
      </c>
      <c r="B3492">
        <v>8.5900001525878906</v>
      </c>
      <c r="C3492">
        <v>8.625</v>
      </c>
      <c r="D3492">
        <v>8.4624996185302699</v>
      </c>
      <c r="E3492">
        <v>8.4674997329711896</v>
      </c>
      <c r="F3492">
        <v>8.4674997329711896</v>
      </c>
      <c r="G3492">
        <v>68016000</v>
      </c>
      <c r="H3492">
        <f t="shared" si="216"/>
        <v>2011</v>
      </c>
      <c r="I3492">
        <f t="shared" si="217"/>
        <v>3</v>
      </c>
      <c r="J3492" t="str">
        <f t="shared" si="218"/>
        <v>Mar</v>
      </c>
      <c r="K3492" t="str">
        <f t="shared" si="219"/>
        <v>Mon</v>
      </c>
    </row>
    <row r="3493" spans="1:11" x14ac:dyDescent="0.35">
      <c r="A3493" s="1">
        <v>40631</v>
      </c>
      <c r="B3493">
        <v>8.5364999771118093</v>
      </c>
      <c r="C3493">
        <v>8.7419996261596609</v>
      </c>
      <c r="D3493">
        <v>8.5034999847412092</v>
      </c>
      <c r="E3493">
        <v>8.7309999465942294</v>
      </c>
      <c r="F3493">
        <v>8.7309999465942294</v>
      </c>
      <c r="G3493">
        <v>97692000</v>
      </c>
      <c r="H3493">
        <f t="shared" si="216"/>
        <v>2011</v>
      </c>
      <c r="I3493">
        <f t="shared" si="217"/>
        <v>3</v>
      </c>
      <c r="J3493" t="str">
        <f t="shared" si="218"/>
        <v>Mar</v>
      </c>
      <c r="K3493" t="str">
        <f t="shared" si="219"/>
        <v>Tue</v>
      </c>
    </row>
    <row r="3494" spans="1:11" x14ac:dyDescent="0.35">
      <c r="A3494" s="1">
        <v>40632</v>
      </c>
      <c r="B3494">
        <v>8.8889999389648402</v>
      </c>
      <c r="C3494">
        <v>9.05799961090087</v>
      </c>
      <c r="D3494">
        <v>8.8830003738403303</v>
      </c>
      <c r="E3494">
        <v>8.9709997177124006</v>
      </c>
      <c r="F3494">
        <v>8.9709997177124006</v>
      </c>
      <c r="G3494">
        <v>137186000</v>
      </c>
      <c r="H3494">
        <f t="shared" si="216"/>
        <v>2011</v>
      </c>
      <c r="I3494">
        <f t="shared" si="217"/>
        <v>3</v>
      </c>
      <c r="J3494" t="str">
        <f t="shared" si="218"/>
        <v>Mar</v>
      </c>
      <c r="K3494" t="str">
        <f t="shared" si="219"/>
        <v>Wed</v>
      </c>
    </row>
    <row r="3495" spans="1:11" x14ac:dyDescent="0.35">
      <c r="A3495" s="1">
        <v>40633</v>
      </c>
      <c r="B3495">
        <v>8.9654998779296804</v>
      </c>
      <c r="C3495">
        <v>9.0784997940063406</v>
      </c>
      <c r="D3495">
        <v>8.9250001907348597</v>
      </c>
      <c r="E3495">
        <v>9.0065002441406197</v>
      </c>
      <c r="F3495">
        <v>9.0065002441406197</v>
      </c>
      <c r="G3495">
        <v>96530000</v>
      </c>
      <c r="H3495">
        <f t="shared" si="216"/>
        <v>2011</v>
      </c>
      <c r="I3495">
        <f t="shared" si="217"/>
        <v>3</v>
      </c>
      <c r="J3495" t="str">
        <f t="shared" si="218"/>
        <v>Mar</v>
      </c>
      <c r="K3495" t="str">
        <f t="shared" si="219"/>
        <v>Thu</v>
      </c>
    </row>
    <row r="3496" spans="1:11" x14ac:dyDescent="0.35">
      <c r="A3496" s="1">
        <v>40634</v>
      </c>
      <c r="B3496">
        <v>9.0790004730224592</v>
      </c>
      <c r="C3496">
        <v>9.1625003814697195</v>
      </c>
      <c r="D3496">
        <v>8.9294996261596609</v>
      </c>
      <c r="E3496">
        <v>9.0065002441406197</v>
      </c>
      <c r="F3496">
        <v>9.0065002441406197</v>
      </c>
      <c r="G3496">
        <v>113682000</v>
      </c>
      <c r="H3496">
        <f t="shared" si="216"/>
        <v>2011</v>
      </c>
      <c r="I3496">
        <f t="shared" si="217"/>
        <v>4</v>
      </c>
      <c r="J3496" t="str">
        <f t="shared" si="218"/>
        <v>Apr</v>
      </c>
      <c r="K3496" t="str">
        <f t="shared" si="219"/>
        <v>Fri</v>
      </c>
    </row>
    <row r="3497" spans="1:11" x14ac:dyDescent="0.35">
      <c r="A3497" s="1">
        <v>40637</v>
      </c>
      <c r="B3497">
        <v>9.0445003509521396</v>
      </c>
      <c r="C3497">
        <v>9.1805000305175692</v>
      </c>
      <c r="D3497">
        <v>9.0345001220703107</v>
      </c>
      <c r="E3497">
        <v>9.1470003128051705</v>
      </c>
      <c r="F3497">
        <v>9.1470003128051705</v>
      </c>
      <c r="G3497">
        <v>83728000</v>
      </c>
      <c r="H3497">
        <f t="shared" si="216"/>
        <v>2011</v>
      </c>
      <c r="I3497">
        <f t="shared" si="217"/>
        <v>4</v>
      </c>
      <c r="J3497" t="str">
        <f t="shared" si="218"/>
        <v>Apr</v>
      </c>
      <c r="K3497" t="str">
        <f t="shared" si="219"/>
        <v>Mon</v>
      </c>
    </row>
    <row r="3498" spans="1:11" x14ac:dyDescent="0.35">
      <c r="A3498" s="1">
        <v>40638</v>
      </c>
      <c r="B3498">
        <v>9.1049995422363192</v>
      </c>
      <c r="C3498">
        <v>9.3179998397827095</v>
      </c>
      <c r="D3498">
        <v>9.0900001525878906</v>
      </c>
      <c r="E3498">
        <v>9.2644996643066406</v>
      </c>
      <c r="F3498">
        <v>9.2644996643066406</v>
      </c>
      <c r="G3498">
        <v>111384000</v>
      </c>
      <c r="H3498">
        <f t="shared" si="216"/>
        <v>2011</v>
      </c>
      <c r="I3498">
        <f t="shared" si="217"/>
        <v>4</v>
      </c>
      <c r="J3498" t="str">
        <f t="shared" si="218"/>
        <v>Apr</v>
      </c>
      <c r="K3498" t="str">
        <f t="shared" si="219"/>
        <v>Tue</v>
      </c>
    </row>
    <row r="3499" spans="1:11" x14ac:dyDescent="0.35">
      <c r="A3499" s="1">
        <v>40639</v>
      </c>
      <c r="B3499">
        <v>9.3074998855590803</v>
      </c>
      <c r="C3499">
        <v>9.4134998321533203</v>
      </c>
      <c r="D3499">
        <v>9.0559997558593697</v>
      </c>
      <c r="E3499">
        <v>9.13799953460693</v>
      </c>
      <c r="F3499">
        <v>9.13799953460693</v>
      </c>
      <c r="G3499">
        <v>108614000</v>
      </c>
      <c r="H3499">
        <f t="shared" si="216"/>
        <v>2011</v>
      </c>
      <c r="I3499">
        <f t="shared" si="217"/>
        <v>4</v>
      </c>
      <c r="J3499" t="str">
        <f t="shared" si="218"/>
        <v>Apr</v>
      </c>
      <c r="K3499" t="str">
        <f t="shared" si="219"/>
        <v>Wed</v>
      </c>
    </row>
    <row r="3500" spans="1:11" x14ac:dyDescent="0.35">
      <c r="A3500" s="1">
        <v>40640</v>
      </c>
      <c r="B3500">
        <v>9.1389999389648402</v>
      </c>
      <c r="C3500">
        <v>9.25850009918212</v>
      </c>
      <c r="D3500">
        <v>9.0880002975463796</v>
      </c>
      <c r="E3500">
        <v>9.24549961090087</v>
      </c>
      <c r="F3500">
        <v>9.24549961090087</v>
      </c>
      <c r="G3500">
        <v>91280000</v>
      </c>
      <c r="H3500">
        <f t="shared" si="216"/>
        <v>2011</v>
      </c>
      <c r="I3500">
        <f t="shared" si="217"/>
        <v>4</v>
      </c>
      <c r="J3500" t="str">
        <f t="shared" si="218"/>
        <v>Apr</v>
      </c>
      <c r="K3500" t="str">
        <f t="shared" si="219"/>
        <v>Thu</v>
      </c>
    </row>
    <row r="3501" spans="1:11" x14ac:dyDescent="0.35">
      <c r="A3501" s="1">
        <v>40641</v>
      </c>
      <c r="B3501">
        <v>9.26299953460693</v>
      </c>
      <c r="C3501">
        <v>9.3109998703002894</v>
      </c>
      <c r="D3501">
        <v>9.1389999389648402</v>
      </c>
      <c r="E3501">
        <v>9.2355003356933594</v>
      </c>
      <c r="F3501">
        <v>9.2355003356933594</v>
      </c>
      <c r="G3501">
        <v>74528000</v>
      </c>
      <c r="H3501">
        <f t="shared" si="216"/>
        <v>2011</v>
      </c>
      <c r="I3501">
        <f t="shared" si="217"/>
        <v>4</v>
      </c>
      <c r="J3501" t="str">
        <f t="shared" si="218"/>
        <v>Apr</v>
      </c>
      <c r="K3501" t="str">
        <f t="shared" si="219"/>
        <v>Fri</v>
      </c>
    </row>
    <row r="3502" spans="1:11" x14ac:dyDescent="0.35">
      <c r="A3502" s="1">
        <v>40644</v>
      </c>
      <c r="B3502">
        <v>9.2430000305175692</v>
      </c>
      <c r="C3502">
        <v>9.3245000839233398</v>
      </c>
      <c r="D3502">
        <v>9.0924997329711896</v>
      </c>
      <c r="E3502">
        <v>9.2019996643066406</v>
      </c>
      <c r="F3502">
        <v>9.2019996643066406</v>
      </c>
      <c r="G3502">
        <v>65942000</v>
      </c>
      <c r="H3502">
        <f t="shared" si="216"/>
        <v>2011</v>
      </c>
      <c r="I3502">
        <f t="shared" si="217"/>
        <v>4</v>
      </c>
      <c r="J3502" t="str">
        <f t="shared" si="218"/>
        <v>Apr</v>
      </c>
      <c r="K3502" t="str">
        <f t="shared" si="219"/>
        <v>Mon</v>
      </c>
    </row>
    <row r="3503" spans="1:11" x14ac:dyDescent="0.35">
      <c r="A3503" s="1">
        <v>40645</v>
      </c>
      <c r="B3503">
        <v>9.1529998779296804</v>
      </c>
      <c r="C3503">
        <v>9.2294998168945295</v>
      </c>
      <c r="D3503">
        <v>8.9709997177124006</v>
      </c>
      <c r="E3503">
        <v>9.0240001678466797</v>
      </c>
      <c r="F3503">
        <v>9.0240001678466797</v>
      </c>
      <c r="G3503">
        <v>106690000</v>
      </c>
      <c r="H3503">
        <f t="shared" si="216"/>
        <v>2011</v>
      </c>
      <c r="I3503">
        <f t="shared" si="217"/>
        <v>4</v>
      </c>
      <c r="J3503" t="str">
        <f t="shared" si="218"/>
        <v>Apr</v>
      </c>
      <c r="K3503" t="str">
        <f t="shared" si="219"/>
        <v>Tue</v>
      </c>
    </row>
    <row r="3504" spans="1:11" x14ac:dyDescent="0.35">
      <c r="A3504" s="1">
        <v>40646</v>
      </c>
      <c r="B3504">
        <v>9.0415000915527308</v>
      </c>
      <c r="C3504">
        <v>9.1440000534057599</v>
      </c>
      <c r="D3504">
        <v>8.9899997711181605</v>
      </c>
      <c r="E3504">
        <v>9.1145000457763601</v>
      </c>
      <c r="F3504">
        <v>9.1145000457763601</v>
      </c>
      <c r="G3504">
        <v>84326000</v>
      </c>
      <c r="H3504">
        <f t="shared" si="216"/>
        <v>2011</v>
      </c>
      <c r="I3504">
        <f t="shared" si="217"/>
        <v>4</v>
      </c>
      <c r="J3504" t="str">
        <f t="shared" si="218"/>
        <v>Apr</v>
      </c>
      <c r="K3504" t="str">
        <f t="shared" si="219"/>
        <v>Wed</v>
      </c>
    </row>
    <row r="3505" spans="1:11" x14ac:dyDescent="0.35">
      <c r="A3505" s="1">
        <v>40647</v>
      </c>
      <c r="B3505">
        <v>9.0694999694824201</v>
      </c>
      <c r="C3505">
        <v>9.1040000915527308</v>
      </c>
      <c r="D3505">
        <v>8.9680004119872994</v>
      </c>
      <c r="E3505">
        <v>9.0909996032714808</v>
      </c>
      <c r="F3505">
        <v>9.0909996032714808</v>
      </c>
      <c r="G3505">
        <v>71764000</v>
      </c>
      <c r="H3505">
        <f t="shared" si="216"/>
        <v>2011</v>
      </c>
      <c r="I3505">
        <f t="shared" si="217"/>
        <v>4</v>
      </c>
      <c r="J3505" t="str">
        <f t="shared" si="218"/>
        <v>Apr</v>
      </c>
      <c r="K3505" t="str">
        <f t="shared" si="219"/>
        <v>Thu</v>
      </c>
    </row>
    <row r="3506" spans="1:11" x14ac:dyDescent="0.35">
      <c r="A3506" s="1">
        <v>40648</v>
      </c>
      <c r="B3506">
        <v>9.0500001907348597</v>
      </c>
      <c r="C3506">
        <v>9.0889997482299805</v>
      </c>
      <c r="D3506">
        <v>8.9510002136230398</v>
      </c>
      <c r="E3506">
        <v>9.0004997253417898</v>
      </c>
      <c r="F3506">
        <v>9.0004997253417898</v>
      </c>
      <c r="G3506">
        <v>85448000</v>
      </c>
      <c r="H3506">
        <f t="shared" si="216"/>
        <v>2011</v>
      </c>
      <c r="I3506">
        <f t="shared" si="217"/>
        <v>4</v>
      </c>
      <c r="J3506" t="str">
        <f t="shared" si="218"/>
        <v>Apr</v>
      </c>
      <c r="K3506" t="str">
        <f t="shared" si="219"/>
        <v>Fri</v>
      </c>
    </row>
    <row r="3507" spans="1:11" x14ac:dyDescent="0.35">
      <c r="A3507" s="1">
        <v>40651</v>
      </c>
      <c r="B3507">
        <v>8.9189996719360298</v>
      </c>
      <c r="C3507">
        <v>8.9455003738403303</v>
      </c>
      <c r="D3507">
        <v>8.7685003280639595</v>
      </c>
      <c r="E3507">
        <v>8.9169998168945295</v>
      </c>
      <c r="F3507">
        <v>8.9169998168945295</v>
      </c>
      <c r="G3507">
        <v>92330000</v>
      </c>
      <c r="H3507">
        <f t="shared" si="216"/>
        <v>2011</v>
      </c>
      <c r="I3507">
        <f t="shared" si="217"/>
        <v>4</v>
      </c>
      <c r="J3507" t="str">
        <f t="shared" si="218"/>
        <v>Apr</v>
      </c>
      <c r="K3507" t="str">
        <f t="shared" si="219"/>
        <v>Mon</v>
      </c>
    </row>
    <row r="3508" spans="1:11" x14ac:dyDescent="0.35">
      <c r="A3508" s="1">
        <v>40652</v>
      </c>
      <c r="B3508">
        <v>8.9174995422363192</v>
      </c>
      <c r="C3508">
        <v>8.9735002517700195</v>
      </c>
      <c r="D3508">
        <v>8.8299999237060494</v>
      </c>
      <c r="E3508">
        <v>8.9409999847412092</v>
      </c>
      <c r="F3508">
        <v>8.9409999847412092</v>
      </c>
      <c r="G3508">
        <v>52920000</v>
      </c>
      <c r="H3508">
        <f t="shared" si="216"/>
        <v>2011</v>
      </c>
      <c r="I3508">
        <f t="shared" si="217"/>
        <v>4</v>
      </c>
      <c r="J3508" t="str">
        <f t="shared" si="218"/>
        <v>Apr</v>
      </c>
      <c r="K3508" t="str">
        <f t="shared" si="219"/>
        <v>Tue</v>
      </c>
    </row>
    <row r="3509" spans="1:11" x14ac:dyDescent="0.35">
      <c r="A3509" s="1">
        <v>40653</v>
      </c>
      <c r="B3509">
        <v>9.0810003280639595</v>
      </c>
      <c r="C3509">
        <v>9.25</v>
      </c>
      <c r="D3509">
        <v>9.0795001983642507</v>
      </c>
      <c r="E3509">
        <v>9.1934995651245099</v>
      </c>
      <c r="F3509">
        <v>9.1934995651245099</v>
      </c>
      <c r="G3509">
        <v>81350000</v>
      </c>
      <c r="H3509">
        <f t="shared" si="216"/>
        <v>2011</v>
      </c>
      <c r="I3509">
        <f t="shared" si="217"/>
        <v>4</v>
      </c>
      <c r="J3509" t="str">
        <f t="shared" si="218"/>
        <v>Apr</v>
      </c>
      <c r="K3509" t="str">
        <f t="shared" si="219"/>
        <v>Wed</v>
      </c>
    </row>
    <row r="3510" spans="1:11" x14ac:dyDescent="0.35">
      <c r="A3510" s="1">
        <v>40654</v>
      </c>
      <c r="B3510">
        <v>9.2279996871948207</v>
      </c>
      <c r="C3510">
        <v>9.2985000610351491</v>
      </c>
      <c r="D3510">
        <v>9.1525001525878906</v>
      </c>
      <c r="E3510">
        <v>9.2945003509521396</v>
      </c>
      <c r="F3510">
        <v>9.2945003509521396</v>
      </c>
      <c r="G3510">
        <v>66962000</v>
      </c>
      <c r="H3510">
        <f t="shared" si="216"/>
        <v>2011</v>
      </c>
      <c r="I3510">
        <f t="shared" si="217"/>
        <v>4</v>
      </c>
      <c r="J3510" t="str">
        <f t="shared" si="218"/>
        <v>Apr</v>
      </c>
      <c r="K3510" t="str">
        <f t="shared" si="219"/>
        <v>Thu</v>
      </c>
    </row>
    <row r="3511" spans="1:11" x14ac:dyDescent="0.35">
      <c r="A3511" s="1">
        <v>40658</v>
      </c>
      <c r="B3511">
        <v>9.2825002670287997</v>
      </c>
      <c r="C3511">
        <v>9.3175001144409109</v>
      </c>
      <c r="D3511">
        <v>9.1885004043579102</v>
      </c>
      <c r="E3511">
        <v>9.2709999084472603</v>
      </c>
      <c r="F3511">
        <v>9.2709999084472603</v>
      </c>
      <c r="G3511">
        <v>68762000</v>
      </c>
      <c r="H3511">
        <f t="shared" si="216"/>
        <v>2011</v>
      </c>
      <c r="I3511">
        <f t="shared" si="217"/>
        <v>4</v>
      </c>
      <c r="J3511" t="str">
        <f t="shared" si="218"/>
        <v>Apr</v>
      </c>
      <c r="K3511" t="str">
        <f t="shared" si="219"/>
        <v>Mon</v>
      </c>
    </row>
    <row r="3512" spans="1:11" x14ac:dyDescent="0.35">
      <c r="A3512" s="1">
        <v>40659</v>
      </c>
      <c r="B3512">
        <v>9.3135004043579102</v>
      </c>
      <c r="C3512">
        <v>9.32100009918212</v>
      </c>
      <c r="D3512">
        <v>9.0369997024536097</v>
      </c>
      <c r="E3512">
        <v>9.1149997711181605</v>
      </c>
      <c r="F3512">
        <v>9.1149997711181605</v>
      </c>
      <c r="G3512">
        <v>224000000</v>
      </c>
      <c r="H3512">
        <f t="shared" si="216"/>
        <v>2011</v>
      </c>
      <c r="I3512">
        <f t="shared" si="217"/>
        <v>4</v>
      </c>
      <c r="J3512" t="str">
        <f t="shared" si="218"/>
        <v>Apr</v>
      </c>
      <c r="K3512" t="str">
        <f t="shared" si="219"/>
        <v>Tue</v>
      </c>
    </row>
    <row r="3513" spans="1:11" x14ac:dyDescent="0.35">
      <c r="A3513" s="1">
        <v>40660</v>
      </c>
      <c r="B3513">
        <v>9.1599998474121094</v>
      </c>
      <c r="C3513">
        <v>9.8900003433227504</v>
      </c>
      <c r="D3513">
        <v>9.1374998092651296</v>
      </c>
      <c r="E3513">
        <v>9.8315000534057599</v>
      </c>
      <c r="F3513">
        <v>9.8315000534057599</v>
      </c>
      <c r="G3513">
        <v>472460000</v>
      </c>
      <c r="H3513">
        <f t="shared" si="216"/>
        <v>2011</v>
      </c>
      <c r="I3513">
        <f t="shared" si="217"/>
        <v>4</v>
      </c>
      <c r="J3513" t="str">
        <f t="shared" si="218"/>
        <v>Apr</v>
      </c>
      <c r="K3513" t="str">
        <f t="shared" si="219"/>
        <v>Wed</v>
      </c>
    </row>
    <row r="3514" spans="1:11" x14ac:dyDescent="0.35">
      <c r="A3514" s="1">
        <v>40661</v>
      </c>
      <c r="B3514">
        <v>9.7980003356933594</v>
      </c>
      <c r="C3514">
        <v>9.8395004272460902</v>
      </c>
      <c r="D3514">
        <v>9.6134996414184499</v>
      </c>
      <c r="E3514">
        <v>9.7534999847412092</v>
      </c>
      <c r="F3514">
        <v>9.7534999847412092</v>
      </c>
      <c r="G3514">
        <v>146000000</v>
      </c>
      <c r="H3514">
        <f t="shared" si="216"/>
        <v>2011</v>
      </c>
      <c r="I3514">
        <f t="shared" si="217"/>
        <v>4</v>
      </c>
      <c r="J3514" t="str">
        <f t="shared" si="218"/>
        <v>Apr</v>
      </c>
      <c r="K3514" t="str">
        <f t="shared" si="219"/>
        <v>Thu</v>
      </c>
    </row>
    <row r="3515" spans="1:11" x14ac:dyDescent="0.35">
      <c r="A3515" s="1">
        <v>40662</v>
      </c>
      <c r="B3515">
        <v>9.7189998626708896</v>
      </c>
      <c r="C3515">
        <v>9.8295001983642507</v>
      </c>
      <c r="D3515">
        <v>9.6890001296996999</v>
      </c>
      <c r="E3515">
        <v>9.7904996871948207</v>
      </c>
      <c r="F3515">
        <v>9.7904996871948207</v>
      </c>
      <c r="G3515">
        <v>132818000</v>
      </c>
      <c r="H3515">
        <f t="shared" si="216"/>
        <v>2011</v>
      </c>
      <c r="I3515">
        <f t="shared" si="217"/>
        <v>4</v>
      </c>
      <c r="J3515" t="str">
        <f t="shared" si="218"/>
        <v>Apr</v>
      </c>
      <c r="K3515" t="str">
        <f t="shared" si="219"/>
        <v>Fri</v>
      </c>
    </row>
    <row r="3516" spans="1:11" x14ac:dyDescent="0.35">
      <c r="A3516" s="1">
        <v>40665</v>
      </c>
      <c r="B3516">
        <v>9.8284997940063406</v>
      </c>
      <c r="C3516">
        <v>10.1709995269775</v>
      </c>
      <c r="D3516">
        <v>9.8090000152587802</v>
      </c>
      <c r="E3516">
        <v>10.059499740600501</v>
      </c>
      <c r="F3516">
        <v>10.059499740600501</v>
      </c>
      <c r="G3516">
        <v>187962000</v>
      </c>
      <c r="H3516">
        <f t="shared" si="216"/>
        <v>2011</v>
      </c>
      <c r="I3516">
        <f t="shared" si="217"/>
        <v>5</v>
      </c>
      <c r="J3516" t="str">
        <f t="shared" si="218"/>
        <v>May</v>
      </c>
      <c r="K3516" t="str">
        <f t="shared" si="219"/>
        <v>Mon</v>
      </c>
    </row>
    <row r="3517" spans="1:11" x14ac:dyDescent="0.35">
      <c r="A3517" s="1">
        <v>40666</v>
      </c>
      <c r="B3517">
        <v>10.050000190734799</v>
      </c>
      <c r="C3517">
        <v>10.1295003890991</v>
      </c>
      <c r="D3517">
        <v>9.8345003128051705</v>
      </c>
      <c r="E3517">
        <v>9.9224996566772408</v>
      </c>
      <c r="F3517">
        <v>9.9224996566772408</v>
      </c>
      <c r="G3517">
        <v>122000000</v>
      </c>
      <c r="H3517">
        <f t="shared" si="216"/>
        <v>2011</v>
      </c>
      <c r="I3517">
        <f t="shared" si="217"/>
        <v>5</v>
      </c>
      <c r="J3517" t="str">
        <f t="shared" si="218"/>
        <v>May</v>
      </c>
      <c r="K3517" t="str">
        <f t="shared" si="219"/>
        <v>Tue</v>
      </c>
    </row>
    <row r="3518" spans="1:11" x14ac:dyDescent="0.35">
      <c r="A3518" s="1">
        <v>40667</v>
      </c>
      <c r="B3518">
        <v>9.9125003814697195</v>
      </c>
      <c r="C3518">
        <v>10.093000411987299</v>
      </c>
      <c r="D3518">
        <v>9.7685003280639595</v>
      </c>
      <c r="E3518">
        <v>9.9984998703002894</v>
      </c>
      <c r="F3518">
        <v>9.9984998703002894</v>
      </c>
      <c r="G3518">
        <v>131000000</v>
      </c>
      <c r="H3518">
        <f t="shared" si="216"/>
        <v>2011</v>
      </c>
      <c r="I3518">
        <f t="shared" si="217"/>
        <v>5</v>
      </c>
      <c r="J3518" t="str">
        <f t="shared" si="218"/>
        <v>May</v>
      </c>
      <c r="K3518" t="str">
        <f t="shared" si="219"/>
        <v>Wed</v>
      </c>
    </row>
    <row r="3519" spans="1:11" x14ac:dyDescent="0.35">
      <c r="A3519" s="1">
        <v>40668</v>
      </c>
      <c r="B3519">
        <v>9.93299961090087</v>
      </c>
      <c r="C3519">
        <v>10.050000190734799</v>
      </c>
      <c r="D3519">
        <v>9.8059997558593697</v>
      </c>
      <c r="E3519">
        <v>9.8555002212524396</v>
      </c>
      <c r="F3519">
        <v>9.8555002212524396</v>
      </c>
      <c r="G3519">
        <v>92000000</v>
      </c>
      <c r="H3519">
        <f t="shared" si="216"/>
        <v>2011</v>
      </c>
      <c r="I3519">
        <f t="shared" si="217"/>
        <v>5</v>
      </c>
      <c r="J3519" t="str">
        <f t="shared" si="218"/>
        <v>May</v>
      </c>
      <c r="K3519" t="str">
        <f t="shared" si="219"/>
        <v>Thu</v>
      </c>
    </row>
    <row r="3520" spans="1:11" x14ac:dyDescent="0.35">
      <c r="A3520" s="1">
        <v>40669</v>
      </c>
      <c r="B3520">
        <v>9.9549999237060494</v>
      </c>
      <c r="C3520">
        <v>9.9779996871948207</v>
      </c>
      <c r="D3520">
        <v>9.8280000686645508</v>
      </c>
      <c r="E3520">
        <v>9.8800001144409109</v>
      </c>
      <c r="F3520">
        <v>9.8800001144409109</v>
      </c>
      <c r="G3520">
        <v>80278000</v>
      </c>
      <c r="H3520">
        <f t="shared" si="216"/>
        <v>2011</v>
      </c>
      <c r="I3520">
        <f t="shared" si="217"/>
        <v>5</v>
      </c>
      <c r="J3520" t="str">
        <f t="shared" si="218"/>
        <v>May</v>
      </c>
      <c r="K3520" t="str">
        <f t="shared" si="219"/>
        <v>Fri</v>
      </c>
    </row>
    <row r="3521" spans="1:11" x14ac:dyDescent="0.35">
      <c r="A3521" s="1">
        <v>40672</v>
      </c>
      <c r="B3521">
        <v>9.9169998168945295</v>
      </c>
      <c r="C3521">
        <v>10.1180000305175</v>
      </c>
      <c r="D3521">
        <v>9.8389997482299805</v>
      </c>
      <c r="E3521">
        <v>10.039999961853001</v>
      </c>
      <c r="F3521">
        <v>10.039999961853001</v>
      </c>
      <c r="G3521">
        <v>116508000</v>
      </c>
      <c r="H3521">
        <f t="shared" si="216"/>
        <v>2011</v>
      </c>
      <c r="I3521">
        <f t="shared" si="217"/>
        <v>5</v>
      </c>
      <c r="J3521" t="str">
        <f t="shared" si="218"/>
        <v>May</v>
      </c>
      <c r="K3521" t="str">
        <f t="shared" si="219"/>
        <v>Mon</v>
      </c>
    </row>
    <row r="3522" spans="1:11" x14ac:dyDescent="0.35">
      <c r="A3522" s="1">
        <v>40673</v>
      </c>
      <c r="B3522">
        <v>10.0970001220703</v>
      </c>
      <c r="C3522">
        <v>10.2644996643066</v>
      </c>
      <c r="D3522">
        <v>10.078000068664499</v>
      </c>
      <c r="E3522">
        <v>10.1969995498657</v>
      </c>
      <c r="F3522">
        <v>10.1969995498657</v>
      </c>
      <c r="G3522">
        <v>117718000</v>
      </c>
      <c r="H3522">
        <f t="shared" si="216"/>
        <v>2011</v>
      </c>
      <c r="I3522">
        <f t="shared" si="217"/>
        <v>5</v>
      </c>
      <c r="J3522" t="str">
        <f t="shared" si="218"/>
        <v>May</v>
      </c>
      <c r="K3522" t="str">
        <f t="shared" si="219"/>
        <v>Tue</v>
      </c>
    </row>
    <row r="3523" spans="1:11" x14ac:dyDescent="0.35">
      <c r="A3523" s="1">
        <v>40674</v>
      </c>
      <c r="B3523">
        <v>10.1560001373291</v>
      </c>
      <c r="C3523">
        <v>10.274999618530201</v>
      </c>
      <c r="D3523">
        <v>10.112500190734799</v>
      </c>
      <c r="E3523">
        <v>10.218999862670801</v>
      </c>
      <c r="F3523">
        <v>10.218999862670801</v>
      </c>
      <c r="G3523">
        <v>96180000</v>
      </c>
      <c r="H3523">
        <f t="shared" si="216"/>
        <v>2011</v>
      </c>
      <c r="I3523">
        <f t="shared" si="217"/>
        <v>5</v>
      </c>
      <c r="J3523" t="str">
        <f t="shared" si="218"/>
        <v>May</v>
      </c>
      <c r="K3523" t="str">
        <f t="shared" si="219"/>
        <v>Wed</v>
      </c>
    </row>
    <row r="3524" spans="1:11" x14ac:dyDescent="0.35">
      <c r="A3524" s="1">
        <v>40675</v>
      </c>
      <c r="B3524">
        <v>10.211000442504799</v>
      </c>
      <c r="C3524">
        <v>10.309499740600501</v>
      </c>
      <c r="D3524">
        <v>10.0310001373291</v>
      </c>
      <c r="E3524">
        <v>10.303500175476</v>
      </c>
      <c r="F3524">
        <v>10.303500175476</v>
      </c>
      <c r="G3524">
        <v>96000000</v>
      </c>
      <c r="H3524">
        <f t="shared" ref="H3524:H3587" si="220">YEAR($A3524)</f>
        <v>2011</v>
      </c>
      <c r="I3524">
        <f t="shared" ref="I3524:I3587" si="221">MONTH($A3524)</f>
        <v>5</v>
      </c>
      <c r="J3524" t="str">
        <f t="shared" ref="J3524:J3587" si="222">TEXT($A3524,"mmm")</f>
        <v>May</v>
      </c>
      <c r="K3524" t="str">
        <f t="shared" ref="K3524:K3587" si="223">TEXT($A3524,"ddd")</f>
        <v>Thu</v>
      </c>
    </row>
    <row r="3525" spans="1:11" x14ac:dyDescent="0.35">
      <c r="A3525" s="1">
        <v>40676</v>
      </c>
      <c r="B3525">
        <v>10.2849998474121</v>
      </c>
      <c r="C3525">
        <v>10.319499969482401</v>
      </c>
      <c r="D3525">
        <v>10.1180000305175</v>
      </c>
      <c r="E3525">
        <v>10.1280002593994</v>
      </c>
      <c r="F3525">
        <v>10.1280002593994</v>
      </c>
      <c r="G3525">
        <v>82474000</v>
      </c>
      <c r="H3525">
        <f t="shared" si="220"/>
        <v>2011</v>
      </c>
      <c r="I3525">
        <f t="shared" si="221"/>
        <v>5</v>
      </c>
      <c r="J3525" t="str">
        <f t="shared" si="222"/>
        <v>May</v>
      </c>
      <c r="K3525" t="str">
        <f t="shared" si="223"/>
        <v>Fri</v>
      </c>
    </row>
    <row r="3526" spans="1:11" x14ac:dyDescent="0.35">
      <c r="A3526" s="1">
        <v>40679</v>
      </c>
      <c r="B3526">
        <v>10.027000427246</v>
      </c>
      <c r="C3526">
        <v>10.045000076293899</v>
      </c>
      <c r="D3526">
        <v>9.5684995651245099</v>
      </c>
      <c r="E3526">
        <v>9.6254997253417898</v>
      </c>
      <c r="F3526">
        <v>9.6254997253417898</v>
      </c>
      <c r="G3526">
        <v>187728000</v>
      </c>
      <c r="H3526">
        <f t="shared" si="220"/>
        <v>2011</v>
      </c>
      <c r="I3526">
        <f t="shared" si="221"/>
        <v>5</v>
      </c>
      <c r="J3526" t="str">
        <f t="shared" si="222"/>
        <v>May</v>
      </c>
      <c r="K3526" t="str">
        <f t="shared" si="223"/>
        <v>Mon</v>
      </c>
    </row>
    <row r="3527" spans="1:11" x14ac:dyDescent="0.35">
      <c r="A3527" s="1">
        <v>40680</v>
      </c>
      <c r="B3527">
        <v>9.5909996032714808</v>
      </c>
      <c r="C3527">
        <v>9.7989997863769496</v>
      </c>
      <c r="D3527">
        <v>9.5880002975463796</v>
      </c>
      <c r="E3527">
        <v>9.7405004501342702</v>
      </c>
      <c r="F3527">
        <v>9.7405004501342702</v>
      </c>
      <c r="G3527">
        <v>141466000</v>
      </c>
      <c r="H3527">
        <f t="shared" si="220"/>
        <v>2011</v>
      </c>
      <c r="I3527">
        <f t="shared" si="221"/>
        <v>5</v>
      </c>
      <c r="J3527" t="str">
        <f t="shared" si="222"/>
        <v>May</v>
      </c>
      <c r="K3527" t="str">
        <f t="shared" si="223"/>
        <v>Tue</v>
      </c>
    </row>
    <row r="3528" spans="1:11" x14ac:dyDescent="0.35">
      <c r="A3528" s="1">
        <v>40681</v>
      </c>
      <c r="B3528">
        <v>9.7065000534057599</v>
      </c>
      <c r="C3528">
        <v>9.9139995574951101</v>
      </c>
      <c r="D3528">
        <v>9.6625003814697195</v>
      </c>
      <c r="E3528">
        <v>9.8544998168945295</v>
      </c>
      <c r="F3528">
        <v>9.8544998168945295</v>
      </c>
      <c r="G3528">
        <v>99116000</v>
      </c>
      <c r="H3528">
        <f t="shared" si="220"/>
        <v>2011</v>
      </c>
      <c r="I3528">
        <f t="shared" si="221"/>
        <v>5</v>
      </c>
      <c r="J3528" t="str">
        <f t="shared" si="222"/>
        <v>May</v>
      </c>
      <c r="K3528" t="str">
        <f t="shared" si="223"/>
        <v>Wed</v>
      </c>
    </row>
    <row r="3529" spans="1:11" x14ac:dyDescent="0.35">
      <c r="A3529" s="1">
        <v>40682</v>
      </c>
      <c r="B3529">
        <v>9.9165000915527308</v>
      </c>
      <c r="C3529">
        <v>9.9975004196166992</v>
      </c>
      <c r="D3529">
        <v>9.8774995803833008</v>
      </c>
      <c r="E3529">
        <v>9.9399995803833008</v>
      </c>
      <c r="F3529">
        <v>9.9399995803833008</v>
      </c>
      <c r="G3529">
        <v>74024000</v>
      </c>
      <c r="H3529">
        <f t="shared" si="220"/>
        <v>2011</v>
      </c>
      <c r="I3529">
        <f t="shared" si="221"/>
        <v>5</v>
      </c>
      <c r="J3529" t="str">
        <f t="shared" si="222"/>
        <v>May</v>
      </c>
      <c r="K3529" t="str">
        <f t="shared" si="223"/>
        <v>Thu</v>
      </c>
    </row>
    <row r="3530" spans="1:11" x14ac:dyDescent="0.35">
      <c r="A3530" s="1">
        <v>40683</v>
      </c>
      <c r="B3530">
        <v>9.8975000381469709</v>
      </c>
      <c r="C3530">
        <v>9.9899997711181605</v>
      </c>
      <c r="D3530">
        <v>9.8620004653930593</v>
      </c>
      <c r="E3530">
        <v>9.9324998855590803</v>
      </c>
      <c r="F3530">
        <v>9.9324998855590803</v>
      </c>
      <c r="G3530">
        <v>67620000</v>
      </c>
      <c r="H3530">
        <f t="shared" si="220"/>
        <v>2011</v>
      </c>
      <c r="I3530">
        <f t="shared" si="221"/>
        <v>5</v>
      </c>
      <c r="J3530" t="str">
        <f t="shared" si="222"/>
        <v>May</v>
      </c>
      <c r="K3530" t="str">
        <f t="shared" si="223"/>
        <v>Fri</v>
      </c>
    </row>
    <row r="3531" spans="1:11" x14ac:dyDescent="0.35">
      <c r="A3531" s="1">
        <v>40686</v>
      </c>
      <c r="B3531">
        <v>9.7779998779296804</v>
      </c>
      <c r="C3531">
        <v>9.8645000457763601</v>
      </c>
      <c r="D3531">
        <v>9.6009998321533203</v>
      </c>
      <c r="E3531">
        <v>9.8109998703002894</v>
      </c>
      <c r="F3531">
        <v>9.8109998703002894</v>
      </c>
      <c r="G3531">
        <v>84000000</v>
      </c>
      <c r="H3531">
        <f t="shared" si="220"/>
        <v>2011</v>
      </c>
      <c r="I3531">
        <f t="shared" si="221"/>
        <v>5</v>
      </c>
      <c r="J3531" t="str">
        <f t="shared" si="222"/>
        <v>May</v>
      </c>
      <c r="K3531" t="str">
        <f t="shared" si="223"/>
        <v>Mon</v>
      </c>
    </row>
    <row r="3532" spans="1:11" x14ac:dyDescent="0.35">
      <c r="A3532" s="1">
        <v>40687</v>
      </c>
      <c r="B3532">
        <v>9.8500003814697195</v>
      </c>
      <c r="C3532">
        <v>9.8500003814697195</v>
      </c>
      <c r="D3532">
        <v>9.6499996185302699</v>
      </c>
      <c r="E3532">
        <v>9.6634998321533203</v>
      </c>
      <c r="F3532">
        <v>9.6634998321533203</v>
      </c>
      <c r="G3532">
        <v>59454000</v>
      </c>
      <c r="H3532">
        <f t="shared" si="220"/>
        <v>2011</v>
      </c>
      <c r="I3532">
        <f t="shared" si="221"/>
        <v>5</v>
      </c>
      <c r="J3532" t="str">
        <f t="shared" si="222"/>
        <v>May</v>
      </c>
      <c r="K3532" t="str">
        <f t="shared" si="223"/>
        <v>Tue</v>
      </c>
    </row>
    <row r="3533" spans="1:11" x14ac:dyDescent="0.35">
      <c r="A3533" s="1">
        <v>40688</v>
      </c>
      <c r="B3533">
        <v>9.6785001754760707</v>
      </c>
      <c r="C3533">
        <v>9.7174997329711896</v>
      </c>
      <c r="D3533">
        <v>9.5570001602172798</v>
      </c>
      <c r="E3533">
        <v>9.6129999160766602</v>
      </c>
      <c r="F3533">
        <v>9.6129999160766602</v>
      </c>
      <c r="G3533">
        <v>93226000</v>
      </c>
      <c r="H3533">
        <f t="shared" si="220"/>
        <v>2011</v>
      </c>
      <c r="I3533">
        <f t="shared" si="221"/>
        <v>5</v>
      </c>
      <c r="J3533" t="str">
        <f t="shared" si="222"/>
        <v>May</v>
      </c>
      <c r="K3533" t="str">
        <f t="shared" si="223"/>
        <v>Wed</v>
      </c>
    </row>
    <row r="3534" spans="1:11" x14ac:dyDescent="0.35">
      <c r="A3534" s="1">
        <v>40689</v>
      </c>
      <c r="B3534">
        <v>9.5620002746581996</v>
      </c>
      <c r="C3534">
        <v>9.8225002288818306</v>
      </c>
      <c r="D3534">
        <v>9.5439996719360298</v>
      </c>
      <c r="E3534">
        <v>9.75</v>
      </c>
      <c r="F3534">
        <v>9.75</v>
      </c>
      <c r="G3534">
        <v>81504000</v>
      </c>
      <c r="H3534">
        <f t="shared" si="220"/>
        <v>2011</v>
      </c>
      <c r="I3534">
        <f t="shared" si="221"/>
        <v>5</v>
      </c>
      <c r="J3534" t="str">
        <f t="shared" si="222"/>
        <v>May</v>
      </c>
      <c r="K3534" t="str">
        <f t="shared" si="223"/>
        <v>Thu</v>
      </c>
    </row>
    <row r="3535" spans="1:11" x14ac:dyDescent="0.35">
      <c r="A3535" s="1">
        <v>40690</v>
      </c>
      <c r="B3535">
        <v>9.7379999160766602</v>
      </c>
      <c r="C3535">
        <v>9.8059997558593697</v>
      </c>
      <c r="D3535">
        <v>9.6750001907348597</v>
      </c>
      <c r="E3535">
        <v>9.7065000534057599</v>
      </c>
      <c r="F3535">
        <v>9.7065000534057599</v>
      </c>
      <c r="G3535">
        <v>47052000</v>
      </c>
      <c r="H3535">
        <f t="shared" si="220"/>
        <v>2011</v>
      </c>
      <c r="I3535">
        <f t="shared" si="221"/>
        <v>5</v>
      </c>
      <c r="J3535" t="str">
        <f t="shared" si="222"/>
        <v>May</v>
      </c>
      <c r="K3535" t="str">
        <f t="shared" si="223"/>
        <v>Fri</v>
      </c>
    </row>
    <row r="3536" spans="1:11" x14ac:dyDescent="0.35">
      <c r="A3536" s="1">
        <v>40694</v>
      </c>
      <c r="B3536">
        <v>9.7969999313354492</v>
      </c>
      <c r="C3536">
        <v>9.9219999313354492</v>
      </c>
      <c r="D3536">
        <v>9.7515001296996999</v>
      </c>
      <c r="E3536">
        <v>9.8345003128051705</v>
      </c>
      <c r="F3536">
        <v>9.8345003128051705</v>
      </c>
      <c r="G3536">
        <v>68180000</v>
      </c>
      <c r="H3536">
        <f t="shared" si="220"/>
        <v>2011</v>
      </c>
      <c r="I3536">
        <f t="shared" si="221"/>
        <v>5</v>
      </c>
      <c r="J3536" t="str">
        <f t="shared" si="222"/>
        <v>May</v>
      </c>
      <c r="K3536" t="str">
        <f t="shared" si="223"/>
        <v>Tue</v>
      </c>
    </row>
    <row r="3537" spans="1:11" x14ac:dyDescent="0.35">
      <c r="A3537" s="1">
        <v>40695</v>
      </c>
      <c r="B3537">
        <v>9.8030004501342702</v>
      </c>
      <c r="C3537">
        <v>9.8629999160766602</v>
      </c>
      <c r="D3537">
        <v>9.6024999618530202</v>
      </c>
      <c r="E3537">
        <v>9.6199998855590803</v>
      </c>
      <c r="F3537">
        <v>9.6199998855590803</v>
      </c>
      <c r="G3537">
        <v>68904000</v>
      </c>
      <c r="H3537">
        <f t="shared" si="220"/>
        <v>2011</v>
      </c>
      <c r="I3537">
        <f t="shared" si="221"/>
        <v>6</v>
      </c>
      <c r="J3537" t="str">
        <f t="shared" si="222"/>
        <v>Jun</v>
      </c>
      <c r="K3537" t="str">
        <f t="shared" si="223"/>
        <v>Wed</v>
      </c>
    </row>
    <row r="3538" spans="1:11" x14ac:dyDescent="0.35">
      <c r="A3538" s="1">
        <v>40696</v>
      </c>
      <c r="B3538">
        <v>9.6140003204345703</v>
      </c>
      <c r="C3538">
        <v>9.7220001220703107</v>
      </c>
      <c r="D3538">
        <v>9.5279998779296804</v>
      </c>
      <c r="E3538">
        <v>9.6824998855590803</v>
      </c>
      <c r="F3538">
        <v>9.6824998855590803</v>
      </c>
      <c r="G3538">
        <v>60898000</v>
      </c>
      <c r="H3538">
        <f t="shared" si="220"/>
        <v>2011</v>
      </c>
      <c r="I3538">
        <f t="shared" si="221"/>
        <v>6</v>
      </c>
      <c r="J3538" t="str">
        <f t="shared" si="222"/>
        <v>Jun</v>
      </c>
      <c r="K3538" t="str">
        <f t="shared" si="223"/>
        <v>Thu</v>
      </c>
    </row>
    <row r="3539" spans="1:11" x14ac:dyDescent="0.35">
      <c r="A3539" s="1">
        <v>40697</v>
      </c>
      <c r="B3539">
        <v>9.5614995956420898</v>
      </c>
      <c r="C3539">
        <v>9.6604995727538991</v>
      </c>
      <c r="D3539">
        <v>9.3809995651245099</v>
      </c>
      <c r="E3539">
        <v>9.4160003662109304</v>
      </c>
      <c r="F3539">
        <v>9.4160003662109304</v>
      </c>
      <c r="G3539">
        <v>99490000</v>
      </c>
      <c r="H3539">
        <f t="shared" si="220"/>
        <v>2011</v>
      </c>
      <c r="I3539">
        <f t="shared" si="221"/>
        <v>6</v>
      </c>
      <c r="J3539" t="str">
        <f t="shared" si="222"/>
        <v>Jun</v>
      </c>
      <c r="K3539" t="str">
        <f t="shared" si="223"/>
        <v>Fri</v>
      </c>
    </row>
    <row r="3540" spans="1:11" x14ac:dyDescent="0.35">
      <c r="A3540" s="1">
        <v>40700</v>
      </c>
      <c r="B3540">
        <v>9.4005002975463796</v>
      </c>
      <c r="C3540">
        <v>9.4925003051757795</v>
      </c>
      <c r="D3540">
        <v>9.2589998245239205</v>
      </c>
      <c r="E3540">
        <v>9.2845001220703107</v>
      </c>
      <c r="F3540">
        <v>9.2845001220703107</v>
      </c>
      <c r="G3540">
        <v>74320000</v>
      </c>
      <c r="H3540">
        <f t="shared" si="220"/>
        <v>2011</v>
      </c>
      <c r="I3540">
        <f t="shared" si="221"/>
        <v>6</v>
      </c>
      <c r="J3540" t="str">
        <f t="shared" si="222"/>
        <v>Jun</v>
      </c>
      <c r="K3540" t="str">
        <f t="shared" si="223"/>
        <v>Mon</v>
      </c>
    </row>
    <row r="3541" spans="1:11" x14ac:dyDescent="0.35">
      <c r="A3541" s="1">
        <v>40701</v>
      </c>
      <c r="B3541">
        <v>9.2860002517700195</v>
      </c>
      <c r="C3541">
        <v>9.5314998626708896</v>
      </c>
      <c r="D3541">
        <v>9.27600002288818</v>
      </c>
      <c r="E3541">
        <v>9.3774995803833008</v>
      </c>
      <c r="F3541">
        <v>9.3774995803833008</v>
      </c>
      <c r="G3541">
        <v>97330000</v>
      </c>
      <c r="H3541">
        <f t="shared" si="220"/>
        <v>2011</v>
      </c>
      <c r="I3541">
        <f t="shared" si="221"/>
        <v>6</v>
      </c>
      <c r="J3541" t="str">
        <f t="shared" si="222"/>
        <v>Jun</v>
      </c>
      <c r="K3541" t="str">
        <f t="shared" si="223"/>
        <v>Tue</v>
      </c>
    </row>
    <row r="3542" spans="1:11" x14ac:dyDescent="0.35">
      <c r="A3542" s="1">
        <v>40702</v>
      </c>
      <c r="B3542">
        <v>9.3725004196166992</v>
      </c>
      <c r="C3542">
        <v>9.4905004501342702</v>
      </c>
      <c r="D3542">
        <v>9.3159999847412092</v>
      </c>
      <c r="E3542">
        <v>9.4025001525878906</v>
      </c>
      <c r="F3542">
        <v>9.4025001525878906</v>
      </c>
      <c r="G3542">
        <v>74332000</v>
      </c>
      <c r="H3542">
        <f t="shared" si="220"/>
        <v>2011</v>
      </c>
      <c r="I3542">
        <f t="shared" si="221"/>
        <v>6</v>
      </c>
      <c r="J3542" t="str">
        <f t="shared" si="222"/>
        <v>Jun</v>
      </c>
      <c r="K3542" t="str">
        <f t="shared" si="223"/>
        <v>Wed</v>
      </c>
    </row>
    <row r="3543" spans="1:11" x14ac:dyDescent="0.35">
      <c r="A3543" s="1">
        <v>40703</v>
      </c>
      <c r="B3543">
        <v>9.4870004653930593</v>
      </c>
      <c r="C3543">
        <v>9.5880002975463796</v>
      </c>
      <c r="D3543">
        <v>9.2854995727538991</v>
      </c>
      <c r="E3543">
        <v>9.4840002059936506</v>
      </c>
      <c r="F3543">
        <v>9.4840002059936506</v>
      </c>
      <c r="G3543">
        <v>83746000</v>
      </c>
      <c r="H3543">
        <f t="shared" si="220"/>
        <v>2011</v>
      </c>
      <c r="I3543">
        <f t="shared" si="221"/>
        <v>6</v>
      </c>
      <c r="J3543" t="str">
        <f t="shared" si="222"/>
        <v>Jun</v>
      </c>
      <c r="K3543" t="str">
        <f t="shared" si="223"/>
        <v>Thu</v>
      </c>
    </row>
    <row r="3544" spans="1:11" x14ac:dyDescent="0.35">
      <c r="A3544" s="1">
        <v>40704</v>
      </c>
      <c r="B3544">
        <v>9.4624996185302699</v>
      </c>
      <c r="C3544">
        <v>9.5384998321533203</v>
      </c>
      <c r="D3544">
        <v>9.3140001296996999</v>
      </c>
      <c r="E3544">
        <v>9.3264999389648402</v>
      </c>
      <c r="F3544">
        <v>9.3264999389648402</v>
      </c>
      <c r="G3544">
        <v>75208000</v>
      </c>
      <c r="H3544">
        <f t="shared" si="220"/>
        <v>2011</v>
      </c>
      <c r="I3544">
        <f t="shared" si="221"/>
        <v>6</v>
      </c>
      <c r="J3544" t="str">
        <f t="shared" si="222"/>
        <v>Jun</v>
      </c>
      <c r="K3544" t="str">
        <f t="shared" si="223"/>
        <v>Fri</v>
      </c>
    </row>
    <row r="3545" spans="1:11" x14ac:dyDescent="0.35">
      <c r="A3545" s="1">
        <v>40707</v>
      </c>
      <c r="B3545">
        <v>9.3404998779296804</v>
      </c>
      <c r="C3545">
        <v>9.4654998779296804</v>
      </c>
      <c r="D3545">
        <v>9.2430000305175692</v>
      </c>
      <c r="E3545">
        <v>9.3144998550415004</v>
      </c>
      <c r="F3545">
        <v>9.3144998550415004</v>
      </c>
      <c r="G3545">
        <v>77378000</v>
      </c>
      <c r="H3545">
        <f t="shared" si="220"/>
        <v>2011</v>
      </c>
      <c r="I3545">
        <f t="shared" si="221"/>
        <v>6</v>
      </c>
      <c r="J3545" t="str">
        <f t="shared" si="222"/>
        <v>Jun</v>
      </c>
      <c r="K3545" t="str">
        <f t="shared" si="223"/>
        <v>Mon</v>
      </c>
    </row>
    <row r="3546" spans="1:11" x14ac:dyDescent="0.35">
      <c r="A3546" s="1">
        <v>40708</v>
      </c>
      <c r="B3546">
        <v>9.4495000839233398</v>
      </c>
      <c r="C3546">
        <v>9.5360002517700195</v>
      </c>
      <c r="D3546">
        <v>9.3535003662109304</v>
      </c>
      <c r="E3546">
        <v>9.4980001449584908</v>
      </c>
      <c r="F3546">
        <v>9.4980001449584908</v>
      </c>
      <c r="G3546">
        <v>79206000</v>
      </c>
      <c r="H3546">
        <f t="shared" si="220"/>
        <v>2011</v>
      </c>
      <c r="I3546">
        <f t="shared" si="221"/>
        <v>6</v>
      </c>
      <c r="J3546" t="str">
        <f t="shared" si="222"/>
        <v>Jun</v>
      </c>
      <c r="K3546" t="str">
        <f t="shared" si="223"/>
        <v>Tue</v>
      </c>
    </row>
    <row r="3547" spans="1:11" x14ac:dyDescent="0.35">
      <c r="A3547" s="1">
        <v>40709</v>
      </c>
      <c r="B3547">
        <v>9.4020004272460902</v>
      </c>
      <c r="C3547">
        <v>9.6225004196166992</v>
      </c>
      <c r="D3547">
        <v>9.2650003433227504</v>
      </c>
      <c r="E3547">
        <v>9.2989997863769496</v>
      </c>
      <c r="F3547">
        <v>9.2989997863769496</v>
      </c>
      <c r="G3547">
        <v>126354000</v>
      </c>
      <c r="H3547">
        <f t="shared" si="220"/>
        <v>2011</v>
      </c>
      <c r="I3547">
        <f t="shared" si="221"/>
        <v>6</v>
      </c>
      <c r="J3547" t="str">
        <f t="shared" si="222"/>
        <v>Jun</v>
      </c>
      <c r="K3547" t="str">
        <f t="shared" si="223"/>
        <v>Wed</v>
      </c>
    </row>
    <row r="3548" spans="1:11" x14ac:dyDescent="0.35">
      <c r="A3548" s="1">
        <v>40710</v>
      </c>
      <c r="B3548">
        <v>9.2869997024536097</v>
      </c>
      <c r="C3548">
        <v>9.3500003814697195</v>
      </c>
      <c r="D3548">
        <v>9.0795001983642507</v>
      </c>
      <c r="E3548">
        <v>9.1824998855590803</v>
      </c>
      <c r="F3548">
        <v>9.1824998855590803</v>
      </c>
      <c r="G3548">
        <v>120642000</v>
      </c>
      <c r="H3548">
        <f t="shared" si="220"/>
        <v>2011</v>
      </c>
      <c r="I3548">
        <f t="shared" si="221"/>
        <v>6</v>
      </c>
      <c r="J3548" t="str">
        <f t="shared" si="222"/>
        <v>Jun</v>
      </c>
      <c r="K3548" t="str">
        <f t="shared" si="223"/>
        <v>Thu</v>
      </c>
    </row>
    <row r="3549" spans="1:11" x14ac:dyDescent="0.35">
      <c r="A3549" s="1">
        <v>40711</v>
      </c>
      <c r="B3549">
        <v>9.32549953460693</v>
      </c>
      <c r="C3549">
        <v>9.3695001602172798</v>
      </c>
      <c r="D3549">
        <v>9.2320003509521396</v>
      </c>
      <c r="E3549">
        <v>9.3184995651245099</v>
      </c>
      <c r="F3549">
        <v>9.3184995651245099</v>
      </c>
      <c r="G3549">
        <v>126444000</v>
      </c>
      <c r="H3549">
        <f t="shared" si="220"/>
        <v>2011</v>
      </c>
      <c r="I3549">
        <f t="shared" si="221"/>
        <v>6</v>
      </c>
      <c r="J3549" t="str">
        <f t="shared" si="222"/>
        <v>Jun</v>
      </c>
      <c r="K3549" t="str">
        <f t="shared" si="223"/>
        <v>Fri</v>
      </c>
    </row>
    <row r="3550" spans="1:11" x14ac:dyDescent="0.35">
      <c r="A3550" s="1">
        <v>40714</v>
      </c>
      <c r="B3550">
        <v>9.2980003356933594</v>
      </c>
      <c r="C3550">
        <v>9.4425001144409109</v>
      </c>
      <c r="D3550">
        <v>9.2784996032714808</v>
      </c>
      <c r="E3550">
        <v>9.3859996795654297</v>
      </c>
      <c r="F3550">
        <v>9.3859996795654297</v>
      </c>
      <c r="G3550">
        <v>56634000</v>
      </c>
      <c r="H3550">
        <f t="shared" si="220"/>
        <v>2011</v>
      </c>
      <c r="I3550">
        <f t="shared" si="221"/>
        <v>6</v>
      </c>
      <c r="J3550" t="str">
        <f t="shared" si="222"/>
        <v>Jun</v>
      </c>
      <c r="K3550" t="str">
        <f t="shared" si="223"/>
        <v>Mon</v>
      </c>
    </row>
    <row r="3551" spans="1:11" x14ac:dyDescent="0.35">
      <c r="A3551" s="1">
        <v>40715</v>
      </c>
      <c r="B3551">
        <v>9.4149999618530202</v>
      </c>
      <c r="C3551">
        <v>9.75</v>
      </c>
      <c r="D3551">
        <v>9.3559999465942294</v>
      </c>
      <c r="E3551">
        <v>9.7115001678466797</v>
      </c>
      <c r="F3551">
        <v>9.7115001678466797</v>
      </c>
      <c r="G3551">
        <v>83652000</v>
      </c>
      <c r="H3551">
        <f t="shared" si="220"/>
        <v>2011</v>
      </c>
      <c r="I3551">
        <f t="shared" si="221"/>
        <v>6</v>
      </c>
      <c r="J3551" t="str">
        <f t="shared" si="222"/>
        <v>Jun</v>
      </c>
      <c r="K3551" t="str">
        <f t="shared" si="223"/>
        <v>Tue</v>
      </c>
    </row>
    <row r="3552" spans="1:11" x14ac:dyDescent="0.35">
      <c r="A3552" s="1">
        <v>40716</v>
      </c>
      <c r="B3552">
        <v>9.6979999542236293</v>
      </c>
      <c r="C3552">
        <v>9.7600002288818306</v>
      </c>
      <c r="D3552">
        <v>9.5659999847412092</v>
      </c>
      <c r="E3552">
        <v>9.5815000534057599</v>
      </c>
      <c r="F3552">
        <v>9.5815000534057599</v>
      </c>
      <c r="G3552">
        <v>62594000</v>
      </c>
      <c r="H3552">
        <f t="shared" si="220"/>
        <v>2011</v>
      </c>
      <c r="I3552">
        <f t="shared" si="221"/>
        <v>6</v>
      </c>
      <c r="J3552" t="str">
        <f t="shared" si="222"/>
        <v>Jun</v>
      </c>
      <c r="K3552" t="str">
        <f t="shared" si="223"/>
        <v>Wed</v>
      </c>
    </row>
    <row r="3553" spans="1:11" x14ac:dyDescent="0.35">
      <c r="A3553" s="1">
        <v>40717</v>
      </c>
      <c r="B3553">
        <v>9.4750003814697195</v>
      </c>
      <c r="C3553">
        <v>9.7229995727538991</v>
      </c>
      <c r="D3553">
        <v>9.4149999618530202</v>
      </c>
      <c r="E3553">
        <v>9.7080001831054599</v>
      </c>
      <c r="F3553">
        <v>9.7080001831054599</v>
      </c>
      <c r="G3553">
        <v>92192000</v>
      </c>
      <c r="H3553">
        <f t="shared" si="220"/>
        <v>2011</v>
      </c>
      <c r="I3553">
        <f t="shared" si="221"/>
        <v>6</v>
      </c>
      <c r="J3553" t="str">
        <f t="shared" si="222"/>
        <v>Jun</v>
      </c>
      <c r="K3553" t="str">
        <f t="shared" si="223"/>
        <v>Thu</v>
      </c>
    </row>
    <row r="3554" spans="1:11" x14ac:dyDescent="0.35">
      <c r="A3554" s="1">
        <v>40718</v>
      </c>
      <c r="B3554">
        <v>9.6940002441406197</v>
      </c>
      <c r="C3554">
        <v>9.7460002899169904</v>
      </c>
      <c r="D3554">
        <v>9.5675001144409109</v>
      </c>
      <c r="E3554">
        <v>9.6274995803833008</v>
      </c>
      <c r="F3554">
        <v>9.6274995803833008</v>
      </c>
      <c r="G3554">
        <v>72290000</v>
      </c>
      <c r="H3554">
        <f t="shared" si="220"/>
        <v>2011</v>
      </c>
      <c r="I3554">
        <f t="shared" si="221"/>
        <v>6</v>
      </c>
      <c r="J3554" t="str">
        <f t="shared" si="222"/>
        <v>Jun</v>
      </c>
      <c r="K3554" t="str">
        <f t="shared" si="223"/>
        <v>Fri</v>
      </c>
    </row>
    <row r="3555" spans="1:11" x14ac:dyDescent="0.35">
      <c r="A3555" s="1">
        <v>40721</v>
      </c>
      <c r="B3555">
        <v>9.7250003814697195</v>
      </c>
      <c r="C3555">
        <v>10.128999710083001</v>
      </c>
      <c r="D3555">
        <v>9.7014999389648402</v>
      </c>
      <c r="E3555">
        <v>10.0625</v>
      </c>
      <c r="F3555">
        <v>10.0625</v>
      </c>
      <c r="G3555">
        <v>122014000</v>
      </c>
      <c r="H3555">
        <f t="shared" si="220"/>
        <v>2011</v>
      </c>
      <c r="I3555">
        <f t="shared" si="221"/>
        <v>6</v>
      </c>
      <c r="J3555" t="str">
        <f t="shared" si="222"/>
        <v>Jun</v>
      </c>
      <c r="K3555" t="str">
        <f t="shared" si="223"/>
        <v>Mon</v>
      </c>
    </row>
    <row r="3556" spans="1:11" x14ac:dyDescent="0.35">
      <c r="A3556" s="1">
        <v>40722</v>
      </c>
      <c r="B3556">
        <v>10.095999717712401</v>
      </c>
      <c r="C3556">
        <v>10.1440000534057</v>
      </c>
      <c r="D3556">
        <v>10.029999732971101</v>
      </c>
      <c r="E3556">
        <v>10.1175003051757</v>
      </c>
      <c r="F3556">
        <v>10.1175003051757</v>
      </c>
      <c r="G3556">
        <v>76506000</v>
      </c>
      <c r="H3556">
        <f t="shared" si="220"/>
        <v>2011</v>
      </c>
      <c r="I3556">
        <f t="shared" si="221"/>
        <v>6</v>
      </c>
      <c r="J3556" t="str">
        <f t="shared" si="222"/>
        <v>Jun</v>
      </c>
      <c r="K3556" t="str">
        <f t="shared" si="223"/>
        <v>Tue</v>
      </c>
    </row>
    <row r="3557" spans="1:11" x14ac:dyDescent="0.35">
      <c r="A3557" s="1">
        <v>40723</v>
      </c>
      <c r="B3557">
        <v>10.1335000991821</v>
      </c>
      <c r="C3557">
        <v>10.3125</v>
      </c>
      <c r="D3557">
        <v>10.051500320434499</v>
      </c>
      <c r="E3557">
        <v>10.208999633789</v>
      </c>
      <c r="F3557">
        <v>10.208999633789</v>
      </c>
      <c r="G3557">
        <v>92178000</v>
      </c>
      <c r="H3557">
        <f t="shared" si="220"/>
        <v>2011</v>
      </c>
      <c r="I3557">
        <f t="shared" si="221"/>
        <v>6</v>
      </c>
      <c r="J3557" t="str">
        <f t="shared" si="222"/>
        <v>Jun</v>
      </c>
      <c r="K3557" t="str">
        <f t="shared" si="223"/>
        <v>Wed</v>
      </c>
    </row>
    <row r="3558" spans="1:11" x14ac:dyDescent="0.35">
      <c r="A3558" s="1">
        <v>40724</v>
      </c>
      <c r="B3558">
        <v>10.038999557495099</v>
      </c>
      <c r="C3558">
        <v>10.2600002288818</v>
      </c>
      <c r="D3558">
        <v>10.024999618530201</v>
      </c>
      <c r="E3558">
        <v>10.224499702453601</v>
      </c>
      <c r="F3558">
        <v>10.224499702453601</v>
      </c>
      <c r="G3558">
        <v>88962000</v>
      </c>
      <c r="H3558">
        <f t="shared" si="220"/>
        <v>2011</v>
      </c>
      <c r="I3558">
        <f t="shared" si="221"/>
        <v>6</v>
      </c>
      <c r="J3558" t="str">
        <f t="shared" si="222"/>
        <v>Jun</v>
      </c>
      <c r="K3558" t="str">
        <f t="shared" si="223"/>
        <v>Thu</v>
      </c>
    </row>
    <row r="3559" spans="1:11" x14ac:dyDescent="0.35">
      <c r="A3559" s="1">
        <v>40725</v>
      </c>
      <c r="B3559">
        <v>10.2775001525878</v>
      </c>
      <c r="C3559">
        <v>10.513500213623001</v>
      </c>
      <c r="D3559">
        <v>10.1805000305175</v>
      </c>
      <c r="E3559">
        <v>10.474499702453601</v>
      </c>
      <c r="F3559">
        <v>10.474499702453601</v>
      </c>
      <c r="G3559">
        <v>80174000</v>
      </c>
      <c r="H3559">
        <f t="shared" si="220"/>
        <v>2011</v>
      </c>
      <c r="I3559">
        <f t="shared" si="221"/>
        <v>7</v>
      </c>
      <c r="J3559" t="str">
        <f t="shared" si="222"/>
        <v>Jul</v>
      </c>
      <c r="K3559" t="str">
        <f t="shared" si="223"/>
        <v>Fri</v>
      </c>
    </row>
    <row r="3560" spans="1:11" x14ac:dyDescent="0.35">
      <c r="A3560" s="1">
        <v>40729</v>
      </c>
      <c r="B3560">
        <v>10.437999725341699</v>
      </c>
      <c r="C3560">
        <v>10.7224998474121</v>
      </c>
      <c r="D3560">
        <v>10.436499595641999</v>
      </c>
      <c r="E3560">
        <v>10.6595001220703</v>
      </c>
      <c r="F3560">
        <v>10.6595001220703</v>
      </c>
      <c r="G3560">
        <v>71704000</v>
      </c>
      <c r="H3560">
        <f t="shared" si="220"/>
        <v>2011</v>
      </c>
      <c r="I3560">
        <f t="shared" si="221"/>
        <v>7</v>
      </c>
      <c r="J3560" t="str">
        <f t="shared" si="222"/>
        <v>Jul</v>
      </c>
      <c r="K3560" t="str">
        <f t="shared" si="223"/>
        <v>Tue</v>
      </c>
    </row>
    <row r="3561" spans="1:11" x14ac:dyDescent="0.35">
      <c r="A3561" s="1">
        <v>40730</v>
      </c>
      <c r="B3561">
        <v>10.605999946594199</v>
      </c>
      <c r="C3561">
        <v>10.7200002670288</v>
      </c>
      <c r="D3561">
        <v>10.5504999160766</v>
      </c>
      <c r="E3561">
        <v>10.709500312805099</v>
      </c>
      <c r="F3561">
        <v>10.709500312805099</v>
      </c>
      <c r="G3561">
        <v>52152000</v>
      </c>
      <c r="H3561">
        <f t="shared" si="220"/>
        <v>2011</v>
      </c>
      <c r="I3561">
        <f t="shared" si="221"/>
        <v>7</v>
      </c>
      <c r="J3561" t="str">
        <f t="shared" si="222"/>
        <v>Jul</v>
      </c>
      <c r="K3561" t="str">
        <f t="shared" si="223"/>
        <v>Wed</v>
      </c>
    </row>
    <row r="3562" spans="1:11" x14ac:dyDescent="0.35">
      <c r="A3562" s="1">
        <v>40731</v>
      </c>
      <c r="B3562">
        <v>10.7545003890991</v>
      </c>
      <c r="C3562">
        <v>10.890000343322701</v>
      </c>
      <c r="D3562">
        <v>10.7545003890991</v>
      </c>
      <c r="E3562">
        <v>10.8369998931884</v>
      </c>
      <c r="F3562">
        <v>10.8369998931884</v>
      </c>
      <c r="G3562">
        <v>62898000</v>
      </c>
      <c r="H3562">
        <f t="shared" si="220"/>
        <v>2011</v>
      </c>
      <c r="I3562">
        <f t="shared" si="221"/>
        <v>7</v>
      </c>
      <c r="J3562" t="str">
        <f t="shared" si="222"/>
        <v>Jul</v>
      </c>
      <c r="K3562" t="str">
        <f t="shared" si="223"/>
        <v>Thu</v>
      </c>
    </row>
    <row r="3563" spans="1:11" x14ac:dyDescent="0.35">
      <c r="A3563" s="1">
        <v>40732</v>
      </c>
      <c r="B3563">
        <v>10.7150001525878</v>
      </c>
      <c r="C3563">
        <v>10.9160003662109</v>
      </c>
      <c r="D3563">
        <v>10.6625003814697</v>
      </c>
      <c r="E3563">
        <v>10.913999557495099</v>
      </c>
      <c r="F3563">
        <v>10.913999557495099</v>
      </c>
      <c r="G3563">
        <v>74158000</v>
      </c>
      <c r="H3563">
        <f t="shared" si="220"/>
        <v>2011</v>
      </c>
      <c r="I3563">
        <f t="shared" si="221"/>
        <v>7</v>
      </c>
      <c r="J3563" t="str">
        <f t="shared" si="222"/>
        <v>Jul</v>
      </c>
      <c r="K3563" t="str">
        <f t="shared" si="223"/>
        <v>Fri</v>
      </c>
    </row>
    <row r="3564" spans="1:11" x14ac:dyDescent="0.35">
      <c r="A3564" s="1">
        <v>40735</v>
      </c>
      <c r="B3564">
        <v>10.8369998931884</v>
      </c>
      <c r="C3564">
        <v>10.875</v>
      </c>
      <c r="D3564">
        <v>10.550000190734799</v>
      </c>
      <c r="E3564">
        <v>10.627499580383301</v>
      </c>
      <c r="F3564">
        <v>10.627499580383301</v>
      </c>
      <c r="G3564">
        <v>80674000</v>
      </c>
      <c r="H3564">
        <f t="shared" si="220"/>
        <v>2011</v>
      </c>
      <c r="I3564">
        <f t="shared" si="221"/>
        <v>7</v>
      </c>
      <c r="J3564" t="str">
        <f t="shared" si="222"/>
        <v>Jul</v>
      </c>
      <c r="K3564" t="str">
        <f t="shared" si="223"/>
        <v>Mon</v>
      </c>
    </row>
    <row r="3565" spans="1:11" x14ac:dyDescent="0.35">
      <c r="A3565" s="1">
        <v>40736</v>
      </c>
      <c r="B3565">
        <v>10.7320003509521</v>
      </c>
      <c r="C3565">
        <v>10.7825002670288</v>
      </c>
      <c r="D3565">
        <v>10.5559997558593</v>
      </c>
      <c r="E3565">
        <v>10.561499595641999</v>
      </c>
      <c r="F3565">
        <v>10.561499595641999</v>
      </c>
      <c r="G3565">
        <v>79714000</v>
      </c>
      <c r="H3565">
        <f t="shared" si="220"/>
        <v>2011</v>
      </c>
      <c r="I3565">
        <f t="shared" si="221"/>
        <v>7</v>
      </c>
      <c r="J3565" t="str">
        <f t="shared" si="222"/>
        <v>Jul</v>
      </c>
      <c r="K3565" t="str">
        <f t="shared" si="223"/>
        <v>Tue</v>
      </c>
    </row>
    <row r="3566" spans="1:11" x14ac:dyDescent="0.35">
      <c r="A3566" s="1">
        <v>40737</v>
      </c>
      <c r="B3566">
        <v>10.7349996566772</v>
      </c>
      <c r="C3566">
        <v>10.8415002822875</v>
      </c>
      <c r="D3566">
        <v>10.6070003509521</v>
      </c>
      <c r="E3566">
        <v>10.675000190734799</v>
      </c>
      <c r="F3566">
        <v>10.675000190734799</v>
      </c>
      <c r="G3566">
        <v>84598000</v>
      </c>
      <c r="H3566">
        <f t="shared" si="220"/>
        <v>2011</v>
      </c>
      <c r="I3566">
        <f t="shared" si="221"/>
        <v>7</v>
      </c>
      <c r="J3566" t="str">
        <f t="shared" si="222"/>
        <v>Jul</v>
      </c>
      <c r="K3566" t="str">
        <f t="shared" si="223"/>
        <v>Wed</v>
      </c>
    </row>
    <row r="3567" spans="1:11" x14ac:dyDescent="0.35">
      <c r="A3567" s="1">
        <v>40738</v>
      </c>
      <c r="B3567">
        <v>10.6789999008178</v>
      </c>
      <c r="C3567">
        <v>10.7954998016357</v>
      </c>
      <c r="D3567">
        <v>10.468999862670801</v>
      </c>
      <c r="E3567">
        <v>10.5190000534057</v>
      </c>
      <c r="F3567">
        <v>10.5190000534057</v>
      </c>
      <c r="G3567">
        <v>78050000</v>
      </c>
      <c r="H3567">
        <f t="shared" si="220"/>
        <v>2011</v>
      </c>
      <c r="I3567">
        <f t="shared" si="221"/>
        <v>7</v>
      </c>
      <c r="J3567" t="str">
        <f t="shared" si="222"/>
        <v>Jul</v>
      </c>
      <c r="K3567" t="str">
        <f t="shared" si="223"/>
        <v>Thu</v>
      </c>
    </row>
    <row r="3568" spans="1:11" x14ac:dyDescent="0.35">
      <c r="A3568" s="1">
        <v>40739</v>
      </c>
      <c r="B3568">
        <v>10.6540002822875</v>
      </c>
      <c r="C3568">
        <v>10.726499557495099</v>
      </c>
      <c r="D3568">
        <v>10.464500427246</v>
      </c>
      <c r="E3568">
        <v>10.643500328063899</v>
      </c>
      <c r="F3568">
        <v>10.643500328063899</v>
      </c>
      <c r="G3568">
        <v>81452000</v>
      </c>
      <c r="H3568">
        <f t="shared" si="220"/>
        <v>2011</v>
      </c>
      <c r="I3568">
        <f t="shared" si="221"/>
        <v>7</v>
      </c>
      <c r="J3568" t="str">
        <f t="shared" si="222"/>
        <v>Jul</v>
      </c>
      <c r="K3568" t="str">
        <f t="shared" si="223"/>
        <v>Fri</v>
      </c>
    </row>
    <row r="3569" spans="1:11" x14ac:dyDescent="0.35">
      <c r="A3569" s="1">
        <v>40742</v>
      </c>
      <c r="B3569">
        <v>10.6265001296997</v>
      </c>
      <c r="C3569">
        <v>10.6695003509521</v>
      </c>
      <c r="D3569">
        <v>10.4145002365112</v>
      </c>
      <c r="E3569">
        <v>10.576499938964799</v>
      </c>
      <c r="F3569">
        <v>10.576499938964799</v>
      </c>
      <c r="G3569">
        <v>57962000</v>
      </c>
      <c r="H3569">
        <f t="shared" si="220"/>
        <v>2011</v>
      </c>
      <c r="I3569">
        <f t="shared" si="221"/>
        <v>7</v>
      </c>
      <c r="J3569" t="str">
        <f t="shared" si="222"/>
        <v>Jul</v>
      </c>
      <c r="K3569" t="str">
        <f t="shared" si="223"/>
        <v>Mon</v>
      </c>
    </row>
    <row r="3570" spans="1:11" x14ac:dyDescent="0.35">
      <c r="A3570" s="1">
        <v>40743</v>
      </c>
      <c r="B3570">
        <v>10.688500404357899</v>
      </c>
      <c r="C3570">
        <v>10.920000076293899</v>
      </c>
      <c r="D3570">
        <v>10.688500404357899</v>
      </c>
      <c r="E3570">
        <v>10.9029998779296</v>
      </c>
      <c r="F3570">
        <v>10.9029998779296</v>
      </c>
      <c r="G3570">
        <v>88744000</v>
      </c>
      <c r="H3570">
        <f t="shared" si="220"/>
        <v>2011</v>
      </c>
      <c r="I3570">
        <f t="shared" si="221"/>
        <v>7</v>
      </c>
      <c r="J3570" t="str">
        <f t="shared" si="222"/>
        <v>Jul</v>
      </c>
      <c r="K3570" t="str">
        <f t="shared" si="223"/>
        <v>Tue</v>
      </c>
    </row>
    <row r="3571" spans="1:11" x14ac:dyDescent="0.35">
      <c r="A3571" s="1">
        <v>40744</v>
      </c>
      <c r="B3571">
        <v>11.002499580383301</v>
      </c>
      <c r="C3571">
        <v>11.0100002288818</v>
      </c>
      <c r="D3571">
        <v>10.7204999923706</v>
      </c>
      <c r="E3571">
        <v>10.7775001525878</v>
      </c>
      <c r="F3571">
        <v>10.7775001525878</v>
      </c>
      <c r="G3571">
        <v>67458000</v>
      </c>
      <c r="H3571">
        <f t="shared" si="220"/>
        <v>2011</v>
      </c>
      <c r="I3571">
        <f t="shared" si="221"/>
        <v>7</v>
      </c>
      <c r="J3571" t="str">
        <f t="shared" si="222"/>
        <v>Jul</v>
      </c>
      <c r="K3571" t="str">
        <f t="shared" si="223"/>
        <v>Wed</v>
      </c>
    </row>
    <row r="3572" spans="1:11" x14ac:dyDescent="0.35">
      <c r="A3572" s="1">
        <v>40745</v>
      </c>
      <c r="B3572">
        <v>10.8369998931884</v>
      </c>
      <c r="C3572">
        <v>10.854499816894499</v>
      </c>
      <c r="D3572">
        <v>10.553500175476</v>
      </c>
      <c r="E3572">
        <v>10.660499572753899</v>
      </c>
      <c r="F3572">
        <v>10.660499572753899</v>
      </c>
      <c r="G3572">
        <v>90906000</v>
      </c>
      <c r="H3572">
        <f t="shared" si="220"/>
        <v>2011</v>
      </c>
      <c r="I3572">
        <f t="shared" si="221"/>
        <v>7</v>
      </c>
      <c r="J3572" t="str">
        <f t="shared" si="222"/>
        <v>Jul</v>
      </c>
      <c r="K3572" t="str">
        <f t="shared" si="223"/>
        <v>Thu</v>
      </c>
    </row>
    <row r="3573" spans="1:11" x14ac:dyDescent="0.35">
      <c r="A3573" s="1">
        <v>40746</v>
      </c>
      <c r="B3573">
        <v>10.692999839782701</v>
      </c>
      <c r="C3573">
        <v>10.8975000381469</v>
      </c>
      <c r="D3573">
        <v>10.5555000305175</v>
      </c>
      <c r="E3573">
        <v>10.826000213623001</v>
      </c>
      <c r="F3573">
        <v>10.826000213623001</v>
      </c>
      <c r="G3573">
        <v>71834000</v>
      </c>
      <c r="H3573">
        <f t="shared" si="220"/>
        <v>2011</v>
      </c>
      <c r="I3573">
        <f t="shared" si="221"/>
        <v>7</v>
      </c>
      <c r="J3573" t="str">
        <f t="shared" si="222"/>
        <v>Jul</v>
      </c>
      <c r="K3573" t="str">
        <f t="shared" si="223"/>
        <v>Fri</v>
      </c>
    </row>
    <row r="3574" spans="1:11" x14ac:dyDescent="0.35">
      <c r="A3574" s="1">
        <v>40749</v>
      </c>
      <c r="B3574">
        <v>10.7744998931884</v>
      </c>
      <c r="C3574">
        <v>10.8039999008178</v>
      </c>
      <c r="D3574">
        <v>10.649999618530201</v>
      </c>
      <c r="E3574">
        <v>10.674500465393001</v>
      </c>
      <c r="F3574">
        <v>10.674500465393001</v>
      </c>
      <c r="G3574">
        <v>66856000</v>
      </c>
      <c r="H3574">
        <f t="shared" si="220"/>
        <v>2011</v>
      </c>
      <c r="I3574">
        <f t="shared" si="221"/>
        <v>7</v>
      </c>
      <c r="J3574" t="str">
        <f t="shared" si="222"/>
        <v>Jul</v>
      </c>
      <c r="K3574" t="str">
        <f t="shared" si="223"/>
        <v>Mon</v>
      </c>
    </row>
    <row r="3575" spans="1:11" x14ac:dyDescent="0.35">
      <c r="A3575" s="1">
        <v>40750</v>
      </c>
      <c r="B3575">
        <v>10.7495002746582</v>
      </c>
      <c r="C3575">
        <v>10.779999732971101</v>
      </c>
      <c r="D3575">
        <v>10.517499923706</v>
      </c>
      <c r="E3575">
        <v>10.708999633789</v>
      </c>
      <c r="F3575">
        <v>10.708999633789</v>
      </c>
      <c r="G3575">
        <v>197272000</v>
      </c>
      <c r="H3575">
        <f t="shared" si="220"/>
        <v>2011</v>
      </c>
      <c r="I3575">
        <f t="shared" si="221"/>
        <v>7</v>
      </c>
      <c r="J3575" t="str">
        <f t="shared" si="222"/>
        <v>Jul</v>
      </c>
      <c r="K3575" t="str">
        <f t="shared" si="223"/>
        <v>Tue</v>
      </c>
    </row>
    <row r="3576" spans="1:11" x14ac:dyDescent="0.35">
      <c r="A3576" s="1">
        <v>40751</v>
      </c>
      <c r="B3576">
        <v>11.219499588012599</v>
      </c>
      <c r="C3576">
        <v>11.3599996566772</v>
      </c>
      <c r="D3576">
        <v>10.980999946594199</v>
      </c>
      <c r="E3576">
        <v>11.126000404357899</v>
      </c>
      <c r="F3576">
        <v>11.126000404357899</v>
      </c>
      <c r="G3576">
        <v>259112000</v>
      </c>
      <c r="H3576">
        <f t="shared" si="220"/>
        <v>2011</v>
      </c>
      <c r="I3576">
        <f t="shared" si="221"/>
        <v>7</v>
      </c>
      <c r="J3576" t="str">
        <f t="shared" si="222"/>
        <v>Jul</v>
      </c>
      <c r="K3576" t="str">
        <f t="shared" si="223"/>
        <v>Wed</v>
      </c>
    </row>
    <row r="3577" spans="1:11" x14ac:dyDescent="0.35">
      <c r="A3577" s="1">
        <v>40752</v>
      </c>
      <c r="B3577">
        <v>11.163499832153301</v>
      </c>
      <c r="C3577">
        <v>11.2974996566772</v>
      </c>
      <c r="D3577">
        <v>11.0115003585815</v>
      </c>
      <c r="E3577">
        <v>11.194999694824199</v>
      </c>
      <c r="F3577">
        <v>11.194999694824199</v>
      </c>
      <c r="G3577">
        <v>107098000</v>
      </c>
      <c r="H3577">
        <f t="shared" si="220"/>
        <v>2011</v>
      </c>
      <c r="I3577">
        <f t="shared" si="221"/>
        <v>7</v>
      </c>
      <c r="J3577" t="str">
        <f t="shared" si="222"/>
        <v>Jul</v>
      </c>
      <c r="K3577" t="str">
        <f t="shared" si="223"/>
        <v>Thu</v>
      </c>
    </row>
    <row r="3578" spans="1:11" x14ac:dyDescent="0.35">
      <c r="A3578" s="1">
        <v>40753</v>
      </c>
      <c r="B3578">
        <v>11.0644998550415</v>
      </c>
      <c r="C3578">
        <v>11.2875003814697</v>
      </c>
      <c r="D3578">
        <v>10.9755001068115</v>
      </c>
      <c r="E3578">
        <v>11.126000404357899</v>
      </c>
      <c r="F3578">
        <v>11.126000404357899</v>
      </c>
      <c r="G3578">
        <v>103354000</v>
      </c>
      <c r="H3578">
        <f t="shared" si="220"/>
        <v>2011</v>
      </c>
      <c r="I3578">
        <f t="shared" si="221"/>
        <v>7</v>
      </c>
      <c r="J3578" t="str">
        <f t="shared" si="222"/>
        <v>Jul</v>
      </c>
      <c r="K3578" t="str">
        <f t="shared" si="223"/>
        <v>Fri</v>
      </c>
    </row>
    <row r="3579" spans="1:11" x14ac:dyDescent="0.35">
      <c r="A3579" s="1">
        <v>40756</v>
      </c>
      <c r="B3579">
        <v>11.25</v>
      </c>
      <c r="C3579">
        <v>11.372500419616699</v>
      </c>
      <c r="D3579">
        <v>10.8830003738403</v>
      </c>
      <c r="E3579">
        <v>11.0659999847412</v>
      </c>
      <c r="F3579">
        <v>11.0659999847412</v>
      </c>
      <c r="G3579">
        <v>115786000</v>
      </c>
      <c r="H3579">
        <f t="shared" si="220"/>
        <v>2011</v>
      </c>
      <c r="I3579">
        <f t="shared" si="221"/>
        <v>8</v>
      </c>
      <c r="J3579" t="str">
        <f t="shared" si="222"/>
        <v>Aug</v>
      </c>
      <c r="K3579" t="str">
        <f t="shared" si="223"/>
        <v>Mon</v>
      </c>
    </row>
    <row r="3580" spans="1:11" x14ac:dyDescent="0.35">
      <c r="A3580" s="1">
        <v>40757</v>
      </c>
      <c r="B3580">
        <v>11.0159997940063</v>
      </c>
      <c r="C3580">
        <v>11.1215000152587</v>
      </c>
      <c r="D3580">
        <v>10.564999580383301</v>
      </c>
      <c r="E3580">
        <v>10.5850000381469</v>
      </c>
      <c r="F3580">
        <v>10.5850000381469</v>
      </c>
      <c r="G3580">
        <v>131734000</v>
      </c>
      <c r="H3580">
        <f t="shared" si="220"/>
        <v>2011</v>
      </c>
      <c r="I3580">
        <f t="shared" si="221"/>
        <v>8</v>
      </c>
      <c r="J3580" t="str">
        <f t="shared" si="222"/>
        <v>Aug</v>
      </c>
      <c r="K3580" t="str">
        <f t="shared" si="223"/>
        <v>Tue</v>
      </c>
    </row>
    <row r="3581" spans="1:11" x14ac:dyDescent="0.35">
      <c r="A3581" s="1">
        <v>40758</v>
      </c>
      <c r="B3581">
        <v>10.648500442504799</v>
      </c>
      <c r="C3581">
        <v>10.7414999008178</v>
      </c>
      <c r="D3581">
        <v>10.277000427246</v>
      </c>
      <c r="E3581">
        <v>10.4980001449584</v>
      </c>
      <c r="F3581">
        <v>10.4980001449584</v>
      </c>
      <c r="G3581">
        <v>163942000</v>
      </c>
      <c r="H3581">
        <f t="shared" si="220"/>
        <v>2011</v>
      </c>
      <c r="I3581">
        <f t="shared" si="221"/>
        <v>8</v>
      </c>
      <c r="J3581" t="str">
        <f t="shared" si="222"/>
        <v>Aug</v>
      </c>
      <c r="K3581" t="str">
        <f t="shared" si="223"/>
        <v>Wed</v>
      </c>
    </row>
    <row r="3582" spans="1:11" x14ac:dyDescent="0.35">
      <c r="A3582" s="1">
        <v>40759</v>
      </c>
      <c r="B3582">
        <v>10.3365001678466</v>
      </c>
      <c r="C3582">
        <v>10.399999618530201</v>
      </c>
      <c r="D3582">
        <v>10.0725002288818</v>
      </c>
      <c r="E3582">
        <v>10.0740003585815</v>
      </c>
      <c r="F3582">
        <v>10.0740003585815</v>
      </c>
      <c r="G3582">
        <v>131590000</v>
      </c>
      <c r="H3582">
        <f t="shared" si="220"/>
        <v>2011</v>
      </c>
      <c r="I3582">
        <f t="shared" si="221"/>
        <v>8</v>
      </c>
      <c r="J3582" t="str">
        <f t="shared" si="222"/>
        <v>Aug</v>
      </c>
      <c r="K3582" t="str">
        <f t="shared" si="223"/>
        <v>Thu</v>
      </c>
    </row>
    <row r="3583" spans="1:11" x14ac:dyDescent="0.35">
      <c r="A3583" s="1">
        <v>40760</v>
      </c>
      <c r="B3583">
        <v>10.2334995269775</v>
      </c>
      <c r="C3583">
        <v>10.366000175476</v>
      </c>
      <c r="D3583">
        <v>9.7419996261596609</v>
      </c>
      <c r="E3583">
        <v>10.1350002288818</v>
      </c>
      <c r="F3583">
        <v>10.1350002288818</v>
      </c>
      <c r="G3583">
        <v>200480000</v>
      </c>
      <c r="H3583">
        <f t="shared" si="220"/>
        <v>2011</v>
      </c>
      <c r="I3583">
        <f t="shared" si="221"/>
        <v>8</v>
      </c>
      <c r="J3583" t="str">
        <f t="shared" si="222"/>
        <v>Aug</v>
      </c>
      <c r="K3583" t="str">
        <f t="shared" si="223"/>
        <v>Fri</v>
      </c>
    </row>
    <row r="3584" spans="1:11" x14ac:dyDescent="0.35">
      <c r="A3584" s="1">
        <v>40763</v>
      </c>
      <c r="B3584">
        <v>9.8199996948242099</v>
      </c>
      <c r="C3584">
        <v>10.0194997787475</v>
      </c>
      <c r="D3584">
        <v>9.5024995803833008</v>
      </c>
      <c r="E3584">
        <v>9.6850004196166992</v>
      </c>
      <c r="F3584">
        <v>9.6850004196166992</v>
      </c>
      <c r="G3584">
        <v>208550000</v>
      </c>
      <c r="H3584">
        <f t="shared" si="220"/>
        <v>2011</v>
      </c>
      <c r="I3584">
        <f t="shared" si="221"/>
        <v>8</v>
      </c>
      <c r="J3584" t="str">
        <f t="shared" si="222"/>
        <v>Aug</v>
      </c>
      <c r="K3584" t="str">
        <f t="shared" si="223"/>
        <v>Mon</v>
      </c>
    </row>
    <row r="3585" spans="1:11" x14ac:dyDescent="0.35">
      <c r="A3585" s="1">
        <v>40764</v>
      </c>
      <c r="B3585">
        <v>9.8350000381469709</v>
      </c>
      <c r="C3585">
        <v>10.2545003890991</v>
      </c>
      <c r="D3585">
        <v>9.5229997634887695</v>
      </c>
      <c r="E3585">
        <v>10.2545003890991</v>
      </c>
      <c r="F3585">
        <v>10.2545003890991</v>
      </c>
      <c r="G3585">
        <v>209824000</v>
      </c>
      <c r="H3585">
        <f t="shared" si="220"/>
        <v>2011</v>
      </c>
      <c r="I3585">
        <f t="shared" si="221"/>
        <v>8</v>
      </c>
      <c r="J3585" t="str">
        <f t="shared" si="222"/>
        <v>Aug</v>
      </c>
      <c r="K3585" t="str">
        <f t="shared" si="223"/>
        <v>Tue</v>
      </c>
    </row>
    <row r="3586" spans="1:11" x14ac:dyDescent="0.35">
      <c r="A3586" s="1">
        <v>40765</v>
      </c>
      <c r="B3586">
        <v>10.0380001068115</v>
      </c>
      <c r="C3586">
        <v>10.119999885559</v>
      </c>
      <c r="D3586">
        <v>9.6800003051757795</v>
      </c>
      <c r="E3586">
        <v>9.7065000534057599</v>
      </c>
      <c r="F3586">
        <v>9.7065000534057599</v>
      </c>
      <c r="G3586">
        <v>175152000</v>
      </c>
      <c r="H3586">
        <f t="shared" si="220"/>
        <v>2011</v>
      </c>
      <c r="I3586">
        <f t="shared" si="221"/>
        <v>8</v>
      </c>
      <c r="J3586" t="str">
        <f t="shared" si="222"/>
        <v>Aug</v>
      </c>
      <c r="K3586" t="str">
        <f t="shared" si="223"/>
        <v>Wed</v>
      </c>
    </row>
    <row r="3587" spans="1:11" x14ac:dyDescent="0.35">
      <c r="A3587" s="1">
        <v>40766</v>
      </c>
      <c r="B3587">
        <v>9.8505001068115199</v>
      </c>
      <c r="C3587">
        <v>10.0424995422363</v>
      </c>
      <c r="D3587">
        <v>9.5679998397827095</v>
      </c>
      <c r="E3587">
        <v>9.9180002212524396</v>
      </c>
      <c r="F3587">
        <v>9.9180002212524396</v>
      </c>
      <c r="G3587">
        <v>148038000</v>
      </c>
      <c r="H3587">
        <f t="shared" si="220"/>
        <v>2011</v>
      </c>
      <c r="I3587">
        <f t="shared" si="221"/>
        <v>8</v>
      </c>
      <c r="J3587" t="str">
        <f t="shared" si="222"/>
        <v>Aug</v>
      </c>
      <c r="K3587" t="str">
        <f t="shared" si="223"/>
        <v>Thu</v>
      </c>
    </row>
    <row r="3588" spans="1:11" x14ac:dyDescent="0.35">
      <c r="A3588" s="1">
        <v>40767</v>
      </c>
      <c r="B3588">
        <v>10.013999938964799</v>
      </c>
      <c r="C3588">
        <v>10.227999687194799</v>
      </c>
      <c r="D3588">
        <v>9.8605003356933594</v>
      </c>
      <c r="E3588">
        <v>10.1149997711181</v>
      </c>
      <c r="F3588">
        <v>10.1149997711181</v>
      </c>
      <c r="G3588">
        <v>112408000</v>
      </c>
      <c r="H3588">
        <f t="shared" ref="H3588:H3651" si="224">YEAR($A3588)</f>
        <v>2011</v>
      </c>
      <c r="I3588">
        <f t="shared" ref="I3588:I3651" si="225">MONTH($A3588)</f>
        <v>8</v>
      </c>
      <c r="J3588" t="str">
        <f t="shared" ref="J3588:J3651" si="226">TEXT($A3588,"mmm")</f>
        <v>Aug</v>
      </c>
      <c r="K3588" t="str">
        <f t="shared" ref="K3588:K3651" si="227">TEXT($A3588,"ddd")</f>
        <v>Fri</v>
      </c>
    </row>
    <row r="3589" spans="1:11" x14ac:dyDescent="0.35">
      <c r="A3589" s="1">
        <v>40770</v>
      </c>
      <c r="B3589">
        <v>10.102999687194799</v>
      </c>
      <c r="C3589">
        <v>10.263999938964799</v>
      </c>
      <c r="D3589">
        <v>9.9160003662109304</v>
      </c>
      <c r="E3589">
        <v>10.1475000381469</v>
      </c>
      <c r="F3589">
        <v>10.1475000381469</v>
      </c>
      <c r="G3589">
        <v>95718000</v>
      </c>
      <c r="H3589">
        <f t="shared" si="224"/>
        <v>2011</v>
      </c>
      <c r="I3589">
        <f t="shared" si="225"/>
        <v>8</v>
      </c>
      <c r="J3589" t="str">
        <f t="shared" si="226"/>
        <v>Aug</v>
      </c>
      <c r="K3589" t="str">
        <f t="shared" si="227"/>
        <v>Mon</v>
      </c>
    </row>
    <row r="3590" spans="1:11" x14ac:dyDescent="0.35">
      <c r="A3590" s="1">
        <v>40771</v>
      </c>
      <c r="B3590">
        <v>10.0570001602172</v>
      </c>
      <c r="C3590">
        <v>10.069499969482401</v>
      </c>
      <c r="D3590">
        <v>9.7375001907348597</v>
      </c>
      <c r="E3590">
        <v>9.8839998245239205</v>
      </c>
      <c r="F3590">
        <v>9.8839998245239205</v>
      </c>
      <c r="G3590">
        <v>104118000</v>
      </c>
      <c r="H3590">
        <f t="shared" si="224"/>
        <v>2011</v>
      </c>
      <c r="I3590">
        <f t="shared" si="225"/>
        <v>8</v>
      </c>
      <c r="J3590" t="str">
        <f t="shared" si="226"/>
        <v>Aug</v>
      </c>
      <c r="K3590" t="str">
        <f t="shared" si="227"/>
        <v>Tue</v>
      </c>
    </row>
    <row r="3591" spans="1:11" x14ac:dyDescent="0.35">
      <c r="A3591" s="1">
        <v>40772</v>
      </c>
      <c r="B3591">
        <v>9.9265003204345703</v>
      </c>
      <c r="C3591">
        <v>9.9799995422363192</v>
      </c>
      <c r="D3591">
        <v>9.6870002746581996</v>
      </c>
      <c r="E3591">
        <v>9.7965002059936506</v>
      </c>
      <c r="F3591">
        <v>9.7965002059936506</v>
      </c>
      <c r="G3591">
        <v>79822000</v>
      </c>
      <c r="H3591">
        <f t="shared" si="224"/>
        <v>2011</v>
      </c>
      <c r="I3591">
        <f t="shared" si="225"/>
        <v>8</v>
      </c>
      <c r="J3591" t="str">
        <f t="shared" si="226"/>
        <v>Aug</v>
      </c>
      <c r="K3591" t="str">
        <f t="shared" si="227"/>
        <v>Wed</v>
      </c>
    </row>
    <row r="3592" spans="1:11" x14ac:dyDescent="0.35">
      <c r="A3592" s="1">
        <v>40773</v>
      </c>
      <c r="B3592">
        <v>9.5605001449584908</v>
      </c>
      <c r="C3592">
        <v>9.5670003890991193</v>
      </c>
      <c r="D3592">
        <v>8.9860000610351491</v>
      </c>
      <c r="E3592">
        <v>9.1260004043579102</v>
      </c>
      <c r="F3592">
        <v>9.1260004043579102</v>
      </c>
      <c r="G3592">
        <v>165504000</v>
      </c>
      <c r="H3592">
        <f t="shared" si="224"/>
        <v>2011</v>
      </c>
      <c r="I3592">
        <f t="shared" si="225"/>
        <v>8</v>
      </c>
      <c r="J3592" t="str">
        <f t="shared" si="226"/>
        <v>Aug</v>
      </c>
      <c r="K3592" t="str">
        <f t="shared" si="227"/>
        <v>Thu</v>
      </c>
    </row>
    <row r="3593" spans="1:11" x14ac:dyDescent="0.35">
      <c r="A3593" s="1">
        <v>40774</v>
      </c>
      <c r="B3593">
        <v>9.0144996643066406</v>
      </c>
      <c r="C3593">
        <v>9.5</v>
      </c>
      <c r="D3593">
        <v>8.8774995803833008</v>
      </c>
      <c r="E3593">
        <v>8.9464998245239205</v>
      </c>
      <c r="F3593">
        <v>8.9464998245239205</v>
      </c>
      <c r="G3593">
        <v>144884000</v>
      </c>
      <c r="H3593">
        <f t="shared" si="224"/>
        <v>2011</v>
      </c>
      <c r="I3593">
        <f t="shared" si="225"/>
        <v>8</v>
      </c>
      <c r="J3593" t="str">
        <f t="shared" si="226"/>
        <v>Aug</v>
      </c>
      <c r="K3593" t="str">
        <f t="shared" si="227"/>
        <v>Fri</v>
      </c>
    </row>
    <row r="3594" spans="1:11" x14ac:dyDescent="0.35">
      <c r="A3594" s="1">
        <v>40777</v>
      </c>
      <c r="B3594">
        <v>9.1415004730224592</v>
      </c>
      <c r="C3594">
        <v>9.2100000381469709</v>
      </c>
      <c r="D3594">
        <v>8.8549995422363192</v>
      </c>
      <c r="E3594">
        <v>8.8769998550415004</v>
      </c>
      <c r="F3594">
        <v>8.8769998550415004</v>
      </c>
      <c r="G3594">
        <v>106274000</v>
      </c>
      <c r="H3594">
        <f t="shared" si="224"/>
        <v>2011</v>
      </c>
      <c r="I3594">
        <f t="shared" si="225"/>
        <v>8</v>
      </c>
      <c r="J3594" t="str">
        <f t="shared" si="226"/>
        <v>Aug</v>
      </c>
      <c r="K3594" t="str">
        <f t="shared" si="227"/>
        <v>Mon</v>
      </c>
    </row>
    <row r="3595" spans="1:11" x14ac:dyDescent="0.35">
      <c r="A3595" s="1">
        <v>40778</v>
      </c>
      <c r="B3595">
        <v>8.94600009918212</v>
      </c>
      <c r="C3595">
        <v>9.7419996261596609</v>
      </c>
      <c r="D3595">
        <v>8.9259996414184499</v>
      </c>
      <c r="E3595">
        <v>9.6774997711181605</v>
      </c>
      <c r="F3595">
        <v>9.6774997711181605</v>
      </c>
      <c r="G3595">
        <v>147032000</v>
      </c>
      <c r="H3595">
        <f t="shared" si="224"/>
        <v>2011</v>
      </c>
      <c r="I3595">
        <f t="shared" si="225"/>
        <v>8</v>
      </c>
      <c r="J3595" t="str">
        <f t="shared" si="226"/>
        <v>Aug</v>
      </c>
      <c r="K3595" t="str">
        <f t="shared" si="227"/>
        <v>Tue</v>
      </c>
    </row>
    <row r="3596" spans="1:11" x14ac:dyDescent="0.35">
      <c r="A3596" s="1">
        <v>40779</v>
      </c>
      <c r="B3596">
        <v>9.6944999694824201</v>
      </c>
      <c r="C3596">
        <v>9.8155002593994105</v>
      </c>
      <c r="D3596">
        <v>9.50850009918212</v>
      </c>
      <c r="E3596">
        <v>9.6864995956420898</v>
      </c>
      <c r="F3596">
        <v>9.6864995956420898</v>
      </c>
      <c r="G3596">
        <v>124974000</v>
      </c>
      <c r="H3596">
        <f t="shared" si="224"/>
        <v>2011</v>
      </c>
      <c r="I3596">
        <f t="shared" si="225"/>
        <v>8</v>
      </c>
      <c r="J3596" t="str">
        <f t="shared" si="226"/>
        <v>Aug</v>
      </c>
      <c r="K3596" t="str">
        <f t="shared" si="227"/>
        <v>Wed</v>
      </c>
    </row>
    <row r="3597" spans="1:11" x14ac:dyDescent="0.35">
      <c r="A3597" s="1">
        <v>40780</v>
      </c>
      <c r="B3597">
        <v>9.7204999923706001</v>
      </c>
      <c r="C3597">
        <v>9.8494997024536097</v>
      </c>
      <c r="D3597">
        <v>9.5535001754760707</v>
      </c>
      <c r="E3597">
        <v>9.6014995574951101</v>
      </c>
      <c r="F3597">
        <v>9.6014995574951101</v>
      </c>
      <c r="G3597">
        <v>75216000</v>
      </c>
      <c r="H3597">
        <f t="shared" si="224"/>
        <v>2011</v>
      </c>
      <c r="I3597">
        <f t="shared" si="225"/>
        <v>8</v>
      </c>
      <c r="J3597" t="str">
        <f t="shared" si="226"/>
        <v>Aug</v>
      </c>
      <c r="K3597" t="str">
        <f t="shared" si="227"/>
        <v>Thu</v>
      </c>
    </row>
    <row r="3598" spans="1:11" x14ac:dyDescent="0.35">
      <c r="A3598" s="1">
        <v>40781</v>
      </c>
      <c r="B3598">
        <v>9.5620002746581996</v>
      </c>
      <c r="C3598">
        <v>9.9860000610351491</v>
      </c>
      <c r="D3598">
        <v>9.4799995422363192</v>
      </c>
      <c r="E3598">
        <v>9.96350002288818</v>
      </c>
      <c r="F3598">
        <v>9.96350002288818</v>
      </c>
      <c r="G3598">
        <v>106214000</v>
      </c>
      <c r="H3598">
        <f t="shared" si="224"/>
        <v>2011</v>
      </c>
      <c r="I3598">
        <f t="shared" si="225"/>
        <v>8</v>
      </c>
      <c r="J3598" t="str">
        <f t="shared" si="226"/>
        <v>Aug</v>
      </c>
      <c r="K3598" t="str">
        <f t="shared" si="227"/>
        <v>Fri</v>
      </c>
    </row>
    <row r="3599" spans="1:11" x14ac:dyDescent="0.35">
      <c r="A3599" s="1">
        <v>40784</v>
      </c>
      <c r="B3599">
        <v>10.1409997940063</v>
      </c>
      <c r="C3599">
        <v>10.3334999084472</v>
      </c>
      <c r="D3599">
        <v>10.127499580383301</v>
      </c>
      <c r="E3599">
        <v>10.326499938964799</v>
      </c>
      <c r="F3599">
        <v>10.326499938964799</v>
      </c>
      <c r="G3599">
        <v>90220000</v>
      </c>
      <c r="H3599">
        <f t="shared" si="224"/>
        <v>2011</v>
      </c>
      <c r="I3599">
        <f t="shared" si="225"/>
        <v>8</v>
      </c>
      <c r="J3599" t="str">
        <f t="shared" si="226"/>
        <v>Aug</v>
      </c>
      <c r="K3599" t="str">
        <f t="shared" si="227"/>
        <v>Mon</v>
      </c>
    </row>
    <row r="3600" spans="1:11" x14ac:dyDescent="0.35">
      <c r="A3600" s="1">
        <v>40785</v>
      </c>
      <c r="B3600">
        <v>10.288999557495099</v>
      </c>
      <c r="C3600">
        <v>10.6245002746582</v>
      </c>
      <c r="D3600">
        <v>10.215999603271401</v>
      </c>
      <c r="E3600">
        <v>10.5459995269775</v>
      </c>
      <c r="F3600">
        <v>10.5459995269775</v>
      </c>
      <c r="G3600">
        <v>118314000</v>
      </c>
      <c r="H3600">
        <f t="shared" si="224"/>
        <v>2011</v>
      </c>
      <c r="I3600">
        <f t="shared" si="225"/>
        <v>8</v>
      </c>
      <c r="J3600" t="str">
        <f t="shared" si="226"/>
        <v>Aug</v>
      </c>
      <c r="K3600" t="str">
        <f t="shared" si="227"/>
        <v>Tue</v>
      </c>
    </row>
    <row r="3601" spans="1:11" x14ac:dyDescent="0.35">
      <c r="A3601" s="1">
        <v>40786</v>
      </c>
      <c r="B3601">
        <v>10.6134996414184</v>
      </c>
      <c r="C3601">
        <v>10.8085002899169</v>
      </c>
      <c r="D3601">
        <v>10.5675001144409</v>
      </c>
      <c r="E3601">
        <v>10.7615003585815</v>
      </c>
      <c r="F3601">
        <v>10.7615003585815</v>
      </c>
      <c r="G3601">
        <v>148100000</v>
      </c>
      <c r="H3601">
        <f t="shared" si="224"/>
        <v>2011</v>
      </c>
      <c r="I3601">
        <f t="shared" si="225"/>
        <v>8</v>
      </c>
      <c r="J3601" t="str">
        <f t="shared" si="226"/>
        <v>Aug</v>
      </c>
      <c r="K3601" t="str">
        <f t="shared" si="227"/>
        <v>Wed</v>
      </c>
    </row>
    <row r="3602" spans="1:11" x14ac:dyDescent="0.35">
      <c r="A3602" s="1">
        <v>40787</v>
      </c>
      <c r="B3602">
        <v>10.763999938964799</v>
      </c>
      <c r="C3602">
        <v>10.881999969482401</v>
      </c>
      <c r="D3602">
        <v>10.581000328063899</v>
      </c>
      <c r="E3602">
        <v>10.6269998550415</v>
      </c>
      <c r="F3602">
        <v>10.6269998550415</v>
      </c>
      <c r="G3602">
        <v>105506000</v>
      </c>
      <c r="H3602">
        <f t="shared" si="224"/>
        <v>2011</v>
      </c>
      <c r="I3602">
        <f t="shared" si="225"/>
        <v>9</v>
      </c>
      <c r="J3602" t="str">
        <f t="shared" si="226"/>
        <v>Sep</v>
      </c>
      <c r="K3602" t="str">
        <f t="shared" si="227"/>
        <v>Thu</v>
      </c>
    </row>
    <row r="3603" spans="1:11" x14ac:dyDescent="0.35">
      <c r="A3603" s="1">
        <v>40788</v>
      </c>
      <c r="B3603">
        <v>10.4469995498657</v>
      </c>
      <c r="C3603">
        <v>10.5345001220703</v>
      </c>
      <c r="D3603">
        <v>10.3500003814697</v>
      </c>
      <c r="E3603">
        <v>10.5</v>
      </c>
      <c r="F3603">
        <v>10.5</v>
      </c>
      <c r="G3603">
        <v>84640000</v>
      </c>
      <c r="H3603">
        <f t="shared" si="224"/>
        <v>2011</v>
      </c>
      <c r="I3603">
        <f t="shared" si="225"/>
        <v>9</v>
      </c>
      <c r="J3603" t="str">
        <f t="shared" si="226"/>
        <v>Sep</v>
      </c>
      <c r="K3603" t="str">
        <f t="shared" si="227"/>
        <v>Fri</v>
      </c>
    </row>
    <row r="3604" spans="1:11" x14ac:dyDescent="0.35">
      <c r="A3604" s="1">
        <v>40792</v>
      </c>
      <c r="B3604">
        <v>10.2384996414184</v>
      </c>
      <c r="C3604">
        <v>10.829999923706</v>
      </c>
      <c r="D3604">
        <v>10.22350025177</v>
      </c>
      <c r="E3604">
        <v>10.8090000152587</v>
      </c>
      <c r="F3604">
        <v>10.8090000152587</v>
      </c>
      <c r="G3604">
        <v>124324000</v>
      </c>
      <c r="H3604">
        <f t="shared" si="224"/>
        <v>2011</v>
      </c>
      <c r="I3604">
        <f t="shared" si="225"/>
        <v>9</v>
      </c>
      <c r="J3604" t="str">
        <f t="shared" si="226"/>
        <v>Sep</v>
      </c>
      <c r="K3604" t="str">
        <f t="shared" si="227"/>
        <v>Tue</v>
      </c>
    </row>
    <row r="3605" spans="1:11" x14ac:dyDescent="0.35">
      <c r="A3605" s="1">
        <v>40793</v>
      </c>
      <c r="B3605">
        <v>10.939999580383301</v>
      </c>
      <c r="C3605">
        <v>11.0094995498657</v>
      </c>
      <c r="D3605">
        <v>10.711000442504799</v>
      </c>
      <c r="E3605">
        <v>10.994999885559</v>
      </c>
      <c r="F3605">
        <v>10.994999885559</v>
      </c>
      <c r="G3605">
        <v>105916000</v>
      </c>
      <c r="H3605">
        <f t="shared" si="224"/>
        <v>2011</v>
      </c>
      <c r="I3605">
        <f t="shared" si="225"/>
        <v>9</v>
      </c>
      <c r="J3605" t="str">
        <f t="shared" si="226"/>
        <v>Sep</v>
      </c>
      <c r="K3605" t="str">
        <f t="shared" si="227"/>
        <v>Wed</v>
      </c>
    </row>
    <row r="3606" spans="1:11" x14ac:dyDescent="0.35">
      <c r="A3606" s="1">
        <v>40794</v>
      </c>
      <c r="B3606">
        <v>10.914999961853001</v>
      </c>
      <c r="C3606">
        <v>11.031999588012599</v>
      </c>
      <c r="D3606">
        <v>10.8170003890991</v>
      </c>
      <c r="E3606">
        <v>10.8629999160766</v>
      </c>
      <c r="F3606">
        <v>10.8629999160766</v>
      </c>
      <c r="G3606">
        <v>87958000</v>
      </c>
      <c r="H3606">
        <f t="shared" si="224"/>
        <v>2011</v>
      </c>
      <c r="I3606">
        <f t="shared" si="225"/>
        <v>9</v>
      </c>
      <c r="J3606" t="str">
        <f t="shared" si="226"/>
        <v>Sep</v>
      </c>
      <c r="K3606" t="str">
        <f t="shared" si="227"/>
        <v>Thu</v>
      </c>
    </row>
    <row r="3607" spans="1:11" x14ac:dyDescent="0.35">
      <c r="A3607" s="1">
        <v>40795</v>
      </c>
      <c r="B3607">
        <v>10.752499580383301</v>
      </c>
      <c r="C3607">
        <v>10.847999572753899</v>
      </c>
      <c r="D3607">
        <v>10.487500190734799</v>
      </c>
      <c r="E3607">
        <v>10.569499969482401</v>
      </c>
      <c r="F3607">
        <v>10.569499969482401</v>
      </c>
      <c r="G3607">
        <v>91486000</v>
      </c>
      <c r="H3607">
        <f t="shared" si="224"/>
        <v>2011</v>
      </c>
      <c r="I3607">
        <f t="shared" si="225"/>
        <v>9</v>
      </c>
      <c r="J3607" t="str">
        <f t="shared" si="226"/>
        <v>Sep</v>
      </c>
      <c r="K3607" t="str">
        <f t="shared" si="227"/>
        <v>Fri</v>
      </c>
    </row>
    <row r="3608" spans="1:11" x14ac:dyDescent="0.35">
      <c r="A3608" s="1">
        <v>40798</v>
      </c>
      <c r="B3608">
        <v>10.4375</v>
      </c>
      <c r="C3608">
        <v>10.833000183105399</v>
      </c>
      <c r="D3608">
        <v>10.432499885559</v>
      </c>
      <c r="E3608">
        <v>10.828000068664499</v>
      </c>
      <c r="F3608">
        <v>10.828000068664499</v>
      </c>
      <c r="G3608">
        <v>106842000</v>
      </c>
      <c r="H3608">
        <f t="shared" si="224"/>
        <v>2011</v>
      </c>
      <c r="I3608">
        <f t="shared" si="225"/>
        <v>9</v>
      </c>
      <c r="J3608" t="str">
        <f t="shared" si="226"/>
        <v>Sep</v>
      </c>
      <c r="K3608" t="str">
        <f t="shared" si="227"/>
        <v>Mon</v>
      </c>
    </row>
    <row r="3609" spans="1:11" x14ac:dyDescent="0.35">
      <c r="A3609" s="1">
        <v>40799</v>
      </c>
      <c r="B3609">
        <v>10.8894996643066</v>
      </c>
      <c r="C3609">
        <v>10.997500419616699</v>
      </c>
      <c r="D3609">
        <v>10.750499725341699</v>
      </c>
      <c r="E3609">
        <v>10.976499557495099</v>
      </c>
      <c r="F3609">
        <v>10.976499557495099</v>
      </c>
      <c r="G3609">
        <v>96718000</v>
      </c>
      <c r="H3609">
        <f t="shared" si="224"/>
        <v>2011</v>
      </c>
      <c r="I3609">
        <f t="shared" si="225"/>
        <v>9</v>
      </c>
      <c r="J3609" t="str">
        <f t="shared" si="226"/>
        <v>Sep</v>
      </c>
      <c r="K3609" t="str">
        <f t="shared" si="227"/>
        <v>Tue</v>
      </c>
    </row>
    <row r="3610" spans="1:11" x14ac:dyDescent="0.35">
      <c r="A3610" s="1">
        <v>40800</v>
      </c>
      <c r="B3610">
        <v>11.010999679565399</v>
      </c>
      <c r="C3610">
        <v>11.2495002746582</v>
      </c>
      <c r="D3610">
        <v>10.836000442504799</v>
      </c>
      <c r="E3610">
        <v>11.1284999847412</v>
      </c>
      <c r="F3610">
        <v>11.1284999847412</v>
      </c>
      <c r="G3610">
        <v>117634000</v>
      </c>
      <c r="H3610">
        <f t="shared" si="224"/>
        <v>2011</v>
      </c>
      <c r="I3610">
        <f t="shared" si="225"/>
        <v>9</v>
      </c>
      <c r="J3610" t="str">
        <f t="shared" si="226"/>
        <v>Sep</v>
      </c>
      <c r="K3610" t="str">
        <f t="shared" si="227"/>
        <v>Wed</v>
      </c>
    </row>
    <row r="3611" spans="1:11" x14ac:dyDescent="0.35">
      <c r="A3611" s="1">
        <v>40801</v>
      </c>
      <c r="B3611">
        <v>11.199500083923301</v>
      </c>
      <c r="C3611">
        <v>11.3599996566772</v>
      </c>
      <c r="D3611">
        <v>11.0625</v>
      </c>
      <c r="E3611">
        <v>11.338999748229901</v>
      </c>
      <c r="F3611">
        <v>11.338999748229901</v>
      </c>
      <c r="G3611">
        <v>112176000</v>
      </c>
      <c r="H3611">
        <f t="shared" si="224"/>
        <v>2011</v>
      </c>
      <c r="I3611">
        <f t="shared" si="225"/>
        <v>9</v>
      </c>
      <c r="J3611" t="str">
        <f t="shared" si="226"/>
        <v>Sep</v>
      </c>
      <c r="K3611" t="str">
        <f t="shared" si="227"/>
        <v>Thu</v>
      </c>
    </row>
    <row r="3612" spans="1:11" x14ac:dyDescent="0.35">
      <c r="A3612" s="1">
        <v>40802</v>
      </c>
      <c r="B3612">
        <v>11.3784999847412</v>
      </c>
      <c r="C3612">
        <v>12.022000312805099</v>
      </c>
      <c r="D3612">
        <v>11.3369998931884</v>
      </c>
      <c r="E3612">
        <v>11.9650001525878</v>
      </c>
      <c r="F3612">
        <v>11.9650001525878</v>
      </c>
      <c r="G3612">
        <v>235060000</v>
      </c>
      <c r="H3612">
        <f t="shared" si="224"/>
        <v>2011</v>
      </c>
      <c r="I3612">
        <f t="shared" si="225"/>
        <v>9</v>
      </c>
      <c r="J3612" t="str">
        <f t="shared" si="226"/>
        <v>Sep</v>
      </c>
      <c r="K3612" t="str">
        <f t="shared" si="227"/>
        <v>Fri</v>
      </c>
    </row>
    <row r="3613" spans="1:11" x14ac:dyDescent="0.35">
      <c r="A3613" s="1">
        <v>40805</v>
      </c>
      <c r="B3613">
        <v>11.855500221252401</v>
      </c>
      <c r="C3613">
        <v>12.199999809265099</v>
      </c>
      <c r="D3613">
        <v>11.6440000534057</v>
      </c>
      <c r="E3613">
        <v>12.084500312805099</v>
      </c>
      <c r="F3613">
        <v>12.084500312805099</v>
      </c>
      <c r="G3613">
        <v>164466000</v>
      </c>
      <c r="H3613">
        <f t="shared" si="224"/>
        <v>2011</v>
      </c>
      <c r="I3613">
        <f t="shared" si="225"/>
        <v>9</v>
      </c>
      <c r="J3613" t="str">
        <f t="shared" si="226"/>
        <v>Sep</v>
      </c>
      <c r="K3613" t="str">
        <f t="shared" si="227"/>
        <v>Mon</v>
      </c>
    </row>
    <row r="3614" spans="1:11" x14ac:dyDescent="0.35">
      <c r="A3614" s="1">
        <v>40806</v>
      </c>
      <c r="B3614">
        <v>12.039999961853001</v>
      </c>
      <c r="C3614">
        <v>12.0524997711181</v>
      </c>
      <c r="D3614">
        <v>11.551500320434499</v>
      </c>
      <c r="E3614">
        <v>11.6625003814697</v>
      </c>
      <c r="F3614">
        <v>11.6625003814697</v>
      </c>
      <c r="G3614">
        <v>147710000</v>
      </c>
      <c r="H3614">
        <f t="shared" si="224"/>
        <v>2011</v>
      </c>
      <c r="I3614">
        <f t="shared" si="225"/>
        <v>9</v>
      </c>
      <c r="J3614" t="str">
        <f t="shared" si="226"/>
        <v>Sep</v>
      </c>
      <c r="K3614" t="str">
        <f t="shared" si="227"/>
        <v>Tue</v>
      </c>
    </row>
    <row r="3615" spans="1:11" x14ac:dyDescent="0.35">
      <c r="A3615" s="1">
        <v>40807</v>
      </c>
      <c r="B3615">
        <v>11.7255001068115</v>
      </c>
      <c r="C3615">
        <v>12.0260000228881</v>
      </c>
      <c r="D3615">
        <v>11.5904998779296</v>
      </c>
      <c r="E3615">
        <v>11.5935001373291</v>
      </c>
      <c r="F3615">
        <v>11.5935001373291</v>
      </c>
      <c r="G3615">
        <v>117630000</v>
      </c>
      <c r="H3615">
        <f t="shared" si="224"/>
        <v>2011</v>
      </c>
      <c r="I3615">
        <f t="shared" si="225"/>
        <v>9</v>
      </c>
      <c r="J3615" t="str">
        <f t="shared" si="226"/>
        <v>Sep</v>
      </c>
      <c r="K3615" t="str">
        <f t="shared" si="227"/>
        <v>Wed</v>
      </c>
    </row>
    <row r="3616" spans="1:11" x14ac:dyDescent="0.35">
      <c r="A3616" s="1">
        <v>40808</v>
      </c>
      <c r="B3616">
        <v>11.236000061035099</v>
      </c>
      <c r="C3616">
        <v>11.4394998550415</v>
      </c>
      <c r="D3616">
        <v>10.949999809265099</v>
      </c>
      <c r="E3616">
        <v>11.1614999771118</v>
      </c>
      <c r="F3616">
        <v>11.1614999771118</v>
      </c>
      <c r="G3616">
        <v>165092000</v>
      </c>
      <c r="H3616">
        <f t="shared" si="224"/>
        <v>2011</v>
      </c>
      <c r="I3616">
        <f t="shared" si="225"/>
        <v>9</v>
      </c>
      <c r="J3616" t="str">
        <f t="shared" si="226"/>
        <v>Sep</v>
      </c>
      <c r="K3616" t="str">
        <f t="shared" si="227"/>
        <v>Thu</v>
      </c>
    </row>
    <row r="3617" spans="1:11" x14ac:dyDescent="0.35">
      <c r="A3617" s="1">
        <v>40809</v>
      </c>
      <c r="B3617">
        <v>11.0255002975463</v>
      </c>
      <c r="C3617">
        <v>11.224499702453601</v>
      </c>
      <c r="D3617">
        <v>10.953000068664499</v>
      </c>
      <c r="E3617">
        <v>11.1805000305175</v>
      </c>
      <c r="F3617">
        <v>11.1805000305175</v>
      </c>
      <c r="G3617">
        <v>129362000</v>
      </c>
      <c r="H3617">
        <f t="shared" si="224"/>
        <v>2011</v>
      </c>
      <c r="I3617">
        <f t="shared" si="225"/>
        <v>9</v>
      </c>
      <c r="J3617" t="str">
        <f t="shared" si="226"/>
        <v>Sep</v>
      </c>
      <c r="K3617" t="str">
        <f t="shared" si="227"/>
        <v>Fri</v>
      </c>
    </row>
    <row r="3618" spans="1:11" x14ac:dyDescent="0.35">
      <c r="A3618" s="1">
        <v>40812</v>
      </c>
      <c r="B3618">
        <v>11.373999595641999</v>
      </c>
      <c r="C3618">
        <v>11.512000083923301</v>
      </c>
      <c r="D3618">
        <v>11.069999694824199</v>
      </c>
      <c r="E3618">
        <v>11.4925003051757</v>
      </c>
      <c r="F3618">
        <v>11.4925003051757</v>
      </c>
      <c r="G3618">
        <v>115882000</v>
      </c>
      <c r="H3618">
        <f t="shared" si="224"/>
        <v>2011</v>
      </c>
      <c r="I3618">
        <f t="shared" si="225"/>
        <v>9</v>
      </c>
      <c r="J3618" t="str">
        <f t="shared" si="226"/>
        <v>Sep</v>
      </c>
      <c r="K3618" t="str">
        <f t="shared" si="227"/>
        <v>Mon</v>
      </c>
    </row>
    <row r="3619" spans="1:11" x14ac:dyDescent="0.35">
      <c r="A3619" s="1">
        <v>40813</v>
      </c>
      <c r="B3619">
        <v>11.711000442504799</v>
      </c>
      <c r="C3619">
        <v>11.737500190734799</v>
      </c>
      <c r="D3619">
        <v>11.119999885559</v>
      </c>
      <c r="E3619">
        <v>11.2104997634887</v>
      </c>
      <c r="F3619">
        <v>11.2104997634887</v>
      </c>
      <c r="G3619">
        <v>156750000</v>
      </c>
      <c r="H3619">
        <f t="shared" si="224"/>
        <v>2011</v>
      </c>
      <c r="I3619">
        <f t="shared" si="225"/>
        <v>9</v>
      </c>
      <c r="J3619" t="str">
        <f t="shared" si="226"/>
        <v>Sep</v>
      </c>
      <c r="K3619" t="str">
        <f t="shared" si="227"/>
        <v>Tue</v>
      </c>
    </row>
    <row r="3620" spans="1:11" x14ac:dyDescent="0.35">
      <c r="A3620" s="1">
        <v>40814</v>
      </c>
      <c r="B3620">
        <v>11.3175001144409</v>
      </c>
      <c r="C3620">
        <v>11.790499687194799</v>
      </c>
      <c r="D3620">
        <v>11.279999732971101</v>
      </c>
      <c r="E3620">
        <v>11.485500335693301</v>
      </c>
      <c r="F3620">
        <v>11.485500335693301</v>
      </c>
      <c r="G3620">
        <v>288738000</v>
      </c>
      <c r="H3620">
        <f t="shared" si="224"/>
        <v>2011</v>
      </c>
      <c r="I3620">
        <f t="shared" si="225"/>
        <v>9</v>
      </c>
      <c r="J3620" t="str">
        <f t="shared" si="226"/>
        <v>Sep</v>
      </c>
      <c r="K3620" t="str">
        <f t="shared" si="227"/>
        <v>Wed</v>
      </c>
    </row>
    <row r="3621" spans="1:11" x14ac:dyDescent="0.35">
      <c r="A3621" s="1">
        <v>40815</v>
      </c>
      <c r="B3621">
        <v>11.7084999084472</v>
      </c>
      <c r="C3621">
        <v>11.7150001525878</v>
      </c>
      <c r="D3621">
        <v>10.8144998550415</v>
      </c>
      <c r="E3621">
        <v>11.121999740600501</v>
      </c>
      <c r="F3621">
        <v>11.121999740600501</v>
      </c>
      <c r="G3621">
        <v>187570000</v>
      </c>
      <c r="H3621">
        <f t="shared" si="224"/>
        <v>2011</v>
      </c>
      <c r="I3621">
        <f t="shared" si="225"/>
        <v>9</v>
      </c>
      <c r="J3621" t="str">
        <f t="shared" si="226"/>
        <v>Sep</v>
      </c>
      <c r="K3621" t="str">
        <f t="shared" si="227"/>
        <v>Thu</v>
      </c>
    </row>
    <row r="3622" spans="1:11" x14ac:dyDescent="0.35">
      <c r="A3622" s="1">
        <v>40816</v>
      </c>
      <c r="B3622">
        <v>10.9095001220703</v>
      </c>
      <c r="C3622">
        <v>11.149999618530201</v>
      </c>
      <c r="D3622">
        <v>10.760499954223601</v>
      </c>
      <c r="E3622">
        <v>10.811499595641999</v>
      </c>
      <c r="F3622">
        <v>10.811499595641999</v>
      </c>
      <c r="G3622">
        <v>131006000</v>
      </c>
      <c r="H3622">
        <f t="shared" si="224"/>
        <v>2011</v>
      </c>
      <c r="I3622">
        <f t="shared" si="225"/>
        <v>9</v>
      </c>
      <c r="J3622" t="str">
        <f t="shared" si="226"/>
        <v>Sep</v>
      </c>
      <c r="K3622" t="str">
        <f t="shared" si="227"/>
        <v>Fri</v>
      </c>
    </row>
    <row r="3623" spans="1:11" x14ac:dyDescent="0.35">
      <c r="A3623" s="1">
        <v>40819</v>
      </c>
      <c r="B3623">
        <v>10.8505001068115</v>
      </c>
      <c r="C3623">
        <v>11.079999923706</v>
      </c>
      <c r="D3623">
        <v>10.569499969482401</v>
      </c>
      <c r="E3623">
        <v>10.5989999771118</v>
      </c>
      <c r="F3623">
        <v>10.5989999771118</v>
      </c>
      <c r="G3623">
        <v>132488000</v>
      </c>
      <c r="H3623">
        <f t="shared" si="224"/>
        <v>2011</v>
      </c>
      <c r="I3623">
        <f t="shared" si="225"/>
        <v>10</v>
      </c>
      <c r="J3623" t="str">
        <f t="shared" si="226"/>
        <v>Oct</v>
      </c>
      <c r="K3623" t="str">
        <f t="shared" si="227"/>
        <v>Mon</v>
      </c>
    </row>
    <row r="3624" spans="1:11" x14ac:dyDescent="0.35">
      <c r="A3624" s="1">
        <v>40820</v>
      </c>
      <c r="B3624">
        <v>10.480999946594199</v>
      </c>
      <c r="C3624">
        <v>10.75</v>
      </c>
      <c r="D3624">
        <v>10.021499633789</v>
      </c>
      <c r="E3624">
        <v>10.625</v>
      </c>
      <c r="F3624">
        <v>10.625</v>
      </c>
      <c r="G3624">
        <v>174232000</v>
      </c>
      <c r="H3624">
        <f t="shared" si="224"/>
        <v>2011</v>
      </c>
      <c r="I3624">
        <f t="shared" si="225"/>
        <v>10</v>
      </c>
      <c r="J3624" t="str">
        <f t="shared" si="226"/>
        <v>Oct</v>
      </c>
      <c r="K3624" t="str">
        <f t="shared" si="227"/>
        <v>Tue</v>
      </c>
    </row>
    <row r="3625" spans="1:11" x14ac:dyDescent="0.35">
      <c r="A3625" s="1">
        <v>40821</v>
      </c>
      <c r="B3625">
        <v>10.6265001296997</v>
      </c>
      <c r="C3625">
        <v>11.0085000991821</v>
      </c>
      <c r="D3625">
        <v>10.4239997863769</v>
      </c>
      <c r="E3625">
        <v>10.9750003814697</v>
      </c>
      <c r="F3625">
        <v>10.9750003814697</v>
      </c>
      <c r="G3625">
        <v>130164000</v>
      </c>
      <c r="H3625">
        <f t="shared" si="224"/>
        <v>2011</v>
      </c>
      <c r="I3625">
        <f t="shared" si="225"/>
        <v>10</v>
      </c>
      <c r="J3625" t="str">
        <f t="shared" si="226"/>
        <v>Oct</v>
      </c>
      <c r="K3625" t="str">
        <f t="shared" si="227"/>
        <v>Wed</v>
      </c>
    </row>
    <row r="3626" spans="1:11" x14ac:dyDescent="0.35">
      <c r="A3626" s="1">
        <v>40822</v>
      </c>
      <c r="B3626">
        <v>11.013999938964799</v>
      </c>
      <c r="C3626">
        <v>11.1809997558593</v>
      </c>
      <c r="D3626">
        <v>10.877499580383301</v>
      </c>
      <c r="E3626">
        <v>11.0754995346069</v>
      </c>
      <c r="F3626">
        <v>11.0754995346069</v>
      </c>
      <c r="G3626">
        <v>136986000</v>
      </c>
      <c r="H3626">
        <f t="shared" si="224"/>
        <v>2011</v>
      </c>
      <c r="I3626">
        <f t="shared" si="225"/>
        <v>10</v>
      </c>
      <c r="J3626" t="str">
        <f t="shared" si="226"/>
        <v>Oct</v>
      </c>
      <c r="K3626" t="str">
        <f t="shared" si="227"/>
        <v>Thu</v>
      </c>
    </row>
    <row r="3627" spans="1:11" x14ac:dyDescent="0.35">
      <c r="A3627" s="1">
        <v>40823</v>
      </c>
      <c r="B3627">
        <v>11.123999595641999</v>
      </c>
      <c r="C3627">
        <v>11.395000457763601</v>
      </c>
      <c r="D3627">
        <v>10.9204998016357</v>
      </c>
      <c r="E3627">
        <v>11.237000465393001</v>
      </c>
      <c r="F3627">
        <v>11.237000465393001</v>
      </c>
      <c r="G3627">
        <v>135686000</v>
      </c>
      <c r="H3627">
        <f t="shared" si="224"/>
        <v>2011</v>
      </c>
      <c r="I3627">
        <f t="shared" si="225"/>
        <v>10</v>
      </c>
      <c r="J3627" t="str">
        <f t="shared" si="226"/>
        <v>Oct</v>
      </c>
      <c r="K3627" t="str">
        <f t="shared" si="227"/>
        <v>Fri</v>
      </c>
    </row>
    <row r="3628" spans="1:11" x14ac:dyDescent="0.35">
      <c r="A3628" s="1">
        <v>40826</v>
      </c>
      <c r="B3628">
        <v>11.311499595641999</v>
      </c>
      <c r="C3628">
        <v>11.640000343322701</v>
      </c>
      <c r="D3628">
        <v>11.204999923706</v>
      </c>
      <c r="E3628">
        <v>11.5659999847412</v>
      </c>
      <c r="F3628">
        <v>11.5659999847412</v>
      </c>
      <c r="G3628">
        <v>102862000</v>
      </c>
      <c r="H3628">
        <f t="shared" si="224"/>
        <v>2011</v>
      </c>
      <c r="I3628">
        <f t="shared" si="225"/>
        <v>10</v>
      </c>
      <c r="J3628" t="str">
        <f t="shared" si="226"/>
        <v>Oct</v>
      </c>
      <c r="K3628" t="str">
        <f t="shared" si="227"/>
        <v>Mon</v>
      </c>
    </row>
    <row r="3629" spans="1:11" x14ac:dyDescent="0.35">
      <c r="A3629" s="1">
        <v>40827</v>
      </c>
      <c r="B3629">
        <v>11.529999732971101</v>
      </c>
      <c r="C3629">
        <v>11.837499618530201</v>
      </c>
      <c r="D3629">
        <v>11.449999809265099</v>
      </c>
      <c r="E3629">
        <v>11.7740001678466</v>
      </c>
      <c r="F3629">
        <v>11.7740001678466</v>
      </c>
      <c r="G3629">
        <v>100074000</v>
      </c>
      <c r="H3629">
        <f t="shared" si="224"/>
        <v>2011</v>
      </c>
      <c r="I3629">
        <f t="shared" si="225"/>
        <v>10</v>
      </c>
      <c r="J3629" t="str">
        <f t="shared" si="226"/>
        <v>Oct</v>
      </c>
      <c r="K3629" t="str">
        <f t="shared" si="227"/>
        <v>Tue</v>
      </c>
    </row>
    <row r="3630" spans="1:11" x14ac:dyDescent="0.35">
      <c r="A3630" s="1">
        <v>40828</v>
      </c>
      <c r="B3630">
        <v>11.8319997787475</v>
      </c>
      <c r="C3630">
        <v>12.0920000076293</v>
      </c>
      <c r="D3630">
        <v>11.7165002822875</v>
      </c>
      <c r="E3630">
        <v>11.8404998779296</v>
      </c>
      <c r="F3630">
        <v>11.8404998779296</v>
      </c>
      <c r="G3630">
        <v>130216000</v>
      </c>
      <c r="H3630">
        <f t="shared" si="224"/>
        <v>2011</v>
      </c>
      <c r="I3630">
        <f t="shared" si="225"/>
        <v>10</v>
      </c>
      <c r="J3630" t="str">
        <f t="shared" si="226"/>
        <v>Oct</v>
      </c>
      <c r="K3630" t="str">
        <f t="shared" si="227"/>
        <v>Wed</v>
      </c>
    </row>
    <row r="3631" spans="1:11" x14ac:dyDescent="0.35">
      <c r="A3631" s="1">
        <v>40829</v>
      </c>
      <c r="B3631">
        <v>11.8500003814697</v>
      </c>
      <c r="C3631">
        <v>11.984000205993601</v>
      </c>
      <c r="D3631">
        <v>11.7615003585815</v>
      </c>
      <c r="E3631">
        <v>11.807499885559</v>
      </c>
      <c r="F3631">
        <v>11.807499885559</v>
      </c>
      <c r="G3631">
        <v>96670000</v>
      </c>
      <c r="H3631">
        <f t="shared" si="224"/>
        <v>2011</v>
      </c>
      <c r="I3631">
        <f t="shared" si="225"/>
        <v>10</v>
      </c>
      <c r="J3631" t="str">
        <f t="shared" si="226"/>
        <v>Oct</v>
      </c>
      <c r="K3631" t="str">
        <f t="shared" si="227"/>
        <v>Thu</v>
      </c>
    </row>
    <row r="3632" spans="1:11" x14ac:dyDescent="0.35">
      <c r="A3632" s="1">
        <v>40830</v>
      </c>
      <c r="B3632">
        <v>12.043499946594199</v>
      </c>
      <c r="C3632">
        <v>12.3354997634887</v>
      </c>
      <c r="D3632">
        <v>12.008999824523899</v>
      </c>
      <c r="E3632">
        <v>12.3354997634887</v>
      </c>
      <c r="F3632">
        <v>12.3354997634887</v>
      </c>
      <c r="G3632">
        <v>118474000</v>
      </c>
      <c r="H3632">
        <f t="shared" si="224"/>
        <v>2011</v>
      </c>
      <c r="I3632">
        <f t="shared" si="225"/>
        <v>10</v>
      </c>
      <c r="J3632" t="str">
        <f t="shared" si="226"/>
        <v>Oct</v>
      </c>
      <c r="K3632" t="str">
        <f t="shared" si="227"/>
        <v>Fri</v>
      </c>
    </row>
    <row r="3633" spans="1:11" x14ac:dyDescent="0.35">
      <c r="A3633" s="1">
        <v>40833</v>
      </c>
      <c r="B3633">
        <v>12.214500427246</v>
      </c>
      <c r="C3633">
        <v>12.3354997634887</v>
      </c>
      <c r="D3633">
        <v>12.033499717712401</v>
      </c>
      <c r="E3633">
        <v>12.1164999008178</v>
      </c>
      <c r="F3633">
        <v>12.1164999008178</v>
      </c>
      <c r="G3633">
        <v>95580000</v>
      </c>
      <c r="H3633">
        <f t="shared" si="224"/>
        <v>2011</v>
      </c>
      <c r="I3633">
        <f t="shared" si="225"/>
        <v>10</v>
      </c>
      <c r="J3633" t="str">
        <f t="shared" si="226"/>
        <v>Oct</v>
      </c>
      <c r="K3633" t="str">
        <f t="shared" si="227"/>
        <v>Mon</v>
      </c>
    </row>
    <row r="3634" spans="1:11" x14ac:dyDescent="0.35">
      <c r="A3634" s="1">
        <v>40834</v>
      </c>
      <c r="B3634">
        <v>12.115500450134199</v>
      </c>
      <c r="C3634">
        <v>12.230500221252401</v>
      </c>
      <c r="D3634">
        <v>11.831000328063899</v>
      </c>
      <c r="E3634">
        <v>12.1940002441406</v>
      </c>
      <c r="F3634">
        <v>12.1940002441406</v>
      </c>
      <c r="G3634">
        <v>92194000</v>
      </c>
      <c r="H3634">
        <f t="shared" si="224"/>
        <v>2011</v>
      </c>
      <c r="I3634">
        <f t="shared" si="225"/>
        <v>10</v>
      </c>
      <c r="J3634" t="str">
        <f t="shared" si="226"/>
        <v>Oct</v>
      </c>
      <c r="K3634" t="str">
        <f t="shared" si="227"/>
        <v>Tue</v>
      </c>
    </row>
    <row r="3635" spans="1:11" x14ac:dyDescent="0.35">
      <c r="A3635" s="1">
        <v>40835</v>
      </c>
      <c r="B3635">
        <v>12.033499717712401</v>
      </c>
      <c r="C3635">
        <v>12.166500091552701</v>
      </c>
      <c r="D3635">
        <v>11.462499618530201</v>
      </c>
      <c r="E3635">
        <v>11.576499938964799</v>
      </c>
      <c r="F3635">
        <v>11.576499938964799</v>
      </c>
      <c r="G3635">
        <v>134302000</v>
      </c>
      <c r="H3635">
        <f t="shared" si="224"/>
        <v>2011</v>
      </c>
      <c r="I3635">
        <f t="shared" si="225"/>
        <v>10</v>
      </c>
      <c r="J3635" t="str">
        <f t="shared" si="226"/>
        <v>Oct</v>
      </c>
      <c r="K3635" t="str">
        <f t="shared" si="227"/>
        <v>Wed</v>
      </c>
    </row>
    <row r="3636" spans="1:11" x14ac:dyDescent="0.35">
      <c r="A3636" s="1">
        <v>40836</v>
      </c>
      <c r="B3636">
        <v>11.606499671936</v>
      </c>
      <c r="C3636">
        <v>11.737000465393001</v>
      </c>
      <c r="D3636">
        <v>11.4899997711181</v>
      </c>
      <c r="E3636">
        <v>11.6805000305175</v>
      </c>
      <c r="F3636">
        <v>11.6805000305175</v>
      </c>
      <c r="G3636">
        <v>90498000</v>
      </c>
      <c r="H3636">
        <f t="shared" si="224"/>
        <v>2011</v>
      </c>
      <c r="I3636">
        <f t="shared" si="225"/>
        <v>10</v>
      </c>
      <c r="J3636" t="str">
        <f t="shared" si="226"/>
        <v>Oct</v>
      </c>
      <c r="K3636" t="str">
        <f t="shared" si="227"/>
        <v>Thu</v>
      </c>
    </row>
    <row r="3637" spans="1:11" x14ac:dyDescent="0.35">
      <c r="A3637" s="1">
        <v>40837</v>
      </c>
      <c r="B3637">
        <v>11.8454999923706</v>
      </c>
      <c r="C3637">
        <v>11.8500003814697</v>
      </c>
      <c r="D3637">
        <v>11.529999732971101</v>
      </c>
      <c r="E3637">
        <v>11.739000320434499</v>
      </c>
      <c r="F3637">
        <v>11.739000320434499</v>
      </c>
      <c r="G3637">
        <v>91450000</v>
      </c>
      <c r="H3637">
        <f t="shared" si="224"/>
        <v>2011</v>
      </c>
      <c r="I3637">
        <f t="shared" si="225"/>
        <v>10</v>
      </c>
      <c r="J3637" t="str">
        <f t="shared" si="226"/>
        <v>Oct</v>
      </c>
      <c r="K3637" t="str">
        <f t="shared" si="227"/>
        <v>Fri</v>
      </c>
    </row>
    <row r="3638" spans="1:11" x14ac:dyDescent="0.35">
      <c r="A3638" s="1">
        <v>40840</v>
      </c>
      <c r="B3638">
        <v>11.8009996414184</v>
      </c>
      <c r="C3638">
        <v>12.023500442504799</v>
      </c>
      <c r="D3638">
        <v>11.699999809265099</v>
      </c>
      <c r="E3638">
        <v>11.880499839782701</v>
      </c>
      <c r="F3638">
        <v>11.880499839782701</v>
      </c>
      <c r="G3638">
        <v>99516000</v>
      </c>
      <c r="H3638">
        <f t="shared" si="224"/>
        <v>2011</v>
      </c>
      <c r="I3638">
        <f t="shared" si="225"/>
        <v>10</v>
      </c>
      <c r="J3638" t="str">
        <f t="shared" si="226"/>
        <v>Oct</v>
      </c>
      <c r="K3638" t="str">
        <f t="shared" si="227"/>
        <v>Mon</v>
      </c>
    </row>
    <row r="3639" spans="1:11" x14ac:dyDescent="0.35">
      <c r="A3639" s="1">
        <v>40841</v>
      </c>
      <c r="B3639">
        <v>11.9294996261596</v>
      </c>
      <c r="C3639">
        <v>11.9504995346069</v>
      </c>
      <c r="D3639">
        <v>11.2945003509521</v>
      </c>
      <c r="E3639">
        <v>11.357500076293899</v>
      </c>
      <c r="F3639">
        <v>11.357500076293899</v>
      </c>
      <c r="G3639">
        <v>280252000</v>
      </c>
      <c r="H3639">
        <f t="shared" si="224"/>
        <v>2011</v>
      </c>
      <c r="I3639">
        <f t="shared" si="225"/>
        <v>10</v>
      </c>
      <c r="J3639" t="str">
        <f t="shared" si="226"/>
        <v>Oct</v>
      </c>
      <c r="K3639" t="str">
        <f t="shared" si="227"/>
        <v>Tue</v>
      </c>
    </row>
    <row r="3640" spans="1:11" x14ac:dyDescent="0.35">
      <c r="A3640" s="1">
        <v>40842</v>
      </c>
      <c r="B3640">
        <v>10.184499740600501</v>
      </c>
      <c r="C3640">
        <v>10.378999710083001</v>
      </c>
      <c r="D3640">
        <v>9.82549953460693</v>
      </c>
      <c r="E3640">
        <v>9.92000007629394</v>
      </c>
      <c r="F3640">
        <v>9.92000007629394</v>
      </c>
      <c r="G3640">
        <v>482684000</v>
      </c>
      <c r="H3640">
        <f t="shared" si="224"/>
        <v>2011</v>
      </c>
      <c r="I3640">
        <f t="shared" si="225"/>
        <v>10</v>
      </c>
      <c r="J3640" t="str">
        <f t="shared" si="226"/>
        <v>Oct</v>
      </c>
      <c r="K3640" t="str">
        <f t="shared" si="227"/>
        <v>Wed</v>
      </c>
    </row>
    <row r="3641" spans="1:11" x14ac:dyDescent="0.35">
      <c r="A3641" s="1">
        <v>40843</v>
      </c>
      <c r="B3641">
        <v>10.2130002975463</v>
      </c>
      <c r="C3641">
        <v>10.4300003051757</v>
      </c>
      <c r="D3641">
        <v>10.0550003051757</v>
      </c>
      <c r="E3641">
        <v>10.338999748229901</v>
      </c>
      <c r="F3641">
        <v>10.338999748229901</v>
      </c>
      <c r="G3641">
        <v>215486000</v>
      </c>
      <c r="H3641">
        <f t="shared" si="224"/>
        <v>2011</v>
      </c>
      <c r="I3641">
        <f t="shared" si="225"/>
        <v>10</v>
      </c>
      <c r="J3641" t="str">
        <f t="shared" si="226"/>
        <v>Oct</v>
      </c>
      <c r="K3641" t="str">
        <f t="shared" si="227"/>
        <v>Thu</v>
      </c>
    </row>
    <row r="3642" spans="1:11" x14ac:dyDescent="0.35">
      <c r="A3642" s="1">
        <v>40844</v>
      </c>
      <c r="B3642">
        <v>10.326499938964799</v>
      </c>
      <c r="C3642">
        <v>10.920000076293899</v>
      </c>
      <c r="D3642">
        <v>10.2875003814697</v>
      </c>
      <c r="E3642">
        <v>10.866000175476</v>
      </c>
      <c r="F3642">
        <v>10.866000175476</v>
      </c>
      <c r="G3642">
        <v>197608000</v>
      </c>
      <c r="H3642">
        <f t="shared" si="224"/>
        <v>2011</v>
      </c>
      <c r="I3642">
        <f t="shared" si="225"/>
        <v>10</v>
      </c>
      <c r="J3642" t="str">
        <f t="shared" si="226"/>
        <v>Oct</v>
      </c>
      <c r="K3642" t="str">
        <f t="shared" si="227"/>
        <v>Fri</v>
      </c>
    </row>
    <row r="3643" spans="1:11" x14ac:dyDescent="0.35">
      <c r="A3643" s="1">
        <v>40847</v>
      </c>
      <c r="B3643">
        <v>10.7895002365112</v>
      </c>
      <c r="C3643">
        <v>10.944499969482401</v>
      </c>
      <c r="D3643">
        <v>10.652000427246</v>
      </c>
      <c r="E3643">
        <v>10.6754999160766</v>
      </c>
      <c r="F3643">
        <v>10.6754999160766</v>
      </c>
      <c r="G3643">
        <v>146866000</v>
      </c>
      <c r="H3643">
        <f t="shared" si="224"/>
        <v>2011</v>
      </c>
      <c r="I3643">
        <f t="shared" si="225"/>
        <v>10</v>
      </c>
      <c r="J3643" t="str">
        <f t="shared" si="226"/>
        <v>Oct</v>
      </c>
      <c r="K3643" t="str">
        <f t="shared" si="227"/>
        <v>Mon</v>
      </c>
    </row>
    <row r="3644" spans="1:11" x14ac:dyDescent="0.35">
      <c r="A3644" s="1">
        <v>40848</v>
      </c>
      <c r="B3644">
        <v>10.405500411987299</v>
      </c>
      <c r="C3644">
        <v>10.8105001449584</v>
      </c>
      <c r="D3644">
        <v>10.3715000152587</v>
      </c>
      <c r="E3644">
        <v>10.6049995422363</v>
      </c>
      <c r="F3644">
        <v>10.6049995422363</v>
      </c>
      <c r="G3644">
        <v>170236000</v>
      </c>
      <c r="H3644">
        <f t="shared" si="224"/>
        <v>2011</v>
      </c>
      <c r="I3644">
        <f t="shared" si="225"/>
        <v>11</v>
      </c>
      <c r="J3644" t="str">
        <f t="shared" si="226"/>
        <v>Nov</v>
      </c>
      <c r="K3644" t="str">
        <f t="shared" si="227"/>
        <v>Tue</v>
      </c>
    </row>
    <row r="3645" spans="1:11" x14ac:dyDescent="0.35">
      <c r="A3645" s="1">
        <v>40849</v>
      </c>
      <c r="B3645">
        <v>10.7775001525878</v>
      </c>
      <c r="C3645">
        <v>10.839500427246</v>
      </c>
      <c r="D3645">
        <v>10.635999679565399</v>
      </c>
      <c r="E3645">
        <v>10.7810001373291</v>
      </c>
      <c r="F3645">
        <v>10.7810001373291</v>
      </c>
      <c r="G3645">
        <v>122440000</v>
      </c>
      <c r="H3645">
        <f t="shared" si="224"/>
        <v>2011</v>
      </c>
      <c r="I3645">
        <f t="shared" si="225"/>
        <v>11</v>
      </c>
      <c r="J3645" t="str">
        <f t="shared" si="226"/>
        <v>Nov</v>
      </c>
      <c r="K3645" t="str">
        <f t="shared" si="227"/>
        <v>Wed</v>
      </c>
    </row>
    <row r="3646" spans="1:11" x14ac:dyDescent="0.35">
      <c r="A3646" s="1">
        <v>40850</v>
      </c>
      <c r="B3646">
        <v>10.814999580383301</v>
      </c>
      <c r="C3646">
        <v>10.925000190734799</v>
      </c>
      <c r="D3646">
        <v>10.6510000228881</v>
      </c>
      <c r="E3646">
        <v>10.9145002365112</v>
      </c>
      <c r="F3646">
        <v>10.9145002365112</v>
      </c>
      <c r="G3646">
        <v>106300000</v>
      </c>
      <c r="H3646">
        <f t="shared" si="224"/>
        <v>2011</v>
      </c>
      <c r="I3646">
        <f t="shared" si="225"/>
        <v>11</v>
      </c>
      <c r="J3646" t="str">
        <f t="shared" si="226"/>
        <v>Nov</v>
      </c>
      <c r="K3646" t="str">
        <f t="shared" si="227"/>
        <v>Thu</v>
      </c>
    </row>
    <row r="3647" spans="1:11" x14ac:dyDescent="0.35">
      <c r="A3647" s="1">
        <v>40851</v>
      </c>
      <c r="B3647">
        <v>10.882499694824199</v>
      </c>
      <c r="C3647">
        <v>10.9114999771118</v>
      </c>
      <c r="D3647">
        <v>10.7165002822875</v>
      </c>
      <c r="E3647">
        <v>10.8240003585815</v>
      </c>
      <c r="F3647">
        <v>10.8240003585815</v>
      </c>
      <c r="G3647">
        <v>81316000</v>
      </c>
      <c r="H3647">
        <f t="shared" si="224"/>
        <v>2011</v>
      </c>
      <c r="I3647">
        <f t="shared" si="225"/>
        <v>11</v>
      </c>
      <c r="J3647" t="str">
        <f t="shared" si="226"/>
        <v>Nov</v>
      </c>
      <c r="K3647" t="str">
        <f t="shared" si="227"/>
        <v>Fri</v>
      </c>
    </row>
    <row r="3648" spans="1:11" x14ac:dyDescent="0.35">
      <c r="A3648" s="1">
        <v>40854</v>
      </c>
      <c r="B3648">
        <v>10.8420000076293</v>
      </c>
      <c r="C3648">
        <v>11.0100002288818</v>
      </c>
      <c r="D3648">
        <v>10.699999809265099</v>
      </c>
      <c r="E3648">
        <v>10.8500003814697</v>
      </c>
      <c r="F3648">
        <v>10.8500003814697</v>
      </c>
      <c r="G3648">
        <v>77200000</v>
      </c>
      <c r="H3648">
        <f t="shared" si="224"/>
        <v>2011</v>
      </c>
      <c r="I3648">
        <f t="shared" si="225"/>
        <v>11</v>
      </c>
      <c r="J3648" t="str">
        <f t="shared" si="226"/>
        <v>Nov</v>
      </c>
      <c r="K3648" t="str">
        <f t="shared" si="227"/>
        <v>Mon</v>
      </c>
    </row>
    <row r="3649" spans="1:11" x14ac:dyDescent="0.35">
      <c r="A3649" s="1">
        <v>40855</v>
      </c>
      <c r="B3649">
        <v>10.9600000381469</v>
      </c>
      <c r="C3649">
        <v>10.967499732971101</v>
      </c>
      <c r="D3649">
        <v>10.760499954223601</v>
      </c>
      <c r="E3649">
        <v>10.8994998931884</v>
      </c>
      <c r="F3649">
        <v>10.8994998931884</v>
      </c>
      <c r="G3649">
        <v>78290000</v>
      </c>
      <c r="H3649">
        <f t="shared" si="224"/>
        <v>2011</v>
      </c>
      <c r="I3649">
        <f t="shared" si="225"/>
        <v>11</v>
      </c>
      <c r="J3649" t="str">
        <f t="shared" si="226"/>
        <v>Nov</v>
      </c>
      <c r="K3649" t="str">
        <f t="shared" si="227"/>
        <v>Tue</v>
      </c>
    </row>
    <row r="3650" spans="1:11" x14ac:dyDescent="0.35">
      <c r="A3650" s="1">
        <v>40856</v>
      </c>
      <c r="B3650">
        <v>10.747500419616699</v>
      </c>
      <c r="C3650">
        <v>10.7849998474121</v>
      </c>
      <c r="D3650">
        <v>10.529999732971101</v>
      </c>
      <c r="E3650">
        <v>10.560999870300201</v>
      </c>
      <c r="F3650">
        <v>10.560999870300201</v>
      </c>
      <c r="G3650">
        <v>93612000</v>
      </c>
      <c r="H3650">
        <f t="shared" si="224"/>
        <v>2011</v>
      </c>
      <c r="I3650">
        <f t="shared" si="225"/>
        <v>11</v>
      </c>
      <c r="J3650" t="str">
        <f t="shared" si="226"/>
        <v>Nov</v>
      </c>
      <c r="K3650" t="str">
        <f t="shared" si="227"/>
        <v>Wed</v>
      </c>
    </row>
    <row r="3651" spans="1:11" x14ac:dyDescent="0.35">
      <c r="A3651" s="1">
        <v>40857</v>
      </c>
      <c r="B3651">
        <v>10.675000190734799</v>
      </c>
      <c r="C3651">
        <v>10.703000068664499</v>
      </c>
      <c r="D3651">
        <v>10.404999732971101</v>
      </c>
      <c r="E3651">
        <v>10.5395002365112</v>
      </c>
      <c r="F3651">
        <v>10.5395002365112</v>
      </c>
      <c r="G3651">
        <v>100892000</v>
      </c>
      <c r="H3651">
        <f t="shared" si="224"/>
        <v>2011</v>
      </c>
      <c r="I3651">
        <f t="shared" si="225"/>
        <v>11</v>
      </c>
      <c r="J3651" t="str">
        <f t="shared" si="226"/>
        <v>Nov</v>
      </c>
      <c r="K3651" t="str">
        <f t="shared" si="227"/>
        <v>Thu</v>
      </c>
    </row>
    <row r="3652" spans="1:11" x14ac:dyDescent="0.35">
      <c r="A3652" s="1">
        <v>40858</v>
      </c>
      <c r="B3652">
        <v>10.626000404357899</v>
      </c>
      <c r="C3652">
        <v>10.8940000534057</v>
      </c>
      <c r="D3652">
        <v>10.515500068664499</v>
      </c>
      <c r="E3652">
        <v>10.8695001602172</v>
      </c>
      <c r="F3652">
        <v>10.8695001602172</v>
      </c>
      <c r="G3652">
        <v>103262000</v>
      </c>
      <c r="H3652">
        <f t="shared" ref="H3652:H3715" si="228">YEAR($A3652)</f>
        <v>2011</v>
      </c>
      <c r="I3652">
        <f t="shared" ref="I3652:I3715" si="229">MONTH($A3652)</f>
        <v>11</v>
      </c>
      <c r="J3652" t="str">
        <f t="shared" ref="J3652:J3715" si="230">TEXT($A3652,"mmm")</f>
        <v>Nov</v>
      </c>
      <c r="K3652" t="str">
        <f t="shared" ref="K3652:K3715" si="231">TEXT($A3652,"ddd")</f>
        <v>Fri</v>
      </c>
    </row>
    <row r="3653" spans="1:11" x14ac:dyDescent="0.35">
      <c r="A3653" s="1">
        <v>40861</v>
      </c>
      <c r="B3653">
        <v>10.7825002670288</v>
      </c>
      <c r="C3653">
        <v>11.1175003051757</v>
      </c>
      <c r="D3653">
        <v>10.712499618530201</v>
      </c>
      <c r="E3653">
        <v>10.946499824523899</v>
      </c>
      <c r="F3653">
        <v>10.946499824523899</v>
      </c>
      <c r="G3653">
        <v>130444000</v>
      </c>
      <c r="H3653">
        <f t="shared" si="228"/>
        <v>2011</v>
      </c>
      <c r="I3653">
        <f t="shared" si="229"/>
        <v>11</v>
      </c>
      <c r="J3653" t="str">
        <f t="shared" si="230"/>
        <v>Nov</v>
      </c>
      <c r="K3653" t="str">
        <f t="shared" si="231"/>
        <v>Mon</v>
      </c>
    </row>
    <row r="3654" spans="1:11" x14ac:dyDescent="0.35">
      <c r="A3654" s="1">
        <v>40862</v>
      </c>
      <c r="B3654">
        <v>10.899999618530201</v>
      </c>
      <c r="C3654">
        <v>11.016500473022401</v>
      </c>
      <c r="D3654">
        <v>10.7130002975463</v>
      </c>
      <c r="E3654">
        <v>10.891500473022401</v>
      </c>
      <c r="F3654">
        <v>10.891500473022401</v>
      </c>
      <c r="G3654">
        <v>114780000</v>
      </c>
      <c r="H3654">
        <f t="shared" si="228"/>
        <v>2011</v>
      </c>
      <c r="I3654">
        <f t="shared" si="229"/>
        <v>11</v>
      </c>
      <c r="J3654" t="str">
        <f t="shared" si="230"/>
        <v>Nov</v>
      </c>
      <c r="K3654" t="str">
        <f t="shared" si="231"/>
        <v>Tue</v>
      </c>
    </row>
    <row r="3655" spans="1:11" x14ac:dyDescent="0.35">
      <c r="A3655" s="1">
        <v>40863</v>
      </c>
      <c r="B3655">
        <v>10.813500404357899</v>
      </c>
      <c r="C3655">
        <v>10.84850025177</v>
      </c>
      <c r="D3655">
        <v>10.561499595641999</v>
      </c>
      <c r="E3655">
        <v>10.599499702453601</v>
      </c>
      <c r="F3655">
        <v>10.599499702453601</v>
      </c>
      <c r="G3655">
        <v>110188000</v>
      </c>
      <c r="H3655">
        <f t="shared" si="228"/>
        <v>2011</v>
      </c>
      <c r="I3655">
        <f t="shared" si="229"/>
        <v>11</v>
      </c>
      <c r="J3655" t="str">
        <f t="shared" si="230"/>
        <v>Nov</v>
      </c>
      <c r="K3655" t="str">
        <f t="shared" si="231"/>
        <v>Wed</v>
      </c>
    </row>
    <row r="3656" spans="1:11" x14ac:dyDescent="0.35">
      <c r="A3656" s="1">
        <v>40864</v>
      </c>
      <c r="B3656">
        <v>10.625499725341699</v>
      </c>
      <c r="C3656">
        <v>10.645000457763601</v>
      </c>
      <c r="D3656">
        <v>10.1049995422363</v>
      </c>
      <c r="E3656">
        <v>10.225999832153301</v>
      </c>
      <c r="F3656">
        <v>10.225999832153301</v>
      </c>
      <c r="G3656">
        <v>159662000</v>
      </c>
      <c r="H3656">
        <f t="shared" si="228"/>
        <v>2011</v>
      </c>
      <c r="I3656">
        <f t="shared" si="229"/>
        <v>11</v>
      </c>
      <c r="J3656" t="str">
        <f t="shared" si="230"/>
        <v>Nov</v>
      </c>
      <c r="K3656" t="str">
        <f t="shared" si="231"/>
        <v>Thu</v>
      </c>
    </row>
    <row r="3657" spans="1:11" x14ac:dyDescent="0.35">
      <c r="A3657" s="1">
        <v>40865</v>
      </c>
      <c r="B3657">
        <v>10.266500473022401</v>
      </c>
      <c r="C3657">
        <v>10.267000198364199</v>
      </c>
      <c r="D3657">
        <v>9.8555002212524396</v>
      </c>
      <c r="E3657">
        <v>9.8570003509521396</v>
      </c>
      <c r="F3657">
        <v>9.8570003509521396</v>
      </c>
      <c r="G3657">
        <v>168750000</v>
      </c>
      <c r="H3657">
        <f t="shared" si="228"/>
        <v>2011</v>
      </c>
      <c r="I3657">
        <f t="shared" si="229"/>
        <v>11</v>
      </c>
      <c r="J3657" t="str">
        <f t="shared" si="230"/>
        <v>Nov</v>
      </c>
      <c r="K3657" t="str">
        <f t="shared" si="231"/>
        <v>Fri</v>
      </c>
    </row>
    <row r="3658" spans="1:11" x14ac:dyDescent="0.35">
      <c r="A3658" s="1">
        <v>40868</v>
      </c>
      <c r="B3658">
        <v>9.6645002365112305</v>
      </c>
      <c r="C3658">
        <v>9.6680002212524396</v>
      </c>
      <c r="D3658">
        <v>9.2524995803833008</v>
      </c>
      <c r="E3658">
        <v>9.4624996185302699</v>
      </c>
      <c r="F3658">
        <v>9.4624996185302699</v>
      </c>
      <c r="G3658">
        <v>226424000</v>
      </c>
      <c r="H3658">
        <f t="shared" si="228"/>
        <v>2011</v>
      </c>
      <c r="I3658">
        <f t="shared" si="229"/>
        <v>11</v>
      </c>
      <c r="J3658" t="str">
        <f t="shared" si="230"/>
        <v>Nov</v>
      </c>
      <c r="K3658" t="str">
        <f t="shared" si="231"/>
        <v>Mon</v>
      </c>
    </row>
    <row r="3659" spans="1:11" x14ac:dyDescent="0.35">
      <c r="A3659" s="1">
        <v>40869</v>
      </c>
      <c r="B3659">
        <v>9.3474998474121094</v>
      </c>
      <c r="C3659">
        <v>9.7019996643066406</v>
      </c>
      <c r="D3659">
        <v>9.1789999008178693</v>
      </c>
      <c r="E3659">
        <v>9.6169996261596609</v>
      </c>
      <c r="F3659">
        <v>9.6169996261596609</v>
      </c>
      <c r="G3659">
        <v>198312000</v>
      </c>
      <c r="H3659">
        <f t="shared" si="228"/>
        <v>2011</v>
      </c>
      <c r="I3659">
        <f t="shared" si="229"/>
        <v>11</v>
      </c>
      <c r="J3659" t="str">
        <f t="shared" si="230"/>
        <v>Nov</v>
      </c>
      <c r="K3659" t="str">
        <f t="shared" si="231"/>
        <v>Tue</v>
      </c>
    </row>
    <row r="3660" spans="1:11" x14ac:dyDescent="0.35">
      <c r="A3660" s="1">
        <v>40870</v>
      </c>
      <c r="B3660">
        <v>9.6529998779296804</v>
      </c>
      <c r="C3660">
        <v>9.7299995422363192</v>
      </c>
      <c r="D3660">
        <v>9.3944997787475497</v>
      </c>
      <c r="E3660">
        <v>9.4495000839233398</v>
      </c>
      <c r="F3660">
        <v>9.4495000839233398</v>
      </c>
      <c r="G3660">
        <v>160226000</v>
      </c>
      <c r="H3660">
        <f t="shared" si="228"/>
        <v>2011</v>
      </c>
      <c r="I3660">
        <f t="shared" si="229"/>
        <v>11</v>
      </c>
      <c r="J3660" t="str">
        <f t="shared" si="230"/>
        <v>Nov</v>
      </c>
      <c r="K3660" t="str">
        <f t="shared" si="231"/>
        <v>Wed</v>
      </c>
    </row>
    <row r="3661" spans="1:11" x14ac:dyDescent="0.35">
      <c r="A3661" s="1">
        <v>40872</v>
      </c>
      <c r="B3661">
        <v>9.5205001831054599</v>
      </c>
      <c r="C3661">
        <v>9.5415000915527308</v>
      </c>
      <c r="D3661">
        <v>9.07549953460693</v>
      </c>
      <c r="E3661">
        <v>9.1199998855590803</v>
      </c>
      <c r="F3661">
        <v>9.1199998855590803</v>
      </c>
      <c r="G3661">
        <v>99440000</v>
      </c>
      <c r="H3661">
        <f t="shared" si="228"/>
        <v>2011</v>
      </c>
      <c r="I3661">
        <f t="shared" si="229"/>
        <v>11</v>
      </c>
      <c r="J3661" t="str">
        <f t="shared" si="230"/>
        <v>Nov</v>
      </c>
      <c r="K3661" t="str">
        <f t="shared" si="231"/>
        <v>Fri</v>
      </c>
    </row>
    <row r="3662" spans="1:11" x14ac:dyDescent="0.35">
      <c r="A3662" s="1">
        <v>40875</v>
      </c>
      <c r="B3662">
        <v>9.5825004577636701</v>
      </c>
      <c r="C3662">
        <v>9.7309999465942294</v>
      </c>
      <c r="D3662">
        <v>9.5270004272460902</v>
      </c>
      <c r="E3662">
        <v>9.7075004577636701</v>
      </c>
      <c r="F3662">
        <v>9.7075004577636701</v>
      </c>
      <c r="G3662">
        <v>144146000</v>
      </c>
      <c r="H3662">
        <f t="shared" si="228"/>
        <v>2011</v>
      </c>
      <c r="I3662">
        <f t="shared" si="229"/>
        <v>11</v>
      </c>
      <c r="J3662" t="str">
        <f t="shared" si="230"/>
        <v>Nov</v>
      </c>
      <c r="K3662" t="str">
        <f t="shared" si="231"/>
        <v>Mon</v>
      </c>
    </row>
    <row r="3663" spans="1:11" x14ac:dyDescent="0.35">
      <c r="A3663" s="1">
        <v>40876</v>
      </c>
      <c r="B3663">
        <v>9.7390003204345703</v>
      </c>
      <c r="C3663">
        <v>9.7749996185302699</v>
      </c>
      <c r="D3663">
        <v>9.3649997711181605</v>
      </c>
      <c r="E3663">
        <v>9.4195003509521396</v>
      </c>
      <c r="F3663">
        <v>9.4195003509521396</v>
      </c>
      <c r="G3663">
        <v>131502000</v>
      </c>
      <c r="H3663">
        <f t="shared" si="228"/>
        <v>2011</v>
      </c>
      <c r="I3663">
        <f t="shared" si="229"/>
        <v>11</v>
      </c>
      <c r="J3663" t="str">
        <f t="shared" si="230"/>
        <v>Nov</v>
      </c>
      <c r="K3663" t="str">
        <f t="shared" si="231"/>
        <v>Tue</v>
      </c>
    </row>
    <row r="3664" spans="1:11" x14ac:dyDescent="0.35">
      <c r="A3664" s="1">
        <v>40877</v>
      </c>
      <c r="B3664">
        <v>9.7379999160766602</v>
      </c>
      <c r="C3664">
        <v>9.7650003433227504</v>
      </c>
      <c r="D3664">
        <v>9.4375</v>
      </c>
      <c r="E3664">
        <v>9.6145000457763601</v>
      </c>
      <c r="F3664">
        <v>9.6145000457763601</v>
      </c>
      <c r="G3664">
        <v>154340000</v>
      </c>
      <c r="H3664">
        <f t="shared" si="228"/>
        <v>2011</v>
      </c>
      <c r="I3664">
        <f t="shared" si="229"/>
        <v>11</v>
      </c>
      <c r="J3664" t="str">
        <f t="shared" si="230"/>
        <v>Nov</v>
      </c>
      <c r="K3664" t="str">
        <f t="shared" si="231"/>
        <v>Wed</v>
      </c>
    </row>
    <row r="3665" spans="1:11" x14ac:dyDescent="0.35">
      <c r="A3665" s="1">
        <v>40878</v>
      </c>
      <c r="B3665">
        <v>9.5924997329711896</v>
      </c>
      <c r="C3665">
        <v>9.9034996032714808</v>
      </c>
      <c r="D3665">
        <v>9.5795001983642507</v>
      </c>
      <c r="E3665">
        <v>9.8564996719360298</v>
      </c>
      <c r="F3665">
        <v>9.8564996719360298</v>
      </c>
      <c r="G3665">
        <v>146554000</v>
      </c>
      <c r="H3665">
        <f t="shared" si="228"/>
        <v>2011</v>
      </c>
      <c r="I3665">
        <f t="shared" si="229"/>
        <v>12</v>
      </c>
      <c r="J3665" t="str">
        <f t="shared" si="230"/>
        <v>Dec</v>
      </c>
      <c r="K3665" t="str">
        <f t="shared" si="231"/>
        <v>Thu</v>
      </c>
    </row>
    <row r="3666" spans="1:11" x14ac:dyDescent="0.35">
      <c r="A3666" s="1">
        <v>40879</v>
      </c>
      <c r="B3666">
        <v>9.8535003662109304</v>
      </c>
      <c r="C3666">
        <v>9.9829998016357404</v>
      </c>
      <c r="D3666">
        <v>9.7589998245239205</v>
      </c>
      <c r="E3666">
        <v>9.8015003204345703</v>
      </c>
      <c r="F3666">
        <v>9.8015003204345703</v>
      </c>
      <c r="G3666">
        <v>150524000</v>
      </c>
      <c r="H3666">
        <f t="shared" si="228"/>
        <v>2011</v>
      </c>
      <c r="I3666">
        <f t="shared" si="229"/>
        <v>12</v>
      </c>
      <c r="J3666" t="str">
        <f t="shared" si="230"/>
        <v>Dec</v>
      </c>
      <c r="K3666" t="str">
        <f t="shared" si="231"/>
        <v>Fri</v>
      </c>
    </row>
    <row r="3667" spans="1:11" x14ac:dyDescent="0.35">
      <c r="A3667" s="1">
        <v>40882</v>
      </c>
      <c r="B3667">
        <v>9.9429998397827095</v>
      </c>
      <c r="C3667">
        <v>9.9499998092651296</v>
      </c>
      <c r="D3667">
        <v>9.6835002899169904</v>
      </c>
      <c r="E3667">
        <v>9.8120002746581996</v>
      </c>
      <c r="F3667">
        <v>9.8120002746581996</v>
      </c>
      <c r="G3667">
        <v>118442000</v>
      </c>
      <c r="H3667">
        <f t="shared" si="228"/>
        <v>2011</v>
      </c>
      <c r="I3667">
        <f t="shared" si="229"/>
        <v>12</v>
      </c>
      <c r="J3667" t="str">
        <f t="shared" si="230"/>
        <v>Dec</v>
      </c>
      <c r="K3667" t="str">
        <f t="shared" si="231"/>
        <v>Mon</v>
      </c>
    </row>
    <row r="3668" spans="1:11" x14ac:dyDescent="0.35">
      <c r="A3668" s="1">
        <v>40883</v>
      </c>
      <c r="B3668">
        <v>9.7989997863769496</v>
      </c>
      <c r="C3668">
        <v>9.9160003662109304</v>
      </c>
      <c r="D3668">
        <v>9.5054998397827095</v>
      </c>
      <c r="E3668">
        <v>9.5994997024536097</v>
      </c>
      <c r="F3668">
        <v>9.5994997024536097</v>
      </c>
      <c r="G3668">
        <v>104040000</v>
      </c>
      <c r="H3668">
        <f t="shared" si="228"/>
        <v>2011</v>
      </c>
      <c r="I3668">
        <f t="shared" si="229"/>
        <v>12</v>
      </c>
      <c r="J3668" t="str">
        <f t="shared" si="230"/>
        <v>Dec</v>
      </c>
      <c r="K3668" t="str">
        <f t="shared" si="231"/>
        <v>Tue</v>
      </c>
    </row>
    <row r="3669" spans="1:11" x14ac:dyDescent="0.35">
      <c r="A3669" s="1">
        <v>40884</v>
      </c>
      <c r="B3669">
        <v>9.5515003204345703</v>
      </c>
      <c r="C3669">
        <v>9.8354997634887695</v>
      </c>
      <c r="D3669">
        <v>9.4560003280639595</v>
      </c>
      <c r="E3669">
        <v>9.7659997940063406</v>
      </c>
      <c r="F3669">
        <v>9.7659997940063406</v>
      </c>
      <c r="G3669">
        <v>128546000</v>
      </c>
      <c r="H3669">
        <f t="shared" si="228"/>
        <v>2011</v>
      </c>
      <c r="I3669">
        <f t="shared" si="229"/>
        <v>12</v>
      </c>
      <c r="J3669" t="str">
        <f t="shared" si="230"/>
        <v>Dec</v>
      </c>
      <c r="K3669" t="str">
        <f t="shared" si="231"/>
        <v>Wed</v>
      </c>
    </row>
    <row r="3670" spans="1:11" x14ac:dyDescent="0.35">
      <c r="A3670" s="1">
        <v>40885</v>
      </c>
      <c r="B3670">
        <v>9.6785001754760707</v>
      </c>
      <c r="C3670">
        <v>9.7945003509521396</v>
      </c>
      <c r="D3670">
        <v>9.5039997100830007</v>
      </c>
      <c r="E3670">
        <v>9.5240001678466797</v>
      </c>
      <c r="F3670">
        <v>9.5240001678466797</v>
      </c>
      <c r="G3670">
        <v>87222000</v>
      </c>
      <c r="H3670">
        <f t="shared" si="228"/>
        <v>2011</v>
      </c>
      <c r="I3670">
        <f t="shared" si="229"/>
        <v>12</v>
      </c>
      <c r="J3670" t="str">
        <f t="shared" si="230"/>
        <v>Dec</v>
      </c>
      <c r="K3670" t="str">
        <f t="shared" si="231"/>
        <v>Thu</v>
      </c>
    </row>
    <row r="3671" spans="1:11" x14ac:dyDescent="0.35">
      <c r="A3671" s="1">
        <v>40886</v>
      </c>
      <c r="B3671">
        <v>9.5605001449584908</v>
      </c>
      <c r="C3671">
        <v>9.6975002288818306</v>
      </c>
      <c r="D3671">
        <v>9.42000007629394</v>
      </c>
      <c r="E3671">
        <v>9.6514997482299805</v>
      </c>
      <c r="F3671">
        <v>9.6514997482299805</v>
      </c>
      <c r="G3671">
        <v>103176000</v>
      </c>
      <c r="H3671">
        <f t="shared" si="228"/>
        <v>2011</v>
      </c>
      <c r="I3671">
        <f t="shared" si="229"/>
        <v>12</v>
      </c>
      <c r="J3671" t="str">
        <f t="shared" si="230"/>
        <v>Dec</v>
      </c>
      <c r="K3671" t="str">
        <f t="shared" si="231"/>
        <v>Fri</v>
      </c>
    </row>
    <row r="3672" spans="1:11" x14ac:dyDescent="0.35">
      <c r="A3672" s="1">
        <v>40889</v>
      </c>
      <c r="B3672">
        <v>9.5015001296996999</v>
      </c>
      <c r="C3672">
        <v>9.5574998855590803</v>
      </c>
      <c r="D3672">
        <v>9.3815002441406197</v>
      </c>
      <c r="E3672">
        <v>9.4759998321533203</v>
      </c>
      <c r="F3672">
        <v>9.4759998321533203</v>
      </c>
      <c r="G3672">
        <v>86864000</v>
      </c>
      <c r="H3672">
        <f t="shared" si="228"/>
        <v>2011</v>
      </c>
      <c r="I3672">
        <f t="shared" si="229"/>
        <v>12</v>
      </c>
      <c r="J3672" t="str">
        <f t="shared" si="230"/>
        <v>Dec</v>
      </c>
      <c r="K3672" t="str">
        <f t="shared" si="231"/>
        <v>Mon</v>
      </c>
    </row>
    <row r="3673" spans="1:11" x14ac:dyDescent="0.35">
      <c r="A3673" s="1">
        <v>40890</v>
      </c>
      <c r="B3673">
        <v>9.4280004501342702</v>
      </c>
      <c r="C3673">
        <v>9.4840002059936506</v>
      </c>
      <c r="D3673">
        <v>8.9250001907348597</v>
      </c>
      <c r="E3673">
        <v>9.0255002975463796</v>
      </c>
      <c r="F3673">
        <v>9.0255002975463796</v>
      </c>
      <c r="G3673">
        <v>185946000</v>
      </c>
      <c r="H3673">
        <f t="shared" si="228"/>
        <v>2011</v>
      </c>
      <c r="I3673">
        <f t="shared" si="229"/>
        <v>12</v>
      </c>
      <c r="J3673" t="str">
        <f t="shared" si="230"/>
        <v>Dec</v>
      </c>
      <c r="K3673" t="str">
        <f t="shared" si="231"/>
        <v>Tue</v>
      </c>
    </row>
    <row r="3674" spans="1:11" x14ac:dyDescent="0.35">
      <c r="A3674" s="1">
        <v>40891</v>
      </c>
      <c r="B3674">
        <v>8.9499998092651296</v>
      </c>
      <c r="C3674">
        <v>9.0375003814697195</v>
      </c>
      <c r="D3674">
        <v>8.5124998092651296</v>
      </c>
      <c r="E3674">
        <v>9.0104999542236293</v>
      </c>
      <c r="F3674">
        <v>9.0104999542236293</v>
      </c>
      <c r="G3674">
        <v>232284000</v>
      </c>
      <c r="H3674">
        <f t="shared" si="228"/>
        <v>2011</v>
      </c>
      <c r="I3674">
        <f t="shared" si="229"/>
        <v>12</v>
      </c>
      <c r="J3674" t="str">
        <f t="shared" si="230"/>
        <v>Dec</v>
      </c>
      <c r="K3674" t="str">
        <f t="shared" si="231"/>
        <v>Wed</v>
      </c>
    </row>
    <row r="3675" spans="1:11" x14ac:dyDescent="0.35">
      <c r="A3675" s="1">
        <v>40892</v>
      </c>
      <c r="B3675">
        <v>9.1024999618530202</v>
      </c>
      <c r="C3675">
        <v>9.2399997711181605</v>
      </c>
      <c r="D3675">
        <v>8.9764995574951101</v>
      </c>
      <c r="E3675">
        <v>9.0629997253417898</v>
      </c>
      <c r="F3675">
        <v>9.0629997253417898</v>
      </c>
      <c r="G3675">
        <v>145198000</v>
      </c>
      <c r="H3675">
        <f t="shared" si="228"/>
        <v>2011</v>
      </c>
      <c r="I3675">
        <f t="shared" si="229"/>
        <v>12</v>
      </c>
      <c r="J3675" t="str">
        <f t="shared" si="230"/>
        <v>Dec</v>
      </c>
      <c r="K3675" t="str">
        <f t="shared" si="231"/>
        <v>Thu</v>
      </c>
    </row>
    <row r="3676" spans="1:11" x14ac:dyDescent="0.35">
      <c r="A3676" s="1">
        <v>40893</v>
      </c>
      <c r="B3676">
        <v>9.1210002899169904</v>
      </c>
      <c r="C3676">
        <v>9.2204999923706001</v>
      </c>
      <c r="D3676">
        <v>9.0155000686645508</v>
      </c>
      <c r="E3676">
        <v>9.0629997253417898</v>
      </c>
      <c r="F3676">
        <v>9.0629997253417898</v>
      </c>
      <c r="G3676">
        <v>133282000</v>
      </c>
      <c r="H3676">
        <f t="shared" si="228"/>
        <v>2011</v>
      </c>
      <c r="I3676">
        <f t="shared" si="229"/>
        <v>12</v>
      </c>
      <c r="J3676" t="str">
        <f t="shared" si="230"/>
        <v>Dec</v>
      </c>
      <c r="K3676" t="str">
        <f t="shared" si="231"/>
        <v>Fri</v>
      </c>
    </row>
    <row r="3677" spans="1:11" x14ac:dyDescent="0.35">
      <c r="A3677" s="1">
        <v>40896</v>
      </c>
      <c r="B3677">
        <v>9.1000003814697195</v>
      </c>
      <c r="C3677">
        <v>9.1584997177124006</v>
      </c>
      <c r="D3677">
        <v>8.9499998092651296</v>
      </c>
      <c r="E3677">
        <v>8.9665002822875906</v>
      </c>
      <c r="F3677">
        <v>8.9665002822875906</v>
      </c>
      <c r="G3677">
        <v>90672000</v>
      </c>
      <c r="H3677">
        <f t="shared" si="228"/>
        <v>2011</v>
      </c>
      <c r="I3677">
        <f t="shared" si="229"/>
        <v>12</v>
      </c>
      <c r="J3677" t="str">
        <f t="shared" si="230"/>
        <v>Dec</v>
      </c>
      <c r="K3677" t="str">
        <f t="shared" si="231"/>
        <v>Mon</v>
      </c>
    </row>
    <row r="3678" spans="1:11" x14ac:dyDescent="0.35">
      <c r="A3678" s="1">
        <v>40897</v>
      </c>
      <c r="B3678">
        <v>9.1344995498657209</v>
      </c>
      <c r="C3678">
        <v>9.1584997177124006</v>
      </c>
      <c r="D3678">
        <v>9.0270004272460902</v>
      </c>
      <c r="E3678">
        <v>9.1260004043579102</v>
      </c>
      <c r="F3678">
        <v>9.1260004043579102</v>
      </c>
      <c r="G3678">
        <v>92002000</v>
      </c>
      <c r="H3678">
        <f t="shared" si="228"/>
        <v>2011</v>
      </c>
      <c r="I3678">
        <f t="shared" si="229"/>
        <v>12</v>
      </c>
      <c r="J3678" t="str">
        <f t="shared" si="230"/>
        <v>Dec</v>
      </c>
      <c r="K3678" t="str">
        <f t="shared" si="231"/>
        <v>Tue</v>
      </c>
    </row>
    <row r="3679" spans="1:11" x14ac:dyDescent="0.35">
      <c r="A3679" s="1">
        <v>40898</v>
      </c>
      <c r="B3679">
        <v>9.0959997177124006</v>
      </c>
      <c r="C3679">
        <v>9.1750001907348597</v>
      </c>
      <c r="D3679">
        <v>8.6245002746581996</v>
      </c>
      <c r="E3679">
        <v>8.7174997329711896</v>
      </c>
      <c r="F3679">
        <v>8.7174997329711896</v>
      </c>
      <c r="G3679">
        <v>161334000</v>
      </c>
      <c r="H3679">
        <f t="shared" si="228"/>
        <v>2011</v>
      </c>
      <c r="I3679">
        <f t="shared" si="229"/>
        <v>12</v>
      </c>
      <c r="J3679" t="str">
        <f t="shared" si="230"/>
        <v>Dec</v>
      </c>
      <c r="K3679" t="str">
        <f t="shared" si="231"/>
        <v>Wed</v>
      </c>
    </row>
    <row r="3680" spans="1:11" x14ac:dyDescent="0.35">
      <c r="A3680" s="1">
        <v>40899</v>
      </c>
      <c r="B3680">
        <v>8.7545003890991193</v>
      </c>
      <c r="C3680">
        <v>8.9834995269775302</v>
      </c>
      <c r="D3680">
        <v>8.7104997634887695</v>
      </c>
      <c r="E3680">
        <v>8.9514999389648402</v>
      </c>
      <c r="F3680">
        <v>8.9514999389648402</v>
      </c>
      <c r="G3680">
        <v>93898000</v>
      </c>
      <c r="H3680">
        <f t="shared" si="228"/>
        <v>2011</v>
      </c>
      <c r="I3680">
        <f t="shared" si="229"/>
        <v>12</v>
      </c>
      <c r="J3680" t="str">
        <f t="shared" si="230"/>
        <v>Dec</v>
      </c>
      <c r="K3680" t="str">
        <f t="shared" si="231"/>
        <v>Thu</v>
      </c>
    </row>
    <row r="3681" spans="1:11" x14ac:dyDescent="0.35">
      <c r="A3681" s="1">
        <v>40900</v>
      </c>
      <c r="B3681">
        <v>8.9610004425048793</v>
      </c>
      <c r="C3681">
        <v>8.9840002059936506</v>
      </c>
      <c r="D3681">
        <v>8.7799997329711896</v>
      </c>
      <c r="E3681">
        <v>8.8640003204345703</v>
      </c>
      <c r="F3681">
        <v>8.8640003204345703</v>
      </c>
      <c r="G3681">
        <v>69930000</v>
      </c>
      <c r="H3681">
        <f t="shared" si="228"/>
        <v>2011</v>
      </c>
      <c r="I3681">
        <f t="shared" si="229"/>
        <v>12</v>
      </c>
      <c r="J3681" t="str">
        <f t="shared" si="230"/>
        <v>Dec</v>
      </c>
      <c r="K3681" t="str">
        <f t="shared" si="231"/>
        <v>Fri</v>
      </c>
    </row>
    <row r="3682" spans="1:11" x14ac:dyDescent="0.35">
      <c r="A3682" s="1">
        <v>40904</v>
      </c>
      <c r="B3682">
        <v>8.8865003585815394</v>
      </c>
      <c r="C3682">
        <v>8.9294996261596609</v>
      </c>
      <c r="D3682">
        <v>8.80799961090087</v>
      </c>
      <c r="E3682">
        <v>8.8135004043579102</v>
      </c>
      <c r="F3682">
        <v>8.8135004043579102</v>
      </c>
      <c r="G3682">
        <v>59018000</v>
      </c>
      <c r="H3682">
        <f t="shared" si="228"/>
        <v>2011</v>
      </c>
      <c r="I3682">
        <f t="shared" si="229"/>
        <v>12</v>
      </c>
      <c r="J3682" t="str">
        <f t="shared" si="230"/>
        <v>Dec</v>
      </c>
      <c r="K3682" t="str">
        <f t="shared" si="231"/>
        <v>Tue</v>
      </c>
    </row>
    <row r="3683" spans="1:11" x14ac:dyDescent="0.35">
      <c r="A3683" s="1">
        <v>40905</v>
      </c>
      <c r="B3683">
        <v>8.8194999694824201</v>
      </c>
      <c r="C3683">
        <v>8.8325004577636701</v>
      </c>
      <c r="D3683">
        <v>8.6140003204345703</v>
      </c>
      <c r="E3683">
        <v>8.6944999694824201</v>
      </c>
      <c r="F3683">
        <v>8.6944999694824201</v>
      </c>
      <c r="G3683">
        <v>73190000</v>
      </c>
      <c r="H3683">
        <f t="shared" si="228"/>
        <v>2011</v>
      </c>
      <c r="I3683">
        <f t="shared" si="229"/>
        <v>12</v>
      </c>
      <c r="J3683" t="str">
        <f t="shared" si="230"/>
        <v>Dec</v>
      </c>
      <c r="K3683" t="str">
        <f t="shared" si="231"/>
        <v>Wed</v>
      </c>
    </row>
    <row r="3684" spans="1:11" x14ac:dyDescent="0.35">
      <c r="A3684" s="1">
        <v>40906</v>
      </c>
      <c r="B3684">
        <v>8.4809999465942294</v>
      </c>
      <c r="C3684">
        <v>8.7274999618530202</v>
      </c>
      <c r="D3684">
        <v>8.3485002517700195</v>
      </c>
      <c r="E3684">
        <v>8.6929998397827095</v>
      </c>
      <c r="F3684">
        <v>8.6929998397827095</v>
      </c>
      <c r="G3684">
        <v>164186000</v>
      </c>
      <c r="H3684">
        <f t="shared" si="228"/>
        <v>2011</v>
      </c>
      <c r="I3684">
        <f t="shared" si="229"/>
        <v>12</v>
      </c>
      <c r="J3684" t="str">
        <f t="shared" si="230"/>
        <v>Dec</v>
      </c>
      <c r="K3684" t="str">
        <f t="shared" si="231"/>
        <v>Thu</v>
      </c>
    </row>
    <row r="3685" spans="1:11" x14ac:dyDescent="0.35">
      <c r="A3685" s="1">
        <v>40907</v>
      </c>
      <c r="B3685">
        <v>8.6680002212524396</v>
      </c>
      <c r="C3685">
        <v>8.75850009918212</v>
      </c>
      <c r="D3685">
        <v>8.6245002746581996</v>
      </c>
      <c r="E3685">
        <v>8.6549997329711896</v>
      </c>
      <c r="F3685">
        <v>8.6549997329711896</v>
      </c>
      <c r="G3685">
        <v>85596000</v>
      </c>
      <c r="H3685">
        <f t="shared" si="228"/>
        <v>2011</v>
      </c>
      <c r="I3685">
        <f t="shared" si="229"/>
        <v>12</v>
      </c>
      <c r="J3685" t="str">
        <f t="shared" si="230"/>
        <v>Dec</v>
      </c>
      <c r="K3685" t="str">
        <f t="shared" si="231"/>
        <v>Fri</v>
      </c>
    </row>
    <row r="3686" spans="1:11" x14ac:dyDescent="0.35">
      <c r="A3686" s="1">
        <v>40911</v>
      </c>
      <c r="B3686">
        <v>8.7945003509521396</v>
      </c>
      <c r="C3686">
        <v>8.9739999771118093</v>
      </c>
      <c r="D3686">
        <v>8.7775001525878906</v>
      </c>
      <c r="E3686">
        <v>8.9514999389648402</v>
      </c>
      <c r="F3686">
        <v>8.9514999389648402</v>
      </c>
      <c r="G3686">
        <v>102216000</v>
      </c>
      <c r="H3686">
        <f t="shared" si="228"/>
        <v>2012</v>
      </c>
      <c r="I3686">
        <f t="shared" si="229"/>
        <v>1</v>
      </c>
      <c r="J3686" t="str">
        <f t="shared" si="230"/>
        <v>Jan</v>
      </c>
      <c r="K3686" t="str">
        <f t="shared" si="231"/>
        <v>Tue</v>
      </c>
    </row>
    <row r="3687" spans="1:11" x14ac:dyDescent="0.35">
      <c r="A3687" s="1">
        <v>40912</v>
      </c>
      <c r="B3687">
        <v>8.9604997634887695</v>
      </c>
      <c r="C3687">
        <v>9.0249996185302699</v>
      </c>
      <c r="D3687">
        <v>8.8035001754760707</v>
      </c>
      <c r="E3687">
        <v>8.8754997253417898</v>
      </c>
      <c r="F3687">
        <v>8.8754997253417898</v>
      </c>
      <c r="G3687">
        <v>84104000</v>
      </c>
      <c r="H3687">
        <f t="shared" si="228"/>
        <v>2012</v>
      </c>
      <c r="I3687">
        <f t="shared" si="229"/>
        <v>1</v>
      </c>
      <c r="J3687" t="str">
        <f t="shared" si="230"/>
        <v>Jan</v>
      </c>
      <c r="K3687" t="str">
        <f t="shared" si="231"/>
        <v>Wed</v>
      </c>
    </row>
    <row r="3688" spans="1:11" x14ac:dyDescent="0.35">
      <c r="A3688" s="1">
        <v>40913</v>
      </c>
      <c r="B3688">
        <v>8.7969999313354492</v>
      </c>
      <c r="C3688">
        <v>8.9125003814697195</v>
      </c>
      <c r="D3688">
        <v>8.7025003433227504</v>
      </c>
      <c r="E3688">
        <v>8.8804998397827095</v>
      </c>
      <c r="F3688">
        <v>8.8804998397827095</v>
      </c>
      <c r="G3688">
        <v>76182000</v>
      </c>
      <c r="H3688">
        <f t="shared" si="228"/>
        <v>2012</v>
      </c>
      <c r="I3688">
        <f t="shared" si="229"/>
        <v>1</v>
      </c>
      <c r="J3688" t="str">
        <f t="shared" si="230"/>
        <v>Jan</v>
      </c>
      <c r="K3688" t="str">
        <f t="shared" si="231"/>
        <v>Thu</v>
      </c>
    </row>
    <row r="3689" spans="1:11" x14ac:dyDescent="0.35">
      <c r="A3689" s="1">
        <v>40914</v>
      </c>
      <c r="B3689">
        <v>8.9034996032714808</v>
      </c>
      <c r="C3689">
        <v>9.23250007629394</v>
      </c>
      <c r="D3689">
        <v>8.875</v>
      </c>
      <c r="E3689">
        <v>9.1304998397827095</v>
      </c>
      <c r="F3689">
        <v>9.1304998397827095</v>
      </c>
      <c r="G3689">
        <v>140168000</v>
      </c>
      <c r="H3689">
        <f t="shared" si="228"/>
        <v>2012</v>
      </c>
      <c r="I3689">
        <f t="shared" si="229"/>
        <v>1</v>
      </c>
      <c r="J3689" t="str">
        <f t="shared" si="230"/>
        <v>Jan</v>
      </c>
      <c r="K3689" t="str">
        <f t="shared" si="231"/>
        <v>Fri</v>
      </c>
    </row>
    <row r="3690" spans="1:11" x14ac:dyDescent="0.35">
      <c r="A3690" s="1">
        <v>40917</v>
      </c>
      <c r="B3690">
        <v>9.13799953460693</v>
      </c>
      <c r="C3690">
        <v>9.2185001373290998</v>
      </c>
      <c r="D3690">
        <v>8.8500003814697195</v>
      </c>
      <c r="E3690">
        <v>8.9280004501342702</v>
      </c>
      <c r="F3690">
        <v>8.9280004501342702</v>
      </c>
      <c r="G3690">
        <v>101138000</v>
      </c>
      <c r="H3690">
        <f t="shared" si="228"/>
        <v>2012</v>
      </c>
      <c r="I3690">
        <f t="shared" si="229"/>
        <v>1</v>
      </c>
      <c r="J3690" t="str">
        <f t="shared" si="230"/>
        <v>Jan</v>
      </c>
      <c r="K3690" t="str">
        <f t="shared" si="231"/>
        <v>Mon</v>
      </c>
    </row>
    <row r="3691" spans="1:11" x14ac:dyDescent="0.35">
      <c r="A3691" s="1">
        <v>40918</v>
      </c>
      <c r="B3691">
        <v>9.0550003051757795</v>
      </c>
      <c r="C3691">
        <v>9.1199998855590803</v>
      </c>
      <c r="D3691">
        <v>8.8549995422363192</v>
      </c>
      <c r="E3691">
        <v>8.9670000076293892</v>
      </c>
      <c r="F3691">
        <v>8.9670000076293892</v>
      </c>
      <c r="G3691">
        <v>79716000</v>
      </c>
      <c r="H3691">
        <f t="shared" si="228"/>
        <v>2012</v>
      </c>
      <c r="I3691">
        <f t="shared" si="229"/>
        <v>1</v>
      </c>
      <c r="J3691" t="str">
        <f t="shared" si="230"/>
        <v>Jan</v>
      </c>
      <c r="K3691" t="str">
        <f t="shared" si="231"/>
        <v>Tue</v>
      </c>
    </row>
    <row r="3692" spans="1:11" x14ac:dyDescent="0.35">
      <c r="A3692" s="1">
        <v>40919</v>
      </c>
      <c r="B3692">
        <v>8.9820003509521396</v>
      </c>
      <c r="C3692">
        <v>9.0384998321533203</v>
      </c>
      <c r="D3692">
        <v>8.9095001220703107</v>
      </c>
      <c r="E3692">
        <v>8.9449996948242099</v>
      </c>
      <c r="F3692">
        <v>8.9449996948242099</v>
      </c>
      <c r="G3692">
        <v>62054000</v>
      </c>
      <c r="H3692">
        <f t="shared" si="228"/>
        <v>2012</v>
      </c>
      <c r="I3692">
        <f t="shared" si="229"/>
        <v>1</v>
      </c>
      <c r="J3692" t="str">
        <f t="shared" si="230"/>
        <v>Jan</v>
      </c>
      <c r="K3692" t="str">
        <f t="shared" si="231"/>
        <v>Wed</v>
      </c>
    </row>
    <row r="3693" spans="1:11" x14ac:dyDescent="0.35">
      <c r="A3693" s="1">
        <v>40920</v>
      </c>
      <c r="B3693">
        <v>8.9709997177124006</v>
      </c>
      <c r="C3693">
        <v>8.9744997024536097</v>
      </c>
      <c r="D3693">
        <v>8.7875003814697195</v>
      </c>
      <c r="E3693">
        <v>8.7965002059936506</v>
      </c>
      <c r="F3693">
        <v>8.7965002059936506</v>
      </c>
      <c r="G3693">
        <v>107716000</v>
      </c>
      <c r="H3693">
        <f t="shared" si="228"/>
        <v>2012</v>
      </c>
      <c r="I3693">
        <f t="shared" si="229"/>
        <v>1</v>
      </c>
      <c r="J3693" t="str">
        <f t="shared" si="230"/>
        <v>Jan</v>
      </c>
      <c r="K3693" t="str">
        <f t="shared" si="231"/>
        <v>Thu</v>
      </c>
    </row>
    <row r="3694" spans="1:11" x14ac:dyDescent="0.35">
      <c r="A3694" s="1">
        <v>40921</v>
      </c>
      <c r="B3694">
        <v>8.7904996871948207</v>
      </c>
      <c r="C3694">
        <v>8.9399995803833008</v>
      </c>
      <c r="D3694">
        <v>8.6750001907348597</v>
      </c>
      <c r="E3694">
        <v>8.9209995269775302</v>
      </c>
      <c r="F3694">
        <v>8.9209995269775302</v>
      </c>
      <c r="G3694">
        <v>95070000</v>
      </c>
      <c r="H3694">
        <f t="shared" si="228"/>
        <v>2012</v>
      </c>
      <c r="I3694">
        <f t="shared" si="229"/>
        <v>1</v>
      </c>
      <c r="J3694" t="str">
        <f t="shared" si="230"/>
        <v>Jan</v>
      </c>
      <c r="K3694" t="str">
        <f t="shared" si="231"/>
        <v>Fri</v>
      </c>
    </row>
    <row r="3695" spans="1:11" x14ac:dyDescent="0.35">
      <c r="A3695" s="1">
        <v>40925</v>
      </c>
      <c r="B3695">
        <v>9.0074996948242099</v>
      </c>
      <c r="C3695">
        <v>9.1649999618530202</v>
      </c>
      <c r="D3695">
        <v>8.9254999160766602</v>
      </c>
      <c r="E3695">
        <v>9.0830001831054599</v>
      </c>
      <c r="F3695">
        <v>9.0830001831054599</v>
      </c>
      <c r="G3695">
        <v>112890000</v>
      </c>
      <c r="H3695">
        <f t="shared" si="228"/>
        <v>2012</v>
      </c>
      <c r="I3695">
        <f t="shared" si="229"/>
        <v>1</v>
      </c>
      <c r="J3695" t="str">
        <f t="shared" si="230"/>
        <v>Jan</v>
      </c>
      <c r="K3695" t="str">
        <f t="shared" si="231"/>
        <v>Tue</v>
      </c>
    </row>
    <row r="3696" spans="1:11" x14ac:dyDescent="0.35">
      <c r="A3696" s="1">
        <v>40926</v>
      </c>
      <c r="B3696">
        <v>9.0970001220703107</v>
      </c>
      <c r="C3696">
        <v>9.5124998092651296</v>
      </c>
      <c r="D3696">
        <v>9.0559997558593697</v>
      </c>
      <c r="E3696">
        <v>9.4720001220703107</v>
      </c>
      <c r="F3696">
        <v>9.4720001220703107</v>
      </c>
      <c r="G3696">
        <v>149470000</v>
      </c>
      <c r="H3696">
        <f t="shared" si="228"/>
        <v>2012</v>
      </c>
      <c r="I3696">
        <f t="shared" si="229"/>
        <v>1</v>
      </c>
      <c r="J3696" t="str">
        <f t="shared" si="230"/>
        <v>Jan</v>
      </c>
      <c r="K3696" t="str">
        <f t="shared" si="231"/>
        <v>Wed</v>
      </c>
    </row>
    <row r="3697" spans="1:11" x14ac:dyDescent="0.35">
      <c r="A3697" s="1">
        <v>40927</v>
      </c>
      <c r="B3697">
        <v>9.5439996719360298</v>
      </c>
      <c r="C3697">
        <v>9.7969999313354492</v>
      </c>
      <c r="D3697">
        <v>9.5179996490478498</v>
      </c>
      <c r="E3697">
        <v>9.7224998474121094</v>
      </c>
      <c r="F3697">
        <v>9.7224998474121094</v>
      </c>
      <c r="G3697">
        <v>141920000</v>
      </c>
      <c r="H3697">
        <f t="shared" si="228"/>
        <v>2012</v>
      </c>
      <c r="I3697">
        <f t="shared" si="229"/>
        <v>1</v>
      </c>
      <c r="J3697" t="str">
        <f t="shared" si="230"/>
        <v>Jan</v>
      </c>
      <c r="K3697" t="str">
        <f t="shared" si="231"/>
        <v>Thu</v>
      </c>
    </row>
    <row r="3698" spans="1:11" x14ac:dyDescent="0.35">
      <c r="A3698" s="1">
        <v>40928</v>
      </c>
      <c r="B3698">
        <v>9.5354995727538991</v>
      </c>
      <c r="C3698">
        <v>9.6450004577636701</v>
      </c>
      <c r="D3698">
        <v>9.4519996643066406</v>
      </c>
      <c r="E3698">
        <v>9.5465002059936506</v>
      </c>
      <c r="F3698">
        <v>9.5465002059936506</v>
      </c>
      <c r="G3698">
        <v>112206000</v>
      </c>
      <c r="H3698">
        <f t="shared" si="228"/>
        <v>2012</v>
      </c>
      <c r="I3698">
        <f t="shared" si="229"/>
        <v>1</v>
      </c>
      <c r="J3698" t="str">
        <f t="shared" si="230"/>
        <v>Jan</v>
      </c>
      <c r="K3698" t="str">
        <f t="shared" si="231"/>
        <v>Fri</v>
      </c>
    </row>
    <row r="3699" spans="1:11" x14ac:dyDescent="0.35">
      <c r="A3699" s="1">
        <v>40931</v>
      </c>
      <c r="B3699">
        <v>9.5395002365112305</v>
      </c>
      <c r="C3699">
        <v>9.5865001678466797</v>
      </c>
      <c r="D3699">
        <v>9.2615003585815394</v>
      </c>
      <c r="E3699">
        <v>9.3044996261596609</v>
      </c>
      <c r="F3699">
        <v>9.3044996261596609</v>
      </c>
      <c r="G3699">
        <v>91706000</v>
      </c>
      <c r="H3699">
        <f t="shared" si="228"/>
        <v>2012</v>
      </c>
      <c r="I3699">
        <f t="shared" si="229"/>
        <v>1</v>
      </c>
      <c r="J3699" t="str">
        <f t="shared" si="230"/>
        <v>Jan</v>
      </c>
      <c r="K3699" t="str">
        <f t="shared" si="231"/>
        <v>Mon</v>
      </c>
    </row>
    <row r="3700" spans="1:11" x14ac:dyDescent="0.35">
      <c r="A3700" s="1">
        <v>40932</v>
      </c>
      <c r="B3700">
        <v>9.25</v>
      </c>
      <c r="C3700">
        <v>9.4204998016357404</v>
      </c>
      <c r="D3700">
        <v>9.1909999847412092</v>
      </c>
      <c r="E3700">
        <v>9.3500003814697195</v>
      </c>
      <c r="F3700">
        <v>9.3500003814697195</v>
      </c>
      <c r="G3700">
        <v>93476000</v>
      </c>
      <c r="H3700">
        <f t="shared" si="228"/>
        <v>2012</v>
      </c>
      <c r="I3700">
        <f t="shared" si="229"/>
        <v>1</v>
      </c>
      <c r="J3700" t="str">
        <f t="shared" si="230"/>
        <v>Jan</v>
      </c>
      <c r="K3700" t="str">
        <f t="shared" si="231"/>
        <v>Tue</v>
      </c>
    </row>
    <row r="3701" spans="1:11" x14ac:dyDescent="0.35">
      <c r="A3701" s="1">
        <v>40933</v>
      </c>
      <c r="B3701">
        <v>9.3494997024536097</v>
      </c>
      <c r="C3701">
        <v>9.4084997177124006</v>
      </c>
      <c r="D3701">
        <v>9.2305002212524396</v>
      </c>
      <c r="E3701">
        <v>9.3900003433227504</v>
      </c>
      <c r="F3701">
        <v>9.3900003433227504</v>
      </c>
      <c r="G3701">
        <v>86128000</v>
      </c>
      <c r="H3701">
        <f t="shared" si="228"/>
        <v>2012</v>
      </c>
      <c r="I3701">
        <f t="shared" si="229"/>
        <v>1</v>
      </c>
      <c r="J3701" t="str">
        <f t="shared" si="230"/>
        <v>Jan</v>
      </c>
      <c r="K3701" t="str">
        <f t="shared" si="231"/>
        <v>Wed</v>
      </c>
    </row>
    <row r="3702" spans="1:11" x14ac:dyDescent="0.35">
      <c r="A3702" s="1">
        <v>40934</v>
      </c>
      <c r="B3702">
        <v>9.4650001525878906</v>
      </c>
      <c r="C3702">
        <v>9.7425003051757795</v>
      </c>
      <c r="D3702">
        <v>9.4364995956420898</v>
      </c>
      <c r="E3702">
        <v>9.6660003662109304</v>
      </c>
      <c r="F3702">
        <v>9.6660003662109304</v>
      </c>
      <c r="G3702">
        <v>117472000</v>
      </c>
      <c r="H3702">
        <f t="shared" si="228"/>
        <v>2012</v>
      </c>
      <c r="I3702">
        <f t="shared" si="229"/>
        <v>1</v>
      </c>
      <c r="J3702" t="str">
        <f t="shared" si="230"/>
        <v>Jan</v>
      </c>
      <c r="K3702" t="str">
        <f t="shared" si="231"/>
        <v>Thu</v>
      </c>
    </row>
    <row r="3703" spans="1:11" x14ac:dyDescent="0.35">
      <c r="A3703" s="1">
        <v>40935</v>
      </c>
      <c r="B3703">
        <v>9.6545000076293892</v>
      </c>
      <c r="C3703">
        <v>9.8249998092651296</v>
      </c>
      <c r="D3703">
        <v>9.6164999008178693</v>
      </c>
      <c r="E3703">
        <v>9.7685003280639595</v>
      </c>
      <c r="F3703">
        <v>9.7685003280639595</v>
      </c>
      <c r="G3703">
        <v>93180000</v>
      </c>
      <c r="H3703">
        <f t="shared" si="228"/>
        <v>2012</v>
      </c>
      <c r="I3703">
        <f t="shared" si="229"/>
        <v>1</v>
      </c>
      <c r="J3703" t="str">
        <f t="shared" si="230"/>
        <v>Jan</v>
      </c>
      <c r="K3703" t="str">
        <f t="shared" si="231"/>
        <v>Fri</v>
      </c>
    </row>
    <row r="3704" spans="1:11" x14ac:dyDescent="0.35">
      <c r="A3704" s="1">
        <v>40938</v>
      </c>
      <c r="B3704">
        <v>9.6840000152587802</v>
      </c>
      <c r="C3704">
        <v>9.75</v>
      </c>
      <c r="D3704">
        <v>9.5065002441406197</v>
      </c>
      <c r="E3704">
        <v>9.60750007629394</v>
      </c>
      <c r="F3704">
        <v>9.60750007629394</v>
      </c>
      <c r="G3704">
        <v>108482000</v>
      </c>
      <c r="H3704">
        <f t="shared" si="228"/>
        <v>2012</v>
      </c>
      <c r="I3704">
        <f t="shared" si="229"/>
        <v>1</v>
      </c>
      <c r="J3704" t="str">
        <f t="shared" si="230"/>
        <v>Jan</v>
      </c>
      <c r="K3704" t="str">
        <f t="shared" si="231"/>
        <v>Mon</v>
      </c>
    </row>
    <row r="3705" spans="1:11" x14ac:dyDescent="0.35">
      <c r="A3705" s="1">
        <v>40939</v>
      </c>
      <c r="B3705">
        <v>9.6999998092651296</v>
      </c>
      <c r="C3705">
        <v>9.7814998626708896</v>
      </c>
      <c r="D3705">
        <v>9.4849996566772408</v>
      </c>
      <c r="E3705">
        <v>9.7220001220703107</v>
      </c>
      <c r="F3705">
        <v>9.7220001220703107</v>
      </c>
      <c r="G3705">
        <v>255444000</v>
      </c>
      <c r="H3705">
        <f t="shared" si="228"/>
        <v>2012</v>
      </c>
      <c r="I3705">
        <f t="shared" si="229"/>
        <v>1</v>
      </c>
      <c r="J3705" t="str">
        <f t="shared" si="230"/>
        <v>Jan</v>
      </c>
      <c r="K3705" t="str">
        <f t="shared" si="231"/>
        <v>Tue</v>
      </c>
    </row>
    <row r="3706" spans="1:11" x14ac:dyDescent="0.35">
      <c r="A3706" s="1">
        <v>40940</v>
      </c>
      <c r="B3706">
        <v>8.6905002593994105</v>
      </c>
      <c r="C3706">
        <v>8.9975004196166992</v>
      </c>
      <c r="D3706">
        <v>8.6000003814697195</v>
      </c>
      <c r="E3706">
        <v>8.9729995727538991</v>
      </c>
      <c r="F3706">
        <v>8.9729995727538991</v>
      </c>
      <c r="G3706">
        <v>426732000</v>
      </c>
      <c r="H3706">
        <f t="shared" si="228"/>
        <v>2012</v>
      </c>
      <c r="I3706">
        <f t="shared" si="229"/>
        <v>2</v>
      </c>
      <c r="J3706" t="str">
        <f t="shared" si="230"/>
        <v>Feb</v>
      </c>
      <c r="K3706" t="str">
        <f t="shared" si="231"/>
        <v>Wed</v>
      </c>
    </row>
    <row r="3707" spans="1:11" x14ac:dyDescent="0.35">
      <c r="A3707" s="1">
        <v>40941</v>
      </c>
      <c r="B3707">
        <v>8.98250007629394</v>
      </c>
      <c r="C3707">
        <v>9.0970001220703107</v>
      </c>
      <c r="D3707">
        <v>8.8400001525878906</v>
      </c>
      <c r="E3707">
        <v>9.0860004425048793</v>
      </c>
      <c r="F3707">
        <v>9.0860004425048793</v>
      </c>
      <c r="G3707">
        <v>174726000</v>
      </c>
      <c r="H3707">
        <f t="shared" si="228"/>
        <v>2012</v>
      </c>
      <c r="I3707">
        <f t="shared" si="229"/>
        <v>2</v>
      </c>
      <c r="J3707" t="str">
        <f t="shared" si="230"/>
        <v>Feb</v>
      </c>
      <c r="K3707" t="str">
        <f t="shared" si="231"/>
        <v>Thu</v>
      </c>
    </row>
    <row r="3708" spans="1:11" x14ac:dyDescent="0.35">
      <c r="A3708" s="1">
        <v>40942</v>
      </c>
      <c r="B3708">
        <v>9.1415004730224592</v>
      </c>
      <c r="C3708">
        <v>9.3950004577636701</v>
      </c>
      <c r="D3708">
        <v>9.09449958801269</v>
      </c>
      <c r="E3708">
        <v>9.3839998245239205</v>
      </c>
      <c r="F3708">
        <v>9.3839998245239205</v>
      </c>
      <c r="G3708">
        <v>162410000</v>
      </c>
      <c r="H3708">
        <f t="shared" si="228"/>
        <v>2012</v>
      </c>
      <c r="I3708">
        <f t="shared" si="229"/>
        <v>2</v>
      </c>
      <c r="J3708" t="str">
        <f t="shared" si="230"/>
        <v>Feb</v>
      </c>
      <c r="K3708" t="str">
        <f t="shared" si="231"/>
        <v>Fri</v>
      </c>
    </row>
    <row r="3709" spans="1:11" x14ac:dyDescent="0.35">
      <c r="A3709" s="1">
        <v>40945</v>
      </c>
      <c r="B3709">
        <v>9.3140001296996999</v>
      </c>
      <c r="C3709">
        <v>9.3280000686645508</v>
      </c>
      <c r="D3709">
        <v>9.1459999084472603</v>
      </c>
      <c r="E3709">
        <v>9.15699958801269</v>
      </c>
      <c r="F3709">
        <v>9.15699958801269</v>
      </c>
      <c r="G3709">
        <v>106200000</v>
      </c>
      <c r="H3709">
        <f t="shared" si="228"/>
        <v>2012</v>
      </c>
      <c r="I3709">
        <f t="shared" si="229"/>
        <v>2</v>
      </c>
      <c r="J3709" t="str">
        <f t="shared" si="230"/>
        <v>Feb</v>
      </c>
      <c r="K3709" t="str">
        <f t="shared" si="231"/>
        <v>Mon</v>
      </c>
    </row>
    <row r="3710" spans="1:11" x14ac:dyDescent="0.35">
      <c r="A3710" s="1">
        <v>40946</v>
      </c>
      <c r="B3710">
        <v>9.1324996948242099</v>
      </c>
      <c r="C3710">
        <v>9.2469997406005806</v>
      </c>
      <c r="D3710">
        <v>9.1029996871948207</v>
      </c>
      <c r="E3710">
        <v>9.2095003128051705</v>
      </c>
      <c r="F3710">
        <v>9.2095003128051705</v>
      </c>
      <c r="G3710">
        <v>102078000</v>
      </c>
      <c r="H3710">
        <f t="shared" si="228"/>
        <v>2012</v>
      </c>
      <c r="I3710">
        <f t="shared" si="229"/>
        <v>2</v>
      </c>
      <c r="J3710" t="str">
        <f t="shared" si="230"/>
        <v>Feb</v>
      </c>
      <c r="K3710" t="str">
        <f t="shared" si="231"/>
        <v>Tue</v>
      </c>
    </row>
    <row r="3711" spans="1:11" x14ac:dyDescent="0.35">
      <c r="A3711" s="1">
        <v>40947</v>
      </c>
      <c r="B3711">
        <v>9.2475004196166992</v>
      </c>
      <c r="C3711">
        <v>9.3245000839233398</v>
      </c>
      <c r="D3711">
        <v>9.1455001831054599</v>
      </c>
      <c r="E3711">
        <v>9.2740001678466797</v>
      </c>
      <c r="F3711">
        <v>9.2740001678466797</v>
      </c>
      <c r="G3711">
        <v>109532000</v>
      </c>
      <c r="H3711">
        <f t="shared" si="228"/>
        <v>2012</v>
      </c>
      <c r="I3711">
        <f t="shared" si="229"/>
        <v>2</v>
      </c>
      <c r="J3711" t="str">
        <f t="shared" si="230"/>
        <v>Feb</v>
      </c>
      <c r="K3711" t="str">
        <f t="shared" si="231"/>
        <v>Wed</v>
      </c>
    </row>
    <row r="3712" spans="1:11" x14ac:dyDescent="0.35">
      <c r="A3712" s="1">
        <v>40948</v>
      </c>
      <c r="B3712">
        <v>9.2250003814697195</v>
      </c>
      <c r="C3712">
        <v>9.2845001220703107</v>
      </c>
      <c r="D3712">
        <v>9.0880002975463796</v>
      </c>
      <c r="E3712">
        <v>9.2489995956420898</v>
      </c>
      <c r="F3712">
        <v>9.2489995956420898</v>
      </c>
      <c r="G3712">
        <v>143784000</v>
      </c>
      <c r="H3712">
        <f t="shared" si="228"/>
        <v>2012</v>
      </c>
      <c r="I3712">
        <f t="shared" si="229"/>
        <v>2</v>
      </c>
      <c r="J3712" t="str">
        <f t="shared" si="230"/>
        <v>Feb</v>
      </c>
      <c r="K3712" t="str">
        <f t="shared" si="231"/>
        <v>Thu</v>
      </c>
    </row>
    <row r="3713" spans="1:11" x14ac:dyDescent="0.35">
      <c r="A3713" s="1">
        <v>40949</v>
      </c>
      <c r="B3713">
        <v>9.1709995269775302</v>
      </c>
      <c r="C3713">
        <v>9.3815002441406197</v>
      </c>
      <c r="D3713">
        <v>9.1260004043579102</v>
      </c>
      <c r="E3713">
        <v>9.2770004272460902</v>
      </c>
      <c r="F3713">
        <v>9.2770004272460902</v>
      </c>
      <c r="G3713">
        <v>115942000</v>
      </c>
      <c r="H3713">
        <f t="shared" si="228"/>
        <v>2012</v>
      </c>
      <c r="I3713">
        <f t="shared" si="229"/>
        <v>2</v>
      </c>
      <c r="J3713" t="str">
        <f t="shared" si="230"/>
        <v>Feb</v>
      </c>
      <c r="K3713" t="str">
        <f t="shared" si="231"/>
        <v>Fri</v>
      </c>
    </row>
    <row r="3714" spans="1:11" x14ac:dyDescent="0.35">
      <c r="A3714" s="1">
        <v>40952</v>
      </c>
      <c r="B3714">
        <v>9.3584995269775302</v>
      </c>
      <c r="C3714">
        <v>9.625</v>
      </c>
      <c r="D3714">
        <v>9.2840003967285103</v>
      </c>
      <c r="E3714">
        <v>9.5795001983642507</v>
      </c>
      <c r="F3714">
        <v>9.5795001983642507</v>
      </c>
      <c r="G3714">
        <v>121428000</v>
      </c>
      <c r="H3714">
        <f t="shared" si="228"/>
        <v>2012</v>
      </c>
      <c r="I3714">
        <f t="shared" si="229"/>
        <v>2</v>
      </c>
      <c r="J3714" t="str">
        <f t="shared" si="230"/>
        <v>Feb</v>
      </c>
      <c r="K3714" t="str">
        <f t="shared" si="231"/>
        <v>Mon</v>
      </c>
    </row>
    <row r="3715" spans="1:11" x14ac:dyDescent="0.35">
      <c r="A3715" s="1">
        <v>40953</v>
      </c>
      <c r="B3715">
        <v>9.5539999008178693</v>
      </c>
      <c r="C3715">
        <v>9.6785001754760707</v>
      </c>
      <c r="D3715">
        <v>9.3050003051757795</v>
      </c>
      <c r="E3715">
        <v>9.5649995803833008</v>
      </c>
      <c r="F3715">
        <v>9.5649995803833008</v>
      </c>
      <c r="G3715">
        <v>190542000</v>
      </c>
      <c r="H3715">
        <f t="shared" si="228"/>
        <v>2012</v>
      </c>
      <c r="I3715">
        <f t="shared" si="229"/>
        <v>2</v>
      </c>
      <c r="J3715" t="str">
        <f t="shared" si="230"/>
        <v>Feb</v>
      </c>
      <c r="K3715" t="str">
        <f t="shared" si="231"/>
        <v>Tue</v>
      </c>
    </row>
    <row r="3716" spans="1:11" x14ac:dyDescent="0.35">
      <c r="A3716" s="1">
        <v>40954</v>
      </c>
      <c r="B3716">
        <v>9.5644998550415004</v>
      </c>
      <c r="C3716">
        <v>9.5769996643066406</v>
      </c>
      <c r="D3716">
        <v>9.1630001068115199</v>
      </c>
      <c r="E3716">
        <v>9.2235002517700195</v>
      </c>
      <c r="F3716">
        <v>9.2235002517700195</v>
      </c>
      <c r="G3716">
        <v>155888000</v>
      </c>
      <c r="H3716">
        <f t="shared" ref="H3716:H3779" si="232">YEAR($A3716)</f>
        <v>2012</v>
      </c>
      <c r="I3716">
        <f t="shared" ref="I3716:I3779" si="233">MONTH($A3716)</f>
        <v>2</v>
      </c>
      <c r="J3716" t="str">
        <f t="shared" ref="J3716:J3779" si="234">TEXT($A3716,"mmm")</f>
        <v>Feb</v>
      </c>
      <c r="K3716" t="str">
        <f t="shared" ref="K3716:K3779" si="235">TEXT($A3716,"ddd")</f>
        <v>Wed</v>
      </c>
    </row>
    <row r="3717" spans="1:11" x14ac:dyDescent="0.35">
      <c r="A3717" s="1">
        <v>40955</v>
      </c>
      <c r="B3717">
        <v>8.8894996643066406</v>
      </c>
      <c r="C3717">
        <v>9.0839996337890607</v>
      </c>
      <c r="D3717">
        <v>8.7569999694824201</v>
      </c>
      <c r="E3717">
        <v>8.9965000152587802</v>
      </c>
      <c r="F3717">
        <v>8.9965000152587802</v>
      </c>
      <c r="G3717">
        <v>251276000</v>
      </c>
      <c r="H3717">
        <f t="shared" si="232"/>
        <v>2012</v>
      </c>
      <c r="I3717">
        <f t="shared" si="233"/>
        <v>2</v>
      </c>
      <c r="J3717" t="str">
        <f t="shared" si="234"/>
        <v>Feb</v>
      </c>
      <c r="K3717" t="str">
        <f t="shared" si="235"/>
        <v>Thu</v>
      </c>
    </row>
    <row r="3718" spans="1:11" x14ac:dyDescent="0.35">
      <c r="A3718" s="1">
        <v>40956</v>
      </c>
      <c r="B3718">
        <v>9.0045003890991193</v>
      </c>
      <c r="C3718">
        <v>9.1704998016357404</v>
      </c>
      <c r="D3718">
        <v>8.9680004119872994</v>
      </c>
      <c r="E3718">
        <v>9.125</v>
      </c>
      <c r="F3718">
        <v>9.125</v>
      </c>
      <c r="G3718">
        <v>148362000</v>
      </c>
      <c r="H3718">
        <f t="shared" si="232"/>
        <v>2012</v>
      </c>
      <c r="I3718">
        <f t="shared" si="233"/>
        <v>2</v>
      </c>
      <c r="J3718" t="str">
        <f t="shared" si="234"/>
        <v>Feb</v>
      </c>
      <c r="K3718" t="str">
        <f t="shared" si="235"/>
        <v>Fri</v>
      </c>
    </row>
    <row r="3719" spans="1:11" x14ac:dyDescent="0.35">
      <c r="A3719" s="1">
        <v>40960</v>
      </c>
      <c r="B3719">
        <v>9.1324996948242099</v>
      </c>
      <c r="C3719">
        <v>9.2375001907348597</v>
      </c>
      <c r="D3719">
        <v>9.0290002822875906</v>
      </c>
      <c r="E3719">
        <v>9.1129999160766602</v>
      </c>
      <c r="F3719">
        <v>9.1129999160766602</v>
      </c>
      <c r="G3719">
        <v>135130000</v>
      </c>
      <c r="H3719">
        <f t="shared" si="232"/>
        <v>2012</v>
      </c>
      <c r="I3719">
        <f t="shared" si="233"/>
        <v>2</v>
      </c>
      <c r="J3719" t="str">
        <f t="shared" si="234"/>
        <v>Feb</v>
      </c>
      <c r="K3719" t="str">
        <f t="shared" si="235"/>
        <v>Tue</v>
      </c>
    </row>
    <row r="3720" spans="1:11" x14ac:dyDescent="0.35">
      <c r="A3720" s="1">
        <v>40961</v>
      </c>
      <c r="B3720">
        <v>9.0974998474121094</v>
      </c>
      <c r="C3720">
        <v>9.1494998931884695</v>
      </c>
      <c r="D3720">
        <v>9.0144996643066406</v>
      </c>
      <c r="E3720">
        <v>9.0290002822875906</v>
      </c>
      <c r="F3720">
        <v>9.0290002822875906</v>
      </c>
      <c r="G3720">
        <v>115708000</v>
      </c>
      <c r="H3720">
        <f t="shared" si="232"/>
        <v>2012</v>
      </c>
      <c r="I3720">
        <f t="shared" si="233"/>
        <v>2</v>
      </c>
      <c r="J3720" t="str">
        <f t="shared" si="234"/>
        <v>Feb</v>
      </c>
      <c r="K3720" t="str">
        <f t="shared" si="235"/>
        <v>Wed</v>
      </c>
    </row>
    <row r="3721" spans="1:11" x14ac:dyDescent="0.35">
      <c r="A3721" s="1">
        <v>40962</v>
      </c>
      <c r="B3721">
        <v>8.9820003509521396</v>
      </c>
      <c r="C3721">
        <v>9.0375003814697195</v>
      </c>
      <c r="D3721">
        <v>8.8479995727538991</v>
      </c>
      <c r="E3721">
        <v>8.9444999694824201</v>
      </c>
      <c r="F3721">
        <v>8.9444999694824201</v>
      </c>
      <c r="G3721">
        <v>103076000</v>
      </c>
      <c r="H3721">
        <f t="shared" si="232"/>
        <v>2012</v>
      </c>
      <c r="I3721">
        <f t="shared" si="233"/>
        <v>2</v>
      </c>
      <c r="J3721" t="str">
        <f t="shared" si="234"/>
        <v>Feb</v>
      </c>
      <c r="K3721" t="str">
        <f t="shared" si="235"/>
        <v>Thu</v>
      </c>
    </row>
    <row r="3722" spans="1:11" x14ac:dyDescent="0.35">
      <c r="A3722" s="1">
        <v>40963</v>
      </c>
      <c r="B3722">
        <v>8.9849996566772408</v>
      </c>
      <c r="C3722">
        <v>9.0369997024536097</v>
      </c>
      <c r="D3722">
        <v>8.9184999465942294</v>
      </c>
      <c r="E3722">
        <v>8.9565000534057599</v>
      </c>
      <c r="F3722">
        <v>8.9565000534057599</v>
      </c>
      <c r="G3722">
        <v>73374000</v>
      </c>
      <c r="H3722">
        <f t="shared" si="232"/>
        <v>2012</v>
      </c>
      <c r="I3722">
        <f t="shared" si="233"/>
        <v>2</v>
      </c>
      <c r="J3722" t="str">
        <f t="shared" si="234"/>
        <v>Feb</v>
      </c>
      <c r="K3722" t="str">
        <f t="shared" si="235"/>
        <v>Fri</v>
      </c>
    </row>
    <row r="3723" spans="1:11" x14ac:dyDescent="0.35">
      <c r="A3723" s="1">
        <v>40966</v>
      </c>
      <c r="B3723">
        <v>8.8769998550415004</v>
      </c>
      <c r="C3723">
        <v>8.9595003128051705</v>
      </c>
      <c r="D3723">
        <v>8.8249998092651296</v>
      </c>
      <c r="E3723">
        <v>8.9265003204345703</v>
      </c>
      <c r="F3723">
        <v>8.9265003204345703</v>
      </c>
      <c r="G3723">
        <v>74124000</v>
      </c>
      <c r="H3723">
        <f t="shared" si="232"/>
        <v>2012</v>
      </c>
      <c r="I3723">
        <f t="shared" si="233"/>
        <v>2</v>
      </c>
      <c r="J3723" t="str">
        <f t="shared" si="234"/>
        <v>Feb</v>
      </c>
      <c r="K3723" t="str">
        <f t="shared" si="235"/>
        <v>Mon</v>
      </c>
    </row>
    <row r="3724" spans="1:11" x14ac:dyDescent="0.35">
      <c r="A3724" s="1">
        <v>40967</v>
      </c>
      <c r="B3724">
        <v>8.9449996948242099</v>
      </c>
      <c r="C3724">
        <v>9.2145004272460902</v>
      </c>
      <c r="D3724">
        <v>8.8975000381469709</v>
      </c>
      <c r="E3724">
        <v>9.1899995803833008</v>
      </c>
      <c r="F3724">
        <v>9.1899995803833008</v>
      </c>
      <c r="G3724">
        <v>115290000</v>
      </c>
      <c r="H3724">
        <f t="shared" si="232"/>
        <v>2012</v>
      </c>
      <c r="I3724">
        <f t="shared" si="233"/>
        <v>2</v>
      </c>
      <c r="J3724" t="str">
        <f t="shared" si="234"/>
        <v>Feb</v>
      </c>
      <c r="K3724" t="str">
        <f t="shared" si="235"/>
        <v>Tue</v>
      </c>
    </row>
    <row r="3725" spans="1:11" x14ac:dyDescent="0.35">
      <c r="A3725" s="1">
        <v>40968</v>
      </c>
      <c r="B3725">
        <v>9.1944999694824201</v>
      </c>
      <c r="C3725">
        <v>9.1999998092651296</v>
      </c>
      <c r="D3725">
        <v>8.95049953460693</v>
      </c>
      <c r="E3725">
        <v>8.9844999313354492</v>
      </c>
      <c r="F3725">
        <v>8.9844999313354492</v>
      </c>
      <c r="G3725">
        <v>106006000</v>
      </c>
      <c r="H3725">
        <f t="shared" si="232"/>
        <v>2012</v>
      </c>
      <c r="I3725">
        <f t="shared" si="233"/>
        <v>2</v>
      </c>
      <c r="J3725" t="str">
        <f t="shared" si="234"/>
        <v>Feb</v>
      </c>
      <c r="K3725" t="str">
        <f t="shared" si="235"/>
        <v>Wed</v>
      </c>
    </row>
    <row r="3726" spans="1:11" x14ac:dyDescent="0.35">
      <c r="A3726" s="1">
        <v>40969</v>
      </c>
      <c r="B3726">
        <v>8.9945001602172798</v>
      </c>
      <c r="C3726">
        <v>9.0244998931884695</v>
      </c>
      <c r="D3726">
        <v>8.8290004730224592</v>
      </c>
      <c r="E3726">
        <v>9.0019998550415004</v>
      </c>
      <c r="F3726">
        <v>9.0019998550415004</v>
      </c>
      <c r="G3726">
        <v>98720000</v>
      </c>
      <c r="H3726">
        <f t="shared" si="232"/>
        <v>2012</v>
      </c>
      <c r="I3726">
        <f t="shared" si="233"/>
        <v>3</v>
      </c>
      <c r="J3726" t="str">
        <f t="shared" si="234"/>
        <v>Mar</v>
      </c>
      <c r="K3726" t="str">
        <f t="shared" si="235"/>
        <v>Thu</v>
      </c>
    </row>
    <row r="3727" spans="1:11" x14ac:dyDescent="0.35">
      <c r="A3727" s="1">
        <v>40970</v>
      </c>
      <c r="B3727">
        <v>8.9739999771118093</v>
      </c>
      <c r="C3727">
        <v>9.0920000076293892</v>
      </c>
      <c r="D3727">
        <v>8.94600009918212</v>
      </c>
      <c r="E3727">
        <v>8.9650001525878906</v>
      </c>
      <c r="F3727">
        <v>8.9650001525878906</v>
      </c>
      <c r="G3727">
        <v>73156000</v>
      </c>
      <c r="H3727">
        <f t="shared" si="232"/>
        <v>2012</v>
      </c>
      <c r="I3727">
        <f t="shared" si="233"/>
        <v>3</v>
      </c>
      <c r="J3727" t="str">
        <f t="shared" si="234"/>
        <v>Mar</v>
      </c>
      <c r="K3727" t="str">
        <f t="shared" si="235"/>
        <v>Fri</v>
      </c>
    </row>
    <row r="3728" spans="1:11" x14ac:dyDescent="0.35">
      <c r="A3728" s="1">
        <v>40973</v>
      </c>
      <c r="B3728">
        <v>8.9499998092651296</v>
      </c>
      <c r="C3728">
        <v>9.0909996032714808</v>
      </c>
      <c r="D3728">
        <v>8.9090003967285103</v>
      </c>
      <c r="E3728">
        <v>9.01299953460693</v>
      </c>
      <c r="F3728">
        <v>9.01299953460693</v>
      </c>
      <c r="G3728">
        <v>93654000</v>
      </c>
      <c r="H3728">
        <f t="shared" si="232"/>
        <v>2012</v>
      </c>
      <c r="I3728">
        <f t="shared" si="233"/>
        <v>3</v>
      </c>
      <c r="J3728" t="str">
        <f t="shared" si="234"/>
        <v>Mar</v>
      </c>
      <c r="K3728" t="str">
        <f t="shared" si="235"/>
        <v>Mon</v>
      </c>
    </row>
    <row r="3729" spans="1:11" x14ac:dyDescent="0.35">
      <c r="A3729" s="1">
        <v>40974</v>
      </c>
      <c r="B3729">
        <v>8.9340000152587802</v>
      </c>
      <c r="C3729">
        <v>9.1750001907348597</v>
      </c>
      <c r="D3729">
        <v>8.9020004272460902</v>
      </c>
      <c r="E3729">
        <v>9.0544996261596609</v>
      </c>
      <c r="F3729">
        <v>9.0544996261596609</v>
      </c>
      <c r="G3729">
        <v>112244000</v>
      </c>
      <c r="H3729">
        <f t="shared" si="232"/>
        <v>2012</v>
      </c>
      <c r="I3729">
        <f t="shared" si="233"/>
        <v>3</v>
      </c>
      <c r="J3729" t="str">
        <f t="shared" si="234"/>
        <v>Mar</v>
      </c>
      <c r="K3729" t="str">
        <f t="shared" si="235"/>
        <v>Tue</v>
      </c>
    </row>
    <row r="3730" spans="1:11" x14ac:dyDescent="0.35">
      <c r="A3730" s="1">
        <v>40975</v>
      </c>
      <c r="B3730">
        <v>9.1324996948242099</v>
      </c>
      <c r="C3730">
        <v>9.2749996185302699</v>
      </c>
      <c r="D3730">
        <v>9.1199998855590803</v>
      </c>
      <c r="E3730">
        <v>9.1885004043579102</v>
      </c>
      <c r="F3730">
        <v>9.1885004043579102</v>
      </c>
      <c r="G3730">
        <v>99030000</v>
      </c>
      <c r="H3730">
        <f t="shared" si="232"/>
        <v>2012</v>
      </c>
      <c r="I3730">
        <f t="shared" si="233"/>
        <v>3</v>
      </c>
      <c r="J3730" t="str">
        <f t="shared" si="234"/>
        <v>Mar</v>
      </c>
      <c r="K3730" t="str">
        <f t="shared" si="235"/>
        <v>Wed</v>
      </c>
    </row>
    <row r="3731" spans="1:11" x14ac:dyDescent="0.35">
      <c r="A3731" s="1">
        <v>40976</v>
      </c>
      <c r="B3731">
        <v>9.2084999084472603</v>
      </c>
      <c r="C3731">
        <v>9.4189996719360298</v>
      </c>
      <c r="D3731">
        <v>9.1899995803833008</v>
      </c>
      <c r="E3731">
        <v>9.3819999694824201</v>
      </c>
      <c r="F3731">
        <v>9.3819999694824201</v>
      </c>
      <c r="G3731">
        <v>84430000</v>
      </c>
      <c r="H3731">
        <f t="shared" si="232"/>
        <v>2012</v>
      </c>
      <c r="I3731">
        <f t="shared" si="233"/>
        <v>3</v>
      </c>
      <c r="J3731" t="str">
        <f t="shared" si="234"/>
        <v>Mar</v>
      </c>
      <c r="K3731" t="str">
        <f t="shared" si="235"/>
        <v>Thu</v>
      </c>
    </row>
    <row r="3732" spans="1:11" x14ac:dyDescent="0.35">
      <c r="A3732" s="1">
        <v>40977</v>
      </c>
      <c r="B3732">
        <v>9.3395004272460902</v>
      </c>
      <c r="C3732">
        <v>9.3599996566772408</v>
      </c>
      <c r="D3732">
        <v>9.1719999313354492</v>
      </c>
      <c r="E3732">
        <v>9.2159996032714808</v>
      </c>
      <c r="F3732">
        <v>9.2159996032714808</v>
      </c>
      <c r="G3732">
        <v>90212000</v>
      </c>
      <c r="H3732">
        <f t="shared" si="232"/>
        <v>2012</v>
      </c>
      <c r="I3732">
        <f t="shared" si="233"/>
        <v>3</v>
      </c>
      <c r="J3732" t="str">
        <f t="shared" si="234"/>
        <v>Mar</v>
      </c>
      <c r="K3732" t="str">
        <f t="shared" si="235"/>
        <v>Fri</v>
      </c>
    </row>
    <row r="3733" spans="1:11" x14ac:dyDescent="0.35">
      <c r="A3733" s="1">
        <v>40980</v>
      </c>
      <c r="B3733">
        <v>9.2065000534057599</v>
      </c>
      <c r="C3733">
        <v>9.2700004577636701</v>
      </c>
      <c r="D3733">
        <v>9.1099996566772408</v>
      </c>
      <c r="E3733">
        <v>9.1695003509521396</v>
      </c>
      <c r="F3733">
        <v>9.1695003509521396</v>
      </c>
      <c r="G3733">
        <v>51752000</v>
      </c>
      <c r="H3733">
        <f t="shared" si="232"/>
        <v>2012</v>
      </c>
      <c r="I3733">
        <f t="shared" si="233"/>
        <v>3</v>
      </c>
      <c r="J3733" t="str">
        <f t="shared" si="234"/>
        <v>Mar</v>
      </c>
      <c r="K3733" t="str">
        <f t="shared" si="235"/>
        <v>Mon</v>
      </c>
    </row>
    <row r="3734" spans="1:11" x14ac:dyDescent="0.35">
      <c r="A3734" s="1">
        <v>40981</v>
      </c>
      <c r="B3734">
        <v>9.19600009918212</v>
      </c>
      <c r="C3734">
        <v>9.2434997558593697</v>
      </c>
      <c r="D3734">
        <v>9.0384998321533203</v>
      </c>
      <c r="E3734">
        <v>9.2294998168945295</v>
      </c>
      <c r="F3734">
        <v>9.2294998168945295</v>
      </c>
      <c r="G3734">
        <v>88116000</v>
      </c>
      <c r="H3734">
        <f t="shared" si="232"/>
        <v>2012</v>
      </c>
      <c r="I3734">
        <f t="shared" si="233"/>
        <v>3</v>
      </c>
      <c r="J3734" t="str">
        <f t="shared" si="234"/>
        <v>Mar</v>
      </c>
      <c r="K3734" t="str">
        <f t="shared" si="235"/>
        <v>Tue</v>
      </c>
    </row>
    <row r="3735" spans="1:11" x14ac:dyDescent="0.35">
      <c r="A3735" s="1">
        <v>40982</v>
      </c>
      <c r="B3735">
        <v>9.1824998855590803</v>
      </c>
      <c r="C3735">
        <v>9.2159996032714808</v>
      </c>
      <c r="D3735">
        <v>9.0570001602172798</v>
      </c>
      <c r="E3735">
        <v>9.1129999160766602</v>
      </c>
      <c r="F3735">
        <v>9.1129999160766602</v>
      </c>
      <c r="G3735">
        <v>73994000</v>
      </c>
      <c r="H3735">
        <f t="shared" si="232"/>
        <v>2012</v>
      </c>
      <c r="I3735">
        <f t="shared" si="233"/>
        <v>3</v>
      </c>
      <c r="J3735" t="str">
        <f t="shared" si="234"/>
        <v>Mar</v>
      </c>
      <c r="K3735" t="str">
        <f t="shared" si="235"/>
        <v>Wed</v>
      </c>
    </row>
    <row r="3736" spans="1:11" x14ac:dyDescent="0.35">
      <c r="A3736" s="1">
        <v>40983</v>
      </c>
      <c r="B3736">
        <v>9.1009998321533203</v>
      </c>
      <c r="C3736">
        <v>9.2215003967285103</v>
      </c>
      <c r="D3736">
        <v>9.0150003433227504</v>
      </c>
      <c r="E3736">
        <v>9.2215003967285103</v>
      </c>
      <c r="F3736">
        <v>9.2215003967285103</v>
      </c>
      <c r="G3736">
        <v>83202000</v>
      </c>
      <c r="H3736">
        <f t="shared" si="232"/>
        <v>2012</v>
      </c>
      <c r="I3736">
        <f t="shared" si="233"/>
        <v>3</v>
      </c>
      <c r="J3736" t="str">
        <f t="shared" si="234"/>
        <v>Mar</v>
      </c>
      <c r="K3736" t="str">
        <f t="shared" si="235"/>
        <v>Thu</v>
      </c>
    </row>
    <row r="3737" spans="1:11" x14ac:dyDescent="0.35">
      <c r="A3737" s="1">
        <v>40984</v>
      </c>
      <c r="B3737">
        <v>9.1639995574951101</v>
      </c>
      <c r="C3737">
        <v>9.2840003967285103</v>
      </c>
      <c r="D3737">
        <v>9.1175003051757795</v>
      </c>
      <c r="E3737">
        <v>9.2524995803833008</v>
      </c>
      <c r="F3737">
        <v>9.2524995803833008</v>
      </c>
      <c r="G3737">
        <v>98680000</v>
      </c>
      <c r="H3737">
        <f t="shared" si="232"/>
        <v>2012</v>
      </c>
      <c r="I3737">
        <f t="shared" si="233"/>
        <v>3</v>
      </c>
      <c r="J3737" t="str">
        <f t="shared" si="234"/>
        <v>Mar</v>
      </c>
      <c r="K3737" t="str">
        <f t="shared" si="235"/>
        <v>Fri</v>
      </c>
    </row>
    <row r="3738" spans="1:11" x14ac:dyDescent="0.35">
      <c r="A3738" s="1">
        <v>40987</v>
      </c>
      <c r="B3738">
        <v>9.1724996566772408</v>
      </c>
      <c r="C3738">
        <v>9.3339996337890607</v>
      </c>
      <c r="D3738">
        <v>9.1499996185302699</v>
      </c>
      <c r="E3738">
        <v>9.27600002288818</v>
      </c>
      <c r="F3738">
        <v>9.27600002288818</v>
      </c>
      <c r="G3738">
        <v>78068000</v>
      </c>
      <c r="H3738">
        <f t="shared" si="232"/>
        <v>2012</v>
      </c>
      <c r="I3738">
        <f t="shared" si="233"/>
        <v>3</v>
      </c>
      <c r="J3738" t="str">
        <f t="shared" si="234"/>
        <v>Mar</v>
      </c>
      <c r="K3738" t="str">
        <f t="shared" si="235"/>
        <v>Mon</v>
      </c>
    </row>
    <row r="3739" spans="1:11" x14ac:dyDescent="0.35">
      <c r="A3739" s="1">
        <v>40988</v>
      </c>
      <c r="B3739">
        <v>9.2440004348754794</v>
      </c>
      <c r="C3739">
        <v>9.7204999923706001</v>
      </c>
      <c r="D3739">
        <v>9.1440000534057599</v>
      </c>
      <c r="E3739">
        <v>9.6164999008178693</v>
      </c>
      <c r="F3739">
        <v>9.6164999008178693</v>
      </c>
      <c r="G3739">
        <v>183308000</v>
      </c>
      <c r="H3739">
        <f t="shared" si="232"/>
        <v>2012</v>
      </c>
      <c r="I3739">
        <f t="shared" si="233"/>
        <v>3</v>
      </c>
      <c r="J3739" t="str">
        <f t="shared" si="234"/>
        <v>Mar</v>
      </c>
      <c r="K3739" t="str">
        <f t="shared" si="235"/>
        <v>Tue</v>
      </c>
    </row>
    <row r="3740" spans="1:11" x14ac:dyDescent="0.35">
      <c r="A3740" s="1">
        <v>40989</v>
      </c>
      <c r="B3740">
        <v>9.625</v>
      </c>
      <c r="C3740">
        <v>9.7139997482299805</v>
      </c>
      <c r="D3740">
        <v>9.5629997253417898</v>
      </c>
      <c r="E3740">
        <v>9.5865001678466797</v>
      </c>
      <c r="F3740">
        <v>9.5865001678466797</v>
      </c>
      <c r="G3740">
        <v>84288000</v>
      </c>
      <c r="H3740">
        <f t="shared" si="232"/>
        <v>2012</v>
      </c>
      <c r="I3740">
        <f t="shared" si="233"/>
        <v>3</v>
      </c>
      <c r="J3740" t="str">
        <f t="shared" si="234"/>
        <v>Mar</v>
      </c>
      <c r="K3740" t="str">
        <f t="shared" si="235"/>
        <v>Wed</v>
      </c>
    </row>
    <row r="3741" spans="1:11" x14ac:dyDescent="0.35">
      <c r="A3741" s="1">
        <v>40990</v>
      </c>
      <c r="B3741">
        <v>9.5270004272460902</v>
      </c>
      <c r="C3741">
        <v>9.7030000686645508</v>
      </c>
      <c r="D3741">
        <v>9.51299953460693</v>
      </c>
      <c r="E3741">
        <v>9.6199998855590803</v>
      </c>
      <c r="F3741">
        <v>9.6199998855590803</v>
      </c>
      <c r="G3741">
        <v>74792000</v>
      </c>
      <c r="H3741">
        <f t="shared" si="232"/>
        <v>2012</v>
      </c>
      <c r="I3741">
        <f t="shared" si="233"/>
        <v>3</v>
      </c>
      <c r="J3741" t="str">
        <f t="shared" si="234"/>
        <v>Mar</v>
      </c>
      <c r="K3741" t="str">
        <f t="shared" si="235"/>
        <v>Thu</v>
      </c>
    </row>
    <row r="3742" spans="1:11" x14ac:dyDescent="0.35">
      <c r="A3742" s="1">
        <v>40991</v>
      </c>
      <c r="B3742">
        <v>9.6005001068115199</v>
      </c>
      <c r="C3742">
        <v>9.8100004196166992</v>
      </c>
      <c r="D3742">
        <v>9.5900001525878906</v>
      </c>
      <c r="E3742">
        <v>9.7519998550415004</v>
      </c>
      <c r="F3742">
        <v>9.7519998550415004</v>
      </c>
      <c r="G3742">
        <v>119680000</v>
      </c>
      <c r="H3742">
        <f t="shared" si="232"/>
        <v>2012</v>
      </c>
      <c r="I3742">
        <f t="shared" si="233"/>
        <v>3</v>
      </c>
      <c r="J3742" t="str">
        <f t="shared" si="234"/>
        <v>Mar</v>
      </c>
      <c r="K3742" t="str">
        <f t="shared" si="235"/>
        <v>Fri</v>
      </c>
    </row>
    <row r="3743" spans="1:11" x14ac:dyDescent="0.35">
      <c r="A3743" s="1">
        <v>40994</v>
      </c>
      <c r="B3743">
        <v>9.8240003585815394</v>
      </c>
      <c r="C3743">
        <v>10.148500442504799</v>
      </c>
      <c r="D3743">
        <v>9.7749996185302699</v>
      </c>
      <c r="E3743">
        <v>10.143500328063899</v>
      </c>
      <c r="F3743">
        <v>10.143500328063899</v>
      </c>
      <c r="G3743">
        <v>152274000</v>
      </c>
      <c r="H3743">
        <f t="shared" si="232"/>
        <v>2012</v>
      </c>
      <c r="I3743">
        <f t="shared" si="233"/>
        <v>3</v>
      </c>
      <c r="J3743" t="str">
        <f t="shared" si="234"/>
        <v>Mar</v>
      </c>
      <c r="K3743" t="str">
        <f t="shared" si="235"/>
        <v>Mon</v>
      </c>
    </row>
    <row r="3744" spans="1:11" x14ac:dyDescent="0.35">
      <c r="A3744" s="1">
        <v>40995</v>
      </c>
      <c r="B3744">
        <v>10.1794996261596</v>
      </c>
      <c r="C3744">
        <v>10.4925003051757</v>
      </c>
      <c r="D3744">
        <v>10.1440000534057</v>
      </c>
      <c r="E3744">
        <v>10.272000312805099</v>
      </c>
      <c r="F3744">
        <v>10.272000312805099</v>
      </c>
      <c r="G3744">
        <v>192016000</v>
      </c>
      <c r="H3744">
        <f t="shared" si="232"/>
        <v>2012</v>
      </c>
      <c r="I3744">
        <f t="shared" si="233"/>
        <v>3</v>
      </c>
      <c r="J3744" t="str">
        <f t="shared" si="234"/>
        <v>Mar</v>
      </c>
      <c r="K3744" t="str">
        <f t="shared" si="235"/>
        <v>Tue</v>
      </c>
    </row>
    <row r="3745" spans="1:11" x14ac:dyDescent="0.35">
      <c r="A3745" s="1">
        <v>40996</v>
      </c>
      <c r="B3745">
        <v>10.3070001602172</v>
      </c>
      <c r="C3745">
        <v>10.3500003814697</v>
      </c>
      <c r="D3745">
        <v>10.015500068664499</v>
      </c>
      <c r="E3745">
        <v>10.057999610900801</v>
      </c>
      <c r="F3745">
        <v>10.057999610900801</v>
      </c>
      <c r="G3745">
        <v>124900000</v>
      </c>
      <c r="H3745">
        <f t="shared" si="232"/>
        <v>2012</v>
      </c>
      <c r="I3745">
        <f t="shared" si="233"/>
        <v>3</v>
      </c>
      <c r="J3745" t="str">
        <f t="shared" si="234"/>
        <v>Mar</v>
      </c>
      <c r="K3745" t="str">
        <f t="shared" si="235"/>
        <v>Wed</v>
      </c>
    </row>
    <row r="3746" spans="1:11" x14ac:dyDescent="0.35">
      <c r="A3746" s="1">
        <v>40997</v>
      </c>
      <c r="B3746">
        <v>10.0640001296997</v>
      </c>
      <c r="C3746">
        <v>10.265500068664499</v>
      </c>
      <c r="D3746">
        <v>10.031499862670801</v>
      </c>
      <c r="E3746">
        <v>10.230500221252401</v>
      </c>
      <c r="F3746">
        <v>10.230500221252401</v>
      </c>
      <c r="G3746">
        <v>114224000</v>
      </c>
      <c r="H3746">
        <f t="shared" si="232"/>
        <v>2012</v>
      </c>
      <c r="I3746">
        <f t="shared" si="233"/>
        <v>3</v>
      </c>
      <c r="J3746" t="str">
        <f t="shared" si="234"/>
        <v>Mar</v>
      </c>
      <c r="K3746" t="str">
        <f t="shared" si="235"/>
        <v>Thu</v>
      </c>
    </row>
    <row r="3747" spans="1:11" x14ac:dyDescent="0.35">
      <c r="A3747" s="1">
        <v>40998</v>
      </c>
      <c r="B3747">
        <v>10.251000404357899</v>
      </c>
      <c r="C3747">
        <v>10.342499732971101</v>
      </c>
      <c r="D3747">
        <v>10.0935001373291</v>
      </c>
      <c r="E3747">
        <v>10.125499725341699</v>
      </c>
      <c r="F3747">
        <v>10.125499725341699</v>
      </c>
      <c r="G3747">
        <v>88762000</v>
      </c>
      <c r="H3747">
        <f t="shared" si="232"/>
        <v>2012</v>
      </c>
      <c r="I3747">
        <f t="shared" si="233"/>
        <v>3</v>
      </c>
      <c r="J3747" t="str">
        <f t="shared" si="234"/>
        <v>Mar</v>
      </c>
      <c r="K3747" t="str">
        <f t="shared" si="235"/>
        <v>Fri</v>
      </c>
    </row>
    <row r="3748" spans="1:11" x14ac:dyDescent="0.35">
      <c r="A3748" s="1">
        <v>41001</v>
      </c>
      <c r="B3748">
        <v>9.90100002288818</v>
      </c>
      <c r="C3748">
        <v>9.9949998855590803</v>
      </c>
      <c r="D3748">
        <v>9.8500003814697195</v>
      </c>
      <c r="E3748">
        <v>9.9025001525878906</v>
      </c>
      <c r="F3748">
        <v>9.9025001525878906</v>
      </c>
      <c r="G3748">
        <v>128606000</v>
      </c>
      <c r="H3748">
        <f t="shared" si="232"/>
        <v>2012</v>
      </c>
      <c r="I3748">
        <f t="shared" si="233"/>
        <v>4</v>
      </c>
      <c r="J3748" t="str">
        <f t="shared" si="234"/>
        <v>Apr</v>
      </c>
      <c r="K3748" t="str">
        <f t="shared" si="235"/>
        <v>Mon</v>
      </c>
    </row>
    <row r="3749" spans="1:11" x14ac:dyDescent="0.35">
      <c r="A3749" s="1">
        <v>41002</v>
      </c>
      <c r="B3749">
        <v>9.9119997024536097</v>
      </c>
      <c r="C3749">
        <v>10.1195001602172</v>
      </c>
      <c r="D3749">
        <v>9.875</v>
      </c>
      <c r="E3749">
        <v>9.9829998016357404</v>
      </c>
      <c r="F3749">
        <v>9.9829998016357404</v>
      </c>
      <c r="G3749">
        <v>100014000</v>
      </c>
      <c r="H3749">
        <f t="shared" si="232"/>
        <v>2012</v>
      </c>
      <c r="I3749">
        <f t="shared" si="233"/>
        <v>4</v>
      </c>
      <c r="J3749" t="str">
        <f t="shared" si="234"/>
        <v>Apr</v>
      </c>
      <c r="K3749" t="str">
        <f t="shared" si="235"/>
        <v>Tue</v>
      </c>
    </row>
    <row r="3750" spans="1:11" x14ac:dyDescent="0.35">
      <c r="A3750" s="1">
        <v>41003</v>
      </c>
      <c r="B3750">
        <v>9.8474998474121094</v>
      </c>
      <c r="C3750">
        <v>9.8839998245239205</v>
      </c>
      <c r="D3750">
        <v>9.6180000305175692</v>
      </c>
      <c r="E3750">
        <v>9.6995000839233398</v>
      </c>
      <c r="F3750">
        <v>9.6995000839233398</v>
      </c>
      <c r="G3750">
        <v>109138000</v>
      </c>
      <c r="H3750">
        <f t="shared" si="232"/>
        <v>2012</v>
      </c>
      <c r="I3750">
        <f t="shared" si="233"/>
        <v>4</v>
      </c>
      <c r="J3750" t="str">
        <f t="shared" si="234"/>
        <v>Apr</v>
      </c>
      <c r="K3750" t="str">
        <f t="shared" si="235"/>
        <v>Wed</v>
      </c>
    </row>
    <row r="3751" spans="1:11" x14ac:dyDescent="0.35">
      <c r="A3751" s="1">
        <v>41004</v>
      </c>
      <c r="B3751">
        <v>9.6774997711181605</v>
      </c>
      <c r="C3751">
        <v>9.8015003204345703</v>
      </c>
      <c r="D3751">
        <v>9.6774997711181605</v>
      </c>
      <c r="E3751">
        <v>9.71949958801269</v>
      </c>
      <c r="F3751">
        <v>9.71949958801269</v>
      </c>
      <c r="G3751">
        <v>64350000</v>
      </c>
      <c r="H3751">
        <f t="shared" si="232"/>
        <v>2012</v>
      </c>
      <c r="I3751">
        <f t="shared" si="233"/>
        <v>4</v>
      </c>
      <c r="J3751" t="str">
        <f t="shared" si="234"/>
        <v>Apr</v>
      </c>
      <c r="K3751" t="str">
        <f t="shared" si="235"/>
        <v>Thu</v>
      </c>
    </row>
    <row r="3752" spans="1:11" x14ac:dyDescent="0.35">
      <c r="A3752" s="1">
        <v>41008</v>
      </c>
      <c r="B3752">
        <v>9.6009998321533203</v>
      </c>
      <c r="C3752">
        <v>9.7100000381469709</v>
      </c>
      <c r="D3752">
        <v>9.5249996185302699</v>
      </c>
      <c r="E3752">
        <v>9.5935001373290998</v>
      </c>
      <c r="F3752">
        <v>9.5935001373290998</v>
      </c>
      <c r="G3752">
        <v>62718000</v>
      </c>
      <c r="H3752">
        <f t="shared" si="232"/>
        <v>2012</v>
      </c>
      <c r="I3752">
        <f t="shared" si="233"/>
        <v>4</v>
      </c>
      <c r="J3752" t="str">
        <f t="shared" si="234"/>
        <v>Apr</v>
      </c>
      <c r="K3752" t="str">
        <f t="shared" si="235"/>
        <v>Mon</v>
      </c>
    </row>
    <row r="3753" spans="1:11" x14ac:dyDescent="0.35">
      <c r="A3753" s="1">
        <v>41009</v>
      </c>
      <c r="B3753">
        <v>9.6374998092651296</v>
      </c>
      <c r="C3753">
        <v>9.6759996414184499</v>
      </c>
      <c r="D3753">
        <v>9.3284997940063406</v>
      </c>
      <c r="E3753">
        <v>9.3489999771118093</v>
      </c>
      <c r="F3753">
        <v>9.3489999771118093</v>
      </c>
      <c r="G3753">
        <v>89100000</v>
      </c>
      <c r="H3753">
        <f t="shared" si="232"/>
        <v>2012</v>
      </c>
      <c r="I3753">
        <f t="shared" si="233"/>
        <v>4</v>
      </c>
      <c r="J3753" t="str">
        <f t="shared" si="234"/>
        <v>Apr</v>
      </c>
      <c r="K3753" t="str">
        <f t="shared" si="235"/>
        <v>Tue</v>
      </c>
    </row>
    <row r="3754" spans="1:11" x14ac:dyDescent="0.35">
      <c r="A3754" s="1">
        <v>41010</v>
      </c>
      <c r="B3754">
        <v>9.4814996719360298</v>
      </c>
      <c r="C3754">
        <v>9.5985002517700195</v>
      </c>
      <c r="D3754">
        <v>9.3395004272460902</v>
      </c>
      <c r="E3754">
        <v>9.3985004425048793</v>
      </c>
      <c r="F3754">
        <v>9.3985004425048793</v>
      </c>
      <c r="G3754">
        <v>86756000</v>
      </c>
      <c r="H3754">
        <f t="shared" si="232"/>
        <v>2012</v>
      </c>
      <c r="I3754">
        <f t="shared" si="233"/>
        <v>4</v>
      </c>
      <c r="J3754" t="str">
        <f t="shared" si="234"/>
        <v>Apr</v>
      </c>
      <c r="K3754" t="str">
        <f t="shared" si="235"/>
        <v>Wed</v>
      </c>
    </row>
    <row r="3755" spans="1:11" x14ac:dyDescent="0.35">
      <c r="A3755" s="1">
        <v>41011</v>
      </c>
      <c r="B3755">
        <v>9.4029998779296804</v>
      </c>
      <c r="C3755">
        <v>9.6129999160766602</v>
      </c>
      <c r="D3755">
        <v>9.2805004119872994</v>
      </c>
      <c r="E3755">
        <v>9.5345001220703107</v>
      </c>
      <c r="F3755">
        <v>9.5345001220703107</v>
      </c>
      <c r="G3755">
        <v>80558000</v>
      </c>
      <c r="H3755">
        <f t="shared" si="232"/>
        <v>2012</v>
      </c>
      <c r="I3755">
        <f t="shared" si="233"/>
        <v>4</v>
      </c>
      <c r="J3755" t="str">
        <f t="shared" si="234"/>
        <v>Apr</v>
      </c>
      <c r="K3755" t="str">
        <f t="shared" si="235"/>
        <v>Thu</v>
      </c>
    </row>
    <row r="3756" spans="1:11" x14ac:dyDescent="0.35">
      <c r="A3756" s="1">
        <v>41012</v>
      </c>
      <c r="B3756">
        <v>9.4949998855590803</v>
      </c>
      <c r="C3756">
        <v>9.4969997406005806</v>
      </c>
      <c r="D3756">
        <v>9.3129997253417898</v>
      </c>
      <c r="E3756">
        <v>9.4230003356933594</v>
      </c>
      <c r="F3756">
        <v>9.4230003356933594</v>
      </c>
      <c r="G3756">
        <v>68636000</v>
      </c>
      <c r="H3756">
        <f t="shared" si="232"/>
        <v>2012</v>
      </c>
      <c r="I3756">
        <f t="shared" si="233"/>
        <v>4</v>
      </c>
      <c r="J3756" t="str">
        <f t="shared" si="234"/>
        <v>Apr</v>
      </c>
      <c r="K3756" t="str">
        <f t="shared" si="235"/>
        <v>Fri</v>
      </c>
    </row>
    <row r="3757" spans="1:11" x14ac:dyDescent="0.35">
      <c r="A3757" s="1">
        <v>41015</v>
      </c>
      <c r="B3757">
        <v>9.45049953460693</v>
      </c>
      <c r="C3757">
        <v>9.4735002517700195</v>
      </c>
      <c r="D3757">
        <v>9.1824998855590803</v>
      </c>
      <c r="E3757">
        <v>9.2749996185302699</v>
      </c>
      <c r="F3757">
        <v>9.2749996185302699</v>
      </c>
      <c r="G3757">
        <v>80886000</v>
      </c>
      <c r="H3757">
        <f t="shared" si="232"/>
        <v>2012</v>
      </c>
      <c r="I3757">
        <f t="shared" si="233"/>
        <v>4</v>
      </c>
      <c r="J3757" t="str">
        <f t="shared" si="234"/>
        <v>Apr</v>
      </c>
      <c r="K3757" t="str">
        <f t="shared" si="235"/>
        <v>Mon</v>
      </c>
    </row>
    <row r="3758" spans="1:11" x14ac:dyDescent="0.35">
      <c r="A3758" s="1">
        <v>41016</v>
      </c>
      <c r="B3758">
        <v>9.3605003356933594</v>
      </c>
      <c r="C3758">
        <v>9.5019998550415004</v>
      </c>
      <c r="D3758">
        <v>9.3435001373290998</v>
      </c>
      <c r="E3758">
        <v>9.4195003509521396</v>
      </c>
      <c r="F3758">
        <v>9.4195003509521396</v>
      </c>
      <c r="G3758">
        <v>56584000</v>
      </c>
      <c r="H3758">
        <f t="shared" si="232"/>
        <v>2012</v>
      </c>
      <c r="I3758">
        <f t="shared" si="233"/>
        <v>4</v>
      </c>
      <c r="J3758" t="str">
        <f t="shared" si="234"/>
        <v>Apr</v>
      </c>
      <c r="K3758" t="str">
        <f t="shared" si="235"/>
        <v>Tue</v>
      </c>
    </row>
    <row r="3759" spans="1:11" x14ac:dyDescent="0.35">
      <c r="A3759" s="1">
        <v>41017</v>
      </c>
      <c r="B3759">
        <v>9.4409999847412092</v>
      </c>
      <c r="C3759">
        <v>9.6724996566772408</v>
      </c>
      <c r="D3759">
        <v>9.4370002746581996</v>
      </c>
      <c r="E3759">
        <v>9.5535001754760707</v>
      </c>
      <c r="F3759">
        <v>9.5535001754760707</v>
      </c>
      <c r="G3759">
        <v>80038000</v>
      </c>
      <c r="H3759">
        <f t="shared" si="232"/>
        <v>2012</v>
      </c>
      <c r="I3759">
        <f t="shared" si="233"/>
        <v>4</v>
      </c>
      <c r="J3759" t="str">
        <f t="shared" si="234"/>
        <v>Apr</v>
      </c>
      <c r="K3759" t="str">
        <f t="shared" si="235"/>
        <v>Wed</v>
      </c>
    </row>
    <row r="3760" spans="1:11" x14ac:dyDescent="0.35">
      <c r="A3760" s="1">
        <v>41018</v>
      </c>
      <c r="B3760">
        <v>9.6464996337890607</v>
      </c>
      <c r="C3760">
        <v>9.7274999618530202</v>
      </c>
      <c r="D3760">
        <v>9.4875001907348597</v>
      </c>
      <c r="E3760">
        <v>9.5550003051757795</v>
      </c>
      <c r="F3760">
        <v>9.5550003051757795</v>
      </c>
      <c r="G3760">
        <v>80048000</v>
      </c>
      <c r="H3760">
        <f t="shared" si="232"/>
        <v>2012</v>
      </c>
      <c r="I3760">
        <f t="shared" si="233"/>
        <v>4</v>
      </c>
      <c r="J3760" t="str">
        <f t="shared" si="234"/>
        <v>Apr</v>
      </c>
      <c r="K3760" t="str">
        <f t="shared" si="235"/>
        <v>Thu</v>
      </c>
    </row>
    <row r="3761" spans="1:11" x14ac:dyDescent="0.35">
      <c r="A3761" s="1">
        <v>41019</v>
      </c>
      <c r="B3761">
        <v>9.6169996261596609</v>
      </c>
      <c r="C3761">
        <v>9.6739997863769496</v>
      </c>
      <c r="D3761">
        <v>9.4899997711181605</v>
      </c>
      <c r="E3761">
        <v>9.4989995956420898</v>
      </c>
      <c r="F3761">
        <v>9.4989995956420898</v>
      </c>
      <c r="G3761">
        <v>64872000</v>
      </c>
      <c r="H3761">
        <f t="shared" si="232"/>
        <v>2012</v>
      </c>
      <c r="I3761">
        <f t="shared" si="233"/>
        <v>4</v>
      </c>
      <c r="J3761" t="str">
        <f t="shared" si="234"/>
        <v>Apr</v>
      </c>
      <c r="K3761" t="str">
        <f t="shared" si="235"/>
        <v>Fri</v>
      </c>
    </row>
    <row r="3762" spans="1:11" x14ac:dyDescent="0.35">
      <c r="A3762" s="1">
        <v>41022</v>
      </c>
      <c r="B3762">
        <v>9.4495000839233398</v>
      </c>
      <c r="C3762">
        <v>9.4495000839233398</v>
      </c>
      <c r="D3762">
        <v>9.2755002975463796</v>
      </c>
      <c r="E3762">
        <v>9.4119997024536097</v>
      </c>
      <c r="F3762">
        <v>9.4119997024536097</v>
      </c>
      <c r="G3762">
        <v>69620000</v>
      </c>
      <c r="H3762">
        <f t="shared" si="232"/>
        <v>2012</v>
      </c>
      <c r="I3762">
        <f t="shared" si="233"/>
        <v>4</v>
      </c>
      <c r="J3762" t="str">
        <f t="shared" si="234"/>
        <v>Apr</v>
      </c>
      <c r="K3762" t="str">
        <f t="shared" si="235"/>
        <v>Mon</v>
      </c>
    </row>
    <row r="3763" spans="1:11" x14ac:dyDescent="0.35">
      <c r="A3763" s="1">
        <v>41023</v>
      </c>
      <c r="B3763">
        <v>9.4340000152587802</v>
      </c>
      <c r="C3763">
        <v>9.5349998474121094</v>
      </c>
      <c r="D3763">
        <v>9.32549953460693</v>
      </c>
      <c r="E3763">
        <v>9.5165004730224592</v>
      </c>
      <c r="F3763">
        <v>9.5165004730224592</v>
      </c>
      <c r="G3763">
        <v>67526000</v>
      </c>
      <c r="H3763">
        <f t="shared" si="232"/>
        <v>2012</v>
      </c>
      <c r="I3763">
        <f t="shared" si="233"/>
        <v>4</v>
      </c>
      <c r="J3763" t="str">
        <f t="shared" si="234"/>
        <v>Apr</v>
      </c>
      <c r="K3763" t="str">
        <f t="shared" si="235"/>
        <v>Tue</v>
      </c>
    </row>
    <row r="3764" spans="1:11" x14ac:dyDescent="0.35">
      <c r="A3764" s="1">
        <v>41024</v>
      </c>
      <c r="B3764">
        <v>9.5834999084472603</v>
      </c>
      <c r="C3764">
        <v>9.7399997711181605</v>
      </c>
      <c r="D3764">
        <v>9.5799999237060494</v>
      </c>
      <c r="E3764">
        <v>9.7209997177124006</v>
      </c>
      <c r="F3764">
        <v>9.7209997177124006</v>
      </c>
      <c r="G3764">
        <v>79102000</v>
      </c>
      <c r="H3764">
        <f t="shared" si="232"/>
        <v>2012</v>
      </c>
      <c r="I3764">
        <f t="shared" si="233"/>
        <v>4</v>
      </c>
      <c r="J3764" t="str">
        <f t="shared" si="234"/>
        <v>Apr</v>
      </c>
      <c r="K3764" t="str">
        <f t="shared" si="235"/>
        <v>Wed</v>
      </c>
    </row>
    <row r="3765" spans="1:11" x14ac:dyDescent="0.35">
      <c r="A3765" s="1">
        <v>41025</v>
      </c>
      <c r="B3765">
        <v>9.6785001754760707</v>
      </c>
      <c r="C3765">
        <v>9.8179998397827095</v>
      </c>
      <c r="D3765">
        <v>9.65100002288818</v>
      </c>
      <c r="E3765">
        <v>9.7995004653930593</v>
      </c>
      <c r="F3765">
        <v>9.7995004653930593</v>
      </c>
      <c r="G3765">
        <v>204680000</v>
      </c>
      <c r="H3765">
        <f t="shared" si="232"/>
        <v>2012</v>
      </c>
      <c r="I3765">
        <f t="shared" si="233"/>
        <v>4</v>
      </c>
      <c r="J3765" t="str">
        <f t="shared" si="234"/>
        <v>Apr</v>
      </c>
      <c r="K3765" t="str">
        <f t="shared" si="235"/>
        <v>Thu</v>
      </c>
    </row>
    <row r="3766" spans="1:11" x14ac:dyDescent="0.35">
      <c r="A3766" s="1">
        <v>41026</v>
      </c>
      <c r="B3766">
        <v>11.2414999008178</v>
      </c>
      <c r="C3766">
        <v>11.434499740600501</v>
      </c>
      <c r="D3766">
        <v>11.010999679565399</v>
      </c>
      <c r="E3766">
        <v>11.342499732971101</v>
      </c>
      <c r="F3766">
        <v>11.342499732971101</v>
      </c>
      <c r="G3766">
        <v>442338000</v>
      </c>
      <c r="H3766">
        <f t="shared" si="232"/>
        <v>2012</v>
      </c>
      <c r="I3766">
        <f t="shared" si="233"/>
        <v>4</v>
      </c>
      <c r="J3766" t="str">
        <f t="shared" si="234"/>
        <v>Apr</v>
      </c>
      <c r="K3766" t="str">
        <f t="shared" si="235"/>
        <v>Fri</v>
      </c>
    </row>
    <row r="3767" spans="1:11" x14ac:dyDescent="0.35">
      <c r="A3767" s="1">
        <v>41029</v>
      </c>
      <c r="B3767">
        <v>11.1975002288818</v>
      </c>
      <c r="C3767">
        <v>11.6920003890991</v>
      </c>
      <c r="D3767">
        <v>11.1525001525878</v>
      </c>
      <c r="E3767">
        <v>11.5950002670288</v>
      </c>
      <c r="F3767">
        <v>11.5950002670288</v>
      </c>
      <c r="G3767">
        <v>195138000</v>
      </c>
      <c r="H3767">
        <f t="shared" si="232"/>
        <v>2012</v>
      </c>
      <c r="I3767">
        <f t="shared" si="233"/>
        <v>4</v>
      </c>
      <c r="J3767" t="str">
        <f t="shared" si="234"/>
        <v>Apr</v>
      </c>
      <c r="K3767" t="str">
        <f t="shared" si="235"/>
        <v>Mon</v>
      </c>
    </row>
    <row r="3768" spans="1:11" x14ac:dyDescent="0.35">
      <c r="A3768" s="1">
        <v>41030</v>
      </c>
      <c r="B3768">
        <v>11.4700002670288</v>
      </c>
      <c r="C3768">
        <v>11.648500442504799</v>
      </c>
      <c r="D3768">
        <v>11.420000076293899</v>
      </c>
      <c r="E3768">
        <v>11.5019998550415</v>
      </c>
      <c r="F3768">
        <v>11.5019998550415</v>
      </c>
      <c r="G3768">
        <v>135098000</v>
      </c>
      <c r="H3768">
        <f t="shared" si="232"/>
        <v>2012</v>
      </c>
      <c r="I3768">
        <f t="shared" si="233"/>
        <v>5</v>
      </c>
      <c r="J3768" t="str">
        <f t="shared" si="234"/>
        <v>May</v>
      </c>
      <c r="K3768" t="str">
        <f t="shared" si="235"/>
        <v>Tue</v>
      </c>
    </row>
    <row r="3769" spans="1:11" x14ac:dyDescent="0.35">
      <c r="A3769" s="1">
        <v>41031</v>
      </c>
      <c r="B3769">
        <v>11.3909997940063</v>
      </c>
      <c r="C3769">
        <v>11.5719995498657</v>
      </c>
      <c r="D3769">
        <v>11.369999885559</v>
      </c>
      <c r="E3769">
        <v>11.512499809265099</v>
      </c>
      <c r="F3769">
        <v>11.512499809265099</v>
      </c>
      <c r="G3769">
        <v>91868000</v>
      </c>
      <c r="H3769">
        <f t="shared" si="232"/>
        <v>2012</v>
      </c>
      <c r="I3769">
        <f t="shared" si="233"/>
        <v>5</v>
      </c>
      <c r="J3769" t="str">
        <f t="shared" si="234"/>
        <v>May</v>
      </c>
      <c r="K3769" t="str">
        <f t="shared" si="235"/>
        <v>Wed</v>
      </c>
    </row>
    <row r="3770" spans="1:11" x14ac:dyDescent="0.35">
      <c r="A3770" s="1">
        <v>41032</v>
      </c>
      <c r="B3770">
        <v>11.487000465393001</v>
      </c>
      <c r="C3770">
        <v>11.6265001296997</v>
      </c>
      <c r="D3770">
        <v>11.401499748229901</v>
      </c>
      <c r="E3770">
        <v>11.4724998474121</v>
      </c>
      <c r="F3770">
        <v>11.4724998474121</v>
      </c>
      <c r="G3770">
        <v>81110000</v>
      </c>
      <c r="H3770">
        <f t="shared" si="232"/>
        <v>2012</v>
      </c>
      <c r="I3770">
        <f t="shared" si="233"/>
        <v>5</v>
      </c>
      <c r="J3770" t="str">
        <f t="shared" si="234"/>
        <v>May</v>
      </c>
      <c r="K3770" t="str">
        <f t="shared" si="235"/>
        <v>Thu</v>
      </c>
    </row>
    <row r="3771" spans="1:11" x14ac:dyDescent="0.35">
      <c r="A3771" s="1">
        <v>41033</v>
      </c>
      <c r="B3771">
        <v>11.390000343322701</v>
      </c>
      <c r="C3771">
        <v>11.486000061035099</v>
      </c>
      <c r="D3771">
        <v>11.1870002746582</v>
      </c>
      <c r="E3771">
        <v>11.199500083923301</v>
      </c>
      <c r="F3771">
        <v>11.199500083923301</v>
      </c>
      <c r="G3771">
        <v>91704000</v>
      </c>
      <c r="H3771">
        <f t="shared" si="232"/>
        <v>2012</v>
      </c>
      <c r="I3771">
        <f t="shared" si="233"/>
        <v>5</v>
      </c>
      <c r="J3771" t="str">
        <f t="shared" si="234"/>
        <v>May</v>
      </c>
      <c r="K3771" t="str">
        <f t="shared" si="235"/>
        <v>Fri</v>
      </c>
    </row>
    <row r="3772" spans="1:11" x14ac:dyDescent="0.35">
      <c r="A3772" s="1">
        <v>41036</v>
      </c>
      <c r="B3772">
        <v>11.1180000305175</v>
      </c>
      <c r="C3772">
        <v>11.3435001373291</v>
      </c>
      <c r="D3772">
        <v>11.1145000457763</v>
      </c>
      <c r="E3772">
        <v>11.2580003738403</v>
      </c>
      <c r="F3772">
        <v>11.2580003738403</v>
      </c>
      <c r="G3772">
        <v>66286000</v>
      </c>
      <c r="H3772">
        <f t="shared" si="232"/>
        <v>2012</v>
      </c>
      <c r="I3772">
        <f t="shared" si="233"/>
        <v>5</v>
      </c>
      <c r="J3772" t="str">
        <f t="shared" si="234"/>
        <v>May</v>
      </c>
      <c r="K3772" t="str">
        <f t="shared" si="235"/>
        <v>Mon</v>
      </c>
    </row>
    <row r="3773" spans="1:11" x14ac:dyDescent="0.35">
      <c r="A3773" s="1">
        <v>41037</v>
      </c>
      <c r="B3773">
        <v>11.1575002670288</v>
      </c>
      <c r="C3773">
        <v>11.2694997787475</v>
      </c>
      <c r="D3773">
        <v>10.9099998474121</v>
      </c>
      <c r="E3773">
        <v>11.194999694824199</v>
      </c>
      <c r="F3773">
        <v>11.194999694824199</v>
      </c>
      <c r="G3773">
        <v>90448000</v>
      </c>
      <c r="H3773">
        <f t="shared" si="232"/>
        <v>2012</v>
      </c>
      <c r="I3773">
        <f t="shared" si="233"/>
        <v>5</v>
      </c>
      <c r="J3773" t="str">
        <f t="shared" si="234"/>
        <v>May</v>
      </c>
      <c r="K3773" t="str">
        <f t="shared" si="235"/>
        <v>Tue</v>
      </c>
    </row>
    <row r="3774" spans="1:11" x14ac:dyDescent="0.35">
      <c r="A3774" s="1">
        <v>41038</v>
      </c>
      <c r="B3774">
        <v>11.0295000076293</v>
      </c>
      <c r="C3774">
        <v>11.288999557495099</v>
      </c>
      <c r="D3774">
        <v>11.0080003738403</v>
      </c>
      <c r="E3774">
        <v>11.1490001678466</v>
      </c>
      <c r="F3774">
        <v>11.1490001678466</v>
      </c>
      <c r="G3774">
        <v>74240000</v>
      </c>
      <c r="H3774">
        <f t="shared" si="232"/>
        <v>2012</v>
      </c>
      <c r="I3774">
        <f t="shared" si="233"/>
        <v>5</v>
      </c>
      <c r="J3774" t="str">
        <f t="shared" si="234"/>
        <v>May</v>
      </c>
      <c r="K3774" t="str">
        <f t="shared" si="235"/>
        <v>Wed</v>
      </c>
    </row>
    <row r="3775" spans="1:11" x14ac:dyDescent="0.35">
      <c r="A3775" s="1">
        <v>41039</v>
      </c>
      <c r="B3775">
        <v>11.1955003738403</v>
      </c>
      <c r="C3775">
        <v>11.454000473022401</v>
      </c>
      <c r="D3775">
        <v>11.0974998474121</v>
      </c>
      <c r="E3775">
        <v>11.334500312805099</v>
      </c>
      <c r="F3775">
        <v>11.334500312805099</v>
      </c>
      <c r="G3775">
        <v>92968000</v>
      </c>
      <c r="H3775">
        <f t="shared" si="232"/>
        <v>2012</v>
      </c>
      <c r="I3775">
        <f t="shared" si="233"/>
        <v>5</v>
      </c>
      <c r="J3775" t="str">
        <f t="shared" si="234"/>
        <v>May</v>
      </c>
      <c r="K3775" t="str">
        <f t="shared" si="235"/>
        <v>Thu</v>
      </c>
    </row>
    <row r="3776" spans="1:11" x14ac:dyDescent="0.35">
      <c r="A3776" s="1">
        <v>41040</v>
      </c>
      <c r="B3776">
        <v>11.2974996566772</v>
      </c>
      <c r="C3776">
        <v>11.5340003967285</v>
      </c>
      <c r="D3776">
        <v>11.2864999771118</v>
      </c>
      <c r="E3776">
        <v>11.383999824523899</v>
      </c>
      <c r="F3776">
        <v>11.383999824523899</v>
      </c>
      <c r="G3776">
        <v>83872000</v>
      </c>
      <c r="H3776">
        <f t="shared" si="232"/>
        <v>2012</v>
      </c>
      <c r="I3776">
        <f t="shared" si="233"/>
        <v>5</v>
      </c>
      <c r="J3776" t="str">
        <f t="shared" si="234"/>
        <v>May</v>
      </c>
      <c r="K3776" t="str">
        <f t="shared" si="235"/>
        <v>Fri</v>
      </c>
    </row>
    <row r="3777" spans="1:11" x14ac:dyDescent="0.35">
      <c r="A3777" s="1">
        <v>41043</v>
      </c>
      <c r="B3777">
        <v>11.279999732971101</v>
      </c>
      <c r="C3777">
        <v>11.3645000457763</v>
      </c>
      <c r="D3777">
        <v>11.125499725341699</v>
      </c>
      <c r="E3777">
        <v>11.146499633789</v>
      </c>
      <c r="F3777">
        <v>11.146499633789</v>
      </c>
      <c r="G3777">
        <v>61932000</v>
      </c>
      <c r="H3777">
        <f t="shared" si="232"/>
        <v>2012</v>
      </c>
      <c r="I3777">
        <f t="shared" si="233"/>
        <v>5</v>
      </c>
      <c r="J3777" t="str">
        <f t="shared" si="234"/>
        <v>May</v>
      </c>
      <c r="K3777" t="str">
        <f t="shared" si="235"/>
        <v>Mon</v>
      </c>
    </row>
    <row r="3778" spans="1:11" x14ac:dyDescent="0.35">
      <c r="A3778" s="1">
        <v>41044</v>
      </c>
      <c r="B3778">
        <v>11.324999809265099</v>
      </c>
      <c r="C3778">
        <v>11.530500411987299</v>
      </c>
      <c r="D3778">
        <v>11.149999618530201</v>
      </c>
      <c r="E3778">
        <v>11.219499588012599</v>
      </c>
      <c r="F3778">
        <v>11.219499588012599</v>
      </c>
      <c r="G3778">
        <v>114274000</v>
      </c>
      <c r="H3778">
        <f t="shared" si="232"/>
        <v>2012</v>
      </c>
      <c r="I3778">
        <f t="shared" si="233"/>
        <v>5</v>
      </c>
      <c r="J3778" t="str">
        <f t="shared" si="234"/>
        <v>May</v>
      </c>
      <c r="K3778" t="str">
        <f t="shared" si="235"/>
        <v>Tue</v>
      </c>
    </row>
    <row r="3779" spans="1:11" x14ac:dyDescent="0.35">
      <c r="A3779" s="1">
        <v>41045</v>
      </c>
      <c r="B3779">
        <v>11.25</v>
      </c>
      <c r="C3779">
        <v>11.399999618530201</v>
      </c>
      <c r="D3779">
        <v>11.125</v>
      </c>
      <c r="E3779">
        <v>11.203000068664499</v>
      </c>
      <c r="F3779">
        <v>11.203000068664499</v>
      </c>
      <c r="G3779">
        <v>105236000</v>
      </c>
      <c r="H3779">
        <f t="shared" si="232"/>
        <v>2012</v>
      </c>
      <c r="I3779">
        <f t="shared" si="233"/>
        <v>5</v>
      </c>
      <c r="J3779" t="str">
        <f t="shared" si="234"/>
        <v>May</v>
      </c>
      <c r="K3779" t="str">
        <f t="shared" si="235"/>
        <v>Wed</v>
      </c>
    </row>
    <row r="3780" spans="1:11" x14ac:dyDescent="0.35">
      <c r="A3780" s="1">
        <v>41046</v>
      </c>
      <c r="B3780">
        <v>11.252499580383301</v>
      </c>
      <c r="C3780">
        <v>11.300000190734799</v>
      </c>
      <c r="D3780">
        <v>10.9045000076293</v>
      </c>
      <c r="E3780">
        <v>10.918000221252401</v>
      </c>
      <c r="F3780">
        <v>10.918000221252401</v>
      </c>
      <c r="G3780">
        <v>90110000</v>
      </c>
      <c r="H3780">
        <f t="shared" ref="H3780:H3843" si="236">YEAR($A3780)</f>
        <v>2012</v>
      </c>
      <c r="I3780">
        <f t="shared" ref="I3780:I3843" si="237">MONTH($A3780)</f>
        <v>5</v>
      </c>
      <c r="J3780" t="str">
        <f t="shared" ref="J3780:J3843" si="238">TEXT($A3780,"mmm")</f>
        <v>May</v>
      </c>
      <c r="K3780" t="str">
        <f t="shared" ref="K3780:K3843" si="239">TEXT($A3780,"ddd")</f>
        <v>Thu</v>
      </c>
    </row>
    <row r="3781" spans="1:11" x14ac:dyDescent="0.35">
      <c r="A3781" s="1">
        <v>41047</v>
      </c>
      <c r="B3781">
        <v>10.9704999923706</v>
      </c>
      <c r="C3781">
        <v>10.981499671936</v>
      </c>
      <c r="D3781">
        <v>10.640500068664499</v>
      </c>
      <c r="E3781">
        <v>10.6925001144409</v>
      </c>
      <c r="F3781">
        <v>10.6925001144409</v>
      </c>
      <c r="G3781">
        <v>104634000</v>
      </c>
      <c r="H3781">
        <f t="shared" si="236"/>
        <v>2012</v>
      </c>
      <c r="I3781">
        <f t="shared" si="237"/>
        <v>5</v>
      </c>
      <c r="J3781" t="str">
        <f t="shared" si="238"/>
        <v>May</v>
      </c>
      <c r="K3781" t="str">
        <f t="shared" si="239"/>
        <v>Fri</v>
      </c>
    </row>
    <row r="3782" spans="1:11" x14ac:dyDescent="0.35">
      <c r="A3782" s="1">
        <v>41050</v>
      </c>
      <c r="B3782">
        <v>10.701499938964799</v>
      </c>
      <c r="C3782">
        <v>10.998999595641999</v>
      </c>
      <c r="D3782">
        <v>10.6409997940063</v>
      </c>
      <c r="E3782">
        <v>10.905500411987299</v>
      </c>
      <c r="F3782">
        <v>10.905500411987299</v>
      </c>
      <c r="G3782">
        <v>71596000</v>
      </c>
      <c r="H3782">
        <f t="shared" si="236"/>
        <v>2012</v>
      </c>
      <c r="I3782">
        <f t="shared" si="237"/>
        <v>5</v>
      </c>
      <c r="J3782" t="str">
        <f t="shared" si="238"/>
        <v>May</v>
      </c>
      <c r="K3782" t="str">
        <f t="shared" si="239"/>
        <v>Mon</v>
      </c>
    </row>
    <row r="3783" spans="1:11" x14ac:dyDescent="0.35">
      <c r="A3783" s="1">
        <v>41051</v>
      </c>
      <c r="B3783">
        <v>10.915499687194799</v>
      </c>
      <c r="C3783">
        <v>10.943499565124499</v>
      </c>
      <c r="D3783">
        <v>10.697999954223601</v>
      </c>
      <c r="E3783">
        <v>10.766500473022401</v>
      </c>
      <c r="F3783">
        <v>10.766500473022401</v>
      </c>
      <c r="G3783">
        <v>74662000</v>
      </c>
      <c r="H3783">
        <f t="shared" si="236"/>
        <v>2012</v>
      </c>
      <c r="I3783">
        <f t="shared" si="237"/>
        <v>5</v>
      </c>
      <c r="J3783" t="str">
        <f t="shared" si="238"/>
        <v>May</v>
      </c>
      <c r="K3783" t="str">
        <f t="shared" si="239"/>
        <v>Tue</v>
      </c>
    </row>
    <row r="3784" spans="1:11" x14ac:dyDescent="0.35">
      <c r="A3784" s="1">
        <v>41052</v>
      </c>
      <c r="B3784">
        <v>10.735500335693301</v>
      </c>
      <c r="C3784">
        <v>10.877499580383301</v>
      </c>
      <c r="D3784">
        <v>10.5590000152587</v>
      </c>
      <c r="E3784">
        <v>10.864000320434499</v>
      </c>
      <c r="F3784">
        <v>10.864000320434499</v>
      </c>
      <c r="G3784">
        <v>84876000</v>
      </c>
      <c r="H3784">
        <f t="shared" si="236"/>
        <v>2012</v>
      </c>
      <c r="I3784">
        <f t="shared" si="237"/>
        <v>5</v>
      </c>
      <c r="J3784" t="str">
        <f t="shared" si="238"/>
        <v>May</v>
      </c>
      <c r="K3784" t="str">
        <f t="shared" si="239"/>
        <v>Wed</v>
      </c>
    </row>
    <row r="3785" spans="1:11" x14ac:dyDescent="0.35">
      <c r="A3785" s="1">
        <v>41053</v>
      </c>
      <c r="B3785">
        <v>10.8489999771118</v>
      </c>
      <c r="C3785">
        <v>10.8830003738403</v>
      </c>
      <c r="D3785">
        <v>10.6350002288818</v>
      </c>
      <c r="E3785">
        <v>10.762000083923301</v>
      </c>
      <c r="F3785">
        <v>10.762000083923301</v>
      </c>
      <c r="G3785">
        <v>62822000</v>
      </c>
      <c r="H3785">
        <f t="shared" si="236"/>
        <v>2012</v>
      </c>
      <c r="I3785">
        <f t="shared" si="237"/>
        <v>5</v>
      </c>
      <c r="J3785" t="str">
        <f t="shared" si="238"/>
        <v>May</v>
      </c>
      <c r="K3785" t="str">
        <f t="shared" si="239"/>
        <v>Thu</v>
      </c>
    </row>
    <row r="3786" spans="1:11" x14ac:dyDescent="0.35">
      <c r="A3786" s="1">
        <v>41054</v>
      </c>
      <c r="B3786">
        <v>10.7495002746582</v>
      </c>
      <c r="C3786">
        <v>10.7989997863769</v>
      </c>
      <c r="D3786">
        <v>10.611000061035099</v>
      </c>
      <c r="E3786">
        <v>10.6444997787475</v>
      </c>
      <c r="F3786">
        <v>10.6444997787475</v>
      </c>
      <c r="G3786">
        <v>43428000</v>
      </c>
      <c r="H3786">
        <f t="shared" si="236"/>
        <v>2012</v>
      </c>
      <c r="I3786">
        <f t="shared" si="237"/>
        <v>5</v>
      </c>
      <c r="J3786" t="str">
        <f t="shared" si="238"/>
        <v>May</v>
      </c>
      <c r="K3786" t="str">
        <f t="shared" si="239"/>
        <v>Fri</v>
      </c>
    </row>
    <row r="3787" spans="1:11" x14ac:dyDescent="0.35">
      <c r="A3787" s="1">
        <v>41058</v>
      </c>
      <c r="B3787">
        <v>10.7150001525878</v>
      </c>
      <c r="C3787">
        <v>10.827500343322701</v>
      </c>
      <c r="D3787">
        <v>10.6145000457763</v>
      </c>
      <c r="E3787">
        <v>10.737500190734799</v>
      </c>
      <c r="F3787">
        <v>10.737500190734799</v>
      </c>
      <c r="G3787">
        <v>53878000</v>
      </c>
      <c r="H3787">
        <f t="shared" si="236"/>
        <v>2012</v>
      </c>
      <c r="I3787">
        <f t="shared" si="237"/>
        <v>5</v>
      </c>
      <c r="J3787" t="str">
        <f t="shared" si="238"/>
        <v>May</v>
      </c>
      <c r="K3787" t="str">
        <f t="shared" si="239"/>
        <v>Tue</v>
      </c>
    </row>
    <row r="3788" spans="1:11" x14ac:dyDescent="0.35">
      <c r="A3788" s="1">
        <v>41059</v>
      </c>
      <c r="B3788">
        <v>10.6070003509521</v>
      </c>
      <c r="C3788">
        <v>10.6490001678466</v>
      </c>
      <c r="D3788">
        <v>10.387499809265099</v>
      </c>
      <c r="E3788">
        <v>10.4615001678466</v>
      </c>
      <c r="F3788">
        <v>10.4615001678466</v>
      </c>
      <c r="G3788">
        <v>81564000</v>
      </c>
      <c r="H3788">
        <f t="shared" si="236"/>
        <v>2012</v>
      </c>
      <c r="I3788">
        <f t="shared" si="237"/>
        <v>5</v>
      </c>
      <c r="J3788" t="str">
        <f t="shared" si="238"/>
        <v>May</v>
      </c>
      <c r="K3788" t="str">
        <f t="shared" si="239"/>
        <v>Wed</v>
      </c>
    </row>
    <row r="3789" spans="1:11" x14ac:dyDescent="0.35">
      <c r="A3789" s="1">
        <v>41060</v>
      </c>
      <c r="B3789">
        <v>10.4739999771118</v>
      </c>
      <c r="C3789">
        <v>10.6894998550415</v>
      </c>
      <c r="D3789">
        <v>10.355500221252401</v>
      </c>
      <c r="E3789">
        <v>10.645500183105399</v>
      </c>
      <c r="F3789">
        <v>10.645500183105399</v>
      </c>
      <c r="G3789">
        <v>98880000</v>
      </c>
      <c r="H3789">
        <f t="shared" si="236"/>
        <v>2012</v>
      </c>
      <c r="I3789">
        <f t="shared" si="237"/>
        <v>5</v>
      </c>
      <c r="J3789" t="str">
        <f t="shared" si="238"/>
        <v>May</v>
      </c>
      <c r="K3789" t="str">
        <f t="shared" si="239"/>
        <v>Thu</v>
      </c>
    </row>
    <row r="3790" spans="1:11" x14ac:dyDescent="0.35">
      <c r="A3790" s="1">
        <v>41061</v>
      </c>
      <c r="B3790">
        <v>10.421999931335399</v>
      </c>
      <c r="C3790">
        <v>10.561499595641999</v>
      </c>
      <c r="D3790">
        <v>10.3649997711181</v>
      </c>
      <c r="E3790">
        <v>10.41100025177</v>
      </c>
      <c r="F3790">
        <v>10.41100025177</v>
      </c>
      <c r="G3790">
        <v>79030000</v>
      </c>
      <c r="H3790">
        <f t="shared" si="236"/>
        <v>2012</v>
      </c>
      <c r="I3790">
        <f t="shared" si="237"/>
        <v>6</v>
      </c>
      <c r="J3790" t="str">
        <f t="shared" si="238"/>
        <v>Jun</v>
      </c>
      <c r="K3790" t="str">
        <f t="shared" si="239"/>
        <v>Fri</v>
      </c>
    </row>
    <row r="3791" spans="1:11" x14ac:dyDescent="0.35">
      <c r="A3791" s="1">
        <v>41064</v>
      </c>
      <c r="B3791">
        <v>10.369999885559</v>
      </c>
      <c r="C3791">
        <v>10.767499923706</v>
      </c>
      <c r="D3791">
        <v>10.318499565124499</v>
      </c>
      <c r="E3791">
        <v>10.7285003662109</v>
      </c>
      <c r="F3791">
        <v>10.7285003662109</v>
      </c>
      <c r="G3791">
        <v>85992000</v>
      </c>
      <c r="H3791">
        <f t="shared" si="236"/>
        <v>2012</v>
      </c>
      <c r="I3791">
        <f t="shared" si="237"/>
        <v>6</v>
      </c>
      <c r="J3791" t="str">
        <f t="shared" si="238"/>
        <v>Jun</v>
      </c>
      <c r="K3791" t="str">
        <f t="shared" si="239"/>
        <v>Mon</v>
      </c>
    </row>
    <row r="3792" spans="1:11" x14ac:dyDescent="0.35">
      <c r="A3792" s="1">
        <v>41065</v>
      </c>
      <c r="B3792">
        <v>10.6925001144409</v>
      </c>
      <c r="C3792">
        <v>10.843000411987299</v>
      </c>
      <c r="D3792">
        <v>10.557999610900801</v>
      </c>
      <c r="E3792">
        <v>10.660499572753899</v>
      </c>
      <c r="F3792">
        <v>10.660499572753899</v>
      </c>
      <c r="G3792">
        <v>70878000</v>
      </c>
      <c r="H3792">
        <f t="shared" si="236"/>
        <v>2012</v>
      </c>
      <c r="I3792">
        <f t="shared" si="237"/>
        <v>6</v>
      </c>
      <c r="J3792" t="str">
        <f t="shared" si="238"/>
        <v>Jun</v>
      </c>
      <c r="K3792" t="str">
        <f t="shared" si="239"/>
        <v>Tue</v>
      </c>
    </row>
    <row r="3793" spans="1:11" x14ac:dyDescent="0.35">
      <c r="A3793" s="1">
        <v>41066</v>
      </c>
      <c r="B3793">
        <v>10.731499671936</v>
      </c>
      <c r="C3793">
        <v>10.920000076293899</v>
      </c>
      <c r="D3793">
        <v>10.725999832153301</v>
      </c>
      <c r="E3793">
        <v>10.881999969482401</v>
      </c>
      <c r="F3793">
        <v>10.881999969482401</v>
      </c>
      <c r="G3793">
        <v>54202000</v>
      </c>
      <c r="H3793">
        <f t="shared" si="236"/>
        <v>2012</v>
      </c>
      <c r="I3793">
        <f t="shared" si="237"/>
        <v>6</v>
      </c>
      <c r="J3793" t="str">
        <f t="shared" si="238"/>
        <v>Jun</v>
      </c>
      <c r="K3793" t="str">
        <f t="shared" si="239"/>
        <v>Wed</v>
      </c>
    </row>
    <row r="3794" spans="1:11" x14ac:dyDescent="0.35">
      <c r="A3794" s="1">
        <v>41067</v>
      </c>
      <c r="B3794">
        <v>10.982500076293899</v>
      </c>
      <c r="C3794">
        <v>11.074500083923301</v>
      </c>
      <c r="D3794">
        <v>10.905500411987299</v>
      </c>
      <c r="E3794">
        <v>10.939999580383301</v>
      </c>
      <c r="F3794">
        <v>10.939999580383301</v>
      </c>
      <c r="G3794">
        <v>70078000</v>
      </c>
      <c r="H3794">
        <f t="shared" si="236"/>
        <v>2012</v>
      </c>
      <c r="I3794">
        <f t="shared" si="237"/>
        <v>6</v>
      </c>
      <c r="J3794" t="str">
        <f t="shared" si="238"/>
        <v>Jun</v>
      </c>
      <c r="K3794" t="str">
        <f t="shared" si="239"/>
        <v>Thu</v>
      </c>
    </row>
    <row r="3795" spans="1:11" x14ac:dyDescent="0.35">
      <c r="A3795" s="1">
        <v>41068</v>
      </c>
      <c r="B3795">
        <v>10.9305000305175</v>
      </c>
      <c r="C3795">
        <v>10.970999717712401</v>
      </c>
      <c r="D3795">
        <v>10.833000183105399</v>
      </c>
      <c r="E3795">
        <v>10.9239997863769</v>
      </c>
      <c r="F3795">
        <v>10.9239997863769</v>
      </c>
      <c r="G3795">
        <v>57540000</v>
      </c>
      <c r="H3795">
        <f t="shared" si="236"/>
        <v>2012</v>
      </c>
      <c r="I3795">
        <f t="shared" si="237"/>
        <v>6</v>
      </c>
      <c r="J3795" t="str">
        <f t="shared" si="238"/>
        <v>Jun</v>
      </c>
      <c r="K3795" t="str">
        <f t="shared" si="239"/>
        <v>Fri</v>
      </c>
    </row>
    <row r="3796" spans="1:11" x14ac:dyDescent="0.35">
      <c r="A3796" s="1">
        <v>41071</v>
      </c>
      <c r="B3796">
        <v>10.8745002746582</v>
      </c>
      <c r="C3796">
        <v>11.043499946594199</v>
      </c>
      <c r="D3796">
        <v>10.7600002288818</v>
      </c>
      <c r="E3796">
        <v>10.824999809265099</v>
      </c>
      <c r="F3796">
        <v>10.824999809265099</v>
      </c>
      <c r="G3796">
        <v>74982000</v>
      </c>
      <c r="H3796">
        <f t="shared" si="236"/>
        <v>2012</v>
      </c>
      <c r="I3796">
        <f t="shared" si="237"/>
        <v>6</v>
      </c>
      <c r="J3796" t="str">
        <f t="shared" si="238"/>
        <v>Jun</v>
      </c>
      <c r="K3796" t="str">
        <f t="shared" si="239"/>
        <v>Mon</v>
      </c>
    </row>
    <row r="3797" spans="1:11" x14ac:dyDescent="0.35">
      <c r="A3797" s="1">
        <v>41072</v>
      </c>
      <c r="B3797">
        <v>10.882499694824199</v>
      </c>
      <c r="C3797">
        <v>10.899999618530201</v>
      </c>
      <c r="D3797">
        <v>10.725999832153301</v>
      </c>
      <c r="E3797">
        <v>10.8210000991821</v>
      </c>
      <c r="F3797">
        <v>10.8210000991821</v>
      </c>
      <c r="G3797">
        <v>56666000</v>
      </c>
      <c r="H3797">
        <f t="shared" si="236"/>
        <v>2012</v>
      </c>
      <c r="I3797">
        <f t="shared" si="237"/>
        <v>6</v>
      </c>
      <c r="J3797" t="str">
        <f t="shared" si="238"/>
        <v>Jun</v>
      </c>
      <c r="K3797" t="str">
        <f t="shared" si="239"/>
        <v>Tue</v>
      </c>
    </row>
    <row r="3798" spans="1:11" x14ac:dyDescent="0.35">
      <c r="A3798" s="1">
        <v>41073</v>
      </c>
      <c r="B3798">
        <v>10.7760000228881</v>
      </c>
      <c r="C3798">
        <v>10.869000434875399</v>
      </c>
      <c r="D3798">
        <v>10.6759996414184</v>
      </c>
      <c r="E3798">
        <v>10.7364997863769</v>
      </c>
      <c r="F3798">
        <v>10.7364997863769</v>
      </c>
      <c r="G3798">
        <v>46504000</v>
      </c>
      <c r="H3798">
        <f t="shared" si="236"/>
        <v>2012</v>
      </c>
      <c r="I3798">
        <f t="shared" si="237"/>
        <v>6</v>
      </c>
      <c r="J3798" t="str">
        <f t="shared" si="238"/>
        <v>Jun</v>
      </c>
      <c r="K3798" t="str">
        <f t="shared" si="239"/>
        <v>Wed</v>
      </c>
    </row>
    <row r="3799" spans="1:11" x14ac:dyDescent="0.35">
      <c r="A3799" s="1">
        <v>41074</v>
      </c>
      <c r="B3799">
        <v>10.7629995346069</v>
      </c>
      <c r="C3799">
        <v>10.824999809265099</v>
      </c>
      <c r="D3799">
        <v>10.6280002593994</v>
      </c>
      <c r="E3799">
        <v>10.7224998474121</v>
      </c>
      <c r="F3799">
        <v>10.7224998474121</v>
      </c>
      <c r="G3799">
        <v>61218000</v>
      </c>
      <c r="H3799">
        <f t="shared" si="236"/>
        <v>2012</v>
      </c>
      <c r="I3799">
        <f t="shared" si="237"/>
        <v>6</v>
      </c>
      <c r="J3799" t="str">
        <f t="shared" si="238"/>
        <v>Jun</v>
      </c>
      <c r="K3799" t="str">
        <f t="shared" si="239"/>
        <v>Thu</v>
      </c>
    </row>
    <row r="3800" spans="1:11" x14ac:dyDescent="0.35">
      <c r="A3800" s="1">
        <v>41075</v>
      </c>
      <c r="B3800">
        <v>10.7644996643066</v>
      </c>
      <c r="C3800">
        <v>10.9665002822875</v>
      </c>
      <c r="D3800">
        <v>10.722999572753899</v>
      </c>
      <c r="E3800">
        <v>10.9174995422363</v>
      </c>
      <c r="F3800">
        <v>10.9174995422363</v>
      </c>
      <c r="G3800">
        <v>75704000</v>
      </c>
      <c r="H3800">
        <f t="shared" si="236"/>
        <v>2012</v>
      </c>
      <c r="I3800">
        <f t="shared" si="237"/>
        <v>6</v>
      </c>
      <c r="J3800" t="str">
        <f t="shared" si="238"/>
        <v>Jun</v>
      </c>
      <c r="K3800" t="str">
        <f t="shared" si="239"/>
        <v>Fri</v>
      </c>
    </row>
    <row r="3801" spans="1:11" x14ac:dyDescent="0.35">
      <c r="A3801" s="1">
        <v>41078</v>
      </c>
      <c r="B3801">
        <v>10.864000320434499</v>
      </c>
      <c r="C3801">
        <v>11.187999725341699</v>
      </c>
      <c r="D3801">
        <v>10.8365001678466</v>
      </c>
      <c r="E3801">
        <v>11.1330003738403</v>
      </c>
      <c r="F3801">
        <v>11.1330003738403</v>
      </c>
      <c r="G3801">
        <v>67392000</v>
      </c>
      <c r="H3801">
        <f t="shared" si="236"/>
        <v>2012</v>
      </c>
      <c r="I3801">
        <f t="shared" si="237"/>
        <v>6</v>
      </c>
      <c r="J3801" t="str">
        <f t="shared" si="238"/>
        <v>Jun</v>
      </c>
      <c r="K3801" t="str">
        <f t="shared" si="239"/>
        <v>Mon</v>
      </c>
    </row>
    <row r="3802" spans="1:11" x14ac:dyDescent="0.35">
      <c r="A3802" s="1">
        <v>41079</v>
      </c>
      <c r="B3802">
        <v>11.1630001068115</v>
      </c>
      <c r="C3802">
        <v>11.2600002288818</v>
      </c>
      <c r="D3802">
        <v>11.083000183105399</v>
      </c>
      <c r="E3802">
        <v>11.201499938964799</v>
      </c>
      <c r="F3802">
        <v>11.201499938964799</v>
      </c>
      <c r="G3802">
        <v>54332000</v>
      </c>
      <c r="H3802">
        <f t="shared" si="236"/>
        <v>2012</v>
      </c>
      <c r="I3802">
        <f t="shared" si="237"/>
        <v>6</v>
      </c>
      <c r="J3802" t="str">
        <f t="shared" si="238"/>
        <v>Jun</v>
      </c>
      <c r="K3802" t="str">
        <f t="shared" si="239"/>
        <v>Tue</v>
      </c>
    </row>
    <row r="3803" spans="1:11" x14ac:dyDescent="0.35">
      <c r="A3803" s="1">
        <v>41080</v>
      </c>
      <c r="B3803">
        <v>11.2255001068115</v>
      </c>
      <c r="C3803">
        <v>11.237000465393001</v>
      </c>
      <c r="D3803">
        <v>11.041999816894499</v>
      </c>
      <c r="E3803">
        <v>11.1510000228881</v>
      </c>
      <c r="F3803">
        <v>11.1510000228881</v>
      </c>
      <c r="G3803">
        <v>48888000</v>
      </c>
      <c r="H3803">
        <f t="shared" si="236"/>
        <v>2012</v>
      </c>
      <c r="I3803">
        <f t="shared" si="237"/>
        <v>6</v>
      </c>
      <c r="J3803" t="str">
        <f t="shared" si="238"/>
        <v>Jun</v>
      </c>
      <c r="K3803" t="str">
        <f t="shared" si="239"/>
        <v>Wed</v>
      </c>
    </row>
    <row r="3804" spans="1:11" x14ac:dyDescent="0.35">
      <c r="A3804" s="1">
        <v>41081</v>
      </c>
      <c r="B3804">
        <v>11.1920003890991</v>
      </c>
      <c r="C3804">
        <v>11.301500320434499</v>
      </c>
      <c r="D3804">
        <v>11.0260000228881</v>
      </c>
      <c r="E3804">
        <v>11.028499603271401</v>
      </c>
      <c r="F3804">
        <v>11.028499603271401</v>
      </c>
      <c r="G3804">
        <v>56860000</v>
      </c>
      <c r="H3804">
        <f t="shared" si="236"/>
        <v>2012</v>
      </c>
      <c r="I3804">
        <f t="shared" si="237"/>
        <v>6</v>
      </c>
      <c r="J3804" t="str">
        <f t="shared" si="238"/>
        <v>Jun</v>
      </c>
      <c r="K3804" t="str">
        <f t="shared" si="239"/>
        <v>Thu</v>
      </c>
    </row>
    <row r="3805" spans="1:11" x14ac:dyDescent="0.35">
      <c r="A3805" s="1">
        <v>41082</v>
      </c>
      <c r="B3805">
        <v>11.0915002822875</v>
      </c>
      <c r="C3805">
        <v>11.125499725341699</v>
      </c>
      <c r="D3805">
        <v>10.967499732971101</v>
      </c>
      <c r="E3805">
        <v>11.1079998016357</v>
      </c>
      <c r="F3805">
        <v>11.1079998016357</v>
      </c>
      <c r="G3805">
        <v>43750000</v>
      </c>
      <c r="H3805">
        <f t="shared" si="236"/>
        <v>2012</v>
      </c>
      <c r="I3805">
        <f t="shared" si="237"/>
        <v>6</v>
      </c>
      <c r="J3805" t="str">
        <f t="shared" si="238"/>
        <v>Jun</v>
      </c>
      <c r="K3805" t="str">
        <f t="shared" si="239"/>
        <v>Fri</v>
      </c>
    </row>
    <row r="3806" spans="1:11" x14ac:dyDescent="0.35">
      <c r="A3806" s="1">
        <v>41085</v>
      </c>
      <c r="B3806">
        <v>11.015000343322701</v>
      </c>
      <c r="C3806">
        <v>11.079500198364199</v>
      </c>
      <c r="D3806">
        <v>10.899999618530201</v>
      </c>
      <c r="E3806">
        <v>11.0034999847412</v>
      </c>
      <c r="F3806">
        <v>11.0034999847412</v>
      </c>
      <c r="G3806">
        <v>47646000</v>
      </c>
      <c r="H3806">
        <f t="shared" si="236"/>
        <v>2012</v>
      </c>
      <c r="I3806">
        <f t="shared" si="237"/>
        <v>6</v>
      </c>
      <c r="J3806" t="str">
        <f t="shared" si="238"/>
        <v>Jun</v>
      </c>
      <c r="K3806" t="str">
        <f t="shared" si="239"/>
        <v>Mon</v>
      </c>
    </row>
    <row r="3807" spans="1:11" x14ac:dyDescent="0.35">
      <c r="A3807" s="1">
        <v>41086</v>
      </c>
      <c r="B3807">
        <v>11.0725002288818</v>
      </c>
      <c r="C3807">
        <v>11.319499969482401</v>
      </c>
      <c r="D3807">
        <v>11.0725002288818</v>
      </c>
      <c r="E3807">
        <v>11.280500411987299</v>
      </c>
      <c r="F3807">
        <v>11.280500411987299</v>
      </c>
      <c r="G3807">
        <v>75082000</v>
      </c>
      <c r="H3807">
        <f t="shared" si="236"/>
        <v>2012</v>
      </c>
      <c r="I3807">
        <f t="shared" si="237"/>
        <v>6</v>
      </c>
      <c r="J3807" t="str">
        <f t="shared" si="238"/>
        <v>Jun</v>
      </c>
      <c r="K3807" t="str">
        <f t="shared" si="239"/>
        <v>Tue</v>
      </c>
    </row>
    <row r="3808" spans="1:11" x14ac:dyDescent="0.35">
      <c r="A3808" s="1">
        <v>41087</v>
      </c>
      <c r="B3808">
        <v>11.250499725341699</v>
      </c>
      <c r="C3808">
        <v>11.375</v>
      </c>
      <c r="D3808">
        <v>11.164999961853001</v>
      </c>
      <c r="E3808">
        <v>11.2810001373291</v>
      </c>
      <c r="F3808">
        <v>11.2810001373291</v>
      </c>
      <c r="G3808">
        <v>55984000</v>
      </c>
      <c r="H3808">
        <f t="shared" si="236"/>
        <v>2012</v>
      </c>
      <c r="I3808">
        <f t="shared" si="237"/>
        <v>6</v>
      </c>
      <c r="J3808" t="str">
        <f t="shared" si="238"/>
        <v>Jun</v>
      </c>
      <c r="K3808" t="str">
        <f t="shared" si="239"/>
        <v>Wed</v>
      </c>
    </row>
    <row r="3809" spans="1:11" x14ac:dyDescent="0.35">
      <c r="A3809" s="1">
        <v>41088</v>
      </c>
      <c r="B3809">
        <v>11.1960000991821</v>
      </c>
      <c r="C3809">
        <v>11.230999946594199</v>
      </c>
      <c r="D3809">
        <v>10.9375</v>
      </c>
      <c r="E3809">
        <v>11.0655002593994</v>
      </c>
      <c r="F3809">
        <v>11.0655002593994</v>
      </c>
      <c r="G3809">
        <v>59896000</v>
      </c>
      <c r="H3809">
        <f t="shared" si="236"/>
        <v>2012</v>
      </c>
      <c r="I3809">
        <f t="shared" si="237"/>
        <v>6</v>
      </c>
      <c r="J3809" t="str">
        <f t="shared" si="238"/>
        <v>Jun</v>
      </c>
      <c r="K3809" t="str">
        <f t="shared" si="239"/>
        <v>Thu</v>
      </c>
    </row>
    <row r="3810" spans="1:11" x14ac:dyDescent="0.35">
      <c r="A3810" s="1">
        <v>41089</v>
      </c>
      <c r="B3810">
        <v>11.2349996566772</v>
      </c>
      <c r="C3810">
        <v>11.4174995422363</v>
      </c>
      <c r="D3810">
        <v>11.1855001449584</v>
      </c>
      <c r="E3810">
        <v>11.4174995422363</v>
      </c>
      <c r="F3810">
        <v>11.4174995422363</v>
      </c>
      <c r="G3810">
        <v>72288000</v>
      </c>
      <c r="H3810">
        <f t="shared" si="236"/>
        <v>2012</v>
      </c>
      <c r="I3810">
        <f t="shared" si="237"/>
        <v>6</v>
      </c>
      <c r="J3810" t="str">
        <f t="shared" si="238"/>
        <v>Jun</v>
      </c>
      <c r="K3810" t="str">
        <f t="shared" si="239"/>
        <v>Fri</v>
      </c>
    </row>
    <row r="3811" spans="1:11" x14ac:dyDescent="0.35">
      <c r="A3811" s="1">
        <v>41092</v>
      </c>
      <c r="B3811">
        <v>11.4650001525878</v>
      </c>
      <c r="C3811">
        <v>11.4670000076293</v>
      </c>
      <c r="D3811">
        <v>11.3170003890991</v>
      </c>
      <c r="E3811">
        <v>11.465999603271401</v>
      </c>
      <c r="F3811">
        <v>11.465999603271401</v>
      </c>
      <c r="G3811">
        <v>46614000</v>
      </c>
      <c r="H3811">
        <f t="shared" si="236"/>
        <v>2012</v>
      </c>
      <c r="I3811">
        <f t="shared" si="237"/>
        <v>7</v>
      </c>
      <c r="J3811" t="str">
        <f t="shared" si="238"/>
        <v>Jul</v>
      </c>
      <c r="K3811" t="str">
        <f t="shared" si="239"/>
        <v>Mon</v>
      </c>
    </row>
    <row r="3812" spans="1:11" x14ac:dyDescent="0.35">
      <c r="A3812" s="1">
        <v>41093</v>
      </c>
      <c r="B3812">
        <v>11.4569997787475</v>
      </c>
      <c r="C3812">
        <v>11.476499557495099</v>
      </c>
      <c r="D3812">
        <v>11.3795003890991</v>
      </c>
      <c r="E3812">
        <v>11.476499557495099</v>
      </c>
      <c r="F3812">
        <v>11.476499557495099</v>
      </c>
      <c r="G3812">
        <v>26634000</v>
      </c>
      <c r="H3812">
        <f t="shared" si="236"/>
        <v>2012</v>
      </c>
      <c r="I3812">
        <f t="shared" si="237"/>
        <v>7</v>
      </c>
      <c r="J3812" t="str">
        <f t="shared" si="238"/>
        <v>Jul</v>
      </c>
      <c r="K3812" t="str">
        <f t="shared" si="239"/>
        <v>Tue</v>
      </c>
    </row>
    <row r="3813" spans="1:11" x14ac:dyDescent="0.35">
      <c r="A3813" s="1">
        <v>41095</v>
      </c>
      <c r="B3813">
        <v>11.4309997558593</v>
      </c>
      <c r="C3813">
        <v>11.524999618530201</v>
      </c>
      <c r="D3813">
        <v>11.326499938964799</v>
      </c>
      <c r="E3813">
        <v>11.352999687194799</v>
      </c>
      <c r="F3813">
        <v>11.352999687194799</v>
      </c>
      <c r="G3813">
        <v>53646000</v>
      </c>
      <c r="H3813">
        <f t="shared" si="236"/>
        <v>2012</v>
      </c>
      <c r="I3813">
        <f t="shared" si="237"/>
        <v>7</v>
      </c>
      <c r="J3813" t="str">
        <f t="shared" si="238"/>
        <v>Jul</v>
      </c>
      <c r="K3813" t="str">
        <f t="shared" si="239"/>
        <v>Thu</v>
      </c>
    </row>
    <row r="3814" spans="1:11" x14ac:dyDescent="0.35">
      <c r="A3814" s="1">
        <v>41096</v>
      </c>
      <c r="B3814">
        <v>11.3175001144409</v>
      </c>
      <c r="C3814">
        <v>11.444999694824199</v>
      </c>
      <c r="D3814">
        <v>11.208999633789</v>
      </c>
      <c r="E3814">
        <v>11.252499580383301</v>
      </c>
      <c r="F3814">
        <v>11.252499580383301</v>
      </c>
      <c r="G3814">
        <v>64064000</v>
      </c>
      <c r="H3814">
        <f t="shared" si="236"/>
        <v>2012</v>
      </c>
      <c r="I3814">
        <f t="shared" si="237"/>
        <v>7</v>
      </c>
      <c r="J3814" t="str">
        <f t="shared" si="238"/>
        <v>Jul</v>
      </c>
      <c r="K3814" t="str">
        <f t="shared" si="239"/>
        <v>Fri</v>
      </c>
    </row>
    <row r="3815" spans="1:11" x14ac:dyDescent="0.35">
      <c r="A3815" s="1">
        <v>41099</v>
      </c>
      <c r="B3815">
        <v>11.25</v>
      </c>
      <c r="C3815">
        <v>11.300000190734799</v>
      </c>
      <c r="D3815">
        <v>11.1724996566772</v>
      </c>
      <c r="E3815">
        <v>11.252499580383301</v>
      </c>
      <c r="F3815">
        <v>11.252499580383301</v>
      </c>
      <c r="G3815">
        <v>38440000</v>
      </c>
      <c r="H3815">
        <f t="shared" si="236"/>
        <v>2012</v>
      </c>
      <c r="I3815">
        <f t="shared" si="237"/>
        <v>7</v>
      </c>
      <c r="J3815" t="str">
        <f t="shared" si="238"/>
        <v>Jul</v>
      </c>
      <c r="K3815" t="str">
        <f t="shared" si="239"/>
        <v>Mon</v>
      </c>
    </row>
    <row r="3816" spans="1:11" x14ac:dyDescent="0.35">
      <c r="A3816" s="1">
        <v>41100</v>
      </c>
      <c r="B3816">
        <v>11.3125</v>
      </c>
      <c r="C3816">
        <v>11.3570003509521</v>
      </c>
      <c r="D3816">
        <v>10.913999557495099</v>
      </c>
      <c r="E3816">
        <v>10.9750003814697</v>
      </c>
      <c r="F3816">
        <v>10.9750003814697</v>
      </c>
      <c r="G3816">
        <v>59642000</v>
      </c>
      <c r="H3816">
        <f t="shared" si="236"/>
        <v>2012</v>
      </c>
      <c r="I3816">
        <f t="shared" si="237"/>
        <v>7</v>
      </c>
      <c r="J3816" t="str">
        <f t="shared" si="238"/>
        <v>Jul</v>
      </c>
      <c r="K3816" t="str">
        <f t="shared" si="239"/>
        <v>Tue</v>
      </c>
    </row>
    <row r="3817" spans="1:11" x14ac:dyDescent="0.35">
      <c r="A3817" s="1">
        <v>41101</v>
      </c>
      <c r="B3817">
        <v>10.9475002288818</v>
      </c>
      <c r="C3817">
        <v>11.0869998931884</v>
      </c>
      <c r="D3817">
        <v>10.767000198364199</v>
      </c>
      <c r="E3817">
        <v>10.918499946594199</v>
      </c>
      <c r="F3817">
        <v>10.918499946594199</v>
      </c>
      <c r="G3817">
        <v>54694000</v>
      </c>
      <c r="H3817">
        <f t="shared" si="236"/>
        <v>2012</v>
      </c>
      <c r="I3817">
        <f t="shared" si="237"/>
        <v>7</v>
      </c>
      <c r="J3817" t="str">
        <f t="shared" si="238"/>
        <v>Jul</v>
      </c>
      <c r="K3817" t="str">
        <f t="shared" si="239"/>
        <v>Wed</v>
      </c>
    </row>
    <row r="3818" spans="1:11" x14ac:dyDescent="0.35">
      <c r="A3818" s="1">
        <v>41102</v>
      </c>
      <c r="B3818">
        <v>10.8304996490478</v>
      </c>
      <c r="C3818">
        <v>10.8649997711181</v>
      </c>
      <c r="D3818">
        <v>10.630499839782701</v>
      </c>
      <c r="E3818">
        <v>10.7679996490478</v>
      </c>
      <c r="F3818">
        <v>10.7679996490478</v>
      </c>
      <c r="G3818">
        <v>52324000</v>
      </c>
      <c r="H3818">
        <f t="shared" si="236"/>
        <v>2012</v>
      </c>
      <c r="I3818">
        <f t="shared" si="237"/>
        <v>7</v>
      </c>
      <c r="J3818" t="str">
        <f t="shared" si="238"/>
        <v>Jul</v>
      </c>
      <c r="K3818" t="str">
        <f t="shared" si="239"/>
        <v>Thu</v>
      </c>
    </row>
    <row r="3819" spans="1:11" x14ac:dyDescent="0.35">
      <c r="A3819" s="1">
        <v>41103</v>
      </c>
      <c r="B3819">
        <v>10.781499862670801</v>
      </c>
      <c r="C3819">
        <v>10.9654998779296</v>
      </c>
      <c r="D3819">
        <v>10.6940002441406</v>
      </c>
      <c r="E3819">
        <v>10.9195003509521</v>
      </c>
      <c r="F3819">
        <v>10.9195003509521</v>
      </c>
      <c r="G3819">
        <v>44438000</v>
      </c>
      <c r="H3819">
        <f t="shared" si="236"/>
        <v>2012</v>
      </c>
      <c r="I3819">
        <f t="shared" si="237"/>
        <v>7</v>
      </c>
      <c r="J3819" t="str">
        <f t="shared" si="238"/>
        <v>Jul</v>
      </c>
      <c r="K3819" t="str">
        <f t="shared" si="239"/>
        <v>Fri</v>
      </c>
    </row>
    <row r="3820" spans="1:11" x14ac:dyDescent="0.35">
      <c r="A3820" s="1">
        <v>41106</v>
      </c>
      <c r="B3820">
        <v>10.829999923706</v>
      </c>
      <c r="C3820">
        <v>10.915499687194799</v>
      </c>
      <c r="D3820">
        <v>10.722999572753899</v>
      </c>
      <c r="E3820">
        <v>10.8004999160766</v>
      </c>
      <c r="F3820">
        <v>10.8004999160766</v>
      </c>
      <c r="G3820">
        <v>40084000</v>
      </c>
      <c r="H3820">
        <f t="shared" si="236"/>
        <v>2012</v>
      </c>
      <c r="I3820">
        <f t="shared" si="237"/>
        <v>7</v>
      </c>
      <c r="J3820" t="str">
        <f t="shared" si="238"/>
        <v>Jul</v>
      </c>
      <c r="K3820" t="str">
        <f t="shared" si="239"/>
        <v>Mon</v>
      </c>
    </row>
    <row r="3821" spans="1:11" x14ac:dyDescent="0.35">
      <c r="A3821" s="1">
        <v>41107</v>
      </c>
      <c r="B3821">
        <v>10.872500419616699</v>
      </c>
      <c r="C3821">
        <v>10.897000312805099</v>
      </c>
      <c r="D3821">
        <v>10.697999954223601</v>
      </c>
      <c r="E3821">
        <v>10.8465003967285</v>
      </c>
      <c r="F3821">
        <v>10.8465003967285</v>
      </c>
      <c r="G3821">
        <v>39740000</v>
      </c>
      <c r="H3821">
        <f t="shared" si="236"/>
        <v>2012</v>
      </c>
      <c r="I3821">
        <f t="shared" si="237"/>
        <v>7</v>
      </c>
      <c r="J3821" t="str">
        <f t="shared" si="238"/>
        <v>Jul</v>
      </c>
      <c r="K3821" t="str">
        <f t="shared" si="239"/>
        <v>Tue</v>
      </c>
    </row>
    <row r="3822" spans="1:11" x14ac:dyDescent="0.35">
      <c r="A3822" s="1">
        <v>41108</v>
      </c>
      <c r="B3822">
        <v>10.807499885559</v>
      </c>
      <c r="C3822">
        <v>10.9335002899169</v>
      </c>
      <c r="D3822">
        <v>10.785499572753899</v>
      </c>
      <c r="E3822">
        <v>10.873499870300201</v>
      </c>
      <c r="F3822">
        <v>10.873499870300201</v>
      </c>
      <c r="G3822">
        <v>41860000</v>
      </c>
      <c r="H3822">
        <f t="shared" si="236"/>
        <v>2012</v>
      </c>
      <c r="I3822">
        <f t="shared" si="237"/>
        <v>7</v>
      </c>
      <c r="J3822" t="str">
        <f t="shared" si="238"/>
        <v>Jul</v>
      </c>
      <c r="K3822" t="str">
        <f t="shared" si="239"/>
        <v>Wed</v>
      </c>
    </row>
    <row r="3823" spans="1:11" x14ac:dyDescent="0.35">
      <c r="A3823" s="1">
        <v>41109</v>
      </c>
      <c r="B3823">
        <v>11.0364999771118</v>
      </c>
      <c r="C3823">
        <v>11.375</v>
      </c>
      <c r="D3823">
        <v>11.0345001220703</v>
      </c>
      <c r="E3823">
        <v>11.3085002899169</v>
      </c>
      <c r="F3823">
        <v>11.3085002899169</v>
      </c>
      <c r="G3823">
        <v>108988000</v>
      </c>
      <c r="H3823">
        <f t="shared" si="236"/>
        <v>2012</v>
      </c>
      <c r="I3823">
        <f t="shared" si="237"/>
        <v>7</v>
      </c>
      <c r="J3823" t="str">
        <f t="shared" si="238"/>
        <v>Jul</v>
      </c>
      <c r="K3823" t="str">
        <f t="shared" si="239"/>
        <v>Thu</v>
      </c>
    </row>
    <row r="3824" spans="1:11" x14ac:dyDescent="0.35">
      <c r="A3824" s="1">
        <v>41110</v>
      </c>
      <c r="B3824">
        <v>11.2679996490478</v>
      </c>
      <c r="C3824">
        <v>11.469499588012599</v>
      </c>
      <c r="D3824">
        <v>11.2644996643066</v>
      </c>
      <c r="E3824">
        <v>11.4145002365112</v>
      </c>
      <c r="F3824">
        <v>11.4145002365112</v>
      </c>
      <c r="G3824">
        <v>83400000</v>
      </c>
      <c r="H3824">
        <f t="shared" si="236"/>
        <v>2012</v>
      </c>
      <c r="I3824">
        <f t="shared" si="237"/>
        <v>7</v>
      </c>
      <c r="J3824" t="str">
        <f t="shared" si="238"/>
        <v>Jul</v>
      </c>
      <c r="K3824" t="str">
        <f t="shared" si="239"/>
        <v>Fri</v>
      </c>
    </row>
    <row r="3825" spans="1:11" x14ac:dyDescent="0.35">
      <c r="A3825" s="1">
        <v>41113</v>
      </c>
      <c r="B3825">
        <v>11.236000061035099</v>
      </c>
      <c r="C3825">
        <v>11.329000473022401</v>
      </c>
      <c r="D3825">
        <v>11.0769996643066</v>
      </c>
      <c r="E3825">
        <v>11.3004999160766</v>
      </c>
      <c r="F3825">
        <v>11.3004999160766</v>
      </c>
      <c r="G3825">
        <v>110302000</v>
      </c>
      <c r="H3825">
        <f t="shared" si="236"/>
        <v>2012</v>
      </c>
      <c r="I3825">
        <f t="shared" si="237"/>
        <v>7</v>
      </c>
      <c r="J3825" t="str">
        <f t="shared" si="238"/>
        <v>Jul</v>
      </c>
      <c r="K3825" t="str">
        <f t="shared" si="239"/>
        <v>Mon</v>
      </c>
    </row>
    <row r="3826" spans="1:11" x14ac:dyDescent="0.35">
      <c r="A3826" s="1">
        <v>41114</v>
      </c>
      <c r="B3826">
        <v>11.313500404357899</v>
      </c>
      <c r="C3826">
        <v>11.3304996490478</v>
      </c>
      <c r="D3826">
        <v>11.061499595641999</v>
      </c>
      <c r="E3826">
        <v>11.152000427246</v>
      </c>
      <c r="F3826">
        <v>11.152000427246</v>
      </c>
      <c r="G3826">
        <v>100174000</v>
      </c>
      <c r="H3826">
        <f t="shared" si="236"/>
        <v>2012</v>
      </c>
      <c r="I3826">
        <f t="shared" si="237"/>
        <v>7</v>
      </c>
      <c r="J3826" t="str">
        <f t="shared" si="238"/>
        <v>Jul</v>
      </c>
      <c r="K3826" t="str">
        <f t="shared" si="239"/>
        <v>Tue</v>
      </c>
    </row>
    <row r="3827" spans="1:11" x14ac:dyDescent="0.35">
      <c r="A3827" s="1">
        <v>41115</v>
      </c>
      <c r="B3827">
        <v>11.1000003814697</v>
      </c>
      <c r="C3827">
        <v>11.125</v>
      </c>
      <c r="D3827">
        <v>10.7954998016357</v>
      </c>
      <c r="E3827">
        <v>10.852499961853001</v>
      </c>
      <c r="F3827">
        <v>10.852499961853001</v>
      </c>
      <c r="G3827">
        <v>72934000</v>
      </c>
      <c r="H3827">
        <f t="shared" si="236"/>
        <v>2012</v>
      </c>
      <c r="I3827">
        <f t="shared" si="237"/>
        <v>7</v>
      </c>
      <c r="J3827" t="str">
        <f t="shared" si="238"/>
        <v>Jul</v>
      </c>
      <c r="K3827" t="str">
        <f t="shared" si="239"/>
        <v>Wed</v>
      </c>
    </row>
    <row r="3828" spans="1:11" x14ac:dyDescent="0.35">
      <c r="A3828" s="1">
        <v>41116</v>
      </c>
      <c r="B3828">
        <v>11</v>
      </c>
      <c r="C3828">
        <v>11.0725002288818</v>
      </c>
      <c r="D3828">
        <v>10.747500419616699</v>
      </c>
      <c r="E3828">
        <v>11.000499725341699</v>
      </c>
      <c r="F3828">
        <v>11.000499725341699</v>
      </c>
      <c r="G3828">
        <v>138748000</v>
      </c>
      <c r="H3828">
        <f t="shared" si="236"/>
        <v>2012</v>
      </c>
      <c r="I3828">
        <f t="shared" si="237"/>
        <v>7</v>
      </c>
      <c r="J3828" t="str">
        <f t="shared" si="238"/>
        <v>Jul</v>
      </c>
      <c r="K3828" t="str">
        <f t="shared" si="239"/>
        <v>Thu</v>
      </c>
    </row>
    <row r="3829" spans="1:11" x14ac:dyDescent="0.35">
      <c r="A3829" s="1">
        <v>41117</v>
      </c>
      <c r="B3829">
        <v>11.262499809265099</v>
      </c>
      <c r="C3829">
        <v>11.916999816894499</v>
      </c>
      <c r="D3829">
        <v>11.2250003814697</v>
      </c>
      <c r="E3829">
        <v>11.866000175476</v>
      </c>
      <c r="F3829">
        <v>11.866000175476</v>
      </c>
      <c r="G3829">
        <v>226278000</v>
      </c>
      <c r="H3829">
        <f t="shared" si="236"/>
        <v>2012</v>
      </c>
      <c r="I3829">
        <f t="shared" si="237"/>
        <v>7</v>
      </c>
      <c r="J3829" t="str">
        <f t="shared" si="238"/>
        <v>Jul</v>
      </c>
      <c r="K3829" t="str">
        <f t="shared" si="239"/>
        <v>Fri</v>
      </c>
    </row>
    <row r="3830" spans="1:11" x14ac:dyDescent="0.35">
      <c r="A3830" s="1">
        <v>41120</v>
      </c>
      <c r="B3830">
        <v>11.8500003814697</v>
      </c>
      <c r="C3830">
        <v>12.036999702453601</v>
      </c>
      <c r="D3830">
        <v>11.7034997940063</v>
      </c>
      <c r="E3830">
        <v>11.8044996261596</v>
      </c>
      <c r="F3830">
        <v>11.8044996261596</v>
      </c>
      <c r="G3830">
        <v>74728000</v>
      </c>
      <c r="H3830">
        <f t="shared" si="236"/>
        <v>2012</v>
      </c>
      <c r="I3830">
        <f t="shared" si="237"/>
        <v>7</v>
      </c>
      <c r="J3830" t="str">
        <f t="shared" si="238"/>
        <v>Jul</v>
      </c>
      <c r="K3830" t="str">
        <f t="shared" si="239"/>
        <v>Mon</v>
      </c>
    </row>
    <row r="3831" spans="1:11" x14ac:dyDescent="0.35">
      <c r="A3831" s="1">
        <v>41121</v>
      </c>
      <c r="B3831">
        <v>11.7550001144409</v>
      </c>
      <c r="C3831">
        <v>11.814999580383301</v>
      </c>
      <c r="D3831">
        <v>11.5804996490478</v>
      </c>
      <c r="E3831">
        <v>11.664999961853001</v>
      </c>
      <c r="F3831">
        <v>11.664999961853001</v>
      </c>
      <c r="G3831">
        <v>69072000</v>
      </c>
      <c r="H3831">
        <f t="shared" si="236"/>
        <v>2012</v>
      </c>
      <c r="I3831">
        <f t="shared" si="237"/>
        <v>7</v>
      </c>
      <c r="J3831" t="str">
        <f t="shared" si="238"/>
        <v>Jul</v>
      </c>
      <c r="K3831" t="str">
        <f t="shared" si="239"/>
        <v>Tue</v>
      </c>
    </row>
    <row r="3832" spans="1:11" x14ac:dyDescent="0.35">
      <c r="A3832" s="1">
        <v>41122</v>
      </c>
      <c r="B3832">
        <v>11.7069997787475</v>
      </c>
      <c r="C3832">
        <v>11.718999862670801</v>
      </c>
      <c r="D3832">
        <v>11.5349998474121</v>
      </c>
      <c r="E3832">
        <v>11.604499816894499</v>
      </c>
      <c r="F3832">
        <v>11.604499816894499</v>
      </c>
      <c r="G3832">
        <v>50876000</v>
      </c>
      <c r="H3832">
        <f t="shared" si="236"/>
        <v>2012</v>
      </c>
      <c r="I3832">
        <f t="shared" si="237"/>
        <v>8</v>
      </c>
      <c r="J3832" t="str">
        <f t="shared" si="238"/>
        <v>Aug</v>
      </c>
      <c r="K3832" t="str">
        <f t="shared" si="239"/>
        <v>Wed</v>
      </c>
    </row>
    <row r="3833" spans="1:11" x14ac:dyDescent="0.35">
      <c r="A3833" s="1">
        <v>41123</v>
      </c>
      <c r="B3833">
        <v>11.5279998779296</v>
      </c>
      <c r="C3833">
        <v>11.7170000076293</v>
      </c>
      <c r="D3833">
        <v>11.432999610900801</v>
      </c>
      <c r="E3833">
        <v>11.540499687194799</v>
      </c>
      <c r="F3833">
        <v>11.540499687194799</v>
      </c>
      <c r="G3833">
        <v>60962000</v>
      </c>
      <c r="H3833">
        <f t="shared" si="236"/>
        <v>2012</v>
      </c>
      <c r="I3833">
        <f t="shared" si="237"/>
        <v>8</v>
      </c>
      <c r="J3833" t="str">
        <f t="shared" si="238"/>
        <v>Aug</v>
      </c>
      <c r="K3833" t="str">
        <f t="shared" si="239"/>
        <v>Thu</v>
      </c>
    </row>
    <row r="3834" spans="1:11" x14ac:dyDescent="0.35">
      <c r="A3834" s="1">
        <v>41124</v>
      </c>
      <c r="B3834">
        <v>11.701499938964799</v>
      </c>
      <c r="C3834">
        <v>11.824500083923301</v>
      </c>
      <c r="D3834">
        <v>11.651499748229901</v>
      </c>
      <c r="E3834">
        <v>11.748499870300201</v>
      </c>
      <c r="F3834">
        <v>11.748499870300201</v>
      </c>
      <c r="G3834">
        <v>56506000</v>
      </c>
      <c r="H3834">
        <f t="shared" si="236"/>
        <v>2012</v>
      </c>
      <c r="I3834">
        <f t="shared" si="237"/>
        <v>8</v>
      </c>
      <c r="J3834" t="str">
        <f t="shared" si="238"/>
        <v>Aug</v>
      </c>
      <c r="K3834" t="str">
        <f t="shared" si="239"/>
        <v>Fri</v>
      </c>
    </row>
    <row r="3835" spans="1:11" x14ac:dyDescent="0.35">
      <c r="A3835" s="1">
        <v>41127</v>
      </c>
      <c r="B3835">
        <v>11.7779998779296</v>
      </c>
      <c r="C3835">
        <v>11.786999702453601</v>
      </c>
      <c r="D3835">
        <v>11.6905002593994</v>
      </c>
      <c r="E3835">
        <v>11.699500083923301</v>
      </c>
      <c r="F3835">
        <v>11.699500083923301</v>
      </c>
      <c r="G3835">
        <v>36874000</v>
      </c>
      <c r="H3835">
        <f t="shared" si="236"/>
        <v>2012</v>
      </c>
      <c r="I3835">
        <f t="shared" si="237"/>
        <v>8</v>
      </c>
      <c r="J3835" t="str">
        <f t="shared" si="238"/>
        <v>Aug</v>
      </c>
      <c r="K3835" t="str">
        <f t="shared" si="239"/>
        <v>Mon</v>
      </c>
    </row>
    <row r="3836" spans="1:11" x14ac:dyDescent="0.35">
      <c r="A3836" s="1">
        <v>41128</v>
      </c>
      <c r="B3836">
        <v>11.7065000534057</v>
      </c>
      <c r="C3836">
        <v>11.899999618530201</v>
      </c>
      <c r="D3836">
        <v>11.6625003814697</v>
      </c>
      <c r="E3836">
        <v>11.828000068664499</v>
      </c>
      <c r="F3836">
        <v>11.828000068664499</v>
      </c>
      <c r="G3836">
        <v>41166000</v>
      </c>
      <c r="H3836">
        <f t="shared" si="236"/>
        <v>2012</v>
      </c>
      <c r="I3836">
        <f t="shared" si="237"/>
        <v>8</v>
      </c>
      <c r="J3836" t="str">
        <f t="shared" si="238"/>
        <v>Aug</v>
      </c>
      <c r="K3836" t="str">
        <f t="shared" si="239"/>
        <v>Tue</v>
      </c>
    </row>
    <row r="3837" spans="1:11" x14ac:dyDescent="0.35">
      <c r="A3837" s="1">
        <v>41129</v>
      </c>
      <c r="B3837">
        <v>11.7644996643066</v>
      </c>
      <c r="C3837">
        <v>11.8225002288818</v>
      </c>
      <c r="D3837">
        <v>11.6794996261596</v>
      </c>
      <c r="E3837">
        <v>11.718999862670801</v>
      </c>
      <c r="F3837">
        <v>11.718999862670801</v>
      </c>
      <c r="G3837">
        <v>30686000</v>
      </c>
      <c r="H3837">
        <f t="shared" si="236"/>
        <v>2012</v>
      </c>
      <c r="I3837">
        <f t="shared" si="237"/>
        <v>8</v>
      </c>
      <c r="J3837" t="str">
        <f t="shared" si="238"/>
        <v>Aug</v>
      </c>
      <c r="K3837" t="str">
        <f t="shared" si="239"/>
        <v>Wed</v>
      </c>
    </row>
    <row r="3838" spans="1:11" x14ac:dyDescent="0.35">
      <c r="A3838" s="1">
        <v>41130</v>
      </c>
      <c r="B3838">
        <v>11.696499824523899</v>
      </c>
      <c r="C3838">
        <v>11.799500465393001</v>
      </c>
      <c r="D3838">
        <v>11.675000190734799</v>
      </c>
      <c r="E3838">
        <v>11.703000068664499</v>
      </c>
      <c r="F3838">
        <v>11.703000068664499</v>
      </c>
      <c r="G3838">
        <v>30962000</v>
      </c>
      <c r="H3838">
        <f t="shared" si="236"/>
        <v>2012</v>
      </c>
      <c r="I3838">
        <f t="shared" si="237"/>
        <v>8</v>
      </c>
      <c r="J3838" t="str">
        <f t="shared" si="238"/>
        <v>Aug</v>
      </c>
      <c r="K3838" t="str">
        <f t="shared" si="239"/>
        <v>Thu</v>
      </c>
    </row>
    <row r="3839" spans="1:11" x14ac:dyDescent="0.35">
      <c r="A3839" s="1">
        <v>41131</v>
      </c>
      <c r="B3839">
        <v>11.6540002822875</v>
      </c>
      <c r="C3839">
        <v>11.7425003051757</v>
      </c>
      <c r="D3839">
        <v>11.571499824523899</v>
      </c>
      <c r="E3839">
        <v>11.637499809265099</v>
      </c>
      <c r="F3839">
        <v>11.637499809265099</v>
      </c>
      <c r="G3839">
        <v>37050000</v>
      </c>
      <c r="H3839">
        <f t="shared" si="236"/>
        <v>2012</v>
      </c>
      <c r="I3839">
        <f t="shared" si="237"/>
        <v>8</v>
      </c>
      <c r="J3839" t="str">
        <f t="shared" si="238"/>
        <v>Aug</v>
      </c>
      <c r="K3839" t="str">
        <f t="shared" si="239"/>
        <v>Fri</v>
      </c>
    </row>
    <row r="3840" spans="1:11" x14ac:dyDescent="0.35">
      <c r="A3840" s="1">
        <v>41134</v>
      </c>
      <c r="B3840">
        <v>11.6114997863769</v>
      </c>
      <c r="C3840">
        <v>11.7185001373291</v>
      </c>
      <c r="D3840">
        <v>11.550000190734799</v>
      </c>
      <c r="E3840">
        <v>11.621999740600501</v>
      </c>
      <c r="F3840">
        <v>11.621999740600501</v>
      </c>
      <c r="G3840">
        <v>39946000</v>
      </c>
      <c r="H3840">
        <f t="shared" si="236"/>
        <v>2012</v>
      </c>
      <c r="I3840">
        <f t="shared" si="237"/>
        <v>8</v>
      </c>
      <c r="J3840" t="str">
        <f t="shared" si="238"/>
        <v>Aug</v>
      </c>
      <c r="K3840" t="str">
        <f t="shared" si="239"/>
        <v>Mon</v>
      </c>
    </row>
    <row r="3841" spans="1:11" x14ac:dyDescent="0.35">
      <c r="A3841" s="1">
        <v>41135</v>
      </c>
      <c r="B3841">
        <v>11.735500335693301</v>
      </c>
      <c r="C3841">
        <v>11.836000442504799</v>
      </c>
      <c r="D3841">
        <v>11.630999565124499</v>
      </c>
      <c r="E3841">
        <v>11.6595001220703</v>
      </c>
      <c r="F3841">
        <v>11.6595001220703</v>
      </c>
      <c r="G3841">
        <v>55020000</v>
      </c>
      <c r="H3841">
        <f t="shared" si="236"/>
        <v>2012</v>
      </c>
      <c r="I3841">
        <f t="shared" si="237"/>
        <v>8</v>
      </c>
      <c r="J3841" t="str">
        <f t="shared" si="238"/>
        <v>Aug</v>
      </c>
      <c r="K3841" t="str">
        <f t="shared" si="239"/>
        <v>Tue</v>
      </c>
    </row>
    <row r="3842" spans="1:11" x14ac:dyDescent="0.35">
      <c r="A3842" s="1">
        <v>41136</v>
      </c>
      <c r="B3842">
        <v>11.6129999160766</v>
      </c>
      <c r="C3842">
        <v>11.906999588012599</v>
      </c>
      <c r="D3842">
        <v>11.612500190734799</v>
      </c>
      <c r="E3842">
        <v>11.8710002899169</v>
      </c>
      <c r="F3842">
        <v>11.8710002899169</v>
      </c>
      <c r="G3842">
        <v>65294000</v>
      </c>
      <c r="H3842">
        <f t="shared" si="236"/>
        <v>2012</v>
      </c>
      <c r="I3842">
        <f t="shared" si="237"/>
        <v>8</v>
      </c>
      <c r="J3842" t="str">
        <f t="shared" si="238"/>
        <v>Aug</v>
      </c>
      <c r="K3842" t="str">
        <f t="shared" si="239"/>
        <v>Wed</v>
      </c>
    </row>
    <row r="3843" spans="1:11" x14ac:dyDescent="0.35">
      <c r="A3843" s="1">
        <v>41137</v>
      </c>
      <c r="B3843">
        <v>11.885999679565399</v>
      </c>
      <c r="C3843">
        <v>12.1409997940063</v>
      </c>
      <c r="D3843">
        <v>11.810000419616699</v>
      </c>
      <c r="E3843">
        <v>12.077500343322701</v>
      </c>
      <c r="F3843">
        <v>12.077500343322701</v>
      </c>
      <c r="G3843">
        <v>86242000</v>
      </c>
      <c r="H3843">
        <f t="shared" si="236"/>
        <v>2012</v>
      </c>
      <c r="I3843">
        <f t="shared" si="237"/>
        <v>8</v>
      </c>
      <c r="J3843" t="str">
        <f t="shared" si="238"/>
        <v>Aug</v>
      </c>
      <c r="K3843" t="str">
        <f t="shared" si="239"/>
        <v>Thu</v>
      </c>
    </row>
    <row r="3844" spans="1:11" x14ac:dyDescent="0.35">
      <c r="A3844" s="1">
        <v>41138</v>
      </c>
      <c r="B3844">
        <v>12.029999732971101</v>
      </c>
      <c r="C3844">
        <v>12.1674995422363</v>
      </c>
      <c r="D3844">
        <v>12.023500442504799</v>
      </c>
      <c r="E3844">
        <v>12.0585002899169</v>
      </c>
      <c r="F3844">
        <v>12.0585002899169</v>
      </c>
      <c r="G3844">
        <v>61716000</v>
      </c>
      <c r="H3844">
        <f t="shared" ref="H3844:H3907" si="240">YEAR($A3844)</f>
        <v>2012</v>
      </c>
      <c r="I3844">
        <f t="shared" ref="I3844:I3907" si="241">MONTH($A3844)</f>
        <v>8</v>
      </c>
      <c r="J3844" t="str">
        <f t="shared" ref="J3844:J3907" si="242">TEXT($A3844,"mmm")</f>
        <v>Aug</v>
      </c>
      <c r="K3844" t="str">
        <f t="shared" ref="K3844:K3907" si="243">TEXT($A3844,"ddd")</f>
        <v>Fri</v>
      </c>
    </row>
    <row r="3845" spans="1:11" x14ac:dyDescent="0.35">
      <c r="A3845" s="1">
        <v>41141</v>
      </c>
      <c r="B3845">
        <v>12.068499565124499</v>
      </c>
      <c r="C3845">
        <v>12.082500457763601</v>
      </c>
      <c r="D3845">
        <v>11.9099998474121</v>
      </c>
      <c r="E3845">
        <v>12.017499923706</v>
      </c>
      <c r="F3845">
        <v>12.017499923706</v>
      </c>
      <c r="G3845">
        <v>37798000</v>
      </c>
      <c r="H3845">
        <f t="shared" si="240"/>
        <v>2012</v>
      </c>
      <c r="I3845">
        <f t="shared" si="241"/>
        <v>8</v>
      </c>
      <c r="J3845" t="str">
        <f t="shared" si="242"/>
        <v>Aug</v>
      </c>
      <c r="K3845" t="str">
        <f t="shared" si="243"/>
        <v>Mon</v>
      </c>
    </row>
    <row r="3846" spans="1:11" x14ac:dyDescent="0.35">
      <c r="A3846" s="1">
        <v>41142</v>
      </c>
      <c r="B3846">
        <v>12.043999671936</v>
      </c>
      <c r="C3846">
        <v>12.1925001144409</v>
      </c>
      <c r="D3846">
        <v>11.9274997711181</v>
      </c>
      <c r="E3846">
        <v>11.9724998474121</v>
      </c>
      <c r="F3846">
        <v>11.9724998474121</v>
      </c>
      <c r="G3846">
        <v>51430000</v>
      </c>
      <c r="H3846">
        <f t="shared" si="240"/>
        <v>2012</v>
      </c>
      <c r="I3846">
        <f t="shared" si="241"/>
        <v>8</v>
      </c>
      <c r="J3846" t="str">
        <f t="shared" si="242"/>
        <v>Aug</v>
      </c>
      <c r="K3846" t="str">
        <f t="shared" si="243"/>
        <v>Tue</v>
      </c>
    </row>
    <row r="3847" spans="1:11" x14ac:dyDescent="0.35">
      <c r="A3847" s="1">
        <v>41143</v>
      </c>
      <c r="B3847">
        <v>11.9700002670288</v>
      </c>
      <c r="C3847">
        <v>12.244999885559</v>
      </c>
      <c r="D3847">
        <v>11.939999580383301</v>
      </c>
      <c r="E3847">
        <v>12.154999732971101</v>
      </c>
      <c r="F3847">
        <v>12.154999732971101</v>
      </c>
      <c r="G3847">
        <v>49474000</v>
      </c>
      <c r="H3847">
        <f t="shared" si="240"/>
        <v>2012</v>
      </c>
      <c r="I3847">
        <f t="shared" si="241"/>
        <v>8</v>
      </c>
      <c r="J3847" t="str">
        <f t="shared" si="242"/>
        <v>Aug</v>
      </c>
      <c r="K3847" t="str">
        <f t="shared" si="243"/>
        <v>Wed</v>
      </c>
    </row>
    <row r="3848" spans="1:11" x14ac:dyDescent="0.35">
      <c r="A3848" s="1">
        <v>41144</v>
      </c>
      <c r="B3848">
        <v>12.1070003509521</v>
      </c>
      <c r="C3848">
        <v>12.1739997863769</v>
      </c>
      <c r="D3848">
        <v>11.951000213623001</v>
      </c>
      <c r="E3848">
        <v>12.060000419616699</v>
      </c>
      <c r="F3848">
        <v>12.060000419616699</v>
      </c>
      <c r="G3848">
        <v>49078000</v>
      </c>
      <c r="H3848">
        <f t="shared" si="240"/>
        <v>2012</v>
      </c>
      <c r="I3848">
        <f t="shared" si="241"/>
        <v>8</v>
      </c>
      <c r="J3848" t="str">
        <f t="shared" si="242"/>
        <v>Aug</v>
      </c>
      <c r="K3848" t="str">
        <f t="shared" si="243"/>
        <v>Thu</v>
      </c>
    </row>
    <row r="3849" spans="1:11" x14ac:dyDescent="0.35">
      <c r="A3849" s="1">
        <v>41145</v>
      </c>
      <c r="B3849">
        <v>12.083999633789</v>
      </c>
      <c r="C3849">
        <v>12.3435001373291</v>
      </c>
      <c r="D3849">
        <v>12.067999839782701</v>
      </c>
      <c r="E3849">
        <v>12.286999702453601</v>
      </c>
      <c r="F3849">
        <v>12.286999702453601</v>
      </c>
      <c r="G3849">
        <v>73976000</v>
      </c>
      <c r="H3849">
        <f t="shared" si="240"/>
        <v>2012</v>
      </c>
      <c r="I3849">
        <f t="shared" si="241"/>
        <v>8</v>
      </c>
      <c r="J3849" t="str">
        <f t="shared" si="242"/>
        <v>Aug</v>
      </c>
      <c r="K3849" t="str">
        <f t="shared" si="243"/>
        <v>Fri</v>
      </c>
    </row>
    <row r="3850" spans="1:11" x14ac:dyDescent="0.35">
      <c r="A3850" s="1">
        <v>41148</v>
      </c>
      <c r="B3850">
        <v>12.2895002365112</v>
      </c>
      <c r="C3850">
        <v>12.375</v>
      </c>
      <c r="D3850">
        <v>12.1560001373291</v>
      </c>
      <c r="E3850">
        <v>12.1960000991821</v>
      </c>
      <c r="F3850">
        <v>12.1960000991821</v>
      </c>
      <c r="G3850">
        <v>58594000</v>
      </c>
      <c r="H3850">
        <f t="shared" si="240"/>
        <v>2012</v>
      </c>
      <c r="I3850">
        <f t="shared" si="241"/>
        <v>8</v>
      </c>
      <c r="J3850" t="str">
        <f t="shared" si="242"/>
        <v>Aug</v>
      </c>
      <c r="K3850" t="str">
        <f t="shared" si="243"/>
        <v>Mon</v>
      </c>
    </row>
    <row r="3851" spans="1:11" x14ac:dyDescent="0.35">
      <c r="A3851" s="1">
        <v>41149</v>
      </c>
      <c r="B3851">
        <v>12.198499679565399</v>
      </c>
      <c r="C3851">
        <v>12.338999748229901</v>
      </c>
      <c r="D3851">
        <v>12.149999618530201</v>
      </c>
      <c r="E3851">
        <v>12.3055000305175</v>
      </c>
      <c r="F3851">
        <v>12.3055000305175</v>
      </c>
      <c r="G3851">
        <v>54846000</v>
      </c>
      <c r="H3851">
        <f t="shared" si="240"/>
        <v>2012</v>
      </c>
      <c r="I3851">
        <f t="shared" si="241"/>
        <v>8</v>
      </c>
      <c r="J3851" t="str">
        <f t="shared" si="242"/>
        <v>Aug</v>
      </c>
      <c r="K3851" t="str">
        <f t="shared" si="243"/>
        <v>Tue</v>
      </c>
    </row>
    <row r="3852" spans="1:11" x14ac:dyDescent="0.35">
      <c r="A3852" s="1">
        <v>41150</v>
      </c>
      <c r="B3852">
        <v>12.338999748229901</v>
      </c>
      <c r="C3852">
        <v>12.380499839782701</v>
      </c>
      <c r="D3852">
        <v>12.229499816894499</v>
      </c>
      <c r="E3852">
        <v>12.355999946594199</v>
      </c>
      <c r="F3852">
        <v>12.355999946594199</v>
      </c>
      <c r="G3852">
        <v>35452000</v>
      </c>
      <c r="H3852">
        <f t="shared" si="240"/>
        <v>2012</v>
      </c>
      <c r="I3852">
        <f t="shared" si="241"/>
        <v>8</v>
      </c>
      <c r="J3852" t="str">
        <f t="shared" si="242"/>
        <v>Aug</v>
      </c>
      <c r="K3852" t="str">
        <f t="shared" si="243"/>
        <v>Wed</v>
      </c>
    </row>
    <row r="3853" spans="1:11" x14ac:dyDescent="0.35">
      <c r="A3853" s="1">
        <v>41151</v>
      </c>
      <c r="B3853">
        <v>12.349499702453601</v>
      </c>
      <c r="C3853">
        <v>12.5</v>
      </c>
      <c r="D3853">
        <v>12.262499809265099</v>
      </c>
      <c r="E3853">
        <v>12.310999870300201</v>
      </c>
      <c r="F3853">
        <v>12.310999870300201</v>
      </c>
      <c r="G3853">
        <v>72950000</v>
      </c>
      <c r="H3853">
        <f t="shared" si="240"/>
        <v>2012</v>
      </c>
      <c r="I3853">
        <f t="shared" si="241"/>
        <v>8</v>
      </c>
      <c r="J3853" t="str">
        <f t="shared" si="242"/>
        <v>Aug</v>
      </c>
      <c r="K3853" t="str">
        <f t="shared" si="243"/>
        <v>Thu</v>
      </c>
    </row>
    <row r="3854" spans="1:11" x14ac:dyDescent="0.35">
      <c r="A3854" s="1">
        <v>41152</v>
      </c>
      <c r="B3854">
        <v>12.403499603271401</v>
      </c>
      <c r="C3854">
        <v>12.4724998474121</v>
      </c>
      <c r="D3854">
        <v>12.274999618530201</v>
      </c>
      <c r="E3854">
        <v>12.413499832153301</v>
      </c>
      <c r="F3854">
        <v>12.413499832153301</v>
      </c>
      <c r="G3854">
        <v>66950000</v>
      </c>
      <c r="H3854">
        <f t="shared" si="240"/>
        <v>2012</v>
      </c>
      <c r="I3854">
        <f t="shared" si="241"/>
        <v>8</v>
      </c>
      <c r="J3854" t="str">
        <f t="shared" si="242"/>
        <v>Aug</v>
      </c>
      <c r="K3854" t="str">
        <f t="shared" si="243"/>
        <v>Fri</v>
      </c>
    </row>
    <row r="3855" spans="1:11" x14ac:dyDescent="0.35">
      <c r="A3855" s="1">
        <v>41156</v>
      </c>
      <c r="B3855">
        <v>12.413499832153301</v>
      </c>
      <c r="C3855">
        <v>12.550000190734799</v>
      </c>
      <c r="D3855">
        <v>12.2329998016357</v>
      </c>
      <c r="E3855">
        <v>12.3940000534057</v>
      </c>
      <c r="F3855">
        <v>12.3940000534057</v>
      </c>
      <c r="G3855">
        <v>79016000</v>
      </c>
      <c r="H3855">
        <f t="shared" si="240"/>
        <v>2012</v>
      </c>
      <c r="I3855">
        <f t="shared" si="241"/>
        <v>9</v>
      </c>
      <c r="J3855" t="str">
        <f t="shared" si="242"/>
        <v>Sep</v>
      </c>
      <c r="K3855" t="str">
        <f t="shared" si="243"/>
        <v>Tue</v>
      </c>
    </row>
    <row r="3856" spans="1:11" x14ac:dyDescent="0.35">
      <c r="A3856" s="1">
        <v>41157</v>
      </c>
      <c r="B3856">
        <v>12.380499839782701</v>
      </c>
      <c r="C3856">
        <v>12.4305000305175</v>
      </c>
      <c r="D3856">
        <v>12.265000343322701</v>
      </c>
      <c r="E3856">
        <v>12.310999870300201</v>
      </c>
      <c r="F3856">
        <v>12.310999870300201</v>
      </c>
      <c r="G3856">
        <v>53052000</v>
      </c>
      <c r="H3856">
        <f t="shared" si="240"/>
        <v>2012</v>
      </c>
      <c r="I3856">
        <f t="shared" si="241"/>
        <v>9</v>
      </c>
      <c r="J3856" t="str">
        <f t="shared" si="242"/>
        <v>Sep</v>
      </c>
      <c r="K3856" t="str">
        <f t="shared" si="243"/>
        <v>Wed</v>
      </c>
    </row>
    <row r="3857" spans="1:11" x14ac:dyDescent="0.35">
      <c r="A3857" s="1">
        <v>41158</v>
      </c>
      <c r="B3857">
        <v>12.4114999771118</v>
      </c>
      <c r="C3857">
        <v>12.6350002288818</v>
      </c>
      <c r="D3857">
        <v>12.3599996566772</v>
      </c>
      <c r="E3857">
        <v>12.5690002441406</v>
      </c>
      <c r="F3857">
        <v>12.5690002441406</v>
      </c>
      <c r="G3857">
        <v>107228000</v>
      </c>
      <c r="H3857">
        <f t="shared" si="240"/>
        <v>2012</v>
      </c>
      <c r="I3857">
        <f t="shared" si="241"/>
        <v>9</v>
      </c>
      <c r="J3857" t="str">
        <f t="shared" si="242"/>
        <v>Sep</v>
      </c>
      <c r="K3857" t="str">
        <f t="shared" si="243"/>
        <v>Thu</v>
      </c>
    </row>
    <row r="3858" spans="1:11" x14ac:dyDescent="0.35">
      <c r="A3858" s="1">
        <v>41159</v>
      </c>
      <c r="B3858">
        <v>12.6925001144409</v>
      </c>
      <c r="C3858">
        <v>12.970999717712401</v>
      </c>
      <c r="D3858">
        <v>12.6759996414184</v>
      </c>
      <c r="E3858">
        <v>12.9569997787475</v>
      </c>
      <c r="F3858">
        <v>12.9569997787475</v>
      </c>
      <c r="G3858">
        <v>100590000</v>
      </c>
      <c r="H3858">
        <f t="shared" si="240"/>
        <v>2012</v>
      </c>
      <c r="I3858">
        <f t="shared" si="241"/>
        <v>9</v>
      </c>
      <c r="J3858" t="str">
        <f t="shared" si="242"/>
        <v>Sep</v>
      </c>
      <c r="K3858" t="str">
        <f t="shared" si="243"/>
        <v>Fri</v>
      </c>
    </row>
    <row r="3859" spans="1:11" x14ac:dyDescent="0.35">
      <c r="A3859" s="1">
        <v>41162</v>
      </c>
      <c r="B3859">
        <v>12.949999809265099</v>
      </c>
      <c r="C3859">
        <v>13</v>
      </c>
      <c r="D3859">
        <v>12.840999603271401</v>
      </c>
      <c r="E3859">
        <v>12.854499816894499</v>
      </c>
      <c r="F3859">
        <v>12.854499816894499</v>
      </c>
      <c r="G3859">
        <v>51344000</v>
      </c>
      <c r="H3859">
        <f t="shared" si="240"/>
        <v>2012</v>
      </c>
      <c r="I3859">
        <f t="shared" si="241"/>
        <v>9</v>
      </c>
      <c r="J3859" t="str">
        <f t="shared" si="242"/>
        <v>Sep</v>
      </c>
      <c r="K3859" t="str">
        <f t="shared" si="243"/>
        <v>Mon</v>
      </c>
    </row>
    <row r="3860" spans="1:11" x14ac:dyDescent="0.35">
      <c r="A3860" s="1">
        <v>41163</v>
      </c>
      <c r="B3860">
        <v>12.8800001144409</v>
      </c>
      <c r="C3860">
        <v>12.8800001144409</v>
      </c>
      <c r="D3860">
        <v>12.7130002975463</v>
      </c>
      <c r="E3860">
        <v>12.783499717712401</v>
      </c>
      <c r="F3860">
        <v>12.783499717712401</v>
      </c>
      <c r="G3860">
        <v>50496000</v>
      </c>
      <c r="H3860">
        <f t="shared" si="240"/>
        <v>2012</v>
      </c>
      <c r="I3860">
        <f t="shared" si="241"/>
        <v>9</v>
      </c>
      <c r="J3860" t="str">
        <f t="shared" si="242"/>
        <v>Sep</v>
      </c>
      <c r="K3860" t="str">
        <f t="shared" si="243"/>
        <v>Tue</v>
      </c>
    </row>
    <row r="3861" spans="1:11" x14ac:dyDescent="0.35">
      <c r="A3861" s="1">
        <v>41164</v>
      </c>
      <c r="B3861">
        <v>12.824999809265099</v>
      </c>
      <c r="C3861">
        <v>12.888999938964799</v>
      </c>
      <c r="D3861">
        <v>12.675000190734799</v>
      </c>
      <c r="E3861">
        <v>12.781499862670801</v>
      </c>
      <c r="F3861">
        <v>12.781499862670801</v>
      </c>
      <c r="G3861">
        <v>45464000</v>
      </c>
      <c r="H3861">
        <f t="shared" si="240"/>
        <v>2012</v>
      </c>
      <c r="I3861">
        <f t="shared" si="241"/>
        <v>9</v>
      </c>
      <c r="J3861" t="str">
        <f t="shared" si="242"/>
        <v>Sep</v>
      </c>
      <c r="K3861" t="str">
        <f t="shared" si="243"/>
        <v>Wed</v>
      </c>
    </row>
    <row r="3862" spans="1:11" x14ac:dyDescent="0.35">
      <c r="A3862" s="1">
        <v>41165</v>
      </c>
      <c r="B3862">
        <v>12.746999740600501</v>
      </c>
      <c r="C3862">
        <v>13.1000003814697</v>
      </c>
      <c r="D3862">
        <v>12.689999580383301</v>
      </c>
      <c r="E3862">
        <v>13.012000083923301</v>
      </c>
      <c r="F3862">
        <v>13.012000083923301</v>
      </c>
      <c r="G3862">
        <v>70512000</v>
      </c>
      <c r="H3862">
        <f t="shared" si="240"/>
        <v>2012</v>
      </c>
      <c r="I3862">
        <f t="shared" si="241"/>
        <v>9</v>
      </c>
      <c r="J3862" t="str">
        <f t="shared" si="242"/>
        <v>Sep</v>
      </c>
      <c r="K3862" t="str">
        <f t="shared" si="243"/>
        <v>Thu</v>
      </c>
    </row>
    <row r="3863" spans="1:11" x14ac:dyDescent="0.35">
      <c r="A3863" s="1">
        <v>41166</v>
      </c>
      <c r="B3863">
        <v>13.069999694824199</v>
      </c>
      <c r="C3863">
        <v>13.2054996490478</v>
      </c>
      <c r="D3863">
        <v>12.9884996414184</v>
      </c>
      <c r="E3863">
        <v>13.063500404357899</v>
      </c>
      <c r="F3863">
        <v>13.063500404357899</v>
      </c>
      <c r="G3863">
        <v>73324000</v>
      </c>
      <c r="H3863">
        <f t="shared" si="240"/>
        <v>2012</v>
      </c>
      <c r="I3863">
        <f t="shared" si="241"/>
        <v>9</v>
      </c>
      <c r="J3863" t="str">
        <f t="shared" si="242"/>
        <v>Sep</v>
      </c>
      <c r="K3863" t="str">
        <f t="shared" si="243"/>
        <v>Fri</v>
      </c>
    </row>
    <row r="3864" spans="1:11" x14ac:dyDescent="0.35">
      <c r="A3864" s="1">
        <v>41169</v>
      </c>
      <c r="B3864">
        <v>13.0625</v>
      </c>
      <c r="C3864">
        <v>13.0625</v>
      </c>
      <c r="D3864">
        <v>12.8500003814697</v>
      </c>
      <c r="E3864">
        <v>12.899999618530201</v>
      </c>
      <c r="F3864">
        <v>12.899999618530201</v>
      </c>
      <c r="G3864">
        <v>46126000</v>
      </c>
      <c r="H3864">
        <f t="shared" si="240"/>
        <v>2012</v>
      </c>
      <c r="I3864">
        <f t="shared" si="241"/>
        <v>9</v>
      </c>
      <c r="J3864" t="str">
        <f t="shared" si="242"/>
        <v>Sep</v>
      </c>
      <c r="K3864" t="str">
        <f t="shared" si="243"/>
        <v>Mon</v>
      </c>
    </row>
    <row r="3865" spans="1:11" x14ac:dyDescent="0.35">
      <c r="A3865" s="1">
        <v>41170</v>
      </c>
      <c r="B3865">
        <v>12.9239997863769</v>
      </c>
      <c r="C3865">
        <v>13.024999618530201</v>
      </c>
      <c r="D3865">
        <v>12.8500003814697</v>
      </c>
      <c r="E3865">
        <v>12.9375</v>
      </c>
      <c r="F3865">
        <v>12.9375</v>
      </c>
      <c r="G3865">
        <v>44300000</v>
      </c>
      <c r="H3865">
        <f t="shared" si="240"/>
        <v>2012</v>
      </c>
      <c r="I3865">
        <f t="shared" si="241"/>
        <v>9</v>
      </c>
      <c r="J3865" t="str">
        <f t="shared" si="242"/>
        <v>Sep</v>
      </c>
      <c r="K3865" t="str">
        <f t="shared" si="243"/>
        <v>Tue</v>
      </c>
    </row>
    <row r="3866" spans="1:11" x14ac:dyDescent="0.35">
      <c r="A3866" s="1">
        <v>41171</v>
      </c>
      <c r="B3866">
        <v>12.9724998474121</v>
      </c>
      <c r="C3866">
        <v>13.142000198364199</v>
      </c>
      <c r="D3866">
        <v>12.926500320434499</v>
      </c>
      <c r="E3866">
        <v>13.083999633789</v>
      </c>
      <c r="F3866">
        <v>13.083999633789</v>
      </c>
      <c r="G3866">
        <v>52736000</v>
      </c>
      <c r="H3866">
        <f t="shared" si="240"/>
        <v>2012</v>
      </c>
      <c r="I3866">
        <f t="shared" si="241"/>
        <v>9</v>
      </c>
      <c r="J3866" t="str">
        <f t="shared" si="242"/>
        <v>Sep</v>
      </c>
      <c r="K3866" t="str">
        <f t="shared" si="243"/>
        <v>Wed</v>
      </c>
    </row>
    <row r="3867" spans="1:11" x14ac:dyDescent="0.35">
      <c r="A3867" s="1">
        <v>41172</v>
      </c>
      <c r="B3867">
        <v>13.0015001296997</v>
      </c>
      <c r="C3867">
        <v>13.043499946594199</v>
      </c>
      <c r="D3867">
        <v>12.899999618530201</v>
      </c>
      <c r="E3867">
        <v>13.040499687194799</v>
      </c>
      <c r="F3867">
        <v>13.040499687194799</v>
      </c>
      <c r="G3867">
        <v>58272000</v>
      </c>
      <c r="H3867">
        <f t="shared" si="240"/>
        <v>2012</v>
      </c>
      <c r="I3867">
        <f t="shared" si="241"/>
        <v>9</v>
      </c>
      <c r="J3867" t="str">
        <f t="shared" si="242"/>
        <v>Sep</v>
      </c>
      <c r="K3867" t="str">
        <f t="shared" si="243"/>
        <v>Thu</v>
      </c>
    </row>
    <row r="3868" spans="1:11" x14ac:dyDescent="0.35">
      <c r="A3868" s="1">
        <v>41173</v>
      </c>
      <c r="B3868">
        <v>13.0869998931884</v>
      </c>
      <c r="C3868">
        <v>13.1000003814697</v>
      </c>
      <c r="D3868">
        <v>12.8369998931884</v>
      </c>
      <c r="E3868">
        <v>12.873499870300201</v>
      </c>
      <c r="F3868">
        <v>12.873499870300201</v>
      </c>
      <c r="G3868">
        <v>121186000</v>
      </c>
      <c r="H3868">
        <f t="shared" si="240"/>
        <v>2012</v>
      </c>
      <c r="I3868">
        <f t="shared" si="241"/>
        <v>9</v>
      </c>
      <c r="J3868" t="str">
        <f t="shared" si="242"/>
        <v>Sep</v>
      </c>
      <c r="K3868" t="str">
        <f t="shared" si="243"/>
        <v>Fri</v>
      </c>
    </row>
    <row r="3869" spans="1:11" x14ac:dyDescent="0.35">
      <c r="A3869" s="1">
        <v>41176</v>
      </c>
      <c r="B3869">
        <v>12.760999679565399</v>
      </c>
      <c r="C3869">
        <v>12.779999732971101</v>
      </c>
      <c r="D3869">
        <v>12.649999618530201</v>
      </c>
      <c r="E3869">
        <v>12.7399997711181</v>
      </c>
      <c r="F3869">
        <v>12.7399997711181</v>
      </c>
      <c r="G3869">
        <v>54158000</v>
      </c>
      <c r="H3869">
        <f t="shared" si="240"/>
        <v>2012</v>
      </c>
      <c r="I3869">
        <f t="shared" si="241"/>
        <v>9</v>
      </c>
      <c r="J3869" t="str">
        <f t="shared" si="242"/>
        <v>Sep</v>
      </c>
      <c r="K3869" t="str">
        <f t="shared" si="243"/>
        <v>Mon</v>
      </c>
    </row>
    <row r="3870" spans="1:11" x14ac:dyDescent="0.35">
      <c r="A3870" s="1">
        <v>41177</v>
      </c>
      <c r="B3870">
        <v>12.816499710083001</v>
      </c>
      <c r="C3870">
        <v>12.9475002288818</v>
      </c>
      <c r="D3870">
        <v>12.551500320434499</v>
      </c>
      <c r="E3870">
        <v>12.6230001449584</v>
      </c>
      <c r="F3870">
        <v>12.6230001449584</v>
      </c>
      <c r="G3870">
        <v>88116000</v>
      </c>
      <c r="H3870">
        <f t="shared" si="240"/>
        <v>2012</v>
      </c>
      <c r="I3870">
        <f t="shared" si="241"/>
        <v>9</v>
      </c>
      <c r="J3870" t="str">
        <f t="shared" si="242"/>
        <v>Sep</v>
      </c>
      <c r="K3870" t="str">
        <f t="shared" si="243"/>
        <v>Tue</v>
      </c>
    </row>
    <row r="3871" spans="1:11" x14ac:dyDescent="0.35">
      <c r="A3871" s="1">
        <v>41178</v>
      </c>
      <c r="B3871">
        <v>12.619999885559</v>
      </c>
      <c r="C3871">
        <v>12.730500221252401</v>
      </c>
      <c r="D3871">
        <v>12.4114999771118</v>
      </c>
      <c r="E3871">
        <v>12.4834995269775</v>
      </c>
      <c r="F3871">
        <v>12.4834995269775</v>
      </c>
      <c r="G3871">
        <v>58410000</v>
      </c>
      <c r="H3871">
        <f t="shared" si="240"/>
        <v>2012</v>
      </c>
      <c r="I3871">
        <f t="shared" si="241"/>
        <v>9</v>
      </c>
      <c r="J3871" t="str">
        <f t="shared" si="242"/>
        <v>Sep</v>
      </c>
      <c r="K3871" t="str">
        <f t="shared" si="243"/>
        <v>Wed</v>
      </c>
    </row>
    <row r="3872" spans="1:11" x14ac:dyDescent="0.35">
      <c r="A3872" s="1">
        <v>41179</v>
      </c>
      <c r="B3872">
        <v>12.527000427246</v>
      </c>
      <c r="C3872">
        <v>12.869999885559</v>
      </c>
      <c r="D3872">
        <v>12.5260000228881</v>
      </c>
      <c r="E3872">
        <v>12.829500198364199</v>
      </c>
      <c r="F3872">
        <v>12.829500198364199</v>
      </c>
      <c r="G3872">
        <v>67948000</v>
      </c>
      <c r="H3872">
        <f t="shared" si="240"/>
        <v>2012</v>
      </c>
      <c r="I3872">
        <f t="shared" si="241"/>
        <v>9</v>
      </c>
      <c r="J3872" t="str">
        <f t="shared" si="242"/>
        <v>Sep</v>
      </c>
      <c r="K3872" t="str">
        <f t="shared" si="243"/>
        <v>Thu</v>
      </c>
    </row>
    <row r="3873" spans="1:11" x14ac:dyDescent="0.35">
      <c r="A3873" s="1">
        <v>41180</v>
      </c>
      <c r="B3873">
        <v>12.8070001602172</v>
      </c>
      <c r="C3873">
        <v>12.8500003814697</v>
      </c>
      <c r="D3873">
        <v>12.6599998474121</v>
      </c>
      <c r="E3873">
        <v>12.715999603271401</v>
      </c>
      <c r="F3873">
        <v>12.715999603271401</v>
      </c>
      <c r="G3873">
        <v>49132000</v>
      </c>
      <c r="H3873">
        <f t="shared" si="240"/>
        <v>2012</v>
      </c>
      <c r="I3873">
        <f t="shared" si="241"/>
        <v>9</v>
      </c>
      <c r="J3873" t="str">
        <f t="shared" si="242"/>
        <v>Sep</v>
      </c>
      <c r="K3873" t="str">
        <f t="shared" si="243"/>
        <v>Fri</v>
      </c>
    </row>
    <row r="3874" spans="1:11" x14ac:dyDescent="0.35">
      <c r="A3874" s="1">
        <v>41183</v>
      </c>
      <c r="B3874">
        <v>12.770000457763601</v>
      </c>
      <c r="C3874">
        <v>12.807999610900801</v>
      </c>
      <c r="D3874">
        <v>12.5244998931884</v>
      </c>
      <c r="E3874">
        <v>12.6005001068115</v>
      </c>
      <c r="F3874">
        <v>12.6005001068115</v>
      </c>
      <c r="G3874">
        <v>51624000</v>
      </c>
      <c r="H3874">
        <f t="shared" si="240"/>
        <v>2012</v>
      </c>
      <c r="I3874">
        <f t="shared" si="241"/>
        <v>10</v>
      </c>
      <c r="J3874" t="str">
        <f t="shared" si="242"/>
        <v>Oct</v>
      </c>
      <c r="K3874" t="str">
        <f t="shared" si="243"/>
        <v>Mon</v>
      </c>
    </row>
    <row r="3875" spans="1:11" x14ac:dyDescent="0.35">
      <c r="A3875" s="1">
        <v>41184</v>
      </c>
      <c r="B3875">
        <v>12.640000343322701</v>
      </c>
      <c r="C3875">
        <v>12.6575002670288</v>
      </c>
      <c r="D3875">
        <v>12.451499938964799</v>
      </c>
      <c r="E3875">
        <v>12.529999732971101</v>
      </c>
      <c r="F3875">
        <v>12.529999732971101</v>
      </c>
      <c r="G3875">
        <v>43916000</v>
      </c>
      <c r="H3875">
        <f t="shared" si="240"/>
        <v>2012</v>
      </c>
      <c r="I3875">
        <f t="shared" si="241"/>
        <v>10</v>
      </c>
      <c r="J3875" t="str">
        <f t="shared" si="242"/>
        <v>Oct</v>
      </c>
      <c r="K3875" t="str">
        <f t="shared" si="243"/>
        <v>Tue</v>
      </c>
    </row>
    <row r="3876" spans="1:11" x14ac:dyDescent="0.35">
      <c r="A3876" s="1">
        <v>41185</v>
      </c>
      <c r="B3876">
        <v>12.5605001449584</v>
      </c>
      <c r="C3876">
        <v>12.8050003051757</v>
      </c>
      <c r="D3876">
        <v>12.477999687194799</v>
      </c>
      <c r="E3876">
        <v>12.7959995269775</v>
      </c>
      <c r="F3876">
        <v>12.7959995269775</v>
      </c>
      <c r="G3876">
        <v>54912000</v>
      </c>
      <c r="H3876">
        <f t="shared" si="240"/>
        <v>2012</v>
      </c>
      <c r="I3876">
        <f t="shared" si="241"/>
        <v>10</v>
      </c>
      <c r="J3876" t="str">
        <f t="shared" si="242"/>
        <v>Oct</v>
      </c>
      <c r="K3876" t="str">
        <f t="shared" si="243"/>
        <v>Wed</v>
      </c>
    </row>
    <row r="3877" spans="1:11" x14ac:dyDescent="0.35">
      <c r="A3877" s="1">
        <v>41186</v>
      </c>
      <c r="B3877">
        <v>12.8004999160766</v>
      </c>
      <c r="C3877">
        <v>13.076000213623001</v>
      </c>
      <c r="D3877">
        <v>12.793499946594199</v>
      </c>
      <c r="E3877">
        <v>13.023500442504799</v>
      </c>
      <c r="F3877">
        <v>13.023500442504799</v>
      </c>
      <c r="G3877">
        <v>54008000</v>
      </c>
      <c r="H3877">
        <f t="shared" si="240"/>
        <v>2012</v>
      </c>
      <c r="I3877">
        <f t="shared" si="241"/>
        <v>10</v>
      </c>
      <c r="J3877" t="str">
        <f t="shared" si="242"/>
        <v>Oct</v>
      </c>
      <c r="K3877" t="str">
        <f t="shared" si="243"/>
        <v>Thu</v>
      </c>
    </row>
    <row r="3878" spans="1:11" x14ac:dyDescent="0.35">
      <c r="A3878" s="1">
        <v>41187</v>
      </c>
      <c r="B3878">
        <v>13.060000419616699</v>
      </c>
      <c r="C3878">
        <v>13.0950002670288</v>
      </c>
      <c r="D3878">
        <v>12.8745002746582</v>
      </c>
      <c r="E3878">
        <v>12.9254999160766</v>
      </c>
      <c r="F3878">
        <v>12.9254999160766</v>
      </c>
      <c r="G3878">
        <v>56130000</v>
      </c>
      <c r="H3878">
        <f t="shared" si="240"/>
        <v>2012</v>
      </c>
      <c r="I3878">
        <f t="shared" si="241"/>
        <v>10</v>
      </c>
      <c r="J3878" t="str">
        <f t="shared" si="242"/>
        <v>Oct</v>
      </c>
      <c r="K3878" t="str">
        <f t="shared" si="243"/>
        <v>Fri</v>
      </c>
    </row>
    <row r="3879" spans="1:11" x14ac:dyDescent="0.35">
      <c r="A3879" s="1">
        <v>41190</v>
      </c>
      <c r="B3879">
        <v>12.8835000991821</v>
      </c>
      <c r="C3879">
        <v>12.9899997711181</v>
      </c>
      <c r="D3879">
        <v>12.7779998779296</v>
      </c>
      <c r="E3879">
        <v>12.953000068664499</v>
      </c>
      <c r="F3879">
        <v>12.953000068664499</v>
      </c>
      <c r="G3879">
        <v>35246000</v>
      </c>
      <c r="H3879">
        <f t="shared" si="240"/>
        <v>2012</v>
      </c>
      <c r="I3879">
        <f t="shared" si="241"/>
        <v>10</v>
      </c>
      <c r="J3879" t="str">
        <f t="shared" si="242"/>
        <v>Oct</v>
      </c>
      <c r="K3879" t="str">
        <f t="shared" si="243"/>
        <v>Mon</v>
      </c>
    </row>
    <row r="3880" spans="1:11" x14ac:dyDescent="0.35">
      <c r="A3880" s="1">
        <v>41191</v>
      </c>
      <c r="B3880">
        <v>12.9335002899169</v>
      </c>
      <c r="C3880">
        <v>12.967499732971101</v>
      </c>
      <c r="D3880">
        <v>12.5364999771118</v>
      </c>
      <c r="E3880">
        <v>12.548000335693301</v>
      </c>
      <c r="F3880">
        <v>12.548000335693301</v>
      </c>
      <c r="G3880">
        <v>69896000</v>
      </c>
      <c r="H3880">
        <f t="shared" si="240"/>
        <v>2012</v>
      </c>
      <c r="I3880">
        <f t="shared" si="241"/>
        <v>10</v>
      </c>
      <c r="J3880" t="str">
        <f t="shared" si="242"/>
        <v>Oct</v>
      </c>
      <c r="K3880" t="str">
        <f t="shared" si="243"/>
        <v>Tue</v>
      </c>
    </row>
    <row r="3881" spans="1:11" x14ac:dyDescent="0.35">
      <c r="A3881" s="1">
        <v>41192</v>
      </c>
      <c r="B3881">
        <v>12.6000003814697</v>
      </c>
      <c r="C3881">
        <v>12.6230001449584</v>
      </c>
      <c r="D3881">
        <v>12.2004995346069</v>
      </c>
      <c r="E3881">
        <v>12.2495002746582</v>
      </c>
      <c r="F3881">
        <v>12.2495002746582</v>
      </c>
      <c r="G3881">
        <v>78966000</v>
      </c>
      <c r="H3881">
        <f t="shared" si="240"/>
        <v>2012</v>
      </c>
      <c r="I3881">
        <f t="shared" si="241"/>
        <v>10</v>
      </c>
      <c r="J3881" t="str">
        <f t="shared" si="242"/>
        <v>Oct</v>
      </c>
      <c r="K3881" t="str">
        <f t="shared" si="243"/>
        <v>Wed</v>
      </c>
    </row>
    <row r="3882" spans="1:11" x14ac:dyDescent="0.35">
      <c r="A3882" s="1">
        <v>41193</v>
      </c>
      <c r="B3882">
        <v>12.399999618530201</v>
      </c>
      <c r="C3882">
        <v>12.4650001525878</v>
      </c>
      <c r="D3882">
        <v>12.094499588012599</v>
      </c>
      <c r="E3882">
        <v>12.211000442504799</v>
      </c>
      <c r="F3882">
        <v>12.211000442504799</v>
      </c>
      <c r="G3882">
        <v>68946000</v>
      </c>
      <c r="H3882">
        <f t="shared" si="240"/>
        <v>2012</v>
      </c>
      <c r="I3882">
        <f t="shared" si="241"/>
        <v>10</v>
      </c>
      <c r="J3882" t="str">
        <f t="shared" si="242"/>
        <v>Oct</v>
      </c>
      <c r="K3882" t="str">
        <f t="shared" si="243"/>
        <v>Thu</v>
      </c>
    </row>
    <row r="3883" spans="1:11" x14ac:dyDescent="0.35">
      <c r="A3883" s="1">
        <v>41194</v>
      </c>
      <c r="B3883">
        <v>12.1590003967285</v>
      </c>
      <c r="C3883">
        <v>12.2729997634887</v>
      </c>
      <c r="D3883">
        <v>12.0954999923706</v>
      </c>
      <c r="E3883">
        <v>12.1180000305175</v>
      </c>
      <c r="F3883">
        <v>12.1180000305175</v>
      </c>
      <c r="G3883">
        <v>44064000</v>
      </c>
      <c r="H3883">
        <f t="shared" si="240"/>
        <v>2012</v>
      </c>
      <c r="I3883">
        <f t="shared" si="241"/>
        <v>10</v>
      </c>
      <c r="J3883" t="str">
        <f t="shared" si="242"/>
        <v>Oct</v>
      </c>
      <c r="K3883" t="str">
        <f t="shared" si="243"/>
        <v>Fri</v>
      </c>
    </row>
    <row r="3884" spans="1:11" x14ac:dyDescent="0.35">
      <c r="A3884" s="1">
        <v>41197</v>
      </c>
      <c r="B3884">
        <v>12.142499923706</v>
      </c>
      <c r="C3884">
        <v>12.239000320434499</v>
      </c>
      <c r="D3884">
        <v>11.9254999160766</v>
      </c>
      <c r="E3884">
        <v>12.208999633789</v>
      </c>
      <c r="F3884">
        <v>12.208999633789</v>
      </c>
      <c r="G3884">
        <v>59196000</v>
      </c>
      <c r="H3884">
        <f t="shared" si="240"/>
        <v>2012</v>
      </c>
      <c r="I3884">
        <f t="shared" si="241"/>
        <v>10</v>
      </c>
      <c r="J3884" t="str">
        <f t="shared" si="242"/>
        <v>Oct</v>
      </c>
      <c r="K3884" t="str">
        <f t="shared" si="243"/>
        <v>Mon</v>
      </c>
    </row>
    <row r="3885" spans="1:11" x14ac:dyDescent="0.35">
      <c r="A3885" s="1">
        <v>41198</v>
      </c>
      <c r="B3885">
        <v>12.2434997558593</v>
      </c>
      <c r="C3885">
        <v>12.288499832153301</v>
      </c>
      <c r="D3885">
        <v>12.104000091552701</v>
      </c>
      <c r="E3885">
        <v>12.1969995498657</v>
      </c>
      <c r="F3885">
        <v>12.1969995498657</v>
      </c>
      <c r="G3885">
        <v>44082000</v>
      </c>
      <c r="H3885">
        <f t="shared" si="240"/>
        <v>2012</v>
      </c>
      <c r="I3885">
        <f t="shared" si="241"/>
        <v>10</v>
      </c>
      <c r="J3885" t="str">
        <f t="shared" si="242"/>
        <v>Oct</v>
      </c>
      <c r="K3885" t="str">
        <f t="shared" si="243"/>
        <v>Tue</v>
      </c>
    </row>
    <row r="3886" spans="1:11" x14ac:dyDescent="0.35">
      <c r="A3886" s="1">
        <v>41199</v>
      </c>
      <c r="B3886">
        <v>12.168499946594199</v>
      </c>
      <c r="C3886">
        <v>12.439999580383301</v>
      </c>
      <c r="D3886">
        <v>12.164999961853001</v>
      </c>
      <c r="E3886">
        <v>12.3745002746582</v>
      </c>
      <c r="F3886">
        <v>12.3745002746582</v>
      </c>
      <c r="G3886">
        <v>66054000</v>
      </c>
      <c r="H3886">
        <f t="shared" si="240"/>
        <v>2012</v>
      </c>
      <c r="I3886">
        <f t="shared" si="241"/>
        <v>10</v>
      </c>
      <c r="J3886" t="str">
        <f t="shared" si="242"/>
        <v>Oct</v>
      </c>
      <c r="K3886" t="str">
        <f t="shared" si="243"/>
        <v>Wed</v>
      </c>
    </row>
    <row r="3887" spans="1:11" x14ac:dyDescent="0.35">
      <c r="A3887" s="1">
        <v>41200</v>
      </c>
      <c r="B3887">
        <v>12.388500213623001</v>
      </c>
      <c r="C3887">
        <v>12.5454998016357</v>
      </c>
      <c r="D3887">
        <v>12.1350002288818</v>
      </c>
      <c r="E3887">
        <v>12.2425003051757</v>
      </c>
      <c r="F3887">
        <v>12.2425003051757</v>
      </c>
      <c r="G3887">
        <v>106106000</v>
      </c>
      <c r="H3887">
        <f t="shared" si="240"/>
        <v>2012</v>
      </c>
      <c r="I3887">
        <f t="shared" si="241"/>
        <v>10</v>
      </c>
      <c r="J3887" t="str">
        <f t="shared" si="242"/>
        <v>Oct</v>
      </c>
      <c r="K3887" t="str">
        <f t="shared" si="243"/>
        <v>Thu</v>
      </c>
    </row>
    <row r="3888" spans="1:11" x14ac:dyDescent="0.35">
      <c r="A3888" s="1">
        <v>41201</v>
      </c>
      <c r="B3888">
        <v>12.2580003738403</v>
      </c>
      <c r="C3888">
        <v>12.340999603271401</v>
      </c>
      <c r="D3888">
        <v>11.9469995498657</v>
      </c>
      <c r="E3888">
        <v>12</v>
      </c>
      <c r="F3888">
        <v>12</v>
      </c>
      <c r="G3888">
        <v>87906000</v>
      </c>
      <c r="H3888">
        <f t="shared" si="240"/>
        <v>2012</v>
      </c>
      <c r="I3888">
        <f t="shared" si="241"/>
        <v>10</v>
      </c>
      <c r="J3888" t="str">
        <f t="shared" si="242"/>
        <v>Oct</v>
      </c>
      <c r="K3888" t="str">
        <f t="shared" si="243"/>
        <v>Fri</v>
      </c>
    </row>
    <row r="3889" spans="1:11" x14ac:dyDescent="0.35">
      <c r="A3889" s="1">
        <v>41204</v>
      </c>
      <c r="B3889">
        <v>11.9405002593994</v>
      </c>
      <c r="C3889">
        <v>11.9475002288818</v>
      </c>
      <c r="D3889">
        <v>11.616000175476</v>
      </c>
      <c r="E3889">
        <v>11.6890001296997</v>
      </c>
      <c r="F3889">
        <v>11.6890001296997</v>
      </c>
      <c r="G3889">
        <v>90000000</v>
      </c>
      <c r="H3889">
        <f t="shared" si="240"/>
        <v>2012</v>
      </c>
      <c r="I3889">
        <f t="shared" si="241"/>
        <v>10</v>
      </c>
      <c r="J3889" t="str">
        <f t="shared" si="242"/>
        <v>Oct</v>
      </c>
      <c r="K3889" t="str">
        <f t="shared" si="243"/>
        <v>Mon</v>
      </c>
    </row>
    <row r="3890" spans="1:11" x14ac:dyDescent="0.35">
      <c r="A3890" s="1">
        <v>41205</v>
      </c>
      <c r="B3890">
        <v>11.5524997711181</v>
      </c>
      <c r="C3890">
        <v>11.824999809265099</v>
      </c>
      <c r="D3890">
        <v>11.500499725341699</v>
      </c>
      <c r="E3890">
        <v>11.7154998779296</v>
      </c>
      <c r="F3890">
        <v>11.7154998779296</v>
      </c>
      <c r="G3890">
        <v>88616000</v>
      </c>
      <c r="H3890">
        <f t="shared" si="240"/>
        <v>2012</v>
      </c>
      <c r="I3890">
        <f t="shared" si="241"/>
        <v>10</v>
      </c>
      <c r="J3890" t="str">
        <f t="shared" si="242"/>
        <v>Oct</v>
      </c>
      <c r="K3890" t="str">
        <f t="shared" si="243"/>
        <v>Tue</v>
      </c>
    </row>
    <row r="3891" spans="1:11" x14ac:dyDescent="0.35">
      <c r="A3891" s="1">
        <v>41206</v>
      </c>
      <c r="B3891">
        <v>11.793999671936</v>
      </c>
      <c r="C3891">
        <v>11.796999931335399</v>
      </c>
      <c r="D3891">
        <v>11.3975000381469</v>
      </c>
      <c r="E3891">
        <v>11.424500465393001</v>
      </c>
      <c r="F3891">
        <v>11.424500465393001</v>
      </c>
      <c r="G3891">
        <v>73574000</v>
      </c>
      <c r="H3891">
        <f t="shared" si="240"/>
        <v>2012</v>
      </c>
      <c r="I3891">
        <f t="shared" si="241"/>
        <v>10</v>
      </c>
      <c r="J3891" t="str">
        <f t="shared" si="242"/>
        <v>Oct</v>
      </c>
      <c r="K3891" t="str">
        <f t="shared" si="243"/>
        <v>Wed</v>
      </c>
    </row>
    <row r="3892" spans="1:11" x14ac:dyDescent="0.35">
      <c r="A3892" s="1">
        <v>41207</v>
      </c>
      <c r="B3892">
        <v>11.5459995269775</v>
      </c>
      <c r="C3892">
        <v>11.5459995269775</v>
      </c>
      <c r="D3892">
        <v>11.1459999084472</v>
      </c>
      <c r="E3892">
        <v>11.1459999084472</v>
      </c>
      <c r="F3892">
        <v>11.1459999084472</v>
      </c>
      <c r="G3892">
        <v>134826000</v>
      </c>
      <c r="H3892">
        <f t="shared" si="240"/>
        <v>2012</v>
      </c>
      <c r="I3892">
        <f t="shared" si="241"/>
        <v>10</v>
      </c>
      <c r="J3892" t="str">
        <f t="shared" si="242"/>
        <v>Oct</v>
      </c>
      <c r="K3892" t="str">
        <f t="shared" si="243"/>
        <v>Thu</v>
      </c>
    </row>
    <row r="3893" spans="1:11" x14ac:dyDescent="0.35">
      <c r="A3893" s="1">
        <v>41208</v>
      </c>
      <c r="B3893">
        <v>11.4300003051757</v>
      </c>
      <c r="C3893">
        <v>11.9355001449584</v>
      </c>
      <c r="D3893">
        <v>11.334500312805099</v>
      </c>
      <c r="E3893">
        <v>11.911999702453601</v>
      </c>
      <c r="F3893">
        <v>11.911999702453601</v>
      </c>
      <c r="G3893">
        <v>227350000</v>
      </c>
      <c r="H3893">
        <f t="shared" si="240"/>
        <v>2012</v>
      </c>
      <c r="I3893">
        <f t="shared" si="241"/>
        <v>10</v>
      </c>
      <c r="J3893" t="str">
        <f t="shared" si="242"/>
        <v>Oct</v>
      </c>
      <c r="K3893" t="str">
        <f t="shared" si="243"/>
        <v>Fri</v>
      </c>
    </row>
    <row r="3894" spans="1:11" x14ac:dyDescent="0.35">
      <c r="A3894" s="1">
        <v>41213</v>
      </c>
      <c r="B3894">
        <v>11.8159999847412</v>
      </c>
      <c r="C3894">
        <v>11.935000419616699</v>
      </c>
      <c r="D3894">
        <v>11.524999618530201</v>
      </c>
      <c r="E3894">
        <v>11.6444997787475</v>
      </c>
      <c r="F3894">
        <v>11.6444997787475</v>
      </c>
      <c r="G3894">
        <v>95952000</v>
      </c>
      <c r="H3894">
        <f t="shared" si="240"/>
        <v>2012</v>
      </c>
      <c r="I3894">
        <f t="shared" si="241"/>
        <v>10</v>
      </c>
      <c r="J3894" t="str">
        <f t="shared" si="242"/>
        <v>Oct</v>
      </c>
      <c r="K3894" t="str">
        <f t="shared" si="243"/>
        <v>Wed</v>
      </c>
    </row>
    <row r="3895" spans="1:11" x14ac:dyDescent="0.35">
      <c r="A3895" s="1">
        <v>41214</v>
      </c>
      <c r="B3895">
        <v>11.7115001678466</v>
      </c>
      <c r="C3895">
        <v>11.727499961853001</v>
      </c>
      <c r="D3895">
        <v>11.5670003890991</v>
      </c>
      <c r="E3895">
        <v>11.6070003509521</v>
      </c>
      <c r="F3895">
        <v>11.6070003509521</v>
      </c>
      <c r="G3895">
        <v>78102000</v>
      </c>
      <c r="H3895">
        <f t="shared" si="240"/>
        <v>2012</v>
      </c>
      <c r="I3895">
        <f t="shared" si="241"/>
        <v>11</v>
      </c>
      <c r="J3895" t="str">
        <f t="shared" si="242"/>
        <v>Nov</v>
      </c>
      <c r="K3895" t="str">
        <f t="shared" si="243"/>
        <v>Thu</v>
      </c>
    </row>
    <row r="3896" spans="1:11" x14ac:dyDescent="0.35">
      <c r="A3896" s="1">
        <v>41215</v>
      </c>
      <c r="B3896">
        <v>11.7004995346069</v>
      </c>
      <c r="C3896">
        <v>11.869999885559</v>
      </c>
      <c r="D3896">
        <v>11.605500221252401</v>
      </c>
      <c r="E3896">
        <v>11.6210002899169</v>
      </c>
      <c r="F3896">
        <v>11.6210002899169</v>
      </c>
      <c r="G3896">
        <v>67494000</v>
      </c>
      <c r="H3896">
        <f t="shared" si="240"/>
        <v>2012</v>
      </c>
      <c r="I3896">
        <f t="shared" si="241"/>
        <v>11</v>
      </c>
      <c r="J3896" t="str">
        <f t="shared" si="242"/>
        <v>Nov</v>
      </c>
      <c r="K3896" t="str">
        <f t="shared" si="243"/>
        <v>Fri</v>
      </c>
    </row>
    <row r="3897" spans="1:11" x14ac:dyDescent="0.35">
      <c r="A3897" s="1">
        <v>41218</v>
      </c>
      <c r="B3897">
        <v>11.6020002365112</v>
      </c>
      <c r="C3897">
        <v>11.7414999008178</v>
      </c>
      <c r="D3897">
        <v>11.505499839782701</v>
      </c>
      <c r="E3897">
        <v>11.7165002822875</v>
      </c>
      <c r="F3897">
        <v>11.7165002822875</v>
      </c>
      <c r="G3897">
        <v>36922000</v>
      </c>
      <c r="H3897">
        <f t="shared" si="240"/>
        <v>2012</v>
      </c>
      <c r="I3897">
        <f t="shared" si="241"/>
        <v>11</v>
      </c>
      <c r="J3897" t="str">
        <f t="shared" si="242"/>
        <v>Nov</v>
      </c>
      <c r="K3897" t="str">
        <f t="shared" si="243"/>
        <v>Mon</v>
      </c>
    </row>
    <row r="3898" spans="1:11" x14ac:dyDescent="0.35">
      <c r="A3898" s="1">
        <v>41219</v>
      </c>
      <c r="B3898">
        <v>11.770500183105399</v>
      </c>
      <c r="C3898">
        <v>11.887499809265099</v>
      </c>
      <c r="D3898">
        <v>11.7224998474121</v>
      </c>
      <c r="E3898">
        <v>11.8780002593994</v>
      </c>
      <c r="F3898">
        <v>11.8780002593994</v>
      </c>
      <c r="G3898">
        <v>53226000</v>
      </c>
      <c r="H3898">
        <f t="shared" si="240"/>
        <v>2012</v>
      </c>
      <c r="I3898">
        <f t="shared" si="241"/>
        <v>11</v>
      </c>
      <c r="J3898" t="str">
        <f t="shared" si="242"/>
        <v>Nov</v>
      </c>
      <c r="K3898" t="str">
        <f t="shared" si="243"/>
        <v>Tue</v>
      </c>
    </row>
    <row r="3899" spans="1:11" x14ac:dyDescent="0.35">
      <c r="A3899" s="1">
        <v>41220</v>
      </c>
      <c r="B3899">
        <v>11.7825002670288</v>
      </c>
      <c r="C3899">
        <v>11.7829999923706</v>
      </c>
      <c r="D3899">
        <v>11.470999717712401</v>
      </c>
      <c r="E3899">
        <v>11.602999687194799</v>
      </c>
      <c r="F3899">
        <v>11.602999687194799</v>
      </c>
      <c r="G3899">
        <v>72484000</v>
      </c>
      <c r="H3899">
        <f t="shared" si="240"/>
        <v>2012</v>
      </c>
      <c r="I3899">
        <f t="shared" si="241"/>
        <v>11</v>
      </c>
      <c r="J3899" t="str">
        <f t="shared" si="242"/>
        <v>Nov</v>
      </c>
      <c r="K3899" t="str">
        <f t="shared" si="243"/>
        <v>Wed</v>
      </c>
    </row>
    <row r="3900" spans="1:11" x14ac:dyDescent="0.35">
      <c r="A3900" s="1">
        <v>41221</v>
      </c>
      <c r="B3900">
        <v>11.611000061035099</v>
      </c>
      <c r="C3900">
        <v>11.6724996566772</v>
      </c>
      <c r="D3900">
        <v>11.3549995422363</v>
      </c>
      <c r="E3900">
        <v>11.3675003051757</v>
      </c>
      <c r="F3900">
        <v>11.3675003051757</v>
      </c>
      <c r="G3900">
        <v>59648000</v>
      </c>
      <c r="H3900">
        <f t="shared" si="240"/>
        <v>2012</v>
      </c>
      <c r="I3900">
        <f t="shared" si="241"/>
        <v>11</v>
      </c>
      <c r="J3900" t="str">
        <f t="shared" si="242"/>
        <v>Nov</v>
      </c>
      <c r="K3900" t="str">
        <f t="shared" si="243"/>
        <v>Thu</v>
      </c>
    </row>
    <row r="3901" spans="1:11" x14ac:dyDescent="0.35">
      <c r="A3901" s="1">
        <v>41222</v>
      </c>
      <c r="B3901">
        <v>11.312999725341699</v>
      </c>
      <c r="C3901">
        <v>11.548500061035099</v>
      </c>
      <c r="D3901">
        <v>11.2299995422363</v>
      </c>
      <c r="E3901">
        <v>11.3155002593994</v>
      </c>
      <c r="F3901">
        <v>11.3155002593994</v>
      </c>
      <c r="G3901">
        <v>61850000</v>
      </c>
      <c r="H3901">
        <f t="shared" si="240"/>
        <v>2012</v>
      </c>
      <c r="I3901">
        <f t="shared" si="241"/>
        <v>11</v>
      </c>
      <c r="J3901" t="str">
        <f t="shared" si="242"/>
        <v>Nov</v>
      </c>
      <c r="K3901" t="str">
        <f t="shared" si="243"/>
        <v>Fri</v>
      </c>
    </row>
    <row r="3902" spans="1:11" x14ac:dyDescent="0.35">
      <c r="A3902" s="1">
        <v>41225</v>
      </c>
      <c r="B3902">
        <v>11.329500198364199</v>
      </c>
      <c r="C3902">
        <v>11.461000442504799</v>
      </c>
      <c r="D3902">
        <v>11.270500183105399</v>
      </c>
      <c r="E3902">
        <v>11.323499679565399</v>
      </c>
      <c r="F3902">
        <v>11.323499679565399</v>
      </c>
      <c r="G3902">
        <v>42576000</v>
      </c>
      <c r="H3902">
        <f t="shared" si="240"/>
        <v>2012</v>
      </c>
      <c r="I3902">
        <f t="shared" si="241"/>
        <v>11</v>
      </c>
      <c r="J3902" t="str">
        <f t="shared" si="242"/>
        <v>Nov</v>
      </c>
      <c r="K3902" t="str">
        <f t="shared" si="243"/>
        <v>Mon</v>
      </c>
    </row>
    <row r="3903" spans="1:11" x14ac:dyDescent="0.35">
      <c r="A3903" s="1">
        <v>41226</v>
      </c>
      <c r="B3903">
        <v>11.255999565124499</v>
      </c>
      <c r="C3903">
        <v>11.395000457763601</v>
      </c>
      <c r="D3903">
        <v>11.235500335693301</v>
      </c>
      <c r="E3903">
        <v>11.329999923706</v>
      </c>
      <c r="F3903">
        <v>11.329999923706</v>
      </c>
      <c r="G3903">
        <v>52596000</v>
      </c>
      <c r="H3903">
        <f t="shared" si="240"/>
        <v>2012</v>
      </c>
      <c r="I3903">
        <f t="shared" si="241"/>
        <v>11</v>
      </c>
      <c r="J3903" t="str">
        <f t="shared" si="242"/>
        <v>Nov</v>
      </c>
      <c r="K3903" t="str">
        <f t="shared" si="243"/>
        <v>Tue</v>
      </c>
    </row>
    <row r="3904" spans="1:11" x14ac:dyDescent="0.35">
      <c r="A3904" s="1">
        <v>41227</v>
      </c>
      <c r="B3904">
        <v>11.324999809265099</v>
      </c>
      <c r="C3904">
        <v>11.370499610900801</v>
      </c>
      <c r="D3904">
        <v>11.125499725341699</v>
      </c>
      <c r="E3904">
        <v>11.1475000381469</v>
      </c>
      <c r="F3904">
        <v>11.1475000381469</v>
      </c>
      <c r="G3904">
        <v>60682000</v>
      </c>
      <c r="H3904">
        <f t="shared" si="240"/>
        <v>2012</v>
      </c>
      <c r="I3904">
        <f t="shared" si="241"/>
        <v>11</v>
      </c>
      <c r="J3904" t="str">
        <f t="shared" si="242"/>
        <v>Nov</v>
      </c>
      <c r="K3904" t="str">
        <f t="shared" si="243"/>
        <v>Wed</v>
      </c>
    </row>
    <row r="3905" spans="1:11" x14ac:dyDescent="0.35">
      <c r="A3905" s="1">
        <v>41228</v>
      </c>
      <c r="B3905">
        <v>11.1149997711181</v>
      </c>
      <c r="C3905">
        <v>11.2580003738403</v>
      </c>
      <c r="D3905">
        <v>10.9090003967285</v>
      </c>
      <c r="E3905">
        <v>11.029999732971101</v>
      </c>
      <c r="F3905">
        <v>11.029999732971101</v>
      </c>
      <c r="G3905">
        <v>68094000</v>
      </c>
      <c r="H3905">
        <f t="shared" si="240"/>
        <v>2012</v>
      </c>
      <c r="I3905">
        <f t="shared" si="241"/>
        <v>11</v>
      </c>
      <c r="J3905" t="str">
        <f t="shared" si="242"/>
        <v>Nov</v>
      </c>
      <c r="K3905" t="str">
        <f t="shared" si="243"/>
        <v>Thu</v>
      </c>
    </row>
    <row r="3906" spans="1:11" x14ac:dyDescent="0.35">
      <c r="A3906" s="1">
        <v>41229</v>
      </c>
      <c r="B3906">
        <v>11.0655002593994</v>
      </c>
      <c r="C3906">
        <v>11.3125</v>
      </c>
      <c r="D3906">
        <v>10.9320001602172</v>
      </c>
      <c r="E3906">
        <v>11.2615003585815</v>
      </c>
      <c r="F3906">
        <v>11.2615003585815</v>
      </c>
      <c r="G3906">
        <v>87056000</v>
      </c>
      <c r="H3906">
        <f t="shared" si="240"/>
        <v>2012</v>
      </c>
      <c r="I3906">
        <f t="shared" si="241"/>
        <v>11</v>
      </c>
      <c r="J3906" t="str">
        <f t="shared" si="242"/>
        <v>Nov</v>
      </c>
      <c r="K3906" t="str">
        <f t="shared" si="243"/>
        <v>Fri</v>
      </c>
    </row>
    <row r="3907" spans="1:11" x14ac:dyDescent="0.35">
      <c r="A3907" s="1">
        <v>41232</v>
      </c>
      <c r="B3907">
        <v>11.4160003662109</v>
      </c>
      <c r="C3907">
        <v>11.625</v>
      </c>
      <c r="D3907">
        <v>11.372500419616699</v>
      </c>
      <c r="E3907">
        <v>11.485500335693301</v>
      </c>
      <c r="F3907">
        <v>11.485500335693301</v>
      </c>
      <c r="G3907">
        <v>71824000</v>
      </c>
      <c r="H3907">
        <f t="shared" si="240"/>
        <v>2012</v>
      </c>
      <c r="I3907">
        <f t="shared" si="241"/>
        <v>11</v>
      </c>
      <c r="J3907" t="str">
        <f t="shared" si="242"/>
        <v>Nov</v>
      </c>
      <c r="K3907" t="str">
        <f t="shared" si="243"/>
        <v>Mon</v>
      </c>
    </row>
    <row r="3908" spans="1:11" x14ac:dyDescent="0.35">
      <c r="A3908" s="1">
        <v>41233</v>
      </c>
      <c r="B3908">
        <v>11.5</v>
      </c>
      <c r="C3908">
        <v>11.6909999847412</v>
      </c>
      <c r="D3908">
        <v>11.4750003814697</v>
      </c>
      <c r="E3908">
        <v>11.6890001296997</v>
      </c>
      <c r="F3908">
        <v>11.6890001296997</v>
      </c>
      <c r="G3908">
        <v>55434000</v>
      </c>
      <c r="H3908">
        <f t="shared" ref="H3908:H3971" si="244">YEAR($A3908)</f>
        <v>2012</v>
      </c>
      <c r="I3908">
        <f t="shared" ref="I3908:I3971" si="245">MONTH($A3908)</f>
        <v>11</v>
      </c>
      <c r="J3908" t="str">
        <f t="shared" ref="J3908:J3971" si="246">TEXT($A3908,"mmm")</f>
        <v>Nov</v>
      </c>
      <c r="K3908" t="str">
        <f t="shared" ref="K3908:K3971" si="247">TEXT($A3908,"ddd")</f>
        <v>Tue</v>
      </c>
    </row>
    <row r="3909" spans="1:11" x14ac:dyDescent="0.35">
      <c r="A3909" s="1">
        <v>41234</v>
      </c>
      <c r="B3909">
        <v>11.6920003890991</v>
      </c>
      <c r="C3909">
        <v>11.9335002899169</v>
      </c>
      <c r="D3909">
        <v>11.637499809265099</v>
      </c>
      <c r="E3909">
        <v>11.901499748229901</v>
      </c>
      <c r="F3909">
        <v>11.901499748229901</v>
      </c>
      <c r="G3909">
        <v>59186000</v>
      </c>
      <c r="H3909">
        <f t="shared" si="244"/>
        <v>2012</v>
      </c>
      <c r="I3909">
        <f t="shared" si="245"/>
        <v>11</v>
      </c>
      <c r="J3909" t="str">
        <f t="shared" si="246"/>
        <v>Nov</v>
      </c>
      <c r="K3909" t="str">
        <f t="shared" si="247"/>
        <v>Wed</v>
      </c>
    </row>
    <row r="3910" spans="1:11" x14ac:dyDescent="0.35">
      <c r="A3910" s="1">
        <v>41236</v>
      </c>
      <c r="B3910">
        <v>11.9945001602172</v>
      </c>
      <c r="C3910">
        <v>12</v>
      </c>
      <c r="D3910">
        <v>11.8240003585815</v>
      </c>
      <c r="E3910">
        <v>11.994000434875399</v>
      </c>
      <c r="F3910">
        <v>11.994000434875399</v>
      </c>
      <c r="G3910">
        <v>35536000</v>
      </c>
      <c r="H3910">
        <f t="shared" si="244"/>
        <v>2012</v>
      </c>
      <c r="I3910">
        <f t="shared" si="245"/>
        <v>11</v>
      </c>
      <c r="J3910" t="str">
        <f t="shared" si="246"/>
        <v>Nov</v>
      </c>
      <c r="K3910" t="str">
        <f t="shared" si="247"/>
        <v>Fri</v>
      </c>
    </row>
    <row r="3911" spans="1:11" x14ac:dyDescent="0.35">
      <c r="A3911" s="1">
        <v>41239</v>
      </c>
      <c r="B3911">
        <v>12.0194997787475</v>
      </c>
      <c r="C3911">
        <v>12.215999603271401</v>
      </c>
      <c r="D3911">
        <v>11.899999618530201</v>
      </c>
      <c r="E3911">
        <v>12.1809997558593</v>
      </c>
      <c r="F3911">
        <v>12.1809997558593</v>
      </c>
      <c r="G3911">
        <v>83566000</v>
      </c>
      <c r="H3911">
        <f t="shared" si="244"/>
        <v>2012</v>
      </c>
      <c r="I3911">
        <f t="shared" si="245"/>
        <v>11</v>
      </c>
      <c r="J3911" t="str">
        <f t="shared" si="246"/>
        <v>Nov</v>
      </c>
      <c r="K3911" t="str">
        <f t="shared" si="247"/>
        <v>Mon</v>
      </c>
    </row>
    <row r="3912" spans="1:11" x14ac:dyDescent="0.35">
      <c r="A3912" s="1">
        <v>41240</v>
      </c>
      <c r="B3912">
        <v>12.16100025177</v>
      </c>
      <c r="C3912">
        <v>12.283499717712401</v>
      </c>
      <c r="D3912">
        <v>12.0769996643066</v>
      </c>
      <c r="E3912">
        <v>12.170000076293899</v>
      </c>
      <c r="F3912">
        <v>12.170000076293899</v>
      </c>
      <c r="G3912">
        <v>60970000</v>
      </c>
      <c r="H3912">
        <f t="shared" si="244"/>
        <v>2012</v>
      </c>
      <c r="I3912">
        <f t="shared" si="245"/>
        <v>11</v>
      </c>
      <c r="J3912" t="str">
        <f t="shared" si="246"/>
        <v>Nov</v>
      </c>
      <c r="K3912" t="str">
        <f t="shared" si="247"/>
        <v>Tue</v>
      </c>
    </row>
    <row r="3913" spans="1:11" x14ac:dyDescent="0.35">
      <c r="A3913" s="1">
        <v>41241</v>
      </c>
      <c r="B3913">
        <v>12.122500419616699</v>
      </c>
      <c r="C3913">
        <v>12.3614997863769</v>
      </c>
      <c r="D3913">
        <v>12.074999809265099</v>
      </c>
      <c r="E3913">
        <v>12.355500221252401</v>
      </c>
      <c r="F3913">
        <v>12.355500221252401</v>
      </c>
      <c r="G3913">
        <v>54868000</v>
      </c>
      <c r="H3913">
        <f t="shared" si="244"/>
        <v>2012</v>
      </c>
      <c r="I3913">
        <f t="shared" si="245"/>
        <v>11</v>
      </c>
      <c r="J3913" t="str">
        <f t="shared" si="246"/>
        <v>Nov</v>
      </c>
      <c r="K3913" t="str">
        <f t="shared" si="247"/>
        <v>Wed</v>
      </c>
    </row>
    <row r="3914" spans="1:11" x14ac:dyDescent="0.35">
      <c r="A3914" s="1">
        <v>41242</v>
      </c>
      <c r="B3914">
        <v>12.4025001525878</v>
      </c>
      <c r="C3914">
        <v>12.623999595641999</v>
      </c>
      <c r="D3914">
        <v>12.375</v>
      </c>
      <c r="E3914">
        <v>12.563500404357899</v>
      </c>
      <c r="F3914">
        <v>12.563500404357899</v>
      </c>
      <c r="G3914">
        <v>106210000</v>
      </c>
      <c r="H3914">
        <f t="shared" si="244"/>
        <v>2012</v>
      </c>
      <c r="I3914">
        <f t="shared" si="245"/>
        <v>11</v>
      </c>
      <c r="J3914" t="str">
        <f t="shared" si="246"/>
        <v>Nov</v>
      </c>
      <c r="K3914" t="str">
        <f t="shared" si="247"/>
        <v>Thu</v>
      </c>
    </row>
    <row r="3915" spans="1:11" x14ac:dyDescent="0.35">
      <c r="A3915" s="1">
        <v>41243</v>
      </c>
      <c r="B3915">
        <v>12.5190000534057</v>
      </c>
      <c r="C3915">
        <v>12.632499694824199</v>
      </c>
      <c r="D3915">
        <v>12.413499832153301</v>
      </c>
      <c r="E3915">
        <v>12.602499961853001</v>
      </c>
      <c r="F3915">
        <v>12.602499961853001</v>
      </c>
      <c r="G3915">
        <v>75948000</v>
      </c>
      <c r="H3915">
        <f t="shared" si="244"/>
        <v>2012</v>
      </c>
      <c r="I3915">
        <f t="shared" si="245"/>
        <v>11</v>
      </c>
      <c r="J3915" t="str">
        <f t="shared" si="246"/>
        <v>Nov</v>
      </c>
      <c r="K3915" t="str">
        <f t="shared" si="247"/>
        <v>Fri</v>
      </c>
    </row>
    <row r="3916" spans="1:11" x14ac:dyDescent="0.35">
      <c r="A3916" s="1">
        <v>41246</v>
      </c>
      <c r="B3916">
        <v>12.6269998550415</v>
      </c>
      <c r="C3916">
        <v>12.708000183105399</v>
      </c>
      <c r="D3916">
        <v>12.5</v>
      </c>
      <c r="E3916">
        <v>12.516500473022401</v>
      </c>
      <c r="F3916">
        <v>12.516500473022401</v>
      </c>
      <c r="G3916">
        <v>59812000</v>
      </c>
      <c r="H3916">
        <f t="shared" si="244"/>
        <v>2012</v>
      </c>
      <c r="I3916">
        <f t="shared" si="245"/>
        <v>12</v>
      </c>
      <c r="J3916" t="str">
        <f t="shared" si="246"/>
        <v>Dec</v>
      </c>
      <c r="K3916" t="str">
        <f t="shared" si="247"/>
        <v>Mon</v>
      </c>
    </row>
    <row r="3917" spans="1:11" x14ac:dyDescent="0.35">
      <c r="A3917" s="1">
        <v>41247</v>
      </c>
      <c r="B3917">
        <v>12.496999740600501</v>
      </c>
      <c r="C3917">
        <v>12.649999618530201</v>
      </c>
      <c r="D3917">
        <v>12.432999610900801</v>
      </c>
      <c r="E3917">
        <v>12.6245002746582</v>
      </c>
      <c r="F3917">
        <v>12.6245002746582</v>
      </c>
      <c r="G3917">
        <v>62294000</v>
      </c>
      <c r="H3917">
        <f t="shared" si="244"/>
        <v>2012</v>
      </c>
      <c r="I3917">
        <f t="shared" si="245"/>
        <v>12</v>
      </c>
      <c r="J3917" t="str">
        <f t="shared" si="246"/>
        <v>Dec</v>
      </c>
      <c r="K3917" t="str">
        <f t="shared" si="247"/>
        <v>Tue</v>
      </c>
    </row>
    <row r="3918" spans="1:11" x14ac:dyDescent="0.35">
      <c r="A3918" s="1">
        <v>41248</v>
      </c>
      <c r="B3918">
        <v>12.621999740600501</v>
      </c>
      <c r="C3918">
        <v>12.7775001525878</v>
      </c>
      <c r="D3918">
        <v>12.5190000534057</v>
      </c>
      <c r="E3918">
        <v>12.697999954223601</v>
      </c>
      <c r="F3918">
        <v>12.697999954223601</v>
      </c>
      <c r="G3918">
        <v>57044000</v>
      </c>
      <c r="H3918">
        <f t="shared" si="244"/>
        <v>2012</v>
      </c>
      <c r="I3918">
        <f t="shared" si="245"/>
        <v>12</v>
      </c>
      <c r="J3918" t="str">
        <f t="shared" si="246"/>
        <v>Dec</v>
      </c>
      <c r="K3918" t="str">
        <f t="shared" si="247"/>
        <v>Wed</v>
      </c>
    </row>
    <row r="3919" spans="1:11" x14ac:dyDescent="0.35">
      <c r="A3919" s="1">
        <v>41249</v>
      </c>
      <c r="B3919">
        <v>12.649999618530201</v>
      </c>
      <c r="C3919">
        <v>12.7585000991821</v>
      </c>
      <c r="D3919">
        <v>12.5754995346069</v>
      </c>
      <c r="E3919">
        <v>12.668499946594199</v>
      </c>
      <c r="F3919">
        <v>12.668499946594199</v>
      </c>
      <c r="G3919">
        <v>71158000</v>
      </c>
      <c r="H3919">
        <f t="shared" si="244"/>
        <v>2012</v>
      </c>
      <c r="I3919">
        <f t="shared" si="245"/>
        <v>12</v>
      </c>
      <c r="J3919" t="str">
        <f t="shared" si="246"/>
        <v>Dec</v>
      </c>
      <c r="K3919" t="str">
        <f t="shared" si="247"/>
        <v>Thu</v>
      </c>
    </row>
    <row r="3920" spans="1:11" x14ac:dyDescent="0.35">
      <c r="A3920" s="1">
        <v>41250</v>
      </c>
      <c r="B3920">
        <v>12.7069997787475</v>
      </c>
      <c r="C3920">
        <v>12.760499954223601</v>
      </c>
      <c r="D3920">
        <v>12.6005001068115</v>
      </c>
      <c r="E3920">
        <v>12.663499832153301</v>
      </c>
      <c r="F3920">
        <v>12.663499832153301</v>
      </c>
      <c r="G3920">
        <v>43406000</v>
      </c>
      <c r="H3920">
        <f t="shared" si="244"/>
        <v>2012</v>
      </c>
      <c r="I3920">
        <f t="shared" si="245"/>
        <v>12</v>
      </c>
      <c r="J3920" t="str">
        <f t="shared" si="246"/>
        <v>Dec</v>
      </c>
      <c r="K3920" t="str">
        <f t="shared" si="247"/>
        <v>Fri</v>
      </c>
    </row>
    <row r="3921" spans="1:11" x14ac:dyDescent="0.35">
      <c r="A3921" s="1">
        <v>41253</v>
      </c>
      <c r="B3921">
        <v>12.654999732971101</v>
      </c>
      <c r="C3921">
        <v>12.739000320434499</v>
      </c>
      <c r="D3921">
        <v>12.3649997711181</v>
      </c>
      <c r="E3921">
        <v>12.388500213623001</v>
      </c>
      <c r="F3921">
        <v>12.388500213623001</v>
      </c>
      <c r="G3921">
        <v>70076000</v>
      </c>
      <c r="H3921">
        <f t="shared" si="244"/>
        <v>2012</v>
      </c>
      <c r="I3921">
        <f t="shared" si="245"/>
        <v>12</v>
      </c>
      <c r="J3921" t="str">
        <f t="shared" si="246"/>
        <v>Dec</v>
      </c>
      <c r="K3921" t="str">
        <f t="shared" si="247"/>
        <v>Mon</v>
      </c>
    </row>
    <row r="3922" spans="1:11" x14ac:dyDescent="0.35">
      <c r="A3922" s="1">
        <v>41254</v>
      </c>
      <c r="B3922">
        <v>12.425000190734799</v>
      </c>
      <c r="C3922">
        <v>12.6739997863769</v>
      </c>
      <c r="D3922">
        <v>12.332500457763601</v>
      </c>
      <c r="E3922">
        <v>12.5345001220703</v>
      </c>
      <c r="F3922">
        <v>12.5345001220703</v>
      </c>
      <c r="G3922">
        <v>83704000</v>
      </c>
      <c r="H3922">
        <f t="shared" si="244"/>
        <v>2012</v>
      </c>
      <c r="I3922">
        <f t="shared" si="245"/>
        <v>12</v>
      </c>
      <c r="J3922" t="str">
        <f t="shared" si="246"/>
        <v>Dec</v>
      </c>
      <c r="K3922" t="str">
        <f t="shared" si="247"/>
        <v>Tue</v>
      </c>
    </row>
    <row r="3923" spans="1:11" x14ac:dyDescent="0.35">
      <c r="A3923" s="1">
        <v>41255</v>
      </c>
      <c r="B3923">
        <v>12.553500175476</v>
      </c>
      <c r="C3923">
        <v>12.718000411987299</v>
      </c>
      <c r="D3923">
        <v>12.5030002593994</v>
      </c>
      <c r="E3923">
        <v>12.5880002975463</v>
      </c>
      <c r="F3923">
        <v>12.5880002975463</v>
      </c>
      <c r="G3923">
        <v>52562000</v>
      </c>
      <c r="H3923">
        <f t="shared" si="244"/>
        <v>2012</v>
      </c>
      <c r="I3923">
        <f t="shared" si="245"/>
        <v>12</v>
      </c>
      <c r="J3923" t="str">
        <f t="shared" si="246"/>
        <v>Dec</v>
      </c>
      <c r="K3923" t="str">
        <f t="shared" si="247"/>
        <v>Wed</v>
      </c>
    </row>
    <row r="3924" spans="1:11" x14ac:dyDescent="0.35">
      <c r="A3924" s="1">
        <v>41256</v>
      </c>
      <c r="B3924">
        <v>12.5555000305175</v>
      </c>
      <c r="C3924">
        <v>12.7270002365112</v>
      </c>
      <c r="D3924">
        <v>12.501000404357899</v>
      </c>
      <c r="E3924">
        <v>12.5625</v>
      </c>
      <c r="F3924">
        <v>12.5625</v>
      </c>
      <c r="G3924">
        <v>49204000</v>
      </c>
      <c r="H3924">
        <f t="shared" si="244"/>
        <v>2012</v>
      </c>
      <c r="I3924">
        <f t="shared" si="245"/>
        <v>12</v>
      </c>
      <c r="J3924" t="str">
        <f t="shared" si="246"/>
        <v>Dec</v>
      </c>
      <c r="K3924" t="str">
        <f t="shared" si="247"/>
        <v>Thu</v>
      </c>
    </row>
    <row r="3925" spans="1:11" x14ac:dyDescent="0.35">
      <c r="A3925" s="1">
        <v>41257</v>
      </c>
      <c r="B3925">
        <v>12.505499839782701</v>
      </c>
      <c r="C3925">
        <v>12.5950002670288</v>
      </c>
      <c r="D3925">
        <v>12.3894996643066</v>
      </c>
      <c r="E3925">
        <v>12.459500312805099</v>
      </c>
      <c r="F3925">
        <v>12.459500312805099</v>
      </c>
      <c r="G3925">
        <v>50538000</v>
      </c>
      <c r="H3925">
        <f t="shared" si="244"/>
        <v>2012</v>
      </c>
      <c r="I3925">
        <f t="shared" si="245"/>
        <v>12</v>
      </c>
      <c r="J3925" t="str">
        <f t="shared" si="246"/>
        <v>Dec</v>
      </c>
      <c r="K3925" t="str">
        <f t="shared" si="247"/>
        <v>Fri</v>
      </c>
    </row>
    <row r="3926" spans="1:11" x14ac:dyDescent="0.35">
      <c r="A3926" s="1">
        <v>41260</v>
      </c>
      <c r="B3926">
        <v>12.490500450134199</v>
      </c>
      <c r="C3926">
        <v>12.699999809265099</v>
      </c>
      <c r="D3926">
        <v>12.4630002975463</v>
      </c>
      <c r="E3926">
        <v>12.692999839782701</v>
      </c>
      <c r="F3926">
        <v>12.692999839782701</v>
      </c>
      <c r="G3926">
        <v>45540000</v>
      </c>
      <c r="H3926">
        <f t="shared" si="244"/>
        <v>2012</v>
      </c>
      <c r="I3926">
        <f t="shared" si="245"/>
        <v>12</v>
      </c>
      <c r="J3926" t="str">
        <f t="shared" si="246"/>
        <v>Dec</v>
      </c>
      <c r="K3926" t="str">
        <f t="shared" si="247"/>
        <v>Mon</v>
      </c>
    </row>
    <row r="3927" spans="1:11" x14ac:dyDescent="0.35">
      <c r="A3927" s="1">
        <v>41261</v>
      </c>
      <c r="B3927">
        <v>12.7285003662109</v>
      </c>
      <c r="C3927">
        <v>13.155500411987299</v>
      </c>
      <c r="D3927">
        <v>12.7285003662109</v>
      </c>
      <c r="E3927">
        <v>13.020000457763601</v>
      </c>
      <c r="F3927">
        <v>13.020000457763601</v>
      </c>
      <c r="G3927">
        <v>99220000</v>
      </c>
      <c r="H3927">
        <f t="shared" si="244"/>
        <v>2012</v>
      </c>
      <c r="I3927">
        <f t="shared" si="245"/>
        <v>12</v>
      </c>
      <c r="J3927" t="str">
        <f t="shared" si="246"/>
        <v>Dec</v>
      </c>
      <c r="K3927" t="str">
        <f t="shared" si="247"/>
        <v>Tue</v>
      </c>
    </row>
    <row r="3928" spans="1:11" x14ac:dyDescent="0.35">
      <c r="A3928" s="1">
        <v>41262</v>
      </c>
      <c r="B3928">
        <v>13.064999580383301</v>
      </c>
      <c r="C3928">
        <v>13.0834999084472</v>
      </c>
      <c r="D3928">
        <v>12.883999824523899</v>
      </c>
      <c r="E3928">
        <v>12.8994998931884</v>
      </c>
      <c r="F3928">
        <v>12.8994998931884</v>
      </c>
      <c r="G3928">
        <v>46000000</v>
      </c>
      <c r="H3928">
        <f t="shared" si="244"/>
        <v>2012</v>
      </c>
      <c r="I3928">
        <f t="shared" si="245"/>
        <v>12</v>
      </c>
      <c r="J3928" t="str">
        <f t="shared" si="246"/>
        <v>Dec</v>
      </c>
      <c r="K3928" t="str">
        <f t="shared" si="247"/>
        <v>Wed</v>
      </c>
    </row>
    <row r="3929" spans="1:11" x14ac:dyDescent="0.35">
      <c r="A3929" s="1">
        <v>41263</v>
      </c>
      <c r="B3929">
        <v>12.918000221252401</v>
      </c>
      <c r="C3929">
        <v>13.120499610900801</v>
      </c>
      <c r="D3929">
        <v>12.8269996643066</v>
      </c>
      <c r="E3929">
        <v>13.074999809265099</v>
      </c>
      <c r="F3929">
        <v>13.074999809265099</v>
      </c>
      <c r="G3929">
        <v>51692000</v>
      </c>
      <c r="H3929">
        <f t="shared" si="244"/>
        <v>2012</v>
      </c>
      <c r="I3929">
        <f t="shared" si="245"/>
        <v>12</v>
      </c>
      <c r="J3929" t="str">
        <f t="shared" si="246"/>
        <v>Dec</v>
      </c>
      <c r="K3929" t="str">
        <f t="shared" si="247"/>
        <v>Thu</v>
      </c>
    </row>
    <row r="3930" spans="1:11" x14ac:dyDescent="0.35">
      <c r="A3930" s="1">
        <v>41264</v>
      </c>
      <c r="B3930">
        <v>12.8909997940063</v>
      </c>
      <c r="C3930">
        <v>12.918999671936</v>
      </c>
      <c r="D3930">
        <v>12.786999702453601</v>
      </c>
      <c r="E3930">
        <v>12.845999717712401</v>
      </c>
      <c r="F3930">
        <v>12.845999717712401</v>
      </c>
      <c r="G3930">
        <v>94092000</v>
      </c>
      <c r="H3930">
        <f t="shared" si="244"/>
        <v>2012</v>
      </c>
      <c r="I3930">
        <f t="shared" si="245"/>
        <v>12</v>
      </c>
      <c r="J3930" t="str">
        <f t="shared" si="246"/>
        <v>Dec</v>
      </c>
      <c r="K3930" t="str">
        <f t="shared" si="247"/>
        <v>Fri</v>
      </c>
    </row>
    <row r="3931" spans="1:11" x14ac:dyDescent="0.35">
      <c r="A3931" s="1">
        <v>41267</v>
      </c>
      <c r="B3931">
        <v>12.8649997711181</v>
      </c>
      <c r="C3931">
        <v>12.9750003814697</v>
      </c>
      <c r="D3931">
        <v>12.847999572753899</v>
      </c>
      <c r="E3931">
        <v>12.9309997558593</v>
      </c>
      <c r="F3931">
        <v>12.9309997558593</v>
      </c>
      <c r="G3931">
        <v>19688000</v>
      </c>
      <c r="H3931">
        <f t="shared" si="244"/>
        <v>2012</v>
      </c>
      <c r="I3931">
        <f t="shared" si="245"/>
        <v>12</v>
      </c>
      <c r="J3931" t="str">
        <f t="shared" si="246"/>
        <v>Dec</v>
      </c>
      <c r="K3931" t="str">
        <f t="shared" si="247"/>
        <v>Mon</v>
      </c>
    </row>
    <row r="3932" spans="1:11" x14ac:dyDescent="0.35">
      <c r="A3932" s="1">
        <v>41269</v>
      </c>
      <c r="B3932">
        <v>12.857500076293899</v>
      </c>
      <c r="C3932">
        <v>12.8710002899169</v>
      </c>
      <c r="D3932">
        <v>12.402000427246</v>
      </c>
      <c r="E3932">
        <v>12.431500434875399</v>
      </c>
      <c r="F3932">
        <v>12.431500434875399</v>
      </c>
      <c r="G3932">
        <v>83054000</v>
      </c>
      <c r="H3932">
        <f t="shared" si="244"/>
        <v>2012</v>
      </c>
      <c r="I3932">
        <f t="shared" si="245"/>
        <v>12</v>
      </c>
      <c r="J3932" t="str">
        <f t="shared" si="246"/>
        <v>Dec</v>
      </c>
      <c r="K3932" t="str">
        <f t="shared" si="247"/>
        <v>Wed</v>
      </c>
    </row>
    <row r="3933" spans="1:11" x14ac:dyDescent="0.35">
      <c r="A3933" s="1">
        <v>41270</v>
      </c>
      <c r="B3933">
        <v>12.413999557495099</v>
      </c>
      <c r="C3933">
        <v>12.467499732971101</v>
      </c>
      <c r="D3933">
        <v>12.1429996490478</v>
      </c>
      <c r="E3933">
        <v>12.415499687194799</v>
      </c>
      <c r="F3933">
        <v>12.415499687194799</v>
      </c>
      <c r="G3933">
        <v>72786000</v>
      </c>
      <c r="H3933">
        <f t="shared" si="244"/>
        <v>2012</v>
      </c>
      <c r="I3933">
        <f t="shared" si="245"/>
        <v>12</v>
      </c>
      <c r="J3933" t="str">
        <f t="shared" si="246"/>
        <v>Dec</v>
      </c>
      <c r="K3933" t="str">
        <f t="shared" si="247"/>
        <v>Thu</v>
      </c>
    </row>
    <row r="3934" spans="1:11" x14ac:dyDescent="0.35">
      <c r="A3934" s="1">
        <v>41271</v>
      </c>
      <c r="B3934">
        <v>12.2924995422363</v>
      </c>
      <c r="C3934">
        <v>12.371999740600501</v>
      </c>
      <c r="D3934">
        <v>12.252499580383301</v>
      </c>
      <c r="E3934">
        <v>12.258999824523899</v>
      </c>
      <c r="F3934">
        <v>12.258999824523899</v>
      </c>
      <c r="G3934">
        <v>37174000</v>
      </c>
      <c r="H3934">
        <f t="shared" si="244"/>
        <v>2012</v>
      </c>
      <c r="I3934">
        <f t="shared" si="245"/>
        <v>12</v>
      </c>
      <c r="J3934" t="str">
        <f t="shared" si="246"/>
        <v>Dec</v>
      </c>
      <c r="K3934" t="str">
        <f t="shared" si="247"/>
        <v>Fri</v>
      </c>
    </row>
    <row r="3935" spans="1:11" x14ac:dyDescent="0.35">
      <c r="A3935" s="1">
        <v>41274</v>
      </c>
      <c r="B3935">
        <v>12.1875</v>
      </c>
      <c r="C3935">
        <v>12.620499610900801</v>
      </c>
      <c r="D3935">
        <v>12.137499809265099</v>
      </c>
      <c r="E3935">
        <v>12.543499946594199</v>
      </c>
      <c r="F3935">
        <v>12.543499946594199</v>
      </c>
      <c r="G3935">
        <v>68380000</v>
      </c>
      <c r="H3935">
        <f t="shared" si="244"/>
        <v>2012</v>
      </c>
      <c r="I3935">
        <f t="shared" si="245"/>
        <v>12</v>
      </c>
      <c r="J3935" t="str">
        <f t="shared" si="246"/>
        <v>Dec</v>
      </c>
      <c r="K3935" t="str">
        <f t="shared" si="247"/>
        <v>Mon</v>
      </c>
    </row>
    <row r="3936" spans="1:11" x14ac:dyDescent="0.35">
      <c r="A3936" s="1">
        <v>41276</v>
      </c>
      <c r="B3936">
        <v>12.8039999008178</v>
      </c>
      <c r="C3936">
        <v>12.904999732971101</v>
      </c>
      <c r="D3936">
        <v>12.6630001068115</v>
      </c>
      <c r="E3936">
        <v>12.865500450134199</v>
      </c>
      <c r="F3936">
        <v>12.865500450134199</v>
      </c>
      <c r="G3936">
        <v>65420000</v>
      </c>
      <c r="H3936">
        <f t="shared" si="244"/>
        <v>2013</v>
      </c>
      <c r="I3936">
        <f t="shared" si="245"/>
        <v>1</v>
      </c>
      <c r="J3936" t="str">
        <f t="shared" si="246"/>
        <v>Jan</v>
      </c>
      <c r="K3936" t="str">
        <f t="shared" si="247"/>
        <v>Wed</v>
      </c>
    </row>
    <row r="3937" spans="1:11" x14ac:dyDescent="0.35">
      <c r="A3937" s="1">
        <v>41277</v>
      </c>
      <c r="B3937">
        <v>12.8634996414184</v>
      </c>
      <c r="C3937">
        <v>13.043999671936</v>
      </c>
      <c r="D3937">
        <v>12.818499565124499</v>
      </c>
      <c r="E3937">
        <v>12.9239997863769</v>
      </c>
      <c r="F3937">
        <v>12.9239997863769</v>
      </c>
      <c r="G3937">
        <v>55018000</v>
      </c>
      <c r="H3937">
        <f t="shared" si="244"/>
        <v>2013</v>
      </c>
      <c r="I3937">
        <f t="shared" si="245"/>
        <v>1</v>
      </c>
      <c r="J3937" t="str">
        <f t="shared" si="246"/>
        <v>Jan</v>
      </c>
      <c r="K3937" t="str">
        <f t="shared" si="247"/>
        <v>Thu</v>
      </c>
    </row>
    <row r="3938" spans="1:11" x14ac:dyDescent="0.35">
      <c r="A3938" s="1">
        <v>41278</v>
      </c>
      <c r="B3938">
        <v>12.878999710083001</v>
      </c>
      <c r="C3938">
        <v>12.9899997711181</v>
      </c>
      <c r="D3938">
        <v>12.832500457763601</v>
      </c>
      <c r="E3938">
        <v>12.957500457763601</v>
      </c>
      <c r="F3938">
        <v>12.957500457763601</v>
      </c>
      <c r="G3938">
        <v>37484000</v>
      </c>
      <c r="H3938">
        <f t="shared" si="244"/>
        <v>2013</v>
      </c>
      <c r="I3938">
        <f t="shared" si="245"/>
        <v>1</v>
      </c>
      <c r="J3938" t="str">
        <f t="shared" si="246"/>
        <v>Jan</v>
      </c>
      <c r="K3938" t="str">
        <f t="shared" si="247"/>
        <v>Fri</v>
      </c>
    </row>
    <row r="3939" spans="1:11" x14ac:dyDescent="0.35">
      <c r="A3939" s="1">
        <v>41281</v>
      </c>
      <c r="B3939">
        <v>13.148500442504799</v>
      </c>
      <c r="C3939">
        <v>13.4864997863769</v>
      </c>
      <c r="D3939">
        <v>13.1335000991821</v>
      </c>
      <c r="E3939">
        <v>13.423000335693301</v>
      </c>
      <c r="F3939">
        <v>13.423000335693301</v>
      </c>
      <c r="G3939">
        <v>98200000</v>
      </c>
      <c r="H3939">
        <f t="shared" si="244"/>
        <v>2013</v>
      </c>
      <c r="I3939">
        <f t="shared" si="245"/>
        <v>1</v>
      </c>
      <c r="J3939" t="str">
        <f t="shared" si="246"/>
        <v>Jan</v>
      </c>
      <c r="K3939" t="str">
        <f t="shared" si="247"/>
        <v>Mon</v>
      </c>
    </row>
    <row r="3940" spans="1:11" x14ac:dyDescent="0.35">
      <c r="A3940" s="1">
        <v>41282</v>
      </c>
      <c r="B3940">
        <v>13.3535003662109</v>
      </c>
      <c r="C3940">
        <v>13.4490003585815</v>
      </c>
      <c r="D3940">
        <v>13.178500175476</v>
      </c>
      <c r="E3940">
        <v>13.3190002441406</v>
      </c>
      <c r="F3940">
        <v>13.3190002441406</v>
      </c>
      <c r="G3940">
        <v>60214000</v>
      </c>
      <c r="H3940">
        <f t="shared" si="244"/>
        <v>2013</v>
      </c>
      <c r="I3940">
        <f t="shared" si="245"/>
        <v>1</v>
      </c>
      <c r="J3940" t="str">
        <f t="shared" si="246"/>
        <v>Jan</v>
      </c>
      <c r="K3940" t="str">
        <f t="shared" si="247"/>
        <v>Tue</v>
      </c>
    </row>
    <row r="3941" spans="1:11" x14ac:dyDescent="0.35">
      <c r="A3941" s="1">
        <v>41283</v>
      </c>
      <c r="B3941">
        <v>13.408499717712401</v>
      </c>
      <c r="C3941">
        <v>13.4750003814697</v>
      </c>
      <c r="D3941">
        <v>13.270000457763601</v>
      </c>
      <c r="E3941">
        <v>13.3175001144409</v>
      </c>
      <c r="F3941">
        <v>13.3175001144409</v>
      </c>
      <c r="G3941">
        <v>45312000</v>
      </c>
      <c r="H3941">
        <f t="shared" si="244"/>
        <v>2013</v>
      </c>
      <c r="I3941">
        <f t="shared" si="245"/>
        <v>1</v>
      </c>
      <c r="J3941" t="str">
        <f t="shared" si="246"/>
        <v>Jan</v>
      </c>
      <c r="K3941" t="str">
        <f t="shared" si="247"/>
        <v>Wed</v>
      </c>
    </row>
    <row r="3942" spans="1:11" x14ac:dyDescent="0.35">
      <c r="A3942" s="1">
        <v>41284</v>
      </c>
      <c r="B3942">
        <v>13.4270000457763</v>
      </c>
      <c r="C3942">
        <v>13.4370002746582</v>
      </c>
      <c r="D3942">
        <v>13.1149997711181</v>
      </c>
      <c r="E3942">
        <v>13.267000198364199</v>
      </c>
      <c r="F3942">
        <v>13.267000198364199</v>
      </c>
      <c r="G3942">
        <v>57268000</v>
      </c>
      <c r="H3942">
        <f t="shared" si="244"/>
        <v>2013</v>
      </c>
      <c r="I3942">
        <f t="shared" si="245"/>
        <v>1</v>
      </c>
      <c r="J3942" t="str">
        <f t="shared" si="246"/>
        <v>Jan</v>
      </c>
      <c r="K3942" t="str">
        <f t="shared" si="247"/>
        <v>Thu</v>
      </c>
    </row>
    <row r="3943" spans="1:11" x14ac:dyDescent="0.35">
      <c r="A3943" s="1">
        <v>41285</v>
      </c>
      <c r="B3943">
        <v>13.2550001144409</v>
      </c>
      <c r="C3943">
        <v>13.421500205993601</v>
      </c>
      <c r="D3943">
        <v>13.2054996490478</v>
      </c>
      <c r="E3943">
        <v>13.397000312805099</v>
      </c>
      <c r="F3943">
        <v>13.397000312805099</v>
      </c>
      <c r="G3943">
        <v>48266000</v>
      </c>
      <c r="H3943">
        <f t="shared" si="244"/>
        <v>2013</v>
      </c>
      <c r="I3943">
        <f t="shared" si="245"/>
        <v>1</v>
      </c>
      <c r="J3943" t="str">
        <f t="shared" si="246"/>
        <v>Jan</v>
      </c>
      <c r="K3943" t="str">
        <f t="shared" si="247"/>
        <v>Fri</v>
      </c>
    </row>
    <row r="3944" spans="1:11" x14ac:dyDescent="0.35">
      <c r="A3944" s="1">
        <v>41288</v>
      </c>
      <c r="B3944">
        <v>13.399999618530201</v>
      </c>
      <c r="C3944">
        <v>13.7130002975463</v>
      </c>
      <c r="D3944">
        <v>13.3769998550415</v>
      </c>
      <c r="E3944">
        <v>13.6365003585815</v>
      </c>
      <c r="F3944">
        <v>13.6365003585815</v>
      </c>
      <c r="G3944">
        <v>85500000</v>
      </c>
      <c r="H3944">
        <f t="shared" si="244"/>
        <v>2013</v>
      </c>
      <c r="I3944">
        <f t="shared" si="245"/>
        <v>1</v>
      </c>
      <c r="J3944" t="str">
        <f t="shared" si="246"/>
        <v>Jan</v>
      </c>
      <c r="K3944" t="str">
        <f t="shared" si="247"/>
        <v>Mon</v>
      </c>
    </row>
    <row r="3945" spans="1:11" x14ac:dyDescent="0.35">
      <c r="A3945" s="1">
        <v>41289</v>
      </c>
      <c r="B3945">
        <v>13.5340003967285</v>
      </c>
      <c r="C3945">
        <v>13.6365003585815</v>
      </c>
      <c r="D3945">
        <v>13.4650001525878</v>
      </c>
      <c r="E3945">
        <v>13.5950002670288</v>
      </c>
      <c r="F3945">
        <v>13.5950002670288</v>
      </c>
      <c r="G3945">
        <v>46538000</v>
      </c>
      <c r="H3945">
        <f t="shared" si="244"/>
        <v>2013</v>
      </c>
      <c r="I3945">
        <f t="shared" si="245"/>
        <v>1</v>
      </c>
      <c r="J3945" t="str">
        <f t="shared" si="246"/>
        <v>Jan</v>
      </c>
      <c r="K3945" t="str">
        <f t="shared" si="247"/>
        <v>Tue</v>
      </c>
    </row>
    <row r="3946" spans="1:11" x14ac:dyDescent="0.35">
      <c r="A3946" s="1">
        <v>41290</v>
      </c>
      <c r="B3946">
        <v>13.526499748229901</v>
      </c>
      <c r="C3946">
        <v>13.5620002746582</v>
      </c>
      <c r="D3946">
        <v>13.391500473022401</v>
      </c>
      <c r="E3946">
        <v>13.446499824523899</v>
      </c>
      <c r="F3946">
        <v>13.446499824523899</v>
      </c>
      <c r="G3946">
        <v>41312000</v>
      </c>
      <c r="H3946">
        <f t="shared" si="244"/>
        <v>2013</v>
      </c>
      <c r="I3946">
        <f t="shared" si="245"/>
        <v>1</v>
      </c>
      <c r="J3946" t="str">
        <f t="shared" si="246"/>
        <v>Jan</v>
      </c>
      <c r="K3946" t="str">
        <f t="shared" si="247"/>
        <v>Wed</v>
      </c>
    </row>
    <row r="3947" spans="1:11" x14ac:dyDescent="0.35">
      <c r="A3947" s="1">
        <v>41291</v>
      </c>
      <c r="B3947">
        <v>13.574999809265099</v>
      </c>
      <c r="C3947">
        <v>13.59850025177</v>
      </c>
      <c r="D3947">
        <v>13.4604997634887</v>
      </c>
      <c r="E3947">
        <v>13.5240001678466</v>
      </c>
      <c r="F3947">
        <v>13.5240001678466</v>
      </c>
      <c r="G3947">
        <v>37692000</v>
      </c>
      <c r="H3947">
        <f t="shared" si="244"/>
        <v>2013</v>
      </c>
      <c r="I3947">
        <f t="shared" si="245"/>
        <v>1</v>
      </c>
      <c r="J3947" t="str">
        <f t="shared" si="246"/>
        <v>Jan</v>
      </c>
      <c r="K3947" t="str">
        <f t="shared" si="247"/>
        <v>Thu</v>
      </c>
    </row>
    <row r="3948" spans="1:11" x14ac:dyDescent="0.35">
      <c r="A3948" s="1">
        <v>41292</v>
      </c>
      <c r="B3948">
        <v>13.541500091552701</v>
      </c>
      <c r="C3948">
        <v>13.7250003814697</v>
      </c>
      <c r="D3948">
        <v>13.4799995422363</v>
      </c>
      <c r="E3948">
        <v>13.605999946594199</v>
      </c>
      <c r="F3948">
        <v>13.605999946594199</v>
      </c>
      <c r="G3948">
        <v>58840000</v>
      </c>
      <c r="H3948">
        <f t="shared" si="244"/>
        <v>2013</v>
      </c>
      <c r="I3948">
        <f t="shared" si="245"/>
        <v>1</v>
      </c>
      <c r="J3948" t="str">
        <f t="shared" si="246"/>
        <v>Jan</v>
      </c>
      <c r="K3948" t="str">
        <f t="shared" si="247"/>
        <v>Fri</v>
      </c>
    </row>
    <row r="3949" spans="1:11" x14ac:dyDescent="0.35">
      <c r="A3949" s="1">
        <v>41296</v>
      </c>
      <c r="B3949">
        <v>13.581000328063899</v>
      </c>
      <c r="C3949">
        <v>13.6049995422363</v>
      </c>
      <c r="D3949">
        <v>13.4615001678466</v>
      </c>
      <c r="E3949">
        <v>13.5094995498657</v>
      </c>
      <c r="F3949">
        <v>13.5094995498657</v>
      </c>
      <c r="G3949">
        <v>42754000</v>
      </c>
      <c r="H3949">
        <f t="shared" si="244"/>
        <v>2013</v>
      </c>
      <c r="I3949">
        <f t="shared" si="245"/>
        <v>1</v>
      </c>
      <c r="J3949" t="str">
        <f t="shared" si="246"/>
        <v>Jan</v>
      </c>
      <c r="K3949" t="str">
        <f t="shared" si="247"/>
        <v>Tue</v>
      </c>
    </row>
    <row r="3950" spans="1:11" x14ac:dyDescent="0.35">
      <c r="A3950" s="1">
        <v>41297</v>
      </c>
      <c r="B3950">
        <v>13.528499603271401</v>
      </c>
      <c r="C3950">
        <v>13.5544996261596</v>
      </c>
      <c r="D3950">
        <v>13.332500457763601</v>
      </c>
      <c r="E3950">
        <v>13.405500411987299</v>
      </c>
      <c r="F3950">
        <v>13.405500411987299</v>
      </c>
      <c r="G3950">
        <v>50178000</v>
      </c>
      <c r="H3950">
        <f t="shared" si="244"/>
        <v>2013</v>
      </c>
      <c r="I3950">
        <f t="shared" si="245"/>
        <v>1</v>
      </c>
      <c r="J3950" t="str">
        <f t="shared" si="246"/>
        <v>Jan</v>
      </c>
      <c r="K3950" t="str">
        <f t="shared" si="247"/>
        <v>Wed</v>
      </c>
    </row>
    <row r="3951" spans="1:11" x14ac:dyDescent="0.35">
      <c r="A3951" s="1">
        <v>41298</v>
      </c>
      <c r="B3951">
        <v>13.4685001373291</v>
      </c>
      <c r="C3951">
        <v>13.832500457763601</v>
      </c>
      <c r="D3951">
        <v>13.4685001373291</v>
      </c>
      <c r="E3951">
        <v>13.673000335693301</v>
      </c>
      <c r="F3951">
        <v>13.673000335693301</v>
      </c>
      <c r="G3951">
        <v>68340000</v>
      </c>
      <c r="H3951">
        <f t="shared" si="244"/>
        <v>2013</v>
      </c>
      <c r="I3951">
        <f t="shared" si="245"/>
        <v>1</v>
      </c>
      <c r="J3951" t="str">
        <f t="shared" si="246"/>
        <v>Jan</v>
      </c>
      <c r="K3951" t="str">
        <f t="shared" si="247"/>
        <v>Thu</v>
      </c>
    </row>
    <row r="3952" spans="1:11" x14ac:dyDescent="0.35">
      <c r="A3952" s="1">
        <v>41299</v>
      </c>
      <c r="B3952">
        <v>13.75</v>
      </c>
      <c r="C3952">
        <v>14.236000061035099</v>
      </c>
      <c r="D3952">
        <v>13.7200002670288</v>
      </c>
      <c r="E3952">
        <v>14.199500083923301</v>
      </c>
      <c r="F3952">
        <v>14.199500083923301</v>
      </c>
      <c r="G3952">
        <v>99362000</v>
      </c>
      <c r="H3952">
        <f t="shared" si="244"/>
        <v>2013</v>
      </c>
      <c r="I3952">
        <f t="shared" si="245"/>
        <v>1</v>
      </c>
      <c r="J3952" t="str">
        <f t="shared" si="246"/>
        <v>Jan</v>
      </c>
      <c r="K3952" t="str">
        <f t="shared" si="247"/>
        <v>Fri</v>
      </c>
    </row>
    <row r="3953" spans="1:11" x14ac:dyDescent="0.35">
      <c r="A3953" s="1">
        <v>41302</v>
      </c>
      <c r="B3953">
        <v>14.1890001296997</v>
      </c>
      <c r="C3953">
        <v>14.2239999771118</v>
      </c>
      <c r="D3953">
        <v>13.7200002670288</v>
      </c>
      <c r="E3953">
        <v>13.8020000457763</v>
      </c>
      <c r="F3953">
        <v>13.8020000457763</v>
      </c>
      <c r="G3953">
        <v>86428000</v>
      </c>
      <c r="H3953">
        <f t="shared" si="244"/>
        <v>2013</v>
      </c>
      <c r="I3953">
        <f t="shared" si="245"/>
        <v>1</v>
      </c>
      <c r="J3953" t="str">
        <f t="shared" si="246"/>
        <v>Jan</v>
      </c>
      <c r="K3953" t="str">
        <f t="shared" si="247"/>
        <v>Mon</v>
      </c>
    </row>
    <row r="3954" spans="1:11" x14ac:dyDescent="0.35">
      <c r="A3954" s="1">
        <v>41303</v>
      </c>
      <c r="B3954">
        <v>13.767499923706</v>
      </c>
      <c r="C3954">
        <v>13.7729997634887</v>
      </c>
      <c r="D3954">
        <v>12.9174995422363</v>
      </c>
      <c r="E3954">
        <v>13.017499923706</v>
      </c>
      <c r="F3954">
        <v>13.017499923706</v>
      </c>
      <c r="G3954">
        <v>203452000</v>
      </c>
      <c r="H3954">
        <f t="shared" si="244"/>
        <v>2013</v>
      </c>
      <c r="I3954">
        <f t="shared" si="245"/>
        <v>1</v>
      </c>
      <c r="J3954" t="str">
        <f t="shared" si="246"/>
        <v>Jan</v>
      </c>
      <c r="K3954" t="str">
        <f t="shared" si="247"/>
        <v>Tue</v>
      </c>
    </row>
    <row r="3955" spans="1:11" x14ac:dyDescent="0.35">
      <c r="A3955" s="1">
        <v>41304</v>
      </c>
      <c r="B3955">
        <v>14.149999618530201</v>
      </c>
      <c r="C3955">
        <v>14.2100000381469</v>
      </c>
      <c r="D3955">
        <v>13.355500221252401</v>
      </c>
      <c r="E3955">
        <v>13.6379995346069</v>
      </c>
      <c r="F3955">
        <v>13.6379995346069</v>
      </c>
      <c r="G3955">
        <v>261508000</v>
      </c>
      <c r="H3955">
        <f t="shared" si="244"/>
        <v>2013</v>
      </c>
      <c r="I3955">
        <f t="shared" si="245"/>
        <v>1</v>
      </c>
      <c r="J3955" t="str">
        <f t="shared" si="246"/>
        <v>Jan</v>
      </c>
      <c r="K3955" t="str">
        <f t="shared" si="247"/>
        <v>Wed</v>
      </c>
    </row>
    <row r="3956" spans="1:11" x14ac:dyDescent="0.35">
      <c r="A3956" s="1">
        <v>41305</v>
      </c>
      <c r="B3956">
        <v>13.5520000457763</v>
      </c>
      <c r="C3956">
        <v>13.796999931335399</v>
      </c>
      <c r="D3956">
        <v>13.185000419616699</v>
      </c>
      <c r="E3956">
        <v>13.274999618530201</v>
      </c>
      <c r="F3956">
        <v>13.274999618530201</v>
      </c>
      <c r="G3956">
        <v>135442000</v>
      </c>
      <c r="H3956">
        <f t="shared" si="244"/>
        <v>2013</v>
      </c>
      <c r="I3956">
        <f t="shared" si="245"/>
        <v>1</v>
      </c>
      <c r="J3956" t="str">
        <f t="shared" si="246"/>
        <v>Jan</v>
      </c>
      <c r="K3956" t="str">
        <f t="shared" si="247"/>
        <v>Thu</v>
      </c>
    </row>
    <row r="3957" spans="1:11" x14ac:dyDescent="0.35">
      <c r="A3957" s="1">
        <v>41306</v>
      </c>
      <c r="B3957">
        <v>13.446499824523899</v>
      </c>
      <c r="C3957">
        <v>13.446499824523899</v>
      </c>
      <c r="D3957">
        <v>13.140000343322701</v>
      </c>
      <c r="E3957">
        <v>13.25</v>
      </c>
      <c r="F3957">
        <v>13.25</v>
      </c>
      <c r="G3957">
        <v>122300000</v>
      </c>
      <c r="H3957">
        <f t="shared" si="244"/>
        <v>2013</v>
      </c>
      <c r="I3957">
        <f t="shared" si="245"/>
        <v>2</v>
      </c>
      <c r="J3957" t="str">
        <f t="shared" si="246"/>
        <v>Feb</v>
      </c>
      <c r="K3957" t="str">
        <f t="shared" si="247"/>
        <v>Fri</v>
      </c>
    </row>
    <row r="3958" spans="1:11" x14ac:dyDescent="0.35">
      <c r="A3958" s="1">
        <v>41309</v>
      </c>
      <c r="B3958">
        <v>13.138999938964799</v>
      </c>
      <c r="C3958">
        <v>13.234000205993601</v>
      </c>
      <c r="D3958">
        <v>12.9534997940063</v>
      </c>
      <c r="E3958">
        <v>12.998999595641999</v>
      </c>
      <c r="F3958">
        <v>12.998999595641999</v>
      </c>
      <c r="G3958">
        <v>74472000</v>
      </c>
      <c r="H3958">
        <f t="shared" si="244"/>
        <v>2013</v>
      </c>
      <c r="I3958">
        <f t="shared" si="245"/>
        <v>2</v>
      </c>
      <c r="J3958" t="str">
        <f t="shared" si="246"/>
        <v>Feb</v>
      </c>
      <c r="K3958" t="str">
        <f t="shared" si="247"/>
        <v>Mon</v>
      </c>
    </row>
    <row r="3959" spans="1:11" x14ac:dyDescent="0.35">
      <c r="A3959" s="1">
        <v>41310</v>
      </c>
      <c r="B3959">
        <v>13.1000003814697</v>
      </c>
      <c r="C3959">
        <v>13.401499748229901</v>
      </c>
      <c r="D3959">
        <v>13.072999954223601</v>
      </c>
      <c r="E3959">
        <v>13.344499588012599</v>
      </c>
      <c r="F3959">
        <v>13.344499588012599</v>
      </c>
      <c r="G3959">
        <v>80258000</v>
      </c>
      <c r="H3959">
        <f t="shared" si="244"/>
        <v>2013</v>
      </c>
      <c r="I3959">
        <f t="shared" si="245"/>
        <v>2</v>
      </c>
      <c r="J3959" t="str">
        <f t="shared" si="246"/>
        <v>Feb</v>
      </c>
      <c r="K3959" t="str">
        <f t="shared" si="247"/>
        <v>Tue</v>
      </c>
    </row>
    <row r="3960" spans="1:11" x14ac:dyDescent="0.35">
      <c r="A3960" s="1">
        <v>41311</v>
      </c>
      <c r="B3960">
        <v>13.2580003738403</v>
      </c>
      <c r="C3960">
        <v>13.344499588012599</v>
      </c>
      <c r="D3960">
        <v>13.0555000305175</v>
      </c>
      <c r="E3960">
        <v>13.111000061035099</v>
      </c>
      <c r="F3960">
        <v>13.111000061035099</v>
      </c>
      <c r="G3960">
        <v>55408000</v>
      </c>
      <c r="H3960">
        <f t="shared" si="244"/>
        <v>2013</v>
      </c>
      <c r="I3960">
        <f t="shared" si="245"/>
        <v>2</v>
      </c>
      <c r="J3960" t="str">
        <f t="shared" si="246"/>
        <v>Feb</v>
      </c>
      <c r="K3960" t="str">
        <f t="shared" si="247"/>
        <v>Wed</v>
      </c>
    </row>
    <row r="3961" spans="1:11" x14ac:dyDescent="0.35">
      <c r="A3961" s="1">
        <v>41312</v>
      </c>
      <c r="B3961">
        <v>13.204999923706</v>
      </c>
      <c r="C3961">
        <v>13.204999923706</v>
      </c>
      <c r="D3961">
        <v>12.755499839782701</v>
      </c>
      <c r="E3961">
        <v>13.0115003585815</v>
      </c>
      <c r="F3961">
        <v>13.0115003585815</v>
      </c>
      <c r="G3961">
        <v>79514000</v>
      </c>
      <c r="H3961">
        <f t="shared" si="244"/>
        <v>2013</v>
      </c>
      <c r="I3961">
        <f t="shared" si="245"/>
        <v>2</v>
      </c>
      <c r="J3961" t="str">
        <f t="shared" si="246"/>
        <v>Feb</v>
      </c>
      <c r="K3961" t="str">
        <f t="shared" si="247"/>
        <v>Thu</v>
      </c>
    </row>
    <row r="3962" spans="1:11" x14ac:dyDescent="0.35">
      <c r="A3962" s="1">
        <v>41313</v>
      </c>
      <c r="B3962">
        <v>13.069999694824199</v>
      </c>
      <c r="C3962">
        <v>13.262499809265099</v>
      </c>
      <c r="D3962">
        <v>13.0275001525878</v>
      </c>
      <c r="E3962">
        <v>13.0974998474121</v>
      </c>
      <c r="F3962">
        <v>13.0974998474121</v>
      </c>
      <c r="G3962">
        <v>77584000</v>
      </c>
      <c r="H3962">
        <f t="shared" si="244"/>
        <v>2013</v>
      </c>
      <c r="I3962">
        <f t="shared" si="245"/>
        <v>2</v>
      </c>
      <c r="J3962" t="str">
        <f t="shared" si="246"/>
        <v>Feb</v>
      </c>
      <c r="K3962" t="str">
        <f t="shared" si="247"/>
        <v>Fri</v>
      </c>
    </row>
    <row r="3963" spans="1:11" x14ac:dyDescent="0.35">
      <c r="A3963" s="1">
        <v>41316</v>
      </c>
      <c r="B3963">
        <v>13.1599998474121</v>
      </c>
      <c r="C3963">
        <v>13.1625003814697</v>
      </c>
      <c r="D3963">
        <v>12.829999923706</v>
      </c>
      <c r="E3963">
        <v>12.860500335693301</v>
      </c>
      <c r="F3963">
        <v>12.860500335693301</v>
      </c>
      <c r="G3963">
        <v>68074000</v>
      </c>
      <c r="H3963">
        <f t="shared" si="244"/>
        <v>2013</v>
      </c>
      <c r="I3963">
        <f t="shared" si="245"/>
        <v>2</v>
      </c>
      <c r="J3963" t="str">
        <f t="shared" si="246"/>
        <v>Feb</v>
      </c>
      <c r="K3963" t="str">
        <f t="shared" si="247"/>
        <v>Mon</v>
      </c>
    </row>
    <row r="3964" spans="1:11" x14ac:dyDescent="0.35">
      <c r="A3964" s="1">
        <v>41317</v>
      </c>
      <c r="B3964">
        <v>12.959500312805099</v>
      </c>
      <c r="C3964">
        <v>13.0080003738403</v>
      </c>
      <c r="D3964">
        <v>12.8500003814697</v>
      </c>
      <c r="E3964">
        <v>12.935000419616699</v>
      </c>
      <c r="F3964">
        <v>12.935000419616699</v>
      </c>
      <c r="G3964">
        <v>58874000</v>
      </c>
      <c r="H3964">
        <f t="shared" si="244"/>
        <v>2013</v>
      </c>
      <c r="I3964">
        <f t="shared" si="245"/>
        <v>2</v>
      </c>
      <c r="J3964" t="str">
        <f t="shared" si="246"/>
        <v>Feb</v>
      </c>
      <c r="K3964" t="str">
        <f t="shared" si="247"/>
        <v>Tue</v>
      </c>
    </row>
    <row r="3965" spans="1:11" x14ac:dyDescent="0.35">
      <c r="A3965" s="1">
        <v>41318</v>
      </c>
      <c r="B3965">
        <v>13.076499938964799</v>
      </c>
      <c r="C3965">
        <v>13.4980001449584</v>
      </c>
      <c r="D3965">
        <v>13.015000343322701</v>
      </c>
      <c r="E3965">
        <v>13.47350025177</v>
      </c>
      <c r="F3965">
        <v>13.47350025177</v>
      </c>
      <c r="G3965">
        <v>105860000</v>
      </c>
      <c r="H3965">
        <f t="shared" si="244"/>
        <v>2013</v>
      </c>
      <c r="I3965">
        <f t="shared" si="245"/>
        <v>2</v>
      </c>
      <c r="J3965" t="str">
        <f t="shared" si="246"/>
        <v>Feb</v>
      </c>
      <c r="K3965" t="str">
        <f t="shared" si="247"/>
        <v>Wed</v>
      </c>
    </row>
    <row r="3966" spans="1:11" x14ac:dyDescent="0.35">
      <c r="A3966" s="1">
        <v>41319</v>
      </c>
      <c r="B3966">
        <v>13.3684997558593</v>
      </c>
      <c r="C3966">
        <v>13.5325002670288</v>
      </c>
      <c r="D3966">
        <v>13.270000457763601</v>
      </c>
      <c r="E3966">
        <v>13.4619998931884</v>
      </c>
      <c r="F3966">
        <v>13.4619998931884</v>
      </c>
      <c r="G3966">
        <v>69260000</v>
      </c>
      <c r="H3966">
        <f t="shared" si="244"/>
        <v>2013</v>
      </c>
      <c r="I3966">
        <f t="shared" si="245"/>
        <v>2</v>
      </c>
      <c r="J3966" t="str">
        <f t="shared" si="246"/>
        <v>Feb</v>
      </c>
      <c r="K3966" t="str">
        <f t="shared" si="247"/>
        <v>Thu</v>
      </c>
    </row>
    <row r="3967" spans="1:11" x14ac:dyDescent="0.35">
      <c r="A3967" s="1">
        <v>41320</v>
      </c>
      <c r="B3967">
        <v>13.3815002441406</v>
      </c>
      <c r="C3967">
        <v>13.4460000991821</v>
      </c>
      <c r="D3967">
        <v>13.155500411987299</v>
      </c>
      <c r="E3967">
        <v>13.2545003890991</v>
      </c>
      <c r="F3967">
        <v>13.2545003890991</v>
      </c>
      <c r="G3967">
        <v>79598000</v>
      </c>
      <c r="H3967">
        <f t="shared" si="244"/>
        <v>2013</v>
      </c>
      <c r="I3967">
        <f t="shared" si="245"/>
        <v>2</v>
      </c>
      <c r="J3967" t="str">
        <f t="shared" si="246"/>
        <v>Feb</v>
      </c>
      <c r="K3967" t="str">
        <f t="shared" si="247"/>
        <v>Fri</v>
      </c>
    </row>
    <row r="3968" spans="1:11" x14ac:dyDescent="0.35">
      <c r="A3968" s="1">
        <v>41324</v>
      </c>
      <c r="B3968">
        <v>13.2954998016357</v>
      </c>
      <c r="C3968">
        <v>13.505499839782701</v>
      </c>
      <c r="D3968">
        <v>13.2250003814697</v>
      </c>
      <c r="E3968">
        <v>13.487500190734799</v>
      </c>
      <c r="F3968">
        <v>13.487500190734799</v>
      </c>
      <c r="G3968">
        <v>57084000</v>
      </c>
      <c r="H3968">
        <f t="shared" si="244"/>
        <v>2013</v>
      </c>
      <c r="I3968">
        <f t="shared" si="245"/>
        <v>2</v>
      </c>
      <c r="J3968" t="str">
        <f t="shared" si="246"/>
        <v>Feb</v>
      </c>
      <c r="K3968" t="str">
        <f t="shared" si="247"/>
        <v>Tue</v>
      </c>
    </row>
    <row r="3969" spans="1:11" x14ac:dyDescent="0.35">
      <c r="A3969" s="1">
        <v>41325</v>
      </c>
      <c r="B3969">
        <v>13.5100002288818</v>
      </c>
      <c r="C3969">
        <v>13.7150001525878</v>
      </c>
      <c r="D3969">
        <v>13.318499565124499</v>
      </c>
      <c r="E3969">
        <v>13.3205003738403</v>
      </c>
      <c r="F3969">
        <v>13.3205003738403</v>
      </c>
      <c r="G3969">
        <v>70578000</v>
      </c>
      <c r="H3969">
        <f t="shared" si="244"/>
        <v>2013</v>
      </c>
      <c r="I3969">
        <f t="shared" si="245"/>
        <v>2</v>
      </c>
      <c r="J3969" t="str">
        <f t="shared" si="246"/>
        <v>Feb</v>
      </c>
      <c r="K3969" t="str">
        <f t="shared" si="247"/>
        <v>Wed</v>
      </c>
    </row>
    <row r="3970" spans="1:11" x14ac:dyDescent="0.35">
      <c r="A3970" s="1">
        <v>41326</v>
      </c>
      <c r="B3970">
        <v>13.255999565124499</v>
      </c>
      <c r="C3970">
        <v>13.4739999771118</v>
      </c>
      <c r="D3970">
        <v>13.1625003814697</v>
      </c>
      <c r="E3970">
        <v>13.296999931335399</v>
      </c>
      <c r="F3970">
        <v>13.296999931335399</v>
      </c>
      <c r="G3970">
        <v>72748000</v>
      </c>
      <c r="H3970">
        <f t="shared" si="244"/>
        <v>2013</v>
      </c>
      <c r="I3970">
        <f t="shared" si="245"/>
        <v>2</v>
      </c>
      <c r="J3970" t="str">
        <f t="shared" si="246"/>
        <v>Feb</v>
      </c>
      <c r="K3970" t="str">
        <f t="shared" si="247"/>
        <v>Thu</v>
      </c>
    </row>
    <row r="3971" spans="1:11" x14ac:dyDescent="0.35">
      <c r="A3971" s="1">
        <v>41327</v>
      </c>
      <c r="B3971">
        <v>13.331000328063899</v>
      </c>
      <c r="C3971">
        <v>13.355500221252401</v>
      </c>
      <c r="D3971">
        <v>13.0804996490478</v>
      </c>
      <c r="E3971">
        <v>13.2709999084472</v>
      </c>
      <c r="F3971">
        <v>13.2709999084472</v>
      </c>
      <c r="G3971">
        <v>62496000</v>
      </c>
      <c r="H3971">
        <f t="shared" si="244"/>
        <v>2013</v>
      </c>
      <c r="I3971">
        <f t="shared" si="245"/>
        <v>2</v>
      </c>
      <c r="J3971" t="str">
        <f t="shared" si="246"/>
        <v>Feb</v>
      </c>
      <c r="K3971" t="str">
        <f t="shared" si="247"/>
        <v>Fri</v>
      </c>
    </row>
    <row r="3972" spans="1:11" x14ac:dyDescent="0.35">
      <c r="A3972" s="1">
        <v>41330</v>
      </c>
      <c r="B3972">
        <v>13.3470001220703</v>
      </c>
      <c r="C3972">
        <v>13.434499740600501</v>
      </c>
      <c r="D3972">
        <v>12.982500076293899</v>
      </c>
      <c r="E3972">
        <v>12.9934997558593</v>
      </c>
      <c r="F3972">
        <v>12.9934997558593</v>
      </c>
      <c r="G3972">
        <v>60648000</v>
      </c>
      <c r="H3972">
        <f t="shared" ref="H3972:H4035" si="248">YEAR($A3972)</f>
        <v>2013</v>
      </c>
      <c r="I3972">
        <f t="shared" ref="I3972:I4035" si="249">MONTH($A3972)</f>
        <v>2</v>
      </c>
      <c r="J3972" t="str">
        <f t="shared" ref="J3972:J4035" si="250">TEXT($A3972,"mmm")</f>
        <v>Feb</v>
      </c>
      <c r="K3972" t="str">
        <f t="shared" ref="K3972:K4035" si="251">TEXT($A3972,"ddd")</f>
        <v>Mon</v>
      </c>
    </row>
    <row r="3973" spans="1:11" x14ac:dyDescent="0.35">
      <c r="A3973" s="1">
        <v>41331</v>
      </c>
      <c r="B3973">
        <v>13.0445003509521</v>
      </c>
      <c r="C3973">
        <v>13.1020002365112</v>
      </c>
      <c r="D3973">
        <v>12.7864999771118</v>
      </c>
      <c r="E3973">
        <v>12.968000411987299</v>
      </c>
      <c r="F3973">
        <v>12.968000411987299</v>
      </c>
      <c r="G3973">
        <v>66972000</v>
      </c>
      <c r="H3973">
        <f t="shared" si="248"/>
        <v>2013</v>
      </c>
      <c r="I3973">
        <f t="shared" si="249"/>
        <v>2</v>
      </c>
      <c r="J3973" t="str">
        <f t="shared" si="250"/>
        <v>Feb</v>
      </c>
      <c r="K3973" t="str">
        <f t="shared" si="251"/>
        <v>Tue</v>
      </c>
    </row>
    <row r="3974" spans="1:11" x14ac:dyDescent="0.35">
      <c r="A3974" s="1">
        <v>41332</v>
      </c>
      <c r="B3974">
        <v>12.9700002670288</v>
      </c>
      <c r="C3974">
        <v>13.291500091552701</v>
      </c>
      <c r="D3974">
        <v>12.843000411987299</v>
      </c>
      <c r="E3974">
        <v>13.1625003814697</v>
      </c>
      <c r="F3974">
        <v>13.1625003814697</v>
      </c>
      <c r="G3974">
        <v>58162000</v>
      </c>
      <c r="H3974">
        <f t="shared" si="248"/>
        <v>2013</v>
      </c>
      <c r="I3974">
        <f t="shared" si="249"/>
        <v>2</v>
      </c>
      <c r="J3974" t="str">
        <f t="shared" si="250"/>
        <v>Feb</v>
      </c>
      <c r="K3974" t="str">
        <f t="shared" si="251"/>
        <v>Wed</v>
      </c>
    </row>
    <row r="3975" spans="1:11" x14ac:dyDescent="0.35">
      <c r="A3975" s="1">
        <v>41333</v>
      </c>
      <c r="B3975">
        <v>13.0904998779296</v>
      </c>
      <c r="C3975">
        <v>13.3500003814697</v>
      </c>
      <c r="D3975">
        <v>13.031499862670801</v>
      </c>
      <c r="E3975">
        <v>13.2135000228881</v>
      </c>
      <c r="F3975">
        <v>13.2135000228881</v>
      </c>
      <c r="G3975">
        <v>53344000</v>
      </c>
      <c r="H3975">
        <f t="shared" si="248"/>
        <v>2013</v>
      </c>
      <c r="I3975">
        <f t="shared" si="249"/>
        <v>2</v>
      </c>
      <c r="J3975" t="str">
        <f t="shared" si="250"/>
        <v>Feb</v>
      </c>
      <c r="K3975" t="str">
        <f t="shared" si="251"/>
        <v>Thu</v>
      </c>
    </row>
    <row r="3976" spans="1:11" x14ac:dyDescent="0.35">
      <c r="A3976" s="1">
        <v>41334</v>
      </c>
      <c r="B3976">
        <v>13.163499832153301</v>
      </c>
      <c r="C3976">
        <v>13.329999923706</v>
      </c>
      <c r="D3976">
        <v>13.0520000457763</v>
      </c>
      <c r="E3976">
        <v>13.286999702453601</v>
      </c>
      <c r="F3976">
        <v>13.286999702453601</v>
      </c>
      <c r="G3976">
        <v>59140000</v>
      </c>
      <c r="H3976">
        <f t="shared" si="248"/>
        <v>2013</v>
      </c>
      <c r="I3976">
        <f t="shared" si="249"/>
        <v>3</v>
      </c>
      <c r="J3976" t="str">
        <f t="shared" si="250"/>
        <v>Mar</v>
      </c>
      <c r="K3976" t="str">
        <f t="shared" si="251"/>
        <v>Fri</v>
      </c>
    </row>
    <row r="3977" spans="1:11" x14ac:dyDescent="0.35">
      <c r="A3977" s="1">
        <v>41337</v>
      </c>
      <c r="B3977">
        <v>13.2679996490478</v>
      </c>
      <c r="C3977">
        <v>13.664999961853001</v>
      </c>
      <c r="D3977">
        <v>13.2069997787475</v>
      </c>
      <c r="E3977">
        <v>13.655500411987299</v>
      </c>
      <c r="F3977">
        <v>13.655500411987299</v>
      </c>
      <c r="G3977">
        <v>69060000</v>
      </c>
      <c r="H3977">
        <f t="shared" si="248"/>
        <v>2013</v>
      </c>
      <c r="I3977">
        <f t="shared" si="249"/>
        <v>3</v>
      </c>
      <c r="J3977" t="str">
        <f t="shared" si="250"/>
        <v>Mar</v>
      </c>
      <c r="K3977" t="str">
        <f t="shared" si="251"/>
        <v>Mon</v>
      </c>
    </row>
    <row r="3978" spans="1:11" x14ac:dyDescent="0.35">
      <c r="A3978" s="1">
        <v>41338</v>
      </c>
      <c r="B3978">
        <v>13.699999809265099</v>
      </c>
      <c r="C3978">
        <v>13.833999633789</v>
      </c>
      <c r="D3978">
        <v>13.4995002746582</v>
      </c>
      <c r="E3978">
        <v>13.7795000076293</v>
      </c>
      <c r="F3978">
        <v>13.7795000076293</v>
      </c>
      <c r="G3978">
        <v>73724000</v>
      </c>
      <c r="H3978">
        <f t="shared" si="248"/>
        <v>2013</v>
      </c>
      <c r="I3978">
        <f t="shared" si="249"/>
        <v>3</v>
      </c>
      <c r="J3978" t="str">
        <f t="shared" si="250"/>
        <v>Mar</v>
      </c>
      <c r="K3978" t="str">
        <f t="shared" si="251"/>
        <v>Tue</v>
      </c>
    </row>
    <row r="3979" spans="1:11" x14ac:dyDescent="0.35">
      <c r="A3979" s="1">
        <v>41339</v>
      </c>
      <c r="B3979">
        <v>13.7880001068115</v>
      </c>
      <c r="C3979">
        <v>13.824500083923301</v>
      </c>
      <c r="D3979">
        <v>13.5915002822875</v>
      </c>
      <c r="E3979">
        <v>13.6894998550415</v>
      </c>
      <c r="F3979">
        <v>13.6894998550415</v>
      </c>
      <c r="G3979">
        <v>41014000</v>
      </c>
      <c r="H3979">
        <f t="shared" si="248"/>
        <v>2013</v>
      </c>
      <c r="I3979">
        <f t="shared" si="249"/>
        <v>3</v>
      </c>
      <c r="J3979" t="str">
        <f t="shared" si="250"/>
        <v>Mar</v>
      </c>
      <c r="K3979" t="str">
        <f t="shared" si="251"/>
        <v>Wed</v>
      </c>
    </row>
    <row r="3980" spans="1:11" x14ac:dyDescent="0.35">
      <c r="A3980" s="1">
        <v>41340</v>
      </c>
      <c r="B3980">
        <v>13.704999923706</v>
      </c>
      <c r="C3980">
        <v>13.7399997711181</v>
      </c>
      <c r="D3980">
        <v>13.592499732971101</v>
      </c>
      <c r="E3980">
        <v>13.6940002441406</v>
      </c>
      <c r="F3980">
        <v>13.6940002441406</v>
      </c>
      <c r="G3980">
        <v>38780000</v>
      </c>
      <c r="H3980">
        <f t="shared" si="248"/>
        <v>2013</v>
      </c>
      <c r="I3980">
        <f t="shared" si="249"/>
        <v>3</v>
      </c>
      <c r="J3980" t="str">
        <f t="shared" si="250"/>
        <v>Mar</v>
      </c>
      <c r="K3980" t="str">
        <f t="shared" si="251"/>
        <v>Thu</v>
      </c>
    </row>
    <row r="3981" spans="1:11" x14ac:dyDescent="0.35">
      <c r="A3981" s="1">
        <v>41341</v>
      </c>
      <c r="B3981">
        <v>13.75</v>
      </c>
      <c r="C3981">
        <v>13.772000312805099</v>
      </c>
      <c r="D3981">
        <v>13.574999809265099</v>
      </c>
      <c r="E3981">
        <v>13.709500312805099</v>
      </c>
      <c r="F3981">
        <v>13.709500312805099</v>
      </c>
      <c r="G3981">
        <v>37596000</v>
      </c>
      <c r="H3981">
        <f t="shared" si="248"/>
        <v>2013</v>
      </c>
      <c r="I3981">
        <f t="shared" si="249"/>
        <v>3</v>
      </c>
      <c r="J3981" t="str">
        <f t="shared" si="250"/>
        <v>Mar</v>
      </c>
      <c r="K3981" t="str">
        <f t="shared" si="251"/>
        <v>Fri</v>
      </c>
    </row>
    <row r="3982" spans="1:11" x14ac:dyDescent="0.35">
      <c r="A3982" s="1">
        <v>41344</v>
      </c>
      <c r="B3982">
        <v>13.671500205993601</v>
      </c>
      <c r="C3982">
        <v>13.699500083923301</v>
      </c>
      <c r="D3982">
        <v>13.520000457763601</v>
      </c>
      <c r="E3982">
        <v>13.5620002746582</v>
      </c>
      <c r="F3982">
        <v>13.5620002746582</v>
      </c>
      <c r="G3982">
        <v>38098000</v>
      </c>
      <c r="H3982">
        <f t="shared" si="248"/>
        <v>2013</v>
      </c>
      <c r="I3982">
        <f t="shared" si="249"/>
        <v>3</v>
      </c>
      <c r="J3982" t="str">
        <f t="shared" si="250"/>
        <v>Mar</v>
      </c>
      <c r="K3982" t="str">
        <f t="shared" si="251"/>
        <v>Mon</v>
      </c>
    </row>
    <row r="3983" spans="1:11" x14ac:dyDescent="0.35">
      <c r="A3983" s="1">
        <v>41345</v>
      </c>
      <c r="B3983">
        <v>13.550000190734799</v>
      </c>
      <c r="C3983">
        <v>13.869999885559</v>
      </c>
      <c r="D3983">
        <v>13.5179996490478</v>
      </c>
      <c r="E3983">
        <v>13.7065000534057</v>
      </c>
      <c r="F3983">
        <v>13.7065000534057</v>
      </c>
      <c r="G3983">
        <v>64924000</v>
      </c>
      <c r="H3983">
        <f t="shared" si="248"/>
        <v>2013</v>
      </c>
      <c r="I3983">
        <f t="shared" si="249"/>
        <v>3</v>
      </c>
      <c r="J3983" t="str">
        <f t="shared" si="250"/>
        <v>Mar</v>
      </c>
      <c r="K3983" t="str">
        <f t="shared" si="251"/>
        <v>Tue</v>
      </c>
    </row>
    <row r="3984" spans="1:11" x14ac:dyDescent="0.35">
      <c r="A3984" s="1">
        <v>41346</v>
      </c>
      <c r="B3984">
        <v>13.762000083923301</v>
      </c>
      <c r="C3984">
        <v>13.824999809265099</v>
      </c>
      <c r="D3984">
        <v>13.631999969482401</v>
      </c>
      <c r="E3984">
        <v>13.7550001144409</v>
      </c>
      <c r="F3984">
        <v>13.7550001144409</v>
      </c>
      <c r="G3984">
        <v>37684000</v>
      </c>
      <c r="H3984">
        <f t="shared" si="248"/>
        <v>2013</v>
      </c>
      <c r="I3984">
        <f t="shared" si="249"/>
        <v>3</v>
      </c>
      <c r="J3984" t="str">
        <f t="shared" si="250"/>
        <v>Mar</v>
      </c>
      <c r="K3984" t="str">
        <f t="shared" si="251"/>
        <v>Wed</v>
      </c>
    </row>
    <row r="3985" spans="1:11" x14ac:dyDescent="0.35">
      <c r="A3985" s="1">
        <v>41347</v>
      </c>
      <c r="B3985">
        <v>13.4834995269775</v>
      </c>
      <c r="C3985">
        <v>13.5</v>
      </c>
      <c r="D3985">
        <v>13.176500320434499</v>
      </c>
      <c r="E3985">
        <v>13.286999702453601</v>
      </c>
      <c r="F3985">
        <v>13.286999702453601</v>
      </c>
      <c r="G3985">
        <v>104534000</v>
      </c>
      <c r="H3985">
        <f t="shared" si="248"/>
        <v>2013</v>
      </c>
      <c r="I3985">
        <f t="shared" si="249"/>
        <v>3</v>
      </c>
      <c r="J3985" t="str">
        <f t="shared" si="250"/>
        <v>Mar</v>
      </c>
      <c r="K3985" t="str">
        <f t="shared" si="251"/>
        <v>Thu</v>
      </c>
    </row>
    <row r="3986" spans="1:11" x14ac:dyDescent="0.35">
      <c r="A3986" s="1">
        <v>41348</v>
      </c>
      <c r="B3986">
        <v>13.248999595641999</v>
      </c>
      <c r="C3986">
        <v>13.3629999160766</v>
      </c>
      <c r="D3986">
        <v>13.002499580383301</v>
      </c>
      <c r="E3986">
        <v>13.090999603271401</v>
      </c>
      <c r="F3986">
        <v>13.090999603271401</v>
      </c>
      <c r="G3986">
        <v>97318000</v>
      </c>
      <c r="H3986">
        <f t="shared" si="248"/>
        <v>2013</v>
      </c>
      <c r="I3986">
        <f t="shared" si="249"/>
        <v>3</v>
      </c>
      <c r="J3986" t="str">
        <f t="shared" si="250"/>
        <v>Mar</v>
      </c>
      <c r="K3986" t="str">
        <f t="shared" si="251"/>
        <v>Fri</v>
      </c>
    </row>
    <row r="3987" spans="1:11" x14ac:dyDescent="0.35">
      <c r="A3987" s="1">
        <v>41351</v>
      </c>
      <c r="B3987">
        <v>12.9650001525878</v>
      </c>
      <c r="C3987">
        <v>13.074500083923301</v>
      </c>
      <c r="D3987">
        <v>12.855999946594199</v>
      </c>
      <c r="E3987">
        <v>12.8944997787475</v>
      </c>
      <c r="F3987">
        <v>12.8944997787475</v>
      </c>
      <c r="G3987">
        <v>54404000</v>
      </c>
      <c r="H3987">
        <f t="shared" si="248"/>
        <v>2013</v>
      </c>
      <c r="I3987">
        <f t="shared" si="249"/>
        <v>3</v>
      </c>
      <c r="J3987" t="str">
        <f t="shared" si="250"/>
        <v>Mar</v>
      </c>
      <c r="K3987" t="str">
        <f t="shared" si="251"/>
        <v>Mon</v>
      </c>
    </row>
    <row r="3988" spans="1:11" x14ac:dyDescent="0.35">
      <c r="A3988" s="1">
        <v>41352</v>
      </c>
      <c r="B3988">
        <v>12.920000076293899</v>
      </c>
      <c r="C3988">
        <v>12.9750003814697</v>
      </c>
      <c r="D3988">
        <v>12.630999565124499</v>
      </c>
      <c r="E3988">
        <v>12.8205003738403</v>
      </c>
      <c r="F3988">
        <v>12.8205003738403</v>
      </c>
      <c r="G3988">
        <v>74770000</v>
      </c>
      <c r="H3988">
        <f t="shared" si="248"/>
        <v>2013</v>
      </c>
      <c r="I3988">
        <f t="shared" si="249"/>
        <v>3</v>
      </c>
      <c r="J3988" t="str">
        <f t="shared" si="250"/>
        <v>Mar</v>
      </c>
      <c r="K3988" t="str">
        <f t="shared" si="251"/>
        <v>Tue</v>
      </c>
    </row>
    <row r="3989" spans="1:11" x14ac:dyDescent="0.35">
      <c r="A3989" s="1">
        <v>41353</v>
      </c>
      <c r="B3989">
        <v>12.9025001525878</v>
      </c>
      <c r="C3989">
        <v>12.9879999160766</v>
      </c>
      <c r="D3989">
        <v>12.727499961853001</v>
      </c>
      <c r="E3989">
        <v>12.864000320434499</v>
      </c>
      <c r="F3989">
        <v>12.864000320434499</v>
      </c>
      <c r="G3989">
        <v>54778000</v>
      </c>
      <c r="H3989">
        <f t="shared" si="248"/>
        <v>2013</v>
      </c>
      <c r="I3989">
        <f t="shared" si="249"/>
        <v>3</v>
      </c>
      <c r="J3989" t="str">
        <f t="shared" si="250"/>
        <v>Mar</v>
      </c>
      <c r="K3989" t="str">
        <f t="shared" si="251"/>
        <v>Wed</v>
      </c>
    </row>
    <row r="3990" spans="1:11" x14ac:dyDescent="0.35">
      <c r="A3990" s="1">
        <v>41354</v>
      </c>
      <c r="B3990">
        <v>12.8055000305175</v>
      </c>
      <c r="C3990">
        <v>12.8500003814697</v>
      </c>
      <c r="D3990">
        <v>12.633999824523899</v>
      </c>
      <c r="E3990">
        <v>12.6695003509521</v>
      </c>
      <c r="F3990">
        <v>12.6695003509521</v>
      </c>
      <c r="G3990">
        <v>56128000</v>
      </c>
      <c r="H3990">
        <f t="shared" si="248"/>
        <v>2013</v>
      </c>
      <c r="I3990">
        <f t="shared" si="249"/>
        <v>3</v>
      </c>
      <c r="J3990" t="str">
        <f t="shared" si="250"/>
        <v>Mar</v>
      </c>
      <c r="K3990" t="str">
        <f t="shared" si="251"/>
        <v>Thu</v>
      </c>
    </row>
    <row r="3991" spans="1:11" x14ac:dyDescent="0.35">
      <c r="A3991" s="1">
        <v>41355</v>
      </c>
      <c r="B3991">
        <v>12.727499961853001</v>
      </c>
      <c r="C3991">
        <v>12.888500213623001</v>
      </c>
      <c r="D3991">
        <v>12.6035003662109</v>
      </c>
      <c r="E3991">
        <v>12.887499809265099</v>
      </c>
      <c r="F3991">
        <v>12.887499809265099</v>
      </c>
      <c r="G3991">
        <v>62492000</v>
      </c>
      <c r="H3991">
        <f t="shared" si="248"/>
        <v>2013</v>
      </c>
      <c r="I3991">
        <f t="shared" si="249"/>
        <v>3</v>
      </c>
      <c r="J3991" t="str">
        <f t="shared" si="250"/>
        <v>Mar</v>
      </c>
      <c r="K3991" t="str">
        <f t="shared" si="251"/>
        <v>Fri</v>
      </c>
    </row>
    <row r="3992" spans="1:11" x14ac:dyDescent="0.35">
      <c r="A3992" s="1">
        <v>41358</v>
      </c>
      <c r="B3992">
        <v>12.9289999008178</v>
      </c>
      <c r="C3992">
        <v>12.9715003967285</v>
      </c>
      <c r="D3992">
        <v>12.7250003814697</v>
      </c>
      <c r="E3992">
        <v>12.8009996414184</v>
      </c>
      <c r="F3992">
        <v>12.8009996414184</v>
      </c>
      <c r="G3992">
        <v>50278000</v>
      </c>
      <c r="H3992">
        <f t="shared" si="248"/>
        <v>2013</v>
      </c>
      <c r="I3992">
        <f t="shared" si="249"/>
        <v>3</v>
      </c>
      <c r="J3992" t="str">
        <f t="shared" si="250"/>
        <v>Mar</v>
      </c>
      <c r="K3992" t="str">
        <f t="shared" si="251"/>
        <v>Mon</v>
      </c>
    </row>
    <row r="3993" spans="1:11" x14ac:dyDescent="0.35">
      <c r="A3993" s="1">
        <v>41359</v>
      </c>
      <c r="B3993">
        <v>12.852499961853001</v>
      </c>
      <c r="C3993">
        <v>13.0740003585815</v>
      </c>
      <c r="D3993">
        <v>12.8140001296997</v>
      </c>
      <c r="E3993">
        <v>13.015500068664499</v>
      </c>
      <c r="F3993">
        <v>13.015500068664499</v>
      </c>
      <c r="G3993">
        <v>48420000</v>
      </c>
      <c r="H3993">
        <f t="shared" si="248"/>
        <v>2013</v>
      </c>
      <c r="I3993">
        <f t="shared" si="249"/>
        <v>3</v>
      </c>
      <c r="J3993" t="str">
        <f t="shared" si="250"/>
        <v>Mar</v>
      </c>
      <c r="K3993" t="str">
        <f t="shared" si="251"/>
        <v>Tue</v>
      </c>
    </row>
    <row r="3994" spans="1:11" x14ac:dyDescent="0.35">
      <c r="A3994" s="1">
        <v>41360</v>
      </c>
      <c r="B3994">
        <v>12.9375</v>
      </c>
      <c r="C3994">
        <v>13.296500205993601</v>
      </c>
      <c r="D3994">
        <v>12.895000457763601</v>
      </c>
      <c r="E3994">
        <v>13.265000343322701</v>
      </c>
      <c r="F3994">
        <v>13.265000343322701</v>
      </c>
      <c r="G3994">
        <v>57498000</v>
      </c>
      <c r="H3994">
        <f t="shared" si="248"/>
        <v>2013</v>
      </c>
      <c r="I3994">
        <f t="shared" si="249"/>
        <v>3</v>
      </c>
      <c r="J3994" t="str">
        <f t="shared" si="250"/>
        <v>Mar</v>
      </c>
      <c r="K3994" t="str">
        <f t="shared" si="251"/>
        <v>Wed</v>
      </c>
    </row>
    <row r="3995" spans="1:11" x14ac:dyDescent="0.35">
      <c r="A3995" s="1">
        <v>41361</v>
      </c>
      <c r="B3995">
        <v>13.2910003662109</v>
      </c>
      <c r="C3995">
        <v>13.369000434875399</v>
      </c>
      <c r="D3995">
        <v>13.203000068664499</v>
      </c>
      <c r="E3995">
        <v>13.324500083923301</v>
      </c>
      <c r="F3995">
        <v>13.324500083923301</v>
      </c>
      <c r="G3995">
        <v>49474000</v>
      </c>
      <c r="H3995">
        <f t="shared" si="248"/>
        <v>2013</v>
      </c>
      <c r="I3995">
        <f t="shared" si="249"/>
        <v>3</v>
      </c>
      <c r="J3995" t="str">
        <f t="shared" si="250"/>
        <v>Mar</v>
      </c>
      <c r="K3995" t="str">
        <f t="shared" si="251"/>
        <v>Thu</v>
      </c>
    </row>
    <row r="3996" spans="1:11" x14ac:dyDescent="0.35">
      <c r="A3996" s="1">
        <v>41365</v>
      </c>
      <c r="B3996">
        <v>13.3489999771118</v>
      </c>
      <c r="C3996">
        <v>13.369999885559</v>
      </c>
      <c r="D3996">
        <v>13.0504999160766</v>
      </c>
      <c r="E3996">
        <v>13.0804996490478</v>
      </c>
      <c r="F3996">
        <v>13.0804996490478</v>
      </c>
      <c r="G3996">
        <v>50496000</v>
      </c>
      <c r="H3996">
        <f t="shared" si="248"/>
        <v>2013</v>
      </c>
      <c r="I3996">
        <f t="shared" si="249"/>
        <v>4</v>
      </c>
      <c r="J3996" t="str">
        <f t="shared" si="250"/>
        <v>Apr</v>
      </c>
      <c r="K3996" t="str">
        <f t="shared" si="251"/>
        <v>Mon</v>
      </c>
    </row>
    <row r="3997" spans="1:11" x14ac:dyDescent="0.35">
      <c r="A3997" s="1">
        <v>41366</v>
      </c>
      <c r="B3997">
        <v>13.119999885559</v>
      </c>
      <c r="C3997">
        <v>13.2945003509521</v>
      </c>
      <c r="D3997">
        <v>13.0275001525878</v>
      </c>
      <c r="E3997">
        <v>13.1660003662109</v>
      </c>
      <c r="F3997">
        <v>13.1660003662109</v>
      </c>
      <c r="G3997">
        <v>52622000</v>
      </c>
      <c r="H3997">
        <f t="shared" si="248"/>
        <v>2013</v>
      </c>
      <c r="I3997">
        <f t="shared" si="249"/>
        <v>4</v>
      </c>
      <c r="J3997" t="str">
        <f t="shared" si="250"/>
        <v>Apr</v>
      </c>
      <c r="K3997" t="str">
        <f t="shared" si="251"/>
        <v>Tue</v>
      </c>
    </row>
    <row r="3998" spans="1:11" x14ac:dyDescent="0.35">
      <c r="A3998" s="1">
        <v>41367</v>
      </c>
      <c r="B3998">
        <v>13.105999946594199</v>
      </c>
      <c r="C3998">
        <v>13.1835002899169</v>
      </c>
      <c r="D3998">
        <v>12.887499809265099</v>
      </c>
      <c r="E3998">
        <v>12.951499938964799</v>
      </c>
      <c r="F3998">
        <v>12.951499938964799</v>
      </c>
      <c r="G3998">
        <v>48276000</v>
      </c>
      <c r="H3998">
        <f t="shared" si="248"/>
        <v>2013</v>
      </c>
      <c r="I3998">
        <f t="shared" si="249"/>
        <v>4</v>
      </c>
      <c r="J3998" t="str">
        <f t="shared" si="250"/>
        <v>Apr</v>
      </c>
      <c r="K3998" t="str">
        <f t="shared" si="251"/>
        <v>Wed</v>
      </c>
    </row>
    <row r="3999" spans="1:11" x14ac:dyDescent="0.35">
      <c r="A3999" s="1">
        <v>41368</v>
      </c>
      <c r="B3999">
        <v>12.9615001678466</v>
      </c>
      <c r="C3999">
        <v>13.020500183105399</v>
      </c>
      <c r="D3999">
        <v>12.8059997558593</v>
      </c>
      <c r="E3999">
        <v>12.954000473022401</v>
      </c>
      <c r="F3999">
        <v>12.954000473022401</v>
      </c>
      <c r="G3999">
        <v>39288000</v>
      </c>
      <c r="H3999">
        <f t="shared" si="248"/>
        <v>2013</v>
      </c>
      <c r="I3999">
        <f t="shared" si="249"/>
        <v>4</v>
      </c>
      <c r="J3999" t="str">
        <f t="shared" si="250"/>
        <v>Apr</v>
      </c>
      <c r="K3999" t="str">
        <f t="shared" si="251"/>
        <v>Thu</v>
      </c>
    </row>
    <row r="4000" spans="1:11" x14ac:dyDescent="0.35">
      <c r="A4000" s="1">
        <v>41369</v>
      </c>
      <c r="B4000">
        <v>12.78600025177</v>
      </c>
      <c r="C4000">
        <v>12.8090000152587</v>
      </c>
      <c r="D4000">
        <v>12.6835002899169</v>
      </c>
      <c r="E4000">
        <v>12.7740001678466</v>
      </c>
      <c r="F4000">
        <v>12.7740001678466</v>
      </c>
      <c r="G4000">
        <v>51148000</v>
      </c>
      <c r="H4000">
        <f t="shared" si="248"/>
        <v>2013</v>
      </c>
      <c r="I4000">
        <f t="shared" si="249"/>
        <v>4</v>
      </c>
      <c r="J4000" t="str">
        <f t="shared" si="250"/>
        <v>Apr</v>
      </c>
      <c r="K4000" t="str">
        <f t="shared" si="251"/>
        <v>Fri</v>
      </c>
    </row>
    <row r="4001" spans="1:11" x14ac:dyDescent="0.35">
      <c r="A4001" s="1">
        <v>41372</v>
      </c>
      <c r="B4001">
        <v>12.7959995269775</v>
      </c>
      <c r="C4001">
        <v>12.984000205993601</v>
      </c>
      <c r="D4001">
        <v>12.781499862670801</v>
      </c>
      <c r="E4001">
        <v>12.9475002288818</v>
      </c>
      <c r="F4001">
        <v>12.9475002288818</v>
      </c>
      <c r="G4001">
        <v>45912000</v>
      </c>
      <c r="H4001">
        <f t="shared" si="248"/>
        <v>2013</v>
      </c>
      <c r="I4001">
        <f t="shared" si="249"/>
        <v>4</v>
      </c>
      <c r="J4001" t="str">
        <f t="shared" si="250"/>
        <v>Apr</v>
      </c>
      <c r="K4001" t="str">
        <f t="shared" si="251"/>
        <v>Mon</v>
      </c>
    </row>
    <row r="4002" spans="1:11" x14ac:dyDescent="0.35">
      <c r="A4002" s="1">
        <v>41373</v>
      </c>
      <c r="B4002">
        <v>12.9425001144409</v>
      </c>
      <c r="C4002">
        <v>13.130499839782701</v>
      </c>
      <c r="D4002">
        <v>12.8500003814697</v>
      </c>
      <c r="E4002">
        <v>13.0570001602172</v>
      </c>
      <c r="F4002">
        <v>13.0570001602172</v>
      </c>
      <c r="G4002">
        <v>43132000</v>
      </c>
      <c r="H4002">
        <f t="shared" si="248"/>
        <v>2013</v>
      </c>
      <c r="I4002">
        <f t="shared" si="249"/>
        <v>4</v>
      </c>
      <c r="J4002" t="str">
        <f t="shared" si="250"/>
        <v>Apr</v>
      </c>
      <c r="K4002" t="str">
        <f t="shared" si="251"/>
        <v>Tue</v>
      </c>
    </row>
    <row r="4003" spans="1:11" x14ac:dyDescent="0.35">
      <c r="A4003" s="1">
        <v>41374</v>
      </c>
      <c r="B4003">
        <v>13.088999748229901</v>
      </c>
      <c r="C4003">
        <v>13.2989997863769</v>
      </c>
      <c r="D4003">
        <v>12.965999603271401</v>
      </c>
      <c r="E4003">
        <v>13.2384996414184</v>
      </c>
      <c r="F4003">
        <v>13.2384996414184</v>
      </c>
      <c r="G4003">
        <v>46450000</v>
      </c>
      <c r="H4003">
        <f t="shared" si="248"/>
        <v>2013</v>
      </c>
      <c r="I4003">
        <f t="shared" si="249"/>
        <v>4</v>
      </c>
      <c r="J4003" t="str">
        <f t="shared" si="250"/>
        <v>Apr</v>
      </c>
      <c r="K4003" t="str">
        <f t="shared" si="251"/>
        <v>Wed</v>
      </c>
    </row>
    <row r="4004" spans="1:11" x14ac:dyDescent="0.35">
      <c r="A4004" s="1">
        <v>41375</v>
      </c>
      <c r="B4004">
        <v>13.237000465393001</v>
      </c>
      <c r="C4004">
        <v>13.548500061035099</v>
      </c>
      <c r="D4004">
        <v>13.237000465393001</v>
      </c>
      <c r="E4004">
        <v>13.4925003051757</v>
      </c>
      <c r="F4004">
        <v>13.4925003051757</v>
      </c>
      <c r="G4004">
        <v>61810000</v>
      </c>
      <c r="H4004">
        <f t="shared" si="248"/>
        <v>2013</v>
      </c>
      <c r="I4004">
        <f t="shared" si="249"/>
        <v>4</v>
      </c>
      <c r="J4004" t="str">
        <f t="shared" si="250"/>
        <v>Apr</v>
      </c>
      <c r="K4004" t="str">
        <f t="shared" si="251"/>
        <v>Thu</v>
      </c>
    </row>
    <row r="4005" spans="1:11" x14ac:dyDescent="0.35">
      <c r="A4005" s="1">
        <v>41376</v>
      </c>
      <c r="B4005">
        <v>13.505999565124499</v>
      </c>
      <c r="C4005">
        <v>13.663499832153301</v>
      </c>
      <c r="D4005">
        <v>13.350999832153301</v>
      </c>
      <c r="E4005">
        <v>13.643500328063899</v>
      </c>
      <c r="F4005">
        <v>13.643500328063899</v>
      </c>
      <c r="G4005">
        <v>57326000</v>
      </c>
      <c r="H4005">
        <f t="shared" si="248"/>
        <v>2013</v>
      </c>
      <c r="I4005">
        <f t="shared" si="249"/>
        <v>4</v>
      </c>
      <c r="J4005" t="str">
        <f t="shared" si="250"/>
        <v>Apr</v>
      </c>
      <c r="K4005" t="str">
        <f t="shared" si="251"/>
        <v>Fri</v>
      </c>
    </row>
    <row r="4006" spans="1:11" x14ac:dyDescent="0.35">
      <c r="A4006" s="1">
        <v>41379</v>
      </c>
      <c r="B4006">
        <v>13.5539999008178</v>
      </c>
      <c r="C4006">
        <v>13.755999565124499</v>
      </c>
      <c r="D4006">
        <v>13.3549995422363</v>
      </c>
      <c r="E4006">
        <v>13.385999679565399</v>
      </c>
      <c r="F4006">
        <v>13.385999679565399</v>
      </c>
      <c r="G4006">
        <v>66520000</v>
      </c>
      <c r="H4006">
        <f t="shared" si="248"/>
        <v>2013</v>
      </c>
      <c r="I4006">
        <f t="shared" si="249"/>
        <v>4</v>
      </c>
      <c r="J4006" t="str">
        <f t="shared" si="250"/>
        <v>Apr</v>
      </c>
      <c r="K4006" t="str">
        <f t="shared" si="251"/>
        <v>Mon</v>
      </c>
    </row>
    <row r="4007" spans="1:11" x14ac:dyDescent="0.35">
      <c r="A4007" s="1">
        <v>41380</v>
      </c>
      <c r="B4007">
        <v>13.4654998779296</v>
      </c>
      <c r="C4007">
        <v>13.640000343322701</v>
      </c>
      <c r="D4007">
        <v>13.4029998779296</v>
      </c>
      <c r="E4007">
        <v>13.6169996261596</v>
      </c>
      <c r="F4007">
        <v>13.6169996261596</v>
      </c>
      <c r="G4007">
        <v>42744000</v>
      </c>
      <c r="H4007">
        <f t="shared" si="248"/>
        <v>2013</v>
      </c>
      <c r="I4007">
        <f t="shared" si="249"/>
        <v>4</v>
      </c>
      <c r="J4007" t="str">
        <f t="shared" si="250"/>
        <v>Apr</v>
      </c>
      <c r="K4007" t="str">
        <f t="shared" si="251"/>
        <v>Tue</v>
      </c>
    </row>
    <row r="4008" spans="1:11" x14ac:dyDescent="0.35">
      <c r="A4008" s="1">
        <v>41381</v>
      </c>
      <c r="B4008">
        <v>13.539999961853001</v>
      </c>
      <c r="C4008">
        <v>13.5424995422363</v>
      </c>
      <c r="D4008">
        <v>13.212499618530201</v>
      </c>
      <c r="E4008">
        <v>13.369999885559</v>
      </c>
      <c r="F4008">
        <v>13.369999885559</v>
      </c>
      <c r="G4008">
        <v>62702000</v>
      </c>
      <c r="H4008">
        <f t="shared" si="248"/>
        <v>2013</v>
      </c>
      <c r="I4008">
        <f t="shared" si="249"/>
        <v>4</v>
      </c>
      <c r="J4008" t="str">
        <f t="shared" si="250"/>
        <v>Apr</v>
      </c>
      <c r="K4008" t="str">
        <f t="shared" si="251"/>
        <v>Wed</v>
      </c>
    </row>
    <row r="4009" spans="1:11" x14ac:dyDescent="0.35">
      <c r="A4009" s="1">
        <v>41382</v>
      </c>
      <c r="B4009">
        <v>13.3404998779296</v>
      </c>
      <c r="C4009">
        <v>13.349499702453601</v>
      </c>
      <c r="D4009">
        <v>12.829999923706</v>
      </c>
      <c r="E4009">
        <v>12.970999717712401</v>
      </c>
      <c r="F4009">
        <v>12.970999717712401</v>
      </c>
      <c r="G4009">
        <v>62752000</v>
      </c>
      <c r="H4009">
        <f t="shared" si="248"/>
        <v>2013</v>
      </c>
      <c r="I4009">
        <f t="shared" si="249"/>
        <v>4</v>
      </c>
      <c r="J4009" t="str">
        <f t="shared" si="250"/>
        <v>Apr</v>
      </c>
      <c r="K4009" t="str">
        <f t="shared" si="251"/>
        <v>Thu</v>
      </c>
    </row>
    <row r="4010" spans="1:11" x14ac:dyDescent="0.35">
      <c r="A4010" s="1">
        <v>41383</v>
      </c>
      <c r="B4010">
        <v>12.9079999923706</v>
      </c>
      <c r="C4010">
        <v>13.1440000534057</v>
      </c>
      <c r="D4010">
        <v>12.875</v>
      </c>
      <c r="E4010">
        <v>13.0159997940063</v>
      </c>
      <c r="F4010">
        <v>13.0159997940063</v>
      </c>
      <c r="G4010">
        <v>52050000</v>
      </c>
      <c r="H4010">
        <f t="shared" si="248"/>
        <v>2013</v>
      </c>
      <c r="I4010">
        <f t="shared" si="249"/>
        <v>4</v>
      </c>
      <c r="J4010" t="str">
        <f t="shared" si="250"/>
        <v>Apr</v>
      </c>
      <c r="K4010" t="str">
        <f t="shared" si="251"/>
        <v>Fri</v>
      </c>
    </row>
    <row r="4011" spans="1:11" x14ac:dyDescent="0.35">
      <c r="A4011" s="1">
        <v>41386</v>
      </c>
      <c r="B4011">
        <v>12.967499732971101</v>
      </c>
      <c r="C4011">
        <v>13.2299995422363</v>
      </c>
      <c r="D4011">
        <v>12.901499748229901</v>
      </c>
      <c r="E4011">
        <v>13.1774997711181</v>
      </c>
      <c r="F4011">
        <v>13.1774997711181</v>
      </c>
      <c r="G4011">
        <v>42382000</v>
      </c>
      <c r="H4011">
        <f t="shared" si="248"/>
        <v>2013</v>
      </c>
      <c r="I4011">
        <f t="shared" si="249"/>
        <v>4</v>
      </c>
      <c r="J4011" t="str">
        <f t="shared" si="250"/>
        <v>Apr</v>
      </c>
      <c r="K4011" t="str">
        <f t="shared" si="251"/>
        <v>Mon</v>
      </c>
    </row>
    <row r="4012" spans="1:11" x14ac:dyDescent="0.35">
      <c r="A4012" s="1">
        <v>41387</v>
      </c>
      <c r="B4012">
        <v>13.2250003814697</v>
      </c>
      <c r="C4012">
        <v>13.4934997558593</v>
      </c>
      <c r="D4012">
        <v>13.2250003814697</v>
      </c>
      <c r="E4012">
        <v>13.444999694824199</v>
      </c>
      <c r="F4012">
        <v>13.444999694824199</v>
      </c>
      <c r="G4012">
        <v>45412000</v>
      </c>
      <c r="H4012">
        <f t="shared" si="248"/>
        <v>2013</v>
      </c>
      <c r="I4012">
        <f t="shared" si="249"/>
        <v>4</v>
      </c>
      <c r="J4012" t="str">
        <f t="shared" si="250"/>
        <v>Apr</v>
      </c>
      <c r="K4012" t="str">
        <f t="shared" si="251"/>
        <v>Tue</v>
      </c>
    </row>
    <row r="4013" spans="1:11" x14ac:dyDescent="0.35">
      <c r="A4013" s="1">
        <v>41388</v>
      </c>
      <c r="B4013">
        <v>13.4750003814697</v>
      </c>
      <c r="C4013">
        <v>13.573499679565399</v>
      </c>
      <c r="D4013">
        <v>13.3404998779296</v>
      </c>
      <c r="E4013">
        <v>13.4390001296997</v>
      </c>
      <c r="F4013">
        <v>13.4390001296997</v>
      </c>
      <c r="G4013">
        <v>37056000</v>
      </c>
      <c r="H4013">
        <f t="shared" si="248"/>
        <v>2013</v>
      </c>
      <c r="I4013">
        <f t="shared" si="249"/>
        <v>4</v>
      </c>
      <c r="J4013" t="str">
        <f t="shared" si="250"/>
        <v>Apr</v>
      </c>
      <c r="K4013" t="str">
        <f t="shared" si="251"/>
        <v>Wed</v>
      </c>
    </row>
    <row r="4014" spans="1:11" x14ac:dyDescent="0.35">
      <c r="A4014" s="1">
        <v>41389</v>
      </c>
      <c r="B4014">
        <v>13.576499938964799</v>
      </c>
      <c r="C4014">
        <v>13.789999961853001</v>
      </c>
      <c r="D4014">
        <v>13.524999618530201</v>
      </c>
      <c r="E4014">
        <v>13.7349996566772</v>
      </c>
      <c r="F4014">
        <v>13.7349996566772</v>
      </c>
      <c r="G4014">
        <v>122330000</v>
      </c>
      <c r="H4014">
        <f t="shared" si="248"/>
        <v>2013</v>
      </c>
      <c r="I4014">
        <f t="shared" si="249"/>
        <v>4</v>
      </c>
      <c r="J4014" t="str">
        <f t="shared" si="250"/>
        <v>Apr</v>
      </c>
      <c r="K4014" t="str">
        <f t="shared" si="251"/>
        <v>Thu</v>
      </c>
    </row>
    <row r="4015" spans="1:11" x14ac:dyDescent="0.35">
      <c r="A4015" s="1">
        <v>41390</v>
      </c>
      <c r="B4015">
        <v>13.498499870300201</v>
      </c>
      <c r="C4015">
        <v>13.600999832153301</v>
      </c>
      <c r="D4015">
        <v>12.640500068664499</v>
      </c>
      <c r="E4015">
        <v>12.740500450134199</v>
      </c>
      <c r="F4015">
        <v>12.740500450134199</v>
      </c>
      <c r="G4015">
        <v>280600000</v>
      </c>
      <c r="H4015">
        <f t="shared" si="248"/>
        <v>2013</v>
      </c>
      <c r="I4015">
        <f t="shared" si="249"/>
        <v>4</v>
      </c>
      <c r="J4015" t="str">
        <f t="shared" si="250"/>
        <v>Apr</v>
      </c>
      <c r="K4015" t="str">
        <f t="shared" si="251"/>
        <v>Fri</v>
      </c>
    </row>
    <row r="4016" spans="1:11" x14ac:dyDescent="0.35">
      <c r="A4016" s="1">
        <v>41393</v>
      </c>
      <c r="B4016">
        <v>12.744999885559</v>
      </c>
      <c r="C4016">
        <v>12.8505001068115</v>
      </c>
      <c r="D4016">
        <v>12.457500457763601</v>
      </c>
      <c r="E4016">
        <v>12.487000465393001</v>
      </c>
      <c r="F4016">
        <v>12.487000465393001</v>
      </c>
      <c r="G4016">
        <v>142340000</v>
      </c>
      <c r="H4016">
        <f t="shared" si="248"/>
        <v>2013</v>
      </c>
      <c r="I4016">
        <f t="shared" si="249"/>
        <v>4</v>
      </c>
      <c r="J4016" t="str">
        <f t="shared" si="250"/>
        <v>Apr</v>
      </c>
      <c r="K4016" t="str">
        <f t="shared" si="251"/>
        <v>Mon</v>
      </c>
    </row>
    <row r="4017" spans="1:11" x14ac:dyDescent="0.35">
      <c r="A4017" s="1">
        <v>41394</v>
      </c>
      <c r="B4017">
        <v>12.4685001373291</v>
      </c>
      <c r="C4017">
        <v>12.734000205993601</v>
      </c>
      <c r="D4017">
        <v>12.428000450134199</v>
      </c>
      <c r="E4017">
        <v>12.6905002593994</v>
      </c>
      <c r="F4017">
        <v>12.6905002593994</v>
      </c>
      <c r="G4017">
        <v>84976000</v>
      </c>
      <c r="H4017">
        <f t="shared" si="248"/>
        <v>2013</v>
      </c>
      <c r="I4017">
        <f t="shared" si="249"/>
        <v>4</v>
      </c>
      <c r="J4017" t="str">
        <f t="shared" si="250"/>
        <v>Apr</v>
      </c>
      <c r="K4017" t="str">
        <f t="shared" si="251"/>
        <v>Tue</v>
      </c>
    </row>
    <row r="4018" spans="1:11" x14ac:dyDescent="0.35">
      <c r="A4018" s="1">
        <v>41395</v>
      </c>
      <c r="B4018">
        <v>12.694999694824199</v>
      </c>
      <c r="C4018">
        <v>12.7100000381469</v>
      </c>
      <c r="D4018">
        <v>12.2875003814697</v>
      </c>
      <c r="E4018">
        <v>12.4114999771118</v>
      </c>
      <c r="F4018">
        <v>12.4114999771118</v>
      </c>
      <c r="G4018">
        <v>87828000</v>
      </c>
      <c r="H4018">
        <f t="shared" si="248"/>
        <v>2013</v>
      </c>
      <c r="I4018">
        <f t="shared" si="249"/>
        <v>5</v>
      </c>
      <c r="J4018" t="str">
        <f t="shared" si="250"/>
        <v>May</v>
      </c>
      <c r="K4018" t="str">
        <f t="shared" si="251"/>
        <v>Wed</v>
      </c>
    </row>
    <row r="4019" spans="1:11" x14ac:dyDescent="0.35">
      <c r="A4019" s="1">
        <v>41396</v>
      </c>
      <c r="B4019">
        <v>12.4469995498657</v>
      </c>
      <c r="C4019">
        <v>12.646499633789</v>
      </c>
      <c r="D4019">
        <v>12.288999557495099</v>
      </c>
      <c r="E4019">
        <v>12.627499580383301</v>
      </c>
      <c r="F4019">
        <v>12.627499580383301</v>
      </c>
      <c r="G4019">
        <v>78724000</v>
      </c>
      <c r="H4019">
        <f t="shared" si="248"/>
        <v>2013</v>
      </c>
      <c r="I4019">
        <f t="shared" si="249"/>
        <v>5</v>
      </c>
      <c r="J4019" t="str">
        <f t="shared" si="250"/>
        <v>May</v>
      </c>
      <c r="K4019" t="str">
        <f t="shared" si="251"/>
        <v>Thu</v>
      </c>
    </row>
    <row r="4020" spans="1:11" x14ac:dyDescent="0.35">
      <c r="A4020" s="1">
        <v>41397</v>
      </c>
      <c r="B4020">
        <v>12.8070001602172</v>
      </c>
      <c r="C4020">
        <v>12.962499618530201</v>
      </c>
      <c r="D4020">
        <v>12.7349996566772</v>
      </c>
      <c r="E4020">
        <v>12.9025001525878</v>
      </c>
      <c r="F4020">
        <v>12.9025001525878</v>
      </c>
      <c r="G4020">
        <v>70280000</v>
      </c>
      <c r="H4020">
        <f t="shared" si="248"/>
        <v>2013</v>
      </c>
      <c r="I4020">
        <f t="shared" si="249"/>
        <v>5</v>
      </c>
      <c r="J4020" t="str">
        <f t="shared" si="250"/>
        <v>May</v>
      </c>
      <c r="K4020" t="str">
        <f t="shared" si="251"/>
        <v>Fri</v>
      </c>
    </row>
    <row r="4021" spans="1:11" x14ac:dyDescent="0.35">
      <c r="A4021" s="1">
        <v>41400</v>
      </c>
      <c r="B4021">
        <v>12.9045000076293</v>
      </c>
      <c r="C4021">
        <v>12.9750003814697</v>
      </c>
      <c r="D4021">
        <v>12.6709995269775</v>
      </c>
      <c r="E4021">
        <v>12.78600025177</v>
      </c>
      <c r="F4021">
        <v>12.78600025177</v>
      </c>
      <c r="G4021">
        <v>46956000</v>
      </c>
      <c r="H4021">
        <f t="shared" si="248"/>
        <v>2013</v>
      </c>
      <c r="I4021">
        <f t="shared" si="249"/>
        <v>5</v>
      </c>
      <c r="J4021" t="str">
        <f t="shared" si="250"/>
        <v>May</v>
      </c>
      <c r="K4021" t="str">
        <f t="shared" si="251"/>
        <v>Mon</v>
      </c>
    </row>
    <row r="4022" spans="1:11" x14ac:dyDescent="0.35">
      <c r="A4022" s="1">
        <v>41401</v>
      </c>
      <c r="B4022">
        <v>12.8155002593994</v>
      </c>
      <c r="C4022">
        <v>12.987000465393001</v>
      </c>
      <c r="D4022">
        <v>12.645500183105399</v>
      </c>
      <c r="E4022">
        <v>12.8865003585815</v>
      </c>
      <c r="F4022">
        <v>12.8865003585815</v>
      </c>
      <c r="G4022">
        <v>62674000</v>
      </c>
      <c r="H4022">
        <f t="shared" si="248"/>
        <v>2013</v>
      </c>
      <c r="I4022">
        <f t="shared" si="249"/>
        <v>5</v>
      </c>
      <c r="J4022" t="str">
        <f t="shared" si="250"/>
        <v>May</v>
      </c>
      <c r="K4022" t="str">
        <f t="shared" si="251"/>
        <v>Tue</v>
      </c>
    </row>
    <row r="4023" spans="1:11" x14ac:dyDescent="0.35">
      <c r="A4023" s="1">
        <v>41402</v>
      </c>
      <c r="B4023">
        <v>12.8435001373291</v>
      </c>
      <c r="C4023">
        <v>13.015000343322701</v>
      </c>
      <c r="D4023">
        <v>12.766500473022401</v>
      </c>
      <c r="E4023">
        <v>12.9340000152587</v>
      </c>
      <c r="F4023">
        <v>12.9340000152587</v>
      </c>
      <c r="G4023">
        <v>53540000</v>
      </c>
      <c r="H4023">
        <f t="shared" si="248"/>
        <v>2013</v>
      </c>
      <c r="I4023">
        <f t="shared" si="249"/>
        <v>5</v>
      </c>
      <c r="J4023" t="str">
        <f t="shared" si="250"/>
        <v>May</v>
      </c>
      <c r="K4023" t="str">
        <f t="shared" si="251"/>
        <v>Wed</v>
      </c>
    </row>
    <row r="4024" spans="1:11" x14ac:dyDescent="0.35">
      <c r="A4024" s="1">
        <v>41403</v>
      </c>
      <c r="B4024">
        <v>12.936499595641999</v>
      </c>
      <c r="C4024">
        <v>13.1774997711181</v>
      </c>
      <c r="D4024">
        <v>12.843999862670801</v>
      </c>
      <c r="E4024">
        <v>13.0080003738403</v>
      </c>
      <c r="F4024">
        <v>13.0080003738403</v>
      </c>
      <c r="G4024">
        <v>55386000</v>
      </c>
      <c r="H4024">
        <f t="shared" si="248"/>
        <v>2013</v>
      </c>
      <c r="I4024">
        <f t="shared" si="249"/>
        <v>5</v>
      </c>
      <c r="J4024" t="str">
        <f t="shared" si="250"/>
        <v>May</v>
      </c>
      <c r="K4024" t="str">
        <f t="shared" si="251"/>
        <v>Thu</v>
      </c>
    </row>
    <row r="4025" spans="1:11" x14ac:dyDescent="0.35">
      <c r="A4025" s="1">
        <v>41404</v>
      </c>
      <c r="B4025">
        <v>13.043999671936</v>
      </c>
      <c r="C4025">
        <v>13.182499885559</v>
      </c>
      <c r="D4025">
        <v>13.010499954223601</v>
      </c>
      <c r="E4025">
        <v>13.181500434875399</v>
      </c>
      <c r="F4025">
        <v>13.181500434875399</v>
      </c>
      <c r="G4025">
        <v>62906000</v>
      </c>
      <c r="H4025">
        <f t="shared" si="248"/>
        <v>2013</v>
      </c>
      <c r="I4025">
        <f t="shared" si="249"/>
        <v>5</v>
      </c>
      <c r="J4025" t="str">
        <f t="shared" si="250"/>
        <v>May</v>
      </c>
      <c r="K4025" t="str">
        <f t="shared" si="251"/>
        <v>Fri</v>
      </c>
    </row>
    <row r="4026" spans="1:11" x14ac:dyDescent="0.35">
      <c r="A4026" s="1">
        <v>41407</v>
      </c>
      <c r="B4026">
        <v>13.138500213623001</v>
      </c>
      <c r="C4026">
        <v>13.293999671936</v>
      </c>
      <c r="D4026">
        <v>13.1000003814697</v>
      </c>
      <c r="E4026">
        <v>13.2255001068115</v>
      </c>
      <c r="F4026">
        <v>13.2255001068115</v>
      </c>
      <c r="G4026">
        <v>42990000</v>
      </c>
      <c r="H4026">
        <f t="shared" si="248"/>
        <v>2013</v>
      </c>
      <c r="I4026">
        <f t="shared" si="249"/>
        <v>5</v>
      </c>
      <c r="J4026" t="str">
        <f t="shared" si="250"/>
        <v>May</v>
      </c>
      <c r="K4026" t="str">
        <f t="shared" si="251"/>
        <v>Mon</v>
      </c>
    </row>
    <row r="4027" spans="1:11" x14ac:dyDescent="0.35">
      <c r="A4027" s="1">
        <v>41408</v>
      </c>
      <c r="B4027">
        <v>13.2250003814697</v>
      </c>
      <c r="C4027">
        <v>13.4700002670288</v>
      </c>
      <c r="D4027">
        <v>13.201499938964799</v>
      </c>
      <c r="E4027">
        <v>13.416500091552701</v>
      </c>
      <c r="F4027">
        <v>13.416500091552701</v>
      </c>
      <c r="G4027">
        <v>54000000</v>
      </c>
      <c r="H4027">
        <f t="shared" si="248"/>
        <v>2013</v>
      </c>
      <c r="I4027">
        <f t="shared" si="249"/>
        <v>5</v>
      </c>
      <c r="J4027" t="str">
        <f t="shared" si="250"/>
        <v>May</v>
      </c>
      <c r="K4027" t="str">
        <f t="shared" si="251"/>
        <v>Tue</v>
      </c>
    </row>
    <row r="4028" spans="1:11" x14ac:dyDescent="0.35">
      <c r="A4028" s="1">
        <v>41409</v>
      </c>
      <c r="B4028">
        <v>13.3535003662109</v>
      </c>
      <c r="C4028">
        <v>13.452500343322701</v>
      </c>
      <c r="D4028">
        <v>13.227999687194799</v>
      </c>
      <c r="E4028">
        <v>13.328000068664499</v>
      </c>
      <c r="F4028">
        <v>13.328000068664499</v>
      </c>
      <c r="G4028">
        <v>54410000</v>
      </c>
      <c r="H4028">
        <f t="shared" si="248"/>
        <v>2013</v>
      </c>
      <c r="I4028">
        <f t="shared" si="249"/>
        <v>5</v>
      </c>
      <c r="J4028" t="str">
        <f t="shared" si="250"/>
        <v>May</v>
      </c>
      <c r="K4028" t="str">
        <f t="shared" si="251"/>
        <v>Wed</v>
      </c>
    </row>
    <row r="4029" spans="1:11" x14ac:dyDescent="0.35">
      <c r="A4029" s="1">
        <v>41410</v>
      </c>
      <c r="B4029">
        <v>13.298000335693301</v>
      </c>
      <c r="C4029">
        <v>13.421500205993601</v>
      </c>
      <c r="D4029">
        <v>13.1925001144409</v>
      </c>
      <c r="E4029">
        <v>13.206000328063899</v>
      </c>
      <c r="F4029">
        <v>13.206000328063899</v>
      </c>
      <c r="G4029">
        <v>32870000</v>
      </c>
      <c r="H4029">
        <f t="shared" si="248"/>
        <v>2013</v>
      </c>
      <c r="I4029">
        <f t="shared" si="249"/>
        <v>5</v>
      </c>
      <c r="J4029" t="str">
        <f t="shared" si="250"/>
        <v>May</v>
      </c>
      <c r="K4029" t="str">
        <f t="shared" si="251"/>
        <v>Thu</v>
      </c>
    </row>
    <row r="4030" spans="1:11" x14ac:dyDescent="0.35">
      <c r="A4030" s="1">
        <v>41411</v>
      </c>
      <c r="B4030">
        <v>13.291500091552701</v>
      </c>
      <c r="C4030">
        <v>13.498999595641999</v>
      </c>
      <c r="D4030">
        <v>13.25</v>
      </c>
      <c r="E4030">
        <v>13.494999885559</v>
      </c>
      <c r="F4030">
        <v>13.494999885559</v>
      </c>
      <c r="G4030">
        <v>50546000</v>
      </c>
      <c r="H4030">
        <f t="shared" si="248"/>
        <v>2013</v>
      </c>
      <c r="I4030">
        <f t="shared" si="249"/>
        <v>5</v>
      </c>
      <c r="J4030" t="str">
        <f t="shared" si="250"/>
        <v>May</v>
      </c>
      <c r="K4030" t="str">
        <f t="shared" si="251"/>
        <v>Fri</v>
      </c>
    </row>
    <row r="4031" spans="1:11" x14ac:dyDescent="0.35">
      <c r="A4031" s="1">
        <v>41414</v>
      </c>
      <c r="B4031">
        <v>13.449999809265099</v>
      </c>
      <c r="C4031">
        <v>13.589500427246</v>
      </c>
      <c r="D4031">
        <v>13.324999809265099</v>
      </c>
      <c r="E4031">
        <v>13.3815002441406</v>
      </c>
      <c r="F4031">
        <v>13.3815002441406</v>
      </c>
      <c r="G4031">
        <v>44180000</v>
      </c>
      <c r="H4031">
        <f t="shared" si="248"/>
        <v>2013</v>
      </c>
      <c r="I4031">
        <f t="shared" si="249"/>
        <v>5</v>
      </c>
      <c r="J4031" t="str">
        <f t="shared" si="250"/>
        <v>May</v>
      </c>
      <c r="K4031" t="str">
        <f t="shared" si="251"/>
        <v>Mon</v>
      </c>
    </row>
    <row r="4032" spans="1:11" x14ac:dyDescent="0.35">
      <c r="A4032" s="1">
        <v>41415</v>
      </c>
      <c r="B4032">
        <v>13.4370002746582</v>
      </c>
      <c r="C4032">
        <v>13.538499832153301</v>
      </c>
      <c r="D4032">
        <v>13.3830003738403</v>
      </c>
      <c r="E4032">
        <v>13.442999839782701</v>
      </c>
      <c r="F4032">
        <v>13.442999839782701</v>
      </c>
      <c r="G4032">
        <v>34824000</v>
      </c>
      <c r="H4032">
        <f t="shared" si="248"/>
        <v>2013</v>
      </c>
      <c r="I4032">
        <f t="shared" si="249"/>
        <v>5</v>
      </c>
      <c r="J4032" t="str">
        <f t="shared" si="250"/>
        <v>May</v>
      </c>
      <c r="K4032" t="str">
        <f t="shared" si="251"/>
        <v>Tue</v>
      </c>
    </row>
    <row r="4033" spans="1:11" x14ac:dyDescent="0.35">
      <c r="A4033" s="1">
        <v>41416</v>
      </c>
      <c r="B4033">
        <v>13.3695001602172</v>
      </c>
      <c r="C4033">
        <v>13.3795003890991</v>
      </c>
      <c r="D4033">
        <v>13.039999961853001</v>
      </c>
      <c r="E4033">
        <v>13.1479997634887</v>
      </c>
      <c r="F4033">
        <v>13.1479997634887</v>
      </c>
      <c r="G4033">
        <v>66640000</v>
      </c>
      <c r="H4033">
        <f t="shared" si="248"/>
        <v>2013</v>
      </c>
      <c r="I4033">
        <f t="shared" si="249"/>
        <v>5</v>
      </c>
      <c r="J4033" t="str">
        <f t="shared" si="250"/>
        <v>May</v>
      </c>
      <c r="K4033" t="str">
        <f t="shared" si="251"/>
        <v>Wed</v>
      </c>
    </row>
    <row r="4034" spans="1:11" x14ac:dyDescent="0.35">
      <c r="A4034" s="1">
        <v>41417</v>
      </c>
      <c r="B4034">
        <v>13.0244998931884</v>
      </c>
      <c r="C4034">
        <v>13.158499717712401</v>
      </c>
      <c r="D4034">
        <v>12.979499816894499</v>
      </c>
      <c r="E4034">
        <v>13.0900001525878</v>
      </c>
      <c r="F4034">
        <v>13.0900001525878</v>
      </c>
      <c r="G4034">
        <v>40006000</v>
      </c>
      <c r="H4034">
        <f t="shared" si="248"/>
        <v>2013</v>
      </c>
      <c r="I4034">
        <f t="shared" si="249"/>
        <v>5</v>
      </c>
      <c r="J4034" t="str">
        <f t="shared" si="250"/>
        <v>May</v>
      </c>
      <c r="K4034" t="str">
        <f t="shared" si="251"/>
        <v>Thu</v>
      </c>
    </row>
    <row r="4035" spans="1:11" x14ac:dyDescent="0.35">
      <c r="A4035" s="1">
        <v>41418</v>
      </c>
      <c r="B4035">
        <v>12.9925003051757</v>
      </c>
      <c r="C4035">
        <v>13.0965003967285</v>
      </c>
      <c r="D4035">
        <v>12.916999816894499</v>
      </c>
      <c r="E4035">
        <v>13.0869998931884</v>
      </c>
      <c r="F4035">
        <v>13.0869998931884</v>
      </c>
      <c r="G4035">
        <v>33926000</v>
      </c>
      <c r="H4035">
        <f t="shared" si="248"/>
        <v>2013</v>
      </c>
      <c r="I4035">
        <f t="shared" si="249"/>
        <v>5</v>
      </c>
      <c r="J4035" t="str">
        <f t="shared" si="250"/>
        <v>May</v>
      </c>
      <c r="K4035" t="str">
        <f t="shared" si="251"/>
        <v>Fri</v>
      </c>
    </row>
    <row r="4036" spans="1:11" x14ac:dyDescent="0.35">
      <c r="A4036" s="1">
        <v>41422</v>
      </c>
      <c r="B4036">
        <v>13.3240003585815</v>
      </c>
      <c r="C4036">
        <v>13.5550003051757</v>
      </c>
      <c r="D4036">
        <v>13.300000190734799</v>
      </c>
      <c r="E4036">
        <v>13.3645000457763</v>
      </c>
      <c r="F4036">
        <v>13.3645000457763</v>
      </c>
      <c r="G4036">
        <v>69420000</v>
      </c>
      <c r="H4036">
        <f t="shared" ref="H4036:H4099" si="252">YEAR($A4036)</f>
        <v>2013</v>
      </c>
      <c r="I4036">
        <f t="shared" ref="I4036:I4099" si="253">MONTH($A4036)</f>
        <v>5</v>
      </c>
      <c r="J4036" t="str">
        <f t="shared" ref="J4036:J4099" si="254">TEXT($A4036,"mmm")</f>
        <v>May</v>
      </c>
      <c r="K4036" t="str">
        <f t="shared" ref="K4036:K4099" si="255">TEXT($A4036,"ddd")</f>
        <v>Tue</v>
      </c>
    </row>
    <row r="4037" spans="1:11" x14ac:dyDescent="0.35">
      <c r="A4037" s="1">
        <v>41423</v>
      </c>
      <c r="B4037">
        <v>13.2729997634887</v>
      </c>
      <c r="C4037">
        <v>13.4125003814697</v>
      </c>
      <c r="D4037">
        <v>13.2419996261596</v>
      </c>
      <c r="E4037">
        <v>13.276499748229901</v>
      </c>
      <c r="F4037">
        <v>13.276499748229901</v>
      </c>
      <c r="G4037">
        <v>38068000</v>
      </c>
      <c r="H4037">
        <f t="shared" si="252"/>
        <v>2013</v>
      </c>
      <c r="I4037">
        <f t="shared" si="253"/>
        <v>5</v>
      </c>
      <c r="J4037" t="str">
        <f t="shared" si="254"/>
        <v>May</v>
      </c>
      <c r="K4037" t="str">
        <f t="shared" si="255"/>
        <v>Wed</v>
      </c>
    </row>
    <row r="4038" spans="1:11" x14ac:dyDescent="0.35">
      <c r="A4038" s="1">
        <v>41424</v>
      </c>
      <c r="B4038">
        <v>13.285499572753899</v>
      </c>
      <c r="C4038">
        <v>13.428500175476</v>
      </c>
      <c r="D4038">
        <v>13.280500411987299</v>
      </c>
      <c r="E4038">
        <v>13.3415002822875</v>
      </c>
      <c r="F4038">
        <v>13.3415002822875</v>
      </c>
      <c r="G4038">
        <v>33350000</v>
      </c>
      <c r="H4038">
        <f t="shared" si="252"/>
        <v>2013</v>
      </c>
      <c r="I4038">
        <f t="shared" si="253"/>
        <v>5</v>
      </c>
      <c r="J4038" t="str">
        <f t="shared" si="254"/>
        <v>May</v>
      </c>
      <c r="K4038" t="str">
        <f t="shared" si="255"/>
        <v>Thu</v>
      </c>
    </row>
    <row r="4039" spans="1:11" x14ac:dyDescent="0.35">
      <c r="A4039" s="1">
        <v>41425</v>
      </c>
      <c r="B4039">
        <v>13.300000190734799</v>
      </c>
      <c r="C4039">
        <v>13.5954999923706</v>
      </c>
      <c r="D4039">
        <v>13.296999931335399</v>
      </c>
      <c r="E4039">
        <v>13.4600000381469</v>
      </c>
      <c r="F4039">
        <v>13.4600000381469</v>
      </c>
      <c r="G4039">
        <v>67486000</v>
      </c>
      <c r="H4039">
        <f t="shared" si="252"/>
        <v>2013</v>
      </c>
      <c r="I4039">
        <f t="shared" si="253"/>
        <v>5</v>
      </c>
      <c r="J4039" t="str">
        <f t="shared" si="254"/>
        <v>May</v>
      </c>
      <c r="K4039" t="str">
        <f t="shared" si="255"/>
        <v>Fri</v>
      </c>
    </row>
    <row r="4040" spans="1:11" x14ac:dyDescent="0.35">
      <c r="A4040" s="1">
        <v>41428</v>
      </c>
      <c r="B4040">
        <v>13.447999954223601</v>
      </c>
      <c r="C4040">
        <v>13.4554996490478</v>
      </c>
      <c r="D4040">
        <v>13.1475000381469</v>
      </c>
      <c r="E4040">
        <v>13.343999862670801</v>
      </c>
      <c r="F4040">
        <v>13.343999862670801</v>
      </c>
      <c r="G4040">
        <v>50878000</v>
      </c>
      <c r="H4040">
        <f t="shared" si="252"/>
        <v>2013</v>
      </c>
      <c r="I4040">
        <f t="shared" si="253"/>
        <v>6</v>
      </c>
      <c r="J4040" t="str">
        <f t="shared" si="254"/>
        <v>Jun</v>
      </c>
      <c r="K4040" t="str">
        <f t="shared" si="255"/>
        <v>Mon</v>
      </c>
    </row>
    <row r="4041" spans="1:11" x14ac:dyDescent="0.35">
      <c r="A4041" s="1">
        <v>41429</v>
      </c>
      <c r="B4041">
        <v>13.3500003814697</v>
      </c>
      <c r="C4041">
        <v>13.4440002441406</v>
      </c>
      <c r="D4041">
        <v>13.1510000228881</v>
      </c>
      <c r="E4041">
        <v>13.2849998474121</v>
      </c>
      <c r="F4041">
        <v>13.2849998474121</v>
      </c>
      <c r="G4041">
        <v>41772000</v>
      </c>
      <c r="H4041">
        <f t="shared" si="252"/>
        <v>2013</v>
      </c>
      <c r="I4041">
        <f t="shared" si="253"/>
        <v>6</v>
      </c>
      <c r="J4041" t="str">
        <f t="shared" si="254"/>
        <v>Jun</v>
      </c>
      <c r="K4041" t="str">
        <f t="shared" si="255"/>
        <v>Tue</v>
      </c>
    </row>
    <row r="4042" spans="1:11" x14ac:dyDescent="0.35">
      <c r="A4042" s="1">
        <v>41430</v>
      </c>
      <c r="B4042">
        <v>13.290499687194799</v>
      </c>
      <c r="C4042">
        <v>13.583000183105399</v>
      </c>
      <c r="D4042">
        <v>13.251000404357899</v>
      </c>
      <c r="E4042">
        <v>13.3584995269775</v>
      </c>
      <c r="F4042">
        <v>13.3584995269775</v>
      </c>
      <c r="G4042">
        <v>70246000</v>
      </c>
      <c r="H4042">
        <f t="shared" si="252"/>
        <v>2013</v>
      </c>
      <c r="I4042">
        <f t="shared" si="253"/>
        <v>6</v>
      </c>
      <c r="J4042" t="str">
        <f t="shared" si="254"/>
        <v>Jun</v>
      </c>
      <c r="K4042" t="str">
        <f t="shared" si="255"/>
        <v>Wed</v>
      </c>
    </row>
    <row r="4043" spans="1:11" x14ac:dyDescent="0.35">
      <c r="A4043" s="1">
        <v>41431</v>
      </c>
      <c r="B4043">
        <v>13.387499809265099</v>
      </c>
      <c r="C4043">
        <v>13.524999618530201</v>
      </c>
      <c r="D4043">
        <v>13.2104997634887</v>
      </c>
      <c r="E4043">
        <v>13.391500473022401</v>
      </c>
      <c r="F4043">
        <v>13.391500473022401</v>
      </c>
      <c r="G4043">
        <v>49526000</v>
      </c>
      <c r="H4043">
        <f t="shared" si="252"/>
        <v>2013</v>
      </c>
      <c r="I4043">
        <f t="shared" si="253"/>
        <v>6</v>
      </c>
      <c r="J4043" t="str">
        <f t="shared" si="254"/>
        <v>Jun</v>
      </c>
      <c r="K4043" t="str">
        <f t="shared" si="255"/>
        <v>Thu</v>
      </c>
    </row>
    <row r="4044" spans="1:11" x14ac:dyDescent="0.35">
      <c r="A4044" s="1">
        <v>41432</v>
      </c>
      <c r="B4044">
        <v>13.487000465393001</v>
      </c>
      <c r="C4044">
        <v>14.0050001144409</v>
      </c>
      <c r="D4044">
        <v>13.4565000534057</v>
      </c>
      <c r="E4044">
        <v>13.8435001373291</v>
      </c>
      <c r="F4044">
        <v>13.8435001373291</v>
      </c>
      <c r="G4044">
        <v>92652000</v>
      </c>
      <c r="H4044">
        <f t="shared" si="252"/>
        <v>2013</v>
      </c>
      <c r="I4044">
        <f t="shared" si="253"/>
        <v>6</v>
      </c>
      <c r="J4044" t="str">
        <f t="shared" si="254"/>
        <v>Jun</v>
      </c>
      <c r="K4044" t="str">
        <f t="shared" si="255"/>
        <v>Fri</v>
      </c>
    </row>
    <row r="4045" spans="1:11" x14ac:dyDescent="0.35">
      <c r="A4045" s="1">
        <v>41435</v>
      </c>
      <c r="B4045">
        <v>13.833999633789</v>
      </c>
      <c r="C4045">
        <v>14.123499870300201</v>
      </c>
      <c r="D4045">
        <v>13.762000083923301</v>
      </c>
      <c r="E4045">
        <v>14.053500175476</v>
      </c>
      <c r="F4045">
        <v>14.053500175476</v>
      </c>
      <c r="G4045">
        <v>61730000</v>
      </c>
      <c r="H4045">
        <f t="shared" si="252"/>
        <v>2013</v>
      </c>
      <c r="I4045">
        <f t="shared" si="253"/>
        <v>6</v>
      </c>
      <c r="J4045" t="str">
        <f t="shared" si="254"/>
        <v>Jun</v>
      </c>
      <c r="K4045" t="str">
        <f t="shared" si="255"/>
        <v>Mon</v>
      </c>
    </row>
    <row r="4046" spans="1:11" x14ac:dyDescent="0.35">
      <c r="A4046" s="1">
        <v>41436</v>
      </c>
      <c r="B4046">
        <v>13.800000190734799</v>
      </c>
      <c r="C4046">
        <v>13.9204998016357</v>
      </c>
      <c r="D4046">
        <v>13.7119998931884</v>
      </c>
      <c r="E4046">
        <v>13.739000320434499</v>
      </c>
      <c r="F4046">
        <v>13.739000320434499</v>
      </c>
      <c r="G4046">
        <v>61956000</v>
      </c>
      <c r="H4046">
        <f t="shared" si="252"/>
        <v>2013</v>
      </c>
      <c r="I4046">
        <f t="shared" si="253"/>
        <v>6</v>
      </c>
      <c r="J4046" t="str">
        <f t="shared" si="254"/>
        <v>Jun</v>
      </c>
      <c r="K4046" t="str">
        <f t="shared" si="255"/>
        <v>Tue</v>
      </c>
    </row>
    <row r="4047" spans="1:11" x14ac:dyDescent="0.35">
      <c r="A4047" s="1">
        <v>41437</v>
      </c>
      <c r="B4047">
        <v>13.829999923706</v>
      </c>
      <c r="C4047">
        <v>13.8400001525878</v>
      </c>
      <c r="D4047">
        <v>13.5225000381469</v>
      </c>
      <c r="E4047">
        <v>13.5834999084472</v>
      </c>
      <c r="F4047">
        <v>13.5834999084472</v>
      </c>
      <c r="G4047">
        <v>44778000</v>
      </c>
      <c r="H4047">
        <f t="shared" si="252"/>
        <v>2013</v>
      </c>
      <c r="I4047">
        <f t="shared" si="253"/>
        <v>6</v>
      </c>
      <c r="J4047" t="str">
        <f t="shared" si="254"/>
        <v>Jun</v>
      </c>
      <c r="K4047" t="str">
        <f t="shared" si="255"/>
        <v>Wed</v>
      </c>
    </row>
    <row r="4048" spans="1:11" x14ac:dyDescent="0.35">
      <c r="A4048" s="1">
        <v>41438</v>
      </c>
      <c r="B4048">
        <v>13.574999809265099</v>
      </c>
      <c r="C4048">
        <v>13.8400001525878</v>
      </c>
      <c r="D4048">
        <v>13.5144996643066</v>
      </c>
      <c r="E4048">
        <v>13.7895002365112</v>
      </c>
      <c r="F4048">
        <v>13.7895002365112</v>
      </c>
      <c r="G4048">
        <v>52996000</v>
      </c>
      <c r="H4048">
        <f t="shared" si="252"/>
        <v>2013</v>
      </c>
      <c r="I4048">
        <f t="shared" si="253"/>
        <v>6</v>
      </c>
      <c r="J4048" t="str">
        <f t="shared" si="254"/>
        <v>Jun</v>
      </c>
      <c r="K4048" t="str">
        <f t="shared" si="255"/>
        <v>Thu</v>
      </c>
    </row>
    <row r="4049" spans="1:11" x14ac:dyDescent="0.35">
      <c r="A4049" s="1">
        <v>41439</v>
      </c>
      <c r="B4049">
        <v>13.75</v>
      </c>
      <c r="C4049">
        <v>13.8535003662109</v>
      </c>
      <c r="D4049">
        <v>13.671999931335399</v>
      </c>
      <c r="E4049">
        <v>13.699500083923301</v>
      </c>
      <c r="F4049">
        <v>13.699500083923301</v>
      </c>
      <c r="G4049">
        <v>43016000</v>
      </c>
      <c r="H4049">
        <f t="shared" si="252"/>
        <v>2013</v>
      </c>
      <c r="I4049">
        <f t="shared" si="253"/>
        <v>6</v>
      </c>
      <c r="J4049" t="str">
        <f t="shared" si="254"/>
        <v>Jun</v>
      </c>
      <c r="K4049" t="str">
        <f t="shared" si="255"/>
        <v>Fri</v>
      </c>
    </row>
    <row r="4050" spans="1:11" x14ac:dyDescent="0.35">
      <c r="A4050" s="1">
        <v>41442</v>
      </c>
      <c r="B4050">
        <v>13.8175001144409</v>
      </c>
      <c r="C4050">
        <v>14.0100002288818</v>
      </c>
      <c r="D4050">
        <v>13.7825002670288</v>
      </c>
      <c r="E4050">
        <v>13.9029998779296</v>
      </c>
      <c r="F4050">
        <v>13.9029998779296</v>
      </c>
      <c r="G4050">
        <v>57680000</v>
      </c>
      <c r="H4050">
        <f t="shared" si="252"/>
        <v>2013</v>
      </c>
      <c r="I4050">
        <f t="shared" si="253"/>
        <v>6</v>
      </c>
      <c r="J4050" t="str">
        <f t="shared" si="254"/>
        <v>Jun</v>
      </c>
      <c r="K4050" t="str">
        <f t="shared" si="255"/>
        <v>Mon</v>
      </c>
    </row>
    <row r="4051" spans="1:11" x14ac:dyDescent="0.35">
      <c r="A4051" s="1">
        <v>41443</v>
      </c>
      <c r="B4051">
        <v>13.954000473022401</v>
      </c>
      <c r="C4051">
        <v>14.145500183105399</v>
      </c>
      <c r="D4051">
        <v>13.905500411987299</v>
      </c>
      <c r="E4051">
        <v>14.0880002975463</v>
      </c>
      <c r="F4051">
        <v>14.0880002975463</v>
      </c>
      <c r="G4051">
        <v>42922000</v>
      </c>
      <c r="H4051">
        <f t="shared" si="252"/>
        <v>2013</v>
      </c>
      <c r="I4051">
        <f t="shared" si="253"/>
        <v>6</v>
      </c>
      <c r="J4051" t="str">
        <f t="shared" si="254"/>
        <v>Jun</v>
      </c>
      <c r="K4051" t="str">
        <f t="shared" si="255"/>
        <v>Tue</v>
      </c>
    </row>
    <row r="4052" spans="1:11" x14ac:dyDescent="0.35">
      <c r="A4052" s="1">
        <v>41444</v>
      </c>
      <c r="B4052">
        <v>14.062999725341699</v>
      </c>
      <c r="C4052">
        <v>14.166999816894499</v>
      </c>
      <c r="D4052">
        <v>13.893500328063899</v>
      </c>
      <c r="E4052">
        <v>13.9079999923706</v>
      </c>
      <c r="F4052">
        <v>13.9079999923706</v>
      </c>
      <c r="G4052">
        <v>56550000</v>
      </c>
      <c r="H4052">
        <f t="shared" si="252"/>
        <v>2013</v>
      </c>
      <c r="I4052">
        <f t="shared" si="253"/>
        <v>6</v>
      </c>
      <c r="J4052" t="str">
        <f t="shared" si="254"/>
        <v>Jun</v>
      </c>
      <c r="K4052" t="str">
        <f t="shared" si="255"/>
        <v>Wed</v>
      </c>
    </row>
    <row r="4053" spans="1:11" x14ac:dyDescent="0.35">
      <c r="A4053" s="1">
        <v>41445</v>
      </c>
      <c r="B4053">
        <v>13.756999969482401</v>
      </c>
      <c r="C4053">
        <v>13.9300003051757</v>
      </c>
      <c r="D4053">
        <v>13.6195001602172</v>
      </c>
      <c r="E4053">
        <v>13.671999931335399</v>
      </c>
      <c r="F4053">
        <v>13.671999931335399</v>
      </c>
      <c r="G4053">
        <v>59680000</v>
      </c>
      <c r="H4053">
        <f t="shared" si="252"/>
        <v>2013</v>
      </c>
      <c r="I4053">
        <f t="shared" si="253"/>
        <v>6</v>
      </c>
      <c r="J4053" t="str">
        <f t="shared" si="254"/>
        <v>Jun</v>
      </c>
      <c r="K4053" t="str">
        <f t="shared" si="255"/>
        <v>Thu</v>
      </c>
    </row>
    <row r="4054" spans="1:11" x14ac:dyDescent="0.35">
      <c r="A4054" s="1">
        <v>41446</v>
      </c>
      <c r="B4054">
        <v>13.7285003662109</v>
      </c>
      <c r="C4054">
        <v>13.791999816894499</v>
      </c>
      <c r="D4054">
        <v>13.4895000457763</v>
      </c>
      <c r="E4054">
        <v>13.668000221252401</v>
      </c>
      <c r="F4054">
        <v>13.668000221252401</v>
      </c>
      <c r="G4054">
        <v>84020000</v>
      </c>
      <c r="H4054">
        <f t="shared" si="252"/>
        <v>2013</v>
      </c>
      <c r="I4054">
        <f t="shared" si="253"/>
        <v>6</v>
      </c>
      <c r="J4054" t="str">
        <f t="shared" si="254"/>
        <v>Jun</v>
      </c>
      <c r="K4054" t="str">
        <f t="shared" si="255"/>
        <v>Fri</v>
      </c>
    </row>
    <row r="4055" spans="1:11" x14ac:dyDescent="0.35">
      <c r="A4055" s="1">
        <v>41449</v>
      </c>
      <c r="B4055">
        <v>13.5644998550415</v>
      </c>
      <c r="C4055">
        <v>13.6579999923706</v>
      </c>
      <c r="D4055">
        <v>13.25</v>
      </c>
      <c r="E4055">
        <v>13.530500411987299</v>
      </c>
      <c r="F4055">
        <v>13.530500411987299</v>
      </c>
      <c r="G4055">
        <v>77276000</v>
      </c>
      <c r="H4055">
        <f t="shared" si="252"/>
        <v>2013</v>
      </c>
      <c r="I4055">
        <f t="shared" si="253"/>
        <v>6</v>
      </c>
      <c r="J4055" t="str">
        <f t="shared" si="254"/>
        <v>Jun</v>
      </c>
      <c r="K4055" t="str">
        <f t="shared" si="255"/>
        <v>Mon</v>
      </c>
    </row>
    <row r="4056" spans="1:11" x14ac:dyDescent="0.35">
      <c r="A4056" s="1">
        <v>41450</v>
      </c>
      <c r="B4056">
        <v>13.6149997711181</v>
      </c>
      <c r="C4056">
        <v>13.673500061035099</v>
      </c>
      <c r="D4056">
        <v>13.449999809265099</v>
      </c>
      <c r="E4056">
        <v>13.604499816894499</v>
      </c>
      <c r="F4056">
        <v>13.604499816894499</v>
      </c>
      <c r="G4056">
        <v>48992000</v>
      </c>
      <c r="H4056">
        <f t="shared" si="252"/>
        <v>2013</v>
      </c>
      <c r="I4056">
        <f t="shared" si="253"/>
        <v>6</v>
      </c>
      <c r="J4056" t="str">
        <f t="shared" si="254"/>
        <v>Jun</v>
      </c>
      <c r="K4056" t="str">
        <f t="shared" si="255"/>
        <v>Tue</v>
      </c>
    </row>
    <row r="4057" spans="1:11" x14ac:dyDescent="0.35">
      <c r="A4057" s="1">
        <v>41451</v>
      </c>
      <c r="B4057">
        <v>13.6990003585815</v>
      </c>
      <c r="C4057">
        <v>13.8990001678466</v>
      </c>
      <c r="D4057">
        <v>13.675000190734799</v>
      </c>
      <c r="E4057">
        <v>13.8784999847412</v>
      </c>
      <c r="F4057">
        <v>13.8784999847412</v>
      </c>
      <c r="G4057">
        <v>60590000</v>
      </c>
      <c r="H4057">
        <f t="shared" si="252"/>
        <v>2013</v>
      </c>
      <c r="I4057">
        <f t="shared" si="253"/>
        <v>6</v>
      </c>
      <c r="J4057" t="str">
        <f t="shared" si="254"/>
        <v>Jun</v>
      </c>
      <c r="K4057" t="str">
        <f t="shared" si="255"/>
        <v>Wed</v>
      </c>
    </row>
    <row r="4058" spans="1:11" x14ac:dyDescent="0.35">
      <c r="A4058" s="1">
        <v>41452</v>
      </c>
      <c r="B4058">
        <v>13.958999633789</v>
      </c>
      <c r="C4058">
        <v>14.0100002288818</v>
      </c>
      <c r="D4058">
        <v>13.7270002365112</v>
      </c>
      <c r="E4058">
        <v>13.877499580383301</v>
      </c>
      <c r="F4058">
        <v>13.877499580383301</v>
      </c>
      <c r="G4058">
        <v>50390000</v>
      </c>
      <c r="H4058">
        <f t="shared" si="252"/>
        <v>2013</v>
      </c>
      <c r="I4058">
        <f t="shared" si="253"/>
        <v>6</v>
      </c>
      <c r="J4058" t="str">
        <f t="shared" si="254"/>
        <v>Jun</v>
      </c>
      <c r="K4058" t="str">
        <f t="shared" si="255"/>
        <v>Thu</v>
      </c>
    </row>
    <row r="4059" spans="1:11" x14ac:dyDescent="0.35">
      <c r="A4059" s="1">
        <v>41453</v>
      </c>
      <c r="B4059">
        <v>13.809499740600501</v>
      </c>
      <c r="C4059">
        <v>13.9914999008178</v>
      </c>
      <c r="D4059">
        <v>13.809499740600501</v>
      </c>
      <c r="E4059">
        <v>13.8844995498657</v>
      </c>
      <c r="F4059">
        <v>13.8844995498657</v>
      </c>
      <c r="G4059">
        <v>63866000</v>
      </c>
      <c r="H4059">
        <f t="shared" si="252"/>
        <v>2013</v>
      </c>
      <c r="I4059">
        <f t="shared" si="253"/>
        <v>6</v>
      </c>
      <c r="J4059" t="str">
        <f t="shared" si="254"/>
        <v>Jun</v>
      </c>
      <c r="K4059" t="str">
        <f t="shared" si="255"/>
        <v>Fri</v>
      </c>
    </row>
    <row r="4060" spans="1:11" x14ac:dyDescent="0.35">
      <c r="A4060" s="1">
        <v>41456</v>
      </c>
      <c r="B4060">
        <v>13.949999809265099</v>
      </c>
      <c r="C4060">
        <v>14.1645002365112</v>
      </c>
      <c r="D4060">
        <v>13.8579998016357</v>
      </c>
      <c r="E4060">
        <v>14.1049995422363</v>
      </c>
      <c r="F4060">
        <v>14.1049995422363</v>
      </c>
      <c r="G4060">
        <v>57764000</v>
      </c>
      <c r="H4060">
        <f t="shared" si="252"/>
        <v>2013</v>
      </c>
      <c r="I4060">
        <f t="shared" si="253"/>
        <v>7</v>
      </c>
      <c r="J4060" t="str">
        <f t="shared" si="254"/>
        <v>Jul</v>
      </c>
      <c r="K4060" t="str">
        <f t="shared" si="255"/>
        <v>Mon</v>
      </c>
    </row>
    <row r="4061" spans="1:11" x14ac:dyDescent="0.35">
      <c r="A4061" s="1">
        <v>41457</v>
      </c>
      <c r="B4061">
        <v>14.0520000457763</v>
      </c>
      <c r="C4061">
        <v>14.329000473022401</v>
      </c>
      <c r="D4061">
        <v>14.0295000076293</v>
      </c>
      <c r="E4061">
        <v>14.186499595641999</v>
      </c>
      <c r="F4061">
        <v>14.186499595641999</v>
      </c>
      <c r="G4061">
        <v>64764000</v>
      </c>
      <c r="H4061">
        <f t="shared" si="252"/>
        <v>2013</v>
      </c>
      <c r="I4061">
        <f t="shared" si="253"/>
        <v>7</v>
      </c>
      <c r="J4061" t="str">
        <f t="shared" si="254"/>
        <v>Jul</v>
      </c>
      <c r="K4061" t="str">
        <f t="shared" si="255"/>
        <v>Tue</v>
      </c>
    </row>
    <row r="4062" spans="1:11" x14ac:dyDescent="0.35">
      <c r="A4062" s="1">
        <v>41458</v>
      </c>
      <c r="B4062">
        <v>14.1000003814697</v>
      </c>
      <c r="C4062">
        <v>14.270000457763601</v>
      </c>
      <c r="D4062">
        <v>14.1000003814697</v>
      </c>
      <c r="E4062">
        <v>14.201499938964799</v>
      </c>
      <c r="F4062">
        <v>14.201499938964799</v>
      </c>
      <c r="G4062">
        <v>27460000</v>
      </c>
      <c r="H4062">
        <f t="shared" si="252"/>
        <v>2013</v>
      </c>
      <c r="I4062">
        <f t="shared" si="253"/>
        <v>7</v>
      </c>
      <c r="J4062" t="str">
        <f t="shared" si="254"/>
        <v>Jul</v>
      </c>
      <c r="K4062" t="str">
        <f t="shared" si="255"/>
        <v>Wed</v>
      </c>
    </row>
    <row r="4063" spans="1:11" x14ac:dyDescent="0.35">
      <c r="A4063" s="1">
        <v>41460</v>
      </c>
      <c r="B4063">
        <v>14.25</v>
      </c>
      <c r="C4063">
        <v>14.3190002441406</v>
      </c>
      <c r="D4063">
        <v>14.1035003662109</v>
      </c>
      <c r="E4063">
        <v>14.293999671936</v>
      </c>
      <c r="F4063">
        <v>14.293999671936</v>
      </c>
      <c r="G4063">
        <v>39708000</v>
      </c>
      <c r="H4063">
        <f t="shared" si="252"/>
        <v>2013</v>
      </c>
      <c r="I4063">
        <f t="shared" si="253"/>
        <v>7</v>
      </c>
      <c r="J4063" t="str">
        <f t="shared" si="254"/>
        <v>Jul</v>
      </c>
      <c r="K4063" t="str">
        <f t="shared" si="255"/>
        <v>Fri</v>
      </c>
    </row>
    <row r="4064" spans="1:11" x14ac:dyDescent="0.35">
      <c r="A4064" s="1">
        <v>41463</v>
      </c>
      <c r="B4064">
        <v>14.3210000991821</v>
      </c>
      <c r="C4064">
        <v>14.5834999084472</v>
      </c>
      <c r="D4064">
        <v>14.3070001602172</v>
      </c>
      <c r="E4064">
        <v>14.5295000076293</v>
      </c>
      <c r="F4064">
        <v>14.5295000076293</v>
      </c>
      <c r="G4064">
        <v>60934000</v>
      </c>
      <c r="H4064">
        <f t="shared" si="252"/>
        <v>2013</v>
      </c>
      <c r="I4064">
        <f t="shared" si="253"/>
        <v>7</v>
      </c>
      <c r="J4064" t="str">
        <f t="shared" si="254"/>
        <v>Jul</v>
      </c>
      <c r="K4064" t="str">
        <f t="shared" si="255"/>
        <v>Mon</v>
      </c>
    </row>
    <row r="4065" spans="1:11" x14ac:dyDescent="0.35">
      <c r="A4065" s="1">
        <v>41464</v>
      </c>
      <c r="B4065">
        <v>14.550000190734799</v>
      </c>
      <c r="C4065">
        <v>14.6284999847412</v>
      </c>
      <c r="D4065">
        <v>14.4005002975463</v>
      </c>
      <c r="E4065">
        <v>14.576499938964799</v>
      </c>
      <c r="F4065">
        <v>14.576499938964799</v>
      </c>
      <c r="G4065">
        <v>55512000</v>
      </c>
      <c r="H4065">
        <f t="shared" si="252"/>
        <v>2013</v>
      </c>
      <c r="I4065">
        <f t="shared" si="253"/>
        <v>7</v>
      </c>
      <c r="J4065" t="str">
        <f t="shared" si="254"/>
        <v>Jul</v>
      </c>
      <c r="K4065" t="str">
        <f t="shared" si="255"/>
        <v>Tue</v>
      </c>
    </row>
    <row r="4066" spans="1:11" x14ac:dyDescent="0.35">
      <c r="A4066" s="1">
        <v>41465</v>
      </c>
      <c r="B4066">
        <v>14.5705003738403</v>
      </c>
      <c r="C4066">
        <v>14.666999816894499</v>
      </c>
      <c r="D4066">
        <v>14.4700002670288</v>
      </c>
      <c r="E4066">
        <v>14.6164999008178</v>
      </c>
      <c r="F4066">
        <v>14.6164999008178</v>
      </c>
      <c r="G4066">
        <v>36204000</v>
      </c>
      <c r="H4066">
        <f t="shared" si="252"/>
        <v>2013</v>
      </c>
      <c r="I4066">
        <f t="shared" si="253"/>
        <v>7</v>
      </c>
      <c r="J4066" t="str">
        <f t="shared" si="254"/>
        <v>Jul</v>
      </c>
      <c r="K4066" t="str">
        <f t="shared" si="255"/>
        <v>Wed</v>
      </c>
    </row>
    <row r="4067" spans="1:11" x14ac:dyDescent="0.35">
      <c r="A4067" s="1">
        <v>41466</v>
      </c>
      <c r="B4067">
        <v>14.7495002746582</v>
      </c>
      <c r="C4067">
        <v>15.0345001220703</v>
      </c>
      <c r="D4067">
        <v>14.6049995422363</v>
      </c>
      <c r="E4067">
        <v>14.9829998016357</v>
      </c>
      <c r="F4067">
        <v>14.9829998016357</v>
      </c>
      <c r="G4067">
        <v>80146000</v>
      </c>
      <c r="H4067">
        <f t="shared" si="252"/>
        <v>2013</v>
      </c>
      <c r="I4067">
        <f t="shared" si="253"/>
        <v>7</v>
      </c>
      <c r="J4067" t="str">
        <f t="shared" si="254"/>
        <v>Jul</v>
      </c>
      <c r="K4067" t="str">
        <f t="shared" si="255"/>
        <v>Thu</v>
      </c>
    </row>
    <row r="4068" spans="1:11" x14ac:dyDescent="0.35">
      <c r="A4068" s="1">
        <v>41467</v>
      </c>
      <c r="B4068">
        <v>14.934499740600501</v>
      </c>
      <c r="C4068">
        <v>15.377499580383301</v>
      </c>
      <c r="D4068">
        <v>14.925000190734799</v>
      </c>
      <c r="E4068">
        <v>15.377499580383301</v>
      </c>
      <c r="F4068">
        <v>15.377499580383301</v>
      </c>
      <c r="G4068">
        <v>90786000</v>
      </c>
      <c r="H4068">
        <f t="shared" si="252"/>
        <v>2013</v>
      </c>
      <c r="I4068">
        <f t="shared" si="253"/>
        <v>7</v>
      </c>
      <c r="J4068" t="str">
        <f t="shared" si="254"/>
        <v>Jul</v>
      </c>
      <c r="K4068" t="str">
        <f t="shared" si="255"/>
        <v>Fri</v>
      </c>
    </row>
    <row r="4069" spans="1:11" x14ac:dyDescent="0.35">
      <c r="A4069" s="1">
        <v>41470</v>
      </c>
      <c r="B4069">
        <v>15.3634996414184</v>
      </c>
      <c r="C4069">
        <v>15.3994998931884</v>
      </c>
      <c r="D4069">
        <v>15.217499732971101</v>
      </c>
      <c r="E4069">
        <v>15.3284997940063</v>
      </c>
      <c r="F4069">
        <v>15.3284997940063</v>
      </c>
      <c r="G4069">
        <v>44912000</v>
      </c>
      <c r="H4069">
        <f t="shared" si="252"/>
        <v>2013</v>
      </c>
      <c r="I4069">
        <f t="shared" si="253"/>
        <v>7</v>
      </c>
      <c r="J4069" t="str">
        <f t="shared" si="254"/>
        <v>Jul</v>
      </c>
      <c r="K4069" t="str">
        <f t="shared" si="255"/>
        <v>Mon</v>
      </c>
    </row>
    <row r="4070" spans="1:11" x14ac:dyDescent="0.35">
      <c r="A4070" s="1">
        <v>41471</v>
      </c>
      <c r="B4070">
        <v>15.3649997711181</v>
      </c>
      <c r="C4070">
        <v>15.469499588012599</v>
      </c>
      <c r="D4070">
        <v>15.2755002975463</v>
      </c>
      <c r="E4070">
        <v>15.3435001373291</v>
      </c>
      <c r="F4070">
        <v>15.3435001373291</v>
      </c>
      <c r="G4070">
        <v>53204000</v>
      </c>
      <c r="H4070">
        <f t="shared" si="252"/>
        <v>2013</v>
      </c>
      <c r="I4070">
        <f t="shared" si="253"/>
        <v>7</v>
      </c>
      <c r="J4070" t="str">
        <f t="shared" si="254"/>
        <v>Jul</v>
      </c>
      <c r="K4070" t="str">
        <f t="shared" si="255"/>
        <v>Tue</v>
      </c>
    </row>
    <row r="4071" spans="1:11" x14ac:dyDescent="0.35">
      <c r="A4071" s="1">
        <v>41472</v>
      </c>
      <c r="B4071">
        <v>15.34850025177</v>
      </c>
      <c r="C4071">
        <v>15.439999580383301</v>
      </c>
      <c r="D4071">
        <v>15.2845001220703</v>
      </c>
      <c r="E4071">
        <v>15.434499740600501</v>
      </c>
      <c r="F4071">
        <v>15.434499740600501</v>
      </c>
      <c r="G4071">
        <v>40594000</v>
      </c>
      <c r="H4071">
        <f t="shared" si="252"/>
        <v>2013</v>
      </c>
      <c r="I4071">
        <f t="shared" si="253"/>
        <v>7</v>
      </c>
      <c r="J4071" t="str">
        <f t="shared" si="254"/>
        <v>Jul</v>
      </c>
      <c r="K4071" t="str">
        <f t="shared" si="255"/>
        <v>Wed</v>
      </c>
    </row>
    <row r="4072" spans="1:11" x14ac:dyDescent="0.35">
      <c r="A4072" s="1">
        <v>41473</v>
      </c>
      <c r="B4072">
        <v>15.313500404357899</v>
      </c>
      <c r="C4072">
        <v>15.3170003890991</v>
      </c>
      <c r="D4072">
        <v>15.0935001373291</v>
      </c>
      <c r="E4072">
        <v>15.2054996490478</v>
      </c>
      <c r="F4072">
        <v>15.2054996490478</v>
      </c>
      <c r="G4072">
        <v>61276000</v>
      </c>
      <c r="H4072">
        <f t="shared" si="252"/>
        <v>2013</v>
      </c>
      <c r="I4072">
        <f t="shared" si="253"/>
        <v>7</v>
      </c>
      <c r="J4072" t="str">
        <f t="shared" si="254"/>
        <v>Jul</v>
      </c>
      <c r="K4072" t="str">
        <f t="shared" si="255"/>
        <v>Thu</v>
      </c>
    </row>
    <row r="4073" spans="1:11" x14ac:dyDescent="0.35">
      <c r="A4073" s="1">
        <v>41474</v>
      </c>
      <c r="B4073">
        <v>15.219499588012599</v>
      </c>
      <c r="C4073">
        <v>15.2895002365112</v>
      </c>
      <c r="D4073">
        <v>15.0954999923706</v>
      </c>
      <c r="E4073">
        <v>15.2615003585815</v>
      </c>
      <c r="F4073">
        <v>15.2615003585815</v>
      </c>
      <c r="G4073">
        <v>59462000</v>
      </c>
      <c r="H4073">
        <f t="shared" si="252"/>
        <v>2013</v>
      </c>
      <c r="I4073">
        <f t="shared" si="253"/>
        <v>7</v>
      </c>
      <c r="J4073" t="str">
        <f t="shared" si="254"/>
        <v>Jul</v>
      </c>
      <c r="K4073" t="str">
        <f t="shared" si="255"/>
        <v>Fri</v>
      </c>
    </row>
    <row r="4074" spans="1:11" x14ac:dyDescent="0.35">
      <c r="A4074" s="1">
        <v>41477</v>
      </c>
      <c r="B4074">
        <v>15.462499618530201</v>
      </c>
      <c r="C4074">
        <v>15.462499618530201</v>
      </c>
      <c r="D4074">
        <v>15.1000003814697</v>
      </c>
      <c r="E4074">
        <v>15.1739997863769</v>
      </c>
      <c r="F4074">
        <v>15.1739997863769</v>
      </c>
      <c r="G4074">
        <v>50414000</v>
      </c>
      <c r="H4074">
        <f t="shared" si="252"/>
        <v>2013</v>
      </c>
      <c r="I4074">
        <f t="shared" si="253"/>
        <v>7</v>
      </c>
      <c r="J4074" t="str">
        <f t="shared" si="254"/>
        <v>Jul</v>
      </c>
      <c r="K4074" t="str">
        <f t="shared" si="255"/>
        <v>Mon</v>
      </c>
    </row>
    <row r="4075" spans="1:11" x14ac:dyDescent="0.35">
      <c r="A4075" s="1">
        <v>41478</v>
      </c>
      <c r="B4075">
        <v>15.1579999923706</v>
      </c>
      <c r="C4075">
        <v>15.2530002593994</v>
      </c>
      <c r="D4075">
        <v>15.0279998779296</v>
      </c>
      <c r="E4075">
        <v>15.053000450134199</v>
      </c>
      <c r="F4075">
        <v>15.053000450134199</v>
      </c>
      <c r="G4075">
        <v>39992000</v>
      </c>
      <c r="H4075">
        <f t="shared" si="252"/>
        <v>2013</v>
      </c>
      <c r="I4075">
        <f t="shared" si="253"/>
        <v>7</v>
      </c>
      <c r="J4075" t="str">
        <f t="shared" si="254"/>
        <v>Jul</v>
      </c>
      <c r="K4075" t="str">
        <f t="shared" si="255"/>
        <v>Tue</v>
      </c>
    </row>
    <row r="4076" spans="1:11" x14ac:dyDescent="0.35">
      <c r="A4076" s="1">
        <v>41479</v>
      </c>
      <c r="B4076">
        <v>15.1510000228881</v>
      </c>
      <c r="C4076">
        <v>15.1920003890991</v>
      </c>
      <c r="D4076">
        <v>14.902000427246</v>
      </c>
      <c r="E4076">
        <v>14.9469995498657</v>
      </c>
      <c r="F4076">
        <v>14.9469995498657</v>
      </c>
      <c r="G4076">
        <v>40010000</v>
      </c>
      <c r="H4076">
        <f t="shared" si="252"/>
        <v>2013</v>
      </c>
      <c r="I4076">
        <f t="shared" si="253"/>
        <v>7</v>
      </c>
      <c r="J4076" t="str">
        <f t="shared" si="254"/>
        <v>Jul</v>
      </c>
      <c r="K4076" t="str">
        <f t="shared" si="255"/>
        <v>Wed</v>
      </c>
    </row>
    <row r="4077" spans="1:11" x14ac:dyDescent="0.35">
      <c r="A4077" s="1">
        <v>41480</v>
      </c>
      <c r="B4077">
        <v>14.949999809265099</v>
      </c>
      <c r="C4077">
        <v>15.2250003814697</v>
      </c>
      <c r="D4077">
        <v>14.837499618530201</v>
      </c>
      <c r="E4077">
        <v>15.170000076293899</v>
      </c>
      <c r="F4077">
        <v>15.170000076293899</v>
      </c>
      <c r="G4077">
        <v>108116000</v>
      </c>
      <c r="H4077">
        <f t="shared" si="252"/>
        <v>2013</v>
      </c>
      <c r="I4077">
        <f t="shared" si="253"/>
        <v>7</v>
      </c>
      <c r="J4077" t="str">
        <f t="shared" si="254"/>
        <v>Jul</v>
      </c>
      <c r="K4077" t="str">
        <f t="shared" si="255"/>
        <v>Thu</v>
      </c>
    </row>
    <row r="4078" spans="1:11" x14ac:dyDescent="0.35">
      <c r="A4078" s="1">
        <v>41481</v>
      </c>
      <c r="B4078">
        <v>14.977499961853001</v>
      </c>
      <c r="C4078">
        <v>15.6809997558593</v>
      </c>
      <c r="D4078">
        <v>14.7775001525878</v>
      </c>
      <c r="E4078">
        <v>15.6005001068115</v>
      </c>
      <c r="F4078">
        <v>15.6005001068115</v>
      </c>
      <c r="G4078">
        <v>176350000</v>
      </c>
      <c r="H4078">
        <f t="shared" si="252"/>
        <v>2013</v>
      </c>
      <c r="I4078">
        <f t="shared" si="253"/>
        <v>7</v>
      </c>
      <c r="J4078" t="str">
        <f t="shared" si="254"/>
        <v>Jul</v>
      </c>
      <c r="K4078" t="str">
        <f t="shared" si="255"/>
        <v>Fri</v>
      </c>
    </row>
    <row r="4079" spans="1:11" x14ac:dyDescent="0.35">
      <c r="A4079" s="1">
        <v>41484</v>
      </c>
      <c r="B4079">
        <v>15.553500175476</v>
      </c>
      <c r="C4079">
        <v>15.649999618530201</v>
      </c>
      <c r="D4079">
        <v>15.295000076293899</v>
      </c>
      <c r="E4079">
        <v>15.3050003051757</v>
      </c>
      <c r="F4079">
        <v>15.3050003051757</v>
      </c>
      <c r="G4079">
        <v>64236000</v>
      </c>
      <c r="H4079">
        <f t="shared" si="252"/>
        <v>2013</v>
      </c>
      <c r="I4079">
        <f t="shared" si="253"/>
        <v>7</v>
      </c>
      <c r="J4079" t="str">
        <f t="shared" si="254"/>
        <v>Jul</v>
      </c>
      <c r="K4079" t="str">
        <f t="shared" si="255"/>
        <v>Mon</v>
      </c>
    </row>
    <row r="4080" spans="1:11" x14ac:dyDescent="0.35">
      <c r="A4080" s="1">
        <v>41485</v>
      </c>
      <c r="B4080">
        <v>15.385999679565399</v>
      </c>
      <c r="C4080">
        <v>15.489000320434499</v>
      </c>
      <c r="D4080">
        <v>15.0784997940063</v>
      </c>
      <c r="E4080">
        <v>15.120499610900801</v>
      </c>
      <c r="F4080">
        <v>15.120499610900801</v>
      </c>
      <c r="G4080">
        <v>61068000</v>
      </c>
      <c r="H4080">
        <f t="shared" si="252"/>
        <v>2013</v>
      </c>
      <c r="I4080">
        <f t="shared" si="253"/>
        <v>7</v>
      </c>
      <c r="J4080" t="str">
        <f t="shared" si="254"/>
        <v>Jul</v>
      </c>
      <c r="K4080" t="str">
        <f t="shared" si="255"/>
        <v>Tue</v>
      </c>
    </row>
    <row r="4081" spans="1:11" x14ac:dyDescent="0.35">
      <c r="A4081" s="1">
        <v>41486</v>
      </c>
      <c r="B4081">
        <v>15.1955003738403</v>
      </c>
      <c r="C4081">
        <v>15.257499694824199</v>
      </c>
      <c r="D4081">
        <v>15.050000190734799</v>
      </c>
      <c r="E4081">
        <v>15.060999870300201</v>
      </c>
      <c r="F4081">
        <v>15.060999870300201</v>
      </c>
      <c r="G4081">
        <v>37826000</v>
      </c>
      <c r="H4081">
        <f t="shared" si="252"/>
        <v>2013</v>
      </c>
      <c r="I4081">
        <f t="shared" si="253"/>
        <v>7</v>
      </c>
      <c r="J4081" t="str">
        <f t="shared" si="254"/>
        <v>Jul</v>
      </c>
      <c r="K4081" t="str">
        <f t="shared" si="255"/>
        <v>Wed</v>
      </c>
    </row>
    <row r="4082" spans="1:11" x14ac:dyDescent="0.35">
      <c r="A4082" s="1">
        <v>41487</v>
      </c>
      <c r="B4082">
        <v>15.1540002822875</v>
      </c>
      <c r="C4082">
        <v>15.3105001449584</v>
      </c>
      <c r="D4082">
        <v>14.944999694824199</v>
      </c>
      <c r="E4082">
        <v>15.278499603271401</v>
      </c>
      <c r="F4082">
        <v>15.278499603271401</v>
      </c>
      <c r="G4082">
        <v>59434000</v>
      </c>
      <c r="H4082">
        <f t="shared" si="252"/>
        <v>2013</v>
      </c>
      <c r="I4082">
        <f t="shared" si="253"/>
        <v>8</v>
      </c>
      <c r="J4082" t="str">
        <f t="shared" si="254"/>
        <v>Aug</v>
      </c>
      <c r="K4082" t="str">
        <f t="shared" si="255"/>
        <v>Thu</v>
      </c>
    </row>
    <row r="4083" spans="1:11" x14ac:dyDescent="0.35">
      <c r="A4083" s="1">
        <v>41488</v>
      </c>
      <c r="B4083">
        <v>15.231499671936</v>
      </c>
      <c r="C4083">
        <v>15.266500473022401</v>
      </c>
      <c r="D4083">
        <v>15.074999809265099</v>
      </c>
      <c r="E4083">
        <v>15.2104997634887</v>
      </c>
      <c r="F4083">
        <v>15.2104997634887</v>
      </c>
      <c r="G4083">
        <v>50052000</v>
      </c>
      <c r="H4083">
        <f t="shared" si="252"/>
        <v>2013</v>
      </c>
      <c r="I4083">
        <f t="shared" si="253"/>
        <v>8</v>
      </c>
      <c r="J4083" t="str">
        <f t="shared" si="254"/>
        <v>Aug</v>
      </c>
      <c r="K4083" t="str">
        <f t="shared" si="255"/>
        <v>Fri</v>
      </c>
    </row>
    <row r="4084" spans="1:11" x14ac:dyDescent="0.35">
      <c r="A4084" s="1">
        <v>41491</v>
      </c>
      <c r="B4084">
        <v>15.170000076293899</v>
      </c>
      <c r="C4084">
        <v>15.1809997558593</v>
      </c>
      <c r="D4084">
        <v>14.914999961853001</v>
      </c>
      <c r="E4084">
        <v>15.049500465393001</v>
      </c>
      <c r="F4084">
        <v>15.049500465393001</v>
      </c>
      <c r="G4084">
        <v>44664000</v>
      </c>
      <c r="H4084">
        <f t="shared" si="252"/>
        <v>2013</v>
      </c>
      <c r="I4084">
        <f t="shared" si="253"/>
        <v>8</v>
      </c>
      <c r="J4084" t="str">
        <f t="shared" si="254"/>
        <v>Aug</v>
      </c>
      <c r="K4084" t="str">
        <f t="shared" si="255"/>
        <v>Mon</v>
      </c>
    </row>
    <row r="4085" spans="1:11" x14ac:dyDescent="0.35">
      <c r="A4085" s="1">
        <v>41492</v>
      </c>
      <c r="B4085">
        <v>15.0255002975463</v>
      </c>
      <c r="C4085">
        <v>15.067999839782701</v>
      </c>
      <c r="D4085">
        <v>14.876000404357899</v>
      </c>
      <c r="E4085">
        <v>15.0375003814697</v>
      </c>
      <c r="F4085">
        <v>15.0375003814697</v>
      </c>
      <c r="G4085">
        <v>36980000</v>
      </c>
      <c r="H4085">
        <f t="shared" si="252"/>
        <v>2013</v>
      </c>
      <c r="I4085">
        <f t="shared" si="253"/>
        <v>8</v>
      </c>
      <c r="J4085" t="str">
        <f t="shared" si="254"/>
        <v>Aug</v>
      </c>
      <c r="K4085" t="str">
        <f t="shared" si="255"/>
        <v>Tue</v>
      </c>
    </row>
    <row r="4086" spans="1:11" x14ac:dyDescent="0.35">
      <c r="A4086" s="1">
        <v>41493</v>
      </c>
      <c r="B4086">
        <v>15.007499694824199</v>
      </c>
      <c r="C4086">
        <v>15.049500465393001</v>
      </c>
      <c r="D4086">
        <v>14.807499885559</v>
      </c>
      <c r="E4086">
        <v>14.8454999923706</v>
      </c>
      <c r="F4086">
        <v>14.8454999923706</v>
      </c>
      <c r="G4086">
        <v>39220000</v>
      </c>
      <c r="H4086">
        <f t="shared" si="252"/>
        <v>2013</v>
      </c>
      <c r="I4086">
        <f t="shared" si="253"/>
        <v>8</v>
      </c>
      <c r="J4086" t="str">
        <f t="shared" si="254"/>
        <v>Aug</v>
      </c>
      <c r="K4086" t="str">
        <f t="shared" si="255"/>
        <v>Wed</v>
      </c>
    </row>
    <row r="4087" spans="1:11" x14ac:dyDescent="0.35">
      <c r="A4087" s="1">
        <v>41494</v>
      </c>
      <c r="B4087">
        <v>14.9259996414184</v>
      </c>
      <c r="C4087">
        <v>14.9259996414184</v>
      </c>
      <c r="D4087">
        <v>14.627499580383301</v>
      </c>
      <c r="E4087">
        <v>14.786999702453601</v>
      </c>
      <c r="F4087">
        <v>14.786999702453601</v>
      </c>
      <c r="G4087">
        <v>46868000</v>
      </c>
      <c r="H4087">
        <f t="shared" si="252"/>
        <v>2013</v>
      </c>
      <c r="I4087">
        <f t="shared" si="253"/>
        <v>8</v>
      </c>
      <c r="J4087" t="str">
        <f t="shared" si="254"/>
        <v>Aug</v>
      </c>
      <c r="K4087" t="str">
        <f t="shared" si="255"/>
        <v>Thu</v>
      </c>
    </row>
    <row r="4088" spans="1:11" x14ac:dyDescent="0.35">
      <c r="A4088" s="1">
        <v>41495</v>
      </c>
      <c r="B4088">
        <v>14.7840003967285</v>
      </c>
      <c r="C4088">
        <v>14.9635000228881</v>
      </c>
      <c r="D4088">
        <v>14.7150001525878</v>
      </c>
      <c r="E4088">
        <v>14.8629999160766</v>
      </c>
      <c r="F4088">
        <v>14.8629999160766</v>
      </c>
      <c r="G4088">
        <v>39006000</v>
      </c>
      <c r="H4088">
        <f t="shared" si="252"/>
        <v>2013</v>
      </c>
      <c r="I4088">
        <f t="shared" si="253"/>
        <v>8</v>
      </c>
      <c r="J4088" t="str">
        <f t="shared" si="254"/>
        <v>Aug</v>
      </c>
      <c r="K4088" t="str">
        <f t="shared" si="255"/>
        <v>Fri</v>
      </c>
    </row>
    <row r="4089" spans="1:11" x14ac:dyDescent="0.35">
      <c r="A4089" s="1">
        <v>41498</v>
      </c>
      <c r="B4089">
        <v>14.7895002365112</v>
      </c>
      <c r="C4089">
        <v>14.954000473022401</v>
      </c>
      <c r="D4089">
        <v>14.7629995346069</v>
      </c>
      <c r="E4089">
        <v>14.834500312805099</v>
      </c>
      <c r="F4089">
        <v>14.834500312805099</v>
      </c>
      <c r="G4089">
        <v>30090000</v>
      </c>
      <c r="H4089">
        <f t="shared" si="252"/>
        <v>2013</v>
      </c>
      <c r="I4089">
        <f t="shared" si="253"/>
        <v>8</v>
      </c>
      <c r="J4089" t="str">
        <f t="shared" si="254"/>
        <v>Aug</v>
      </c>
      <c r="K4089" t="str">
        <f t="shared" si="255"/>
        <v>Mon</v>
      </c>
    </row>
    <row r="4090" spans="1:11" x14ac:dyDescent="0.35">
      <c r="A4090" s="1">
        <v>41499</v>
      </c>
      <c r="B4090">
        <v>14.793999671936</v>
      </c>
      <c r="C4090">
        <v>14.818499565124499</v>
      </c>
      <c r="D4090">
        <v>14.533499717712401</v>
      </c>
      <c r="E4090">
        <v>14.698499679565399</v>
      </c>
      <c r="F4090">
        <v>14.698499679565399</v>
      </c>
      <c r="G4090">
        <v>46998000</v>
      </c>
      <c r="H4090">
        <f t="shared" si="252"/>
        <v>2013</v>
      </c>
      <c r="I4090">
        <f t="shared" si="253"/>
        <v>8</v>
      </c>
      <c r="J4090" t="str">
        <f t="shared" si="254"/>
        <v>Aug</v>
      </c>
      <c r="K4090" t="str">
        <f t="shared" si="255"/>
        <v>Tue</v>
      </c>
    </row>
    <row r="4091" spans="1:11" x14ac:dyDescent="0.35">
      <c r="A4091" s="1">
        <v>41500</v>
      </c>
      <c r="B4091">
        <v>14.714500427246</v>
      </c>
      <c r="C4091">
        <v>14.714500427246</v>
      </c>
      <c r="D4091">
        <v>14.527000427246</v>
      </c>
      <c r="E4091">
        <v>14.5670003890991</v>
      </c>
      <c r="F4091">
        <v>14.5670003890991</v>
      </c>
      <c r="G4091">
        <v>28300000</v>
      </c>
      <c r="H4091">
        <f t="shared" si="252"/>
        <v>2013</v>
      </c>
      <c r="I4091">
        <f t="shared" si="253"/>
        <v>8</v>
      </c>
      <c r="J4091" t="str">
        <f t="shared" si="254"/>
        <v>Aug</v>
      </c>
      <c r="K4091" t="str">
        <f t="shared" si="255"/>
        <v>Wed</v>
      </c>
    </row>
    <row r="4092" spans="1:11" x14ac:dyDescent="0.35">
      <c r="A4092" s="1">
        <v>41501</v>
      </c>
      <c r="B4092">
        <v>14.4394998550415</v>
      </c>
      <c r="C4092">
        <v>14.4650001525878</v>
      </c>
      <c r="D4092">
        <v>14.257499694824199</v>
      </c>
      <c r="E4092">
        <v>14.323499679565399</v>
      </c>
      <c r="F4092">
        <v>14.323499679565399</v>
      </c>
      <c r="G4092">
        <v>45228000</v>
      </c>
      <c r="H4092">
        <f t="shared" si="252"/>
        <v>2013</v>
      </c>
      <c r="I4092">
        <f t="shared" si="253"/>
        <v>8</v>
      </c>
      <c r="J4092" t="str">
        <f t="shared" si="254"/>
        <v>Aug</v>
      </c>
      <c r="K4092" t="str">
        <f t="shared" si="255"/>
        <v>Thu</v>
      </c>
    </row>
    <row r="4093" spans="1:11" x14ac:dyDescent="0.35">
      <c r="A4093" s="1">
        <v>41502</v>
      </c>
      <c r="B4093">
        <v>14.327500343322701</v>
      </c>
      <c r="C4093">
        <v>14.416500091552701</v>
      </c>
      <c r="D4093">
        <v>14.2250003814697</v>
      </c>
      <c r="E4093">
        <v>14.241000175476</v>
      </c>
      <c r="F4093">
        <v>14.241000175476</v>
      </c>
      <c r="G4093">
        <v>48450000</v>
      </c>
      <c r="H4093">
        <f t="shared" si="252"/>
        <v>2013</v>
      </c>
      <c r="I4093">
        <f t="shared" si="253"/>
        <v>8</v>
      </c>
      <c r="J4093" t="str">
        <f t="shared" si="254"/>
        <v>Aug</v>
      </c>
      <c r="K4093" t="str">
        <f t="shared" si="255"/>
        <v>Fri</v>
      </c>
    </row>
    <row r="4094" spans="1:11" x14ac:dyDescent="0.35">
      <c r="A4094" s="1">
        <v>41505</v>
      </c>
      <c r="B4094">
        <v>14.2594995498657</v>
      </c>
      <c r="C4094">
        <v>14.477999687194799</v>
      </c>
      <c r="D4094">
        <v>14.1739997863769</v>
      </c>
      <c r="E4094">
        <v>14.278499603271401</v>
      </c>
      <c r="F4094">
        <v>14.278499603271401</v>
      </c>
      <c r="G4094">
        <v>49548000</v>
      </c>
      <c r="H4094">
        <f t="shared" si="252"/>
        <v>2013</v>
      </c>
      <c r="I4094">
        <f t="shared" si="253"/>
        <v>8</v>
      </c>
      <c r="J4094" t="str">
        <f t="shared" si="254"/>
        <v>Aug</v>
      </c>
      <c r="K4094" t="str">
        <f t="shared" si="255"/>
        <v>Mon</v>
      </c>
    </row>
    <row r="4095" spans="1:11" x14ac:dyDescent="0.35">
      <c r="A4095" s="1">
        <v>41506</v>
      </c>
      <c r="B4095">
        <v>14.293999671936</v>
      </c>
      <c r="C4095">
        <v>14.4755001068115</v>
      </c>
      <c r="D4095">
        <v>14.286999702453601</v>
      </c>
      <c r="E4095">
        <v>14.354499816894499</v>
      </c>
      <c r="F4095">
        <v>14.354499816894499</v>
      </c>
      <c r="G4095">
        <v>31726000</v>
      </c>
      <c r="H4095">
        <f t="shared" si="252"/>
        <v>2013</v>
      </c>
      <c r="I4095">
        <f t="shared" si="253"/>
        <v>8</v>
      </c>
      <c r="J4095" t="str">
        <f t="shared" si="254"/>
        <v>Aug</v>
      </c>
      <c r="K4095" t="str">
        <f t="shared" si="255"/>
        <v>Tue</v>
      </c>
    </row>
    <row r="4096" spans="1:11" x14ac:dyDescent="0.35">
      <c r="A4096" s="1">
        <v>41507</v>
      </c>
      <c r="B4096">
        <v>14.2545003890991</v>
      </c>
      <c r="C4096">
        <v>14.425000190734799</v>
      </c>
      <c r="D4096">
        <v>14.191499710083001</v>
      </c>
      <c r="E4096">
        <v>14.2285003662109</v>
      </c>
      <c r="F4096">
        <v>14.2285003662109</v>
      </c>
      <c r="G4096">
        <v>36306000</v>
      </c>
      <c r="H4096">
        <f t="shared" si="252"/>
        <v>2013</v>
      </c>
      <c r="I4096">
        <f t="shared" si="253"/>
        <v>8</v>
      </c>
      <c r="J4096" t="str">
        <f t="shared" si="254"/>
        <v>Aug</v>
      </c>
      <c r="K4096" t="str">
        <f t="shared" si="255"/>
        <v>Wed</v>
      </c>
    </row>
    <row r="4097" spans="1:11" x14ac:dyDescent="0.35">
      <c r="A4097" s="1">
        <v>41508</v>
      </c>
      <c r="B4097">
        <v>14.2399997711181</v>
      </c>
      <c r="C4097">
        <v>14.4934997558593</v>
      </c>
      <c r="D4097">
        <v>14.2399997711181</v>
      </c>
      <c r="E4097">
        <v>14.4864997863769</v>
      </c>
      <c r="F4097">
        <v>14.4864997863769</v>
      </c>
      <c r="G4097">
        <v>28452000</v>
      </c>
      <c r="H4097">
        <f t="shared" si="252"/>
        <v>2013</v>
      </c>
      <c r="I4097">
        <f t="shared" si="253"/>
        <v>8</v>
      </c>
      <c r="J4097" t="str">
        <f t="shared" si="254"/>
        <v>Aug</v>
      </c>
      <c r="K4097" t="str">
        <f t="shared" si="255"/>
        <v>Thu</v>
      </c>
    </row>
    <row r="4098" spans="1:11" x14ac:dyDescent="0.35">
      <c r="A4098" s="1">
        <v>41509</v>
      </c>
      <c r="B4098">
        <v>14.5605001449584</v>
      </c>
      <c r="C4098">
        <v>14.574999809265099</v>
      </c>
      <c r="D4098">
        <v>14.395000457763601</v>
      </c>
      <c r="E4098">
        <v>14.500499725341699</v>
      </c>
      <c r="F4098">
        <v>14.500499725341699</v>
      </c>
      <c r="G4098">
        <v>39238000</v>
      </c>
      <c r="H4098">
        <f t="shared" si="252"/>
        <v>2013</v>
      </c>
      <c r="I4098">
        <f t="shared" si="253"/>
        <v>8</v>
      </c>
      <c r="J4098" t="str">
        <f t="shared" si="254"/>
        <v>Aug</v>
      </c>
      <c r="K4098" t="str">
        <f t="shared" si="255"/>
        <v>Fri</v>
      </c>
    </row>
    <row r="4099" spans="1:11" x14ac:dyDescent="0.35">
      <c r="A4099" s="1">
        <v>41512</v>
      </c>
      <c r="B4099">
        <v>14.521499633789</v>
      </c>
      <c r="C4099">
        <v>14.5524997711181</v>
      </c>
      <c r="D4099">
        <v>14.2810001373291</v>
      </c>
      <c r="E4099">
        <v>14.3105001449584</v>
      </c>
      <c r="F4099">
        <v>14.3105001449584</v>
      </c>
      <c r="G4099">
        <v>34234000</v>
      </c>
      <c r="H4099">
        <f t="shared" si="252"/>
        <v>2013</v>
      </c>
      <c r="I4099">
        <f t="shared" si="253"/>
        <v>8</v>
      </c>
      <c r="J4099" t="str">
        <f t="shared" si="254"/>
        <v>Aug</v>
      </c>
      <c r="K4099" t="str">
        <f t="shared" si="255"/>
        <v>Mon</v>
      </c>
    </row>
    <row r="4100" spans="1:11" x14ac:dyDescent="0.35">
      <c r="A4100" s="1">
        <v>41513</v>
      </c>
      <c r="B4100">
        <v>14.193499565124499</v>
      </c>
      <c r="C4100">
        <v>14.263999938964799</v>
      </c>
      <c r="D4100">
        <v>13.987000465393001</v>
      </c>
      <c r="E4100">
        <v>14.046500205993601</v>
      </c>
      <c r="F4100">
        <v>14.046500205993601</v>
      </c>
      <c r="G4100">
        <v>49520000</v>
      </c>
      <c r="H4100">
        <f t="shared" ref="H4100:H4163" si="256">YEAR($A4100)</f>
        <v>2013</v>
      </c>
      <c r="I4100">
        <f t="shared" ref="I4100:I4163" si="257">MONTH($A4100)</f>
        <v>8</v>
      </c>
      <c r="J4100" t="str">
        <f t="shared" ref="J4100:J4163" si="258">TEXT($A4100,"mmm")</f>
        <v>Aug</v>
      </c>
      <c r="K4100" t="str">
        <f t="shared" ref="K4100:K4163" si="259">TEXT($A4100,"ddd")</f>
        <v>Tue</v>
      </c>
    </row>
    <row r="4101" spans="1:11" x14ac:dyDescent="0.35">
      <c r="A4101" s="1">
        <v>41514</v>
      </c>
      <c r="B4101">
        <v>14.0179996490478</v>
      </c>
      <c r="C4101">
        <v>14.149999618530201</v>
      </c>
      <c r="D4101">
        <v>13.9665002822875</v>
      </c>
      <c r="E4101">
        <v>14.079000473022401</v>
      </c>
      <c r="F4101">
        <v>14.079000473022401</v>
      </c>
      <c r="G4101">
        <v>29142000</v>
      </c>
      <c r="H4101">
        <f t="shared" si="256"/>
        <v>2013</v>
      </c>
      <c r="I4101">
        <f t="shared" si="257"/>
        <v>8</v>
      </c>
      <c r="J4101" t="str">
        <f t="shared" si="258"/>
        <v>Aug</v>
      </c>
      <c r="K4101" t="str">
        <f t="shared" si="259"/>
        <v>Wed</v>
      </c>
    </row>
    <row r="4102" spans="1:11" x14ac:dyDescent="0.35">
      <c r="A4102" s="1">
        <v>41515</v>
      </c>
      <c r="B4102">
        <v>14.0725002288818</v>
      </c>
      <c r="C4102">
        <v>14.2989997863769</v>
      </c>
      <c r="D4102">
        <v>14</v>
      </c>
      <c r="E4102">
        <v>14.1990003585815</v>
      </c>
      <c r="F4102">
        <v>14.1990003585815</v>
      </c>
      <c r="G4102">
        <v>31328000</v>
      </c>
      <c r="H4102">
        <f t="shared" si="256"/>
        <v>2013</v>
      </c>
      <c r="I4102">
        <f t="shared" si="257"/>
        <v>8</v>
      </c>
      <c r="J4102" t="str">
        <f t="shared" si="258"/>
        <v>Aug</v>
      </c>
      <c r="K4102" t="str">
        <f t="shared" si="259"/>
        <v>Thu</v>
      </c>
    </row>
    <row r="4103" spans="1:11" x14ac:dyDescent="0.35">
      <c r="A4103" s="1">
        <v>41516</v>
      </c>
      <c r="B4103">
        <v>14.229499816894499</v>
      </c>
      <c r="C4103">
        <v>14.2434997558593</v>
      </c>
      <c r="D4103">
        <v>14</v>
      </c>
      <c r="E4103">
        <v>14.0489997863769</v>
      </c>
      <c r="F4103">
        <v>14.0489997863769</v>
      </c>
      <c r="G4103">
        <v>30694000</v>
      </c>
      <c r="H4103">
        <f t="shared" si="256"/>
        <v>2013</v>
      </c>
      <c r="I4103">
        <f t="shared" si="257"/>
        <v>8</v>
      </c>
      <c r="J4103" t="str">
        <f t="shared" si="258"/>
        <v>Aug</v>
      </c>
      <c r="K4103" t="str">
        <f t="shared" si="259"/>
        <v>Fri</v>
      </c>
    </row>
    <row r="4104" spans="1:11" x14ac:dyDescent="0.35">
      <c r="A4104" s="1">
        <v>41520</v>
      </c>
      <c r="B4104">
        <v>14.2364997863769</v>
      </c>
      <c r="C4104">
        <v>14.569499969482401</v>
      </c>
      <c r="D4104">
        <v>14.2084999084472</v>
      </c>
      <c r="E4104">
        <v>14.439999580383301</v>
      </c>
      <c r="F4104">
        <v>14.439999580383301</v>
      </c>
      <c r="G4104">
        <v>57952000</v>
      </c>
      <c r="H4104">
        <f t="shared" si="256"/>
        <v>2013</v>
      </c>
      <c r="I4104">
        <f t="shared" si="257"/>
        <v>9</v>
      </c>
      <c r="J4104" t="str">
        <f t="shared" si="258"/>
        <v>Sep</v>
      </c>
      <c r="K4104" t="str">
        <f t="shared" si="259"/>
        <v>Tue</v>
      </c>
    </row>
    <row r="4105" spans="1:11" x14ac:dyDescent="0.35">
      <c r="A4105" s="1">
        <v>41521</v>
      </c>
      <c r="B4105">
        <v>14.416500091552701</v>
      </c>
      <c r="C4105">
        <v>14.7615003585815</v>
      </c>
      <c r="D4105">
        <v>14.378999710083001</v>
      </c>
      <c r="E4105">
        <v>14.6820001602172</v>
      </c>
      <c r="F4105">
        <v>14.6820001602172</v>
      </c>
      <c r="G4105">
        <v>48772000</v>
      </c>
      <c r="H4105">
        <f t="shared" si="256"/>
        <v>2013</v>
      </c>
      <c r="I4105">
        <f t="shared" si="257"/>
        <v>9</v>
      </c>
      <c r="J4105" t="str">
        <f t="shared" si="258"/>
        <v>Sep</v>
      </c>
      <c r="K4105" t="str">
        <f t="shared" si="259"/>
        <v>Wed</v>
      </c>
    </row>
    <row r="4106" spans="1:11" x14ac:dyDescent="0.35">
      <c r="A4106" s="1">
        <v>41522</v>
      </c>
      <c r="B4106">
        <v>14.681500434875399</v>
      </c>
      <c r="C4106">
        <v>14.8500003814697</v>
      </c>
      <c r="D4106">
        <v>14.635499954223601</v>
      </c>
      <c r="E4106">
        <v>14.704999923706</v>
      </c>
      <c r="F4106">
        <v>14.704999923706</v>
      </c>
      <c r="G4106">
        <v>36332000</v>
      </c>
      <c r="H4106">
        <f t="shared" si="256"/>
        <v>2013</v>
      </c>
      <c r="I4106">
        <f t="shared" si="257"/>
        <v>9</v>
      </c>
      <c r="J4106" t="str">
        <f t="shared" si="258"/>
        <v>Sep</v>
      </c>
      <c r="K4106" t="str">
        <f t="shared" si="259"/>
        <v>Thu</v>
      </c>
    </row>
    <row r="4107" spans="1:11" x14ac:dyDescent="0.35">
      <c r="A4107" s="1">
        <v>41523</v>
      </c>
      <c r="B4107">
        <v>14.766500473022401</v>
      </c>
      <c r="C4107">
        <v>14.9440002441406</v>
      </c>
      <c r="D4107">
        <v>14.539999961853001</v>
      </c>
      <c r="E4107">
        <v>14.793000221252401</v>
      </c>
      <c r="F4107">
        <v>14.793000221252401</v>
      </c>
      <c r="G4107">
        <v>45840000</v>
      </c>
      <c r="H4107">
        <f t="shared" si="256"/>
        <v>2013</v>
      </c>
      <c r="I4107">
        <f t="shared" si="257"/>
        <v>9</v>
      </c>
      <c r="J4107" t="str">
        <f t="shared" si="258"/>
        <v>Sep</v>
      </c>
      <c r="K4107" t="str">
        <f t="shared" si="259"/>
        <v>Fri</v>
      </c>
    </row>
    <row r="4108" spans="1:11" x14ac:dyDescent="0.35">
      <c r="A4108" s="1">
        <v>41526</v>
      </c>
      <c r="B4108">
        <v>14.861000061035099</v>
      </c>
      <c r="C4108">
        <v>14.9980001449584</v>
      </c>
      <c r="D4108">
        <v>14.829999923706</v>
      </c>
      <c r="E4108">
        <v>14.985500335693301</v>
      </c>
      <c r="F4108">
        <v>14.985500335693301</v>
      </c>
      <c r="G4108">
        <v>32872000</v>
      </c>
      <c r="H4108">
        <f t="shared" si="256"/>
        <v>2013</v>
      </c>
      <c r="I4108">
        <f t="shared" si="257"/>
        <v>9</v>
      </c>
      <c r="J4108" t="str">
        <f t="shared" si="258"/>
        <v>Sep</v>
      </c>
      <c r="K4108" t="str">
        <f t="shared" si="259"/>
        <v>Mon</v>
      </c>
    </row>
    <row r="4109" spans="1:11" x14ac:dyDescent="0.35">
      <c r="A4109" s="1">
        <v>41527</v>
      </c>
      <c r="B4109">
        <v>15.0275001525878</v>
      </c>
      <c r="C4109">
        <v>15.050000190734799</v>
      </c>
      <c r="D4109">
        <v>14.861000061035099</v>
      </c>
      <c r="E4109">
        <v>15.0179996490478</v>
      </c>
      <c r="F4109">
        <v>15.0179996490478</v>
      </c>
      <c r="G4109">
        <v>35568000</v>
      </c>
      <c r="H4109">
        <f t="shared" si="256"/>
        <v>2013</v>
      </c>
      <c r="I4109">
        <f t="shared" si="257"/>
        <v>9</v>
      </c>
      <c r="J4109" t="str">
        <f t="shared" si="258"/>
        <v>Sep</v>
      </c>
      <c r="K4109" t="str">
        <f t="shared" si="259"/>
        <v>Tue</v>
      </c>
    </row>
    <row r="4110" spans="1:11" x14ac:dyDescent="0.35">
      <c r="A4110" s="1">
        <v>41528</v>
      </c>
      <c r="B4110">
        <v>14.9455003738403</v>
      </c>
      <c r="C4110">
        <v>15.093000411987299</v>
      </c>
      <c r="D4110">
        <v>14.892000198364199</v>
      </c>
      <c r="E4110">
        <v>14.9820003509521</v>
      </c>
      <c r="F4110">
        <v>14.9820003509521</v>
      </c>
      <c r="G4110">
        <v>34852000</v>
      </c>
      <c r="H4110">
        <f t="shared" si="256"/>
        <v>2013</v>
      </c>
      <c r="I4110">
        <f t="shared" si="257"/>
        <v>9</v>
      </c>
      <c r="J4110" t="str">
        <f t="shared" si="258"/>
        <v>Sep</v>
      </c>
      <c r="K4110" t="str">
        <f t="shared" si="259"/>
        <v>Wed</v>
      </c>
    </row>
    <row r="4111" spans="1:11" x14ac:dyDescent="0.35">
      <c r="A4111" s="1">
        <v>41529</v>
      </c>
      <c r="B4111">
        <v>14.969499588012599</v>
      </c>
      <c r="C4111">
        <v>15.1000003814697</v>
      </c>
      <c r="D4111">
        <v>14.8830003738403</v>
      </c>
      <c r="E4111">
        <v>14.942999839782701</v>
      </c>
      <c r="F4111">
        <v>14.942999839782701</v>
      </c>
      <c r="G4111">
        <v>32124000</v>
      </c>
      <c r="H4111">
        <f t="shared" si="256"/>
        <v>2013</v>
      </c>
      <c r="I4111">
        <f t="shared" si="257"/>
        <v>9</v>
      </c>
      <c r="J4111" t="str">
        <f t="shared" si="258"/>
        <v>Sep</v>
      </c>
      <c r="K4111" t="str">
        <f t="shared" si="259"/>
        <v>Thu</v>
      </c>
    </row>
    <row r="4112" spans="1:11" x14ac:dyDescent="0.35">
      <c r="A4112" s="1">
        <v>41530</v>
      </c>
      <c r="B4112">
        <v>15.006999969482401</v>
      </c>
      <c r="C4112">
        <v>15.010999679565399</v>
      </c>
      <c r="D4112">
        <v>14.810000419616699</v>
      </c>
      <c r="E4112">
        <v>14.8959999084472</v>
      </c>
      <c r="F4112">
        <v>14.8959999084472</v>
      </c>
      <c r="G4112">
        <v>27012000</v>
      </c>
      <c r="H4112">
        <f t="shared" si="256"/>
        <v>2013</v>
      </c>
      <c r="I4112">
        <f t="shared" si="257"/>
        <v>9</v>
      </c>
      <c r="J4112" t="str">
        <f t="shared" si="258"/>
        <v>Sep</v>
      </c>
      <c r="K4112" t="str">
        <f t="shared" si="259"/>
        <v>Fri</v>
      </c>
    </row>
    <row r="4113" spans="1:11" x14ac:dyDescent="0.35">
      <c r="A4113" s="1">
        <v>41533</v>
      </c>
      <c r="B4113">
        <v>14.991000175476</v>
      </c>
      <c r="C4113">
        <v>15.050000190734799</v>
      </c>
      <c r="D4113">
        <v>14.7629995346069</v>
      </c>
      <c r="E4113">
        <v>14.803000450134199</v>
      </c>
      <c r="F4113">
        <v>14.803000450134199</v>
      </c>
      <c r="G4113">
        <v>36168000</v>
      </c>
      <c r="H4113">
        <f t="shared" si="256"/>
        <v>2013</v>
      </c>
      <c r="I4113">
        <f t="shared" si="257"/>
        <v>9</v>
      </c>
      <c r="J4113" t="str">
        <f t="shared" si="258"/>
        <v>Sep</v>
      </c>
      <c r="K4113" t="str">
        <f t="shared" si="259"/>
        <v>Mon</v>
      </c>
    </row>
    <row r="4114" spans="1:11" x14ac:dyDescent="0.35">
      <c r="A4114" s="1">
        <v>41534</v>
      </c>
      <c r="B4114">
        <v>14.8815002441406</v>
      </c>
      <c r="C4114">
        <v>15.232500076293899</v>
      </c>
      <c r="D4114">
        <v>14.8004999160766</v>
      </c>
      <c r="E4114">
        <v>15.2084999084472</v>
      </c>
      <c r="F4114">
        <v>15.2084999084472</v>
      </c>
      <c r="G4114">
        <v>45930000</v>
      </c>
      <c r="H4114">
        <f t="shared" si="256"/>
        <v>2013</v>
      </c>
      <c r="I4114">
        <f t="shared" si="257"/>
        <v>9</v>
      </c>
      <c r="J4114" t="str">
        <f t="shared" si="258"/>
        <v>Sep</v>
      </c>
      <c r="K4114" t="str">
        <f t="shared" si="259"/>
        <v>Tue</v>
      </c>
    </row>
    <row r="4115" spans="1:11" x14ac:dyDescent="0.35">
      <c r="A4115" s="1">
        <v>41535</v>
      </c>
      <c r="B4115">
        <v>15.203000068664499</v>
      </c>
      <c r="C4115">
        <v>15.637000083923301</v>
      </c>
      <c r="D4115">
        <v>15.145500183105399</v>
      </c>
      <c r="E4115">
        <v>15.601499557495099</v>
      </c>
      <c r="F4115">
        <v>15.601499557495099</v>
      </c>
      <c r="G4115">
        <v>58928000</v>
      </c>
      <c r="H4115">
        <f t="shared" si="256"/>
        <v>2013</v>
      </c>
      <c r="I4115">
        <f t="shared" si="257"/>
        <v>9</v>
      </c>
      <c r="J4115" t="str">
        <f t="shared" si="258"/>
        <v>Sep</v>
      </c>
      <c r="K4115" t="str">
        <f t="shared" si="259"/>
        <v>Wed</v>
      </c>
    </row>
    <row r="4116" spans="1:11" x14ac:dyDescent="0.35">
      <c r="A4116" s="1">
        <v>41536</v>
      </c>
      <c r="B4116">
        <v>15.688500404357899</v>
      </c>
      <c r="C4116">
        <v>15.7270002365112</v>
      </c>
      <c r="D4116">
        <v>15.5520000457763</v>
      </c>
      <c r="E4116">
        <v>15.602999687194799</v>
      </c>
      <c r="F4116">
        <v>15.602999687194799</v>
      </c>
      <c r="G4116">
        <v>47018000</v>
      </c>
      <c r="H4116">
        <f t="shared" si="256"/>
        <v>2013</v>
      </c>
      <c r="I4116">
        <f t="shared" si="257"/>
        <v>9</v>
      </c>
      <c r="J4116" t="str">
        <f t="shared" si="258"/>
        <v>Sep</v>
      </c>
      <c r="K4116" t="str">
        <f t="shared" si="259"/>
        <v>Thu</v>
      </c>
    </row>
    <row r="4117" spans="1:11" x14ac:dyDescent="0.35">
      <c r="A4117" s="1">
        <v>41537</v>
      </c>
      <c r="B4117">
        <v>15.6269998550415</v>
      </c>
      <c r="C4117">
        <v>16.028499603271399</v>
      </c>
      <c r="D4117">
        <v>15.620499610900801</v>
      </c>
      <c r="E4117">
        <v>15.8170003890991</v>
      </c>
      <c r="F4117">
        <v>15.8170003890991</v>
      </c>
      <c r="G4117">
        <v>106046000</v>
      </c>
      <c r="H4117">
        <f t="shared" si="256"/>
        <v>2013</v>
      </c>
      <c r="I4117">
        <f t="shared" si="257"/>
        <v>9</v>
      </c>
      <c r="J4117" t="str">
        <f t="shared" si="258"/>
        <v>Sep</v>
      </c>
      <c r="K4117" t="str">
        <f t="shared" si="259"/>
        <v>Fri</v>
      </c>
    </row>
    <row r="4118" spans="1:11" x14ac:dyDescent="0.35">
      <c r="A4118" s="1">
        <v>41540</v>
      </c>
      <c r="B4118">
        <v>15.7004995346069</v>
      </c>
      <c r="C4118">
        <v>15.795000076293899</v>
      </c>
      <c r="D4118">
        <v>15.438500404357899</v>
      </c>
      <c r="E4118">
        <v>15.574500083923301</v>
      </c>
      <c r="F4118">
        <v>15.574500083923301</v>
      </c>
      <c r="G4118">
        <v>37698000</v>
      </c>
      <c r="H4118">
        <f t="shared" si="256"/>
        <v>2013</v>
      </c>
      <c r="I4118">
        <f t="shared" si="257"/>
        <v>9</v>
      </c>
      <c r="J4118" t="str">
        <f t="shared" si="258"/>
        <v>Sep</v>
      </c>
      <c r="K4118" t="str">
        <f t="shared" si="259"/>
        <v>Mon</v>
      </c>
    </row>
    <row r="4119" spans="1:11" x14ac:dyDescent="0.35">
      <c r="A4119" s="1">
        <v>41541</v>
      </c>
      <c r="B4119">
        <v>15.6215000152587</v>
      </c>
      <c r="C4119">
        <v>15.9040002822875</v>
      </c>
      <c r="D4119">
        <v>15.5640001296997</v>
      </c>
      <c r="E4119">
        <v>15.7065000534057</v>
      </c>
      <c r="F4119">
        <v>15.7065000534057</v>
      </c>
      <c r="G4119">
        <v>40672000</v>
      </c>
      <c r="H4119">
        <f t="shared" si="256"/>
        <v>2013</v>
      </c>
      <c r="I4119">
        <f t="shared" si="257"/>
        <v>9</v>
      </c>
      <c r="J4119" t="str">
        <f t="shared" si="258"/>
        <v>Sep</v>
      </c>
      <c r="K4119" t="str">
        <f t="shared" si="259"/>
        <v>Tue</v>
      </c>
    </row>
    <row r="4120" spans="1:11" x14ac:dyDescent="0.35">
      <c r="A4120" s="1">
        <v>41542</v>
      </c>
      <c r="B4120">
        <v>15.726499557495099</v>
      </c>
      <c r="C4120">
        <v>15.8354997634887</v>
      </c>
      <c r="D4120">
        <v>15.5375003814697</v>
      </c>
      <c r="E4120">
        <v>15.632499694824199</v>
      </c>
      <c r="F4120">
        <v>15.632499694824199</v>
      </c>
      <c r="G4120">
        <v>40172000</v>
      </c>
      <c r="H4120">
        <f t="shared" si="256"/>
        <v>2013</v>
      </c>
      <c r="I4120">
        <f t="shared" si="257"/>
        <v>9</v>
      </c>
      <c r="J4120" t="str">
        <f t="shared" si="258"/>
        <v>Sep</v>
      </c>
      <c r="K4120" t="str">
        <f t="shared" si="259"/>
        <v>Wed</v>
      </c>
    </row>
    <row r="4121" spans="1:11" x14ac:dyDescent="0.35">
      <c r="A4121" s="1">
        <v>41543</v>
      </c>
      <c r="B4121">
        <v>15.694999694824199</v>
      </c>
      <c r="C4121">
        <v>15.9685001373291</v>
      </c>
      <c r="D4121">
        <v>15.6630001068115</v>
      </c>
      <c r="E4121">
        <v>15.9060001373291</v>
      </c>
      <c r="F4121">
        <v>15.9060001373291</v>
      </c>
      <c r="G4121">
        <v>39798000</v>
      </c>
      <c r="H4121">
        <f t="shared" si="256"/>
        <v>2013</v>
      </c>
      <c r="I4121">
        <f t="shared" si="257"/>
        <v>9</v>
      </c>
      <c r="J4121" t="str">
        <f t="shared" si="258"/>
        <v>Sep</v>
      </c>
      <c r="K4121" t="str">
        <f t="shared" si="259"/>
        <v>Thu</v>
      </c>
    </row>
    <row r="4122" spans="1:11" x14ac:dyDescent="0.35">
      <c r="A4122" s="1">
        <v>41544</v>
      </c>
      <c r="B4122">
        <v>15.845999717712401</v>
      </c>
      <c r="C4122">
        <v>15.860500335693301</v>
      </c>
      <c r="D4122">
        <v>15.6674995422363</v>
      </c>
      <c r="E4122">
        <v>15.8004999160766</v>
      </c>
      <c r="F4122">
        <v>15.8004999160766</v>
      </c>
      <c r="G4122">
        <v>33150000</v>
      </c>
      <c r="H4122">
        <f t="shared" si="256"/>
        <v>2013</v>
      </c>
      <c r="I4122">
        <f t="shared" si="257"/>
        <v>9</v>
      </c>
      <c r="J4122" t="str">
        <f t="shared" si="258"/>
        <v>Sep</v>
      </c>
      <c r="K4122" t="str">
        <f t="shared" si="259"/>
        <v>Fri</v>
      </c>
    </row>
    <row r="4123" spans="1:11" x14ac:dyDescent="0.35">
      <c r="A4123" s="1">
        <v>41547</v>
      </c>
      <c r="B4123">
        <v>15.6704998016357</v>
      </c>
      <c r="C4123">
        <v>15.765500068664499</v>
      </c>
      <c r="D4123">
        <v>15.553000450134199</v>
      </c>
      <c r="E4123">
        <v>15.631999969482401</v>
      </c>
      <c r="F4123">
        <v>15.631999969482401</v>
      </c>
      <c r="G4123">
        <v>32472000</v>
      </c>
      <c r="H4123">
        <f t="shared" si="256"/>
        <v>2013</v>
      </c>
      <c r="I4123">
        <f t="shared" si="257"/>
        <v>9</v>
      </c>
      <c r="J4123" t="str">
        <f t="shared" si="258"/>
        <v>Sep</v>
      </c>
      <c r="K4123" t="str">
        <f t="shared" si="259"/>
        <v>Mon</v>
      </c>
    </row>
    <row r="4124" spans="1:11" x14ac:dyDescent="0.35">
      <c r="A4124" s="1">
        <v>41548</v>
      </c>
      <c r="B4124">
        <v>15.711000442504799</v>
      </c>
      <c r="C4124">
        <v>16.049999237060501</v>
      </c>
      <c r="D4124">
        <v>15.682499885559</v>
      </c>
      <c r="E4124">
        <v>16.047500610351499</v>
      </c>
      <c r="F4124">
        <v>16.047500610351499</v>
      </c>
      <c r="G4124">
        <v>47928000</v>
      </c>
      <c r="H4124">
        <f t="shared" si="256"/>
        <v>2013</v>
      </c>
      <c r="I4124">
        <f t="shared" si="257"/>
        <v>10</v>
      </c>
      <c r="J4124" t="str">
        <f t="shared" si="258"/>
        <v>Oct</v>
      </c>
      <c r="K4124" t="str">
        <f t="shared" si="259"/>
        <v>Tue</v>
      </c>
    </row>
    <row r="4125" spans="1:11" x14ac:dyDescent="0.35">
      <c r="A4125" s="1">
        <v>41549</v>
      </c>
      <c r="B4125">
        <v>15.902000427246</v>
      </c>
      <c r="C4125">
        <v>16.086500167846602</v>
      </c>
      <c r="D4125">
        <v>15.876000404357899</v>
      </c>
      <c r="E4125">
        <v>16.025499343871999</v>
      </c>
      <c r="F4125">
        <v>16.025499343871999</v>
      </c>
      <c r="G4125">
        <v>44348000</v>
      </c>
      <c r="H4125">
        <f t="shared" si="256"/>
        <v>2013</v>
      </c>
      <c r="I4125">
        <f t="shared" si="257"/>
        <v>10</v>
      </c>
      <c r="J4125" t="str">
        <f t="shared" si="258"/>
        <v>Oct</v>
      </c>
      <c r="K4125" t="str">
        <f t="shared" si="259"/>
        <v>Wed</v>
      </c>
    </row>
    <row r="4126" spans="1:11" x14ac:dyDescent="0.35">
      <c r="A4126" s="1">
        <v>41550</v>
      </c>
      <c r="B4126">
        <v>16.0195007324218</v>
      </c>
      <c r="C4126">
        <v>16.145999908447202</v>
      </c>
      <c r="D4126">
        <v>15.6510000228881</v>
      </c>
      <c r="E4126">
        <v>15.7379999160766</v>
      </c>
      <c r="F4126">
        <v>15.7379999160766</v>
      </c>
      <c r="G4126">
        <v>53496000</v>
      </c>
      <c r="H4126">
        <f t="shared" si="256"/>
        <v>2013</v>
      </c>
      <c r="I4126">
        <f t="shared" si="257"/>
        <v>10</v>
      </c>
      <c r="J4126" t="str">
        <f t="shared" si="258"/>
        <v>Oct</v>
      </c>
      <c r="K4126" t="str">
        <f t="shared" si="259"/>
        <v>Thu</v>
      </c>
    </row>
    <row r="4127" spans="1:11" x14ac:dyDescent="0.35">
      <c r="A4127" s="1">
        <v>41551</v>
      </c>
      <c r="B4127">
        <v>15.7565002441406</v>
      </c>
      <c r="C4127">
        <v>15.9600000381469</v>
      </c>
      <c r="D4127">
        <v>15.630999565124499</v>
      </c>
      <c r="E4127">
        <v>15.9519996643066</v>
      </c>
      <c r="F4127">
        <v>15.9519996643066</v>
      </c>
      <c r="G4127">
        <v>36300000</v>
      </c>
      <c r="H4127">
        <f t="shared" si="256"/>
        <v>2013</v>
      </c>
      <c r="I4127">
        <f t="shared" si="257"/>
        <v>10</v>
      </c>
      <c r="J4127" t="str">
        <f t="shared" si="258"/>
        <v>Oct</v>
      </c>
      <c r="K4127" t="str">
        <f t="shared" si="259"/>
        <v>Fri</v>
      </c>
    </row>
    <row r="4128" spans="1:11" x14ac:dyDescent="0.35">
      <c r="A4128" s="1">
        <v>41554</v>
      </c>
      <c r="B4128">
        <v>15.762000083923301</v>
      </c>
      <c r="C4128">
        <v>15.767000198364199</v>
      </c>
      <c r="D4128">
        <v>15.487000465393001</v>
      </c>
      <c r="E4128">
        <v>15.5015001296997</v>
      </c>
      <c r="F4128">
        <v>15.5015001296997</v>
      </c>
      <c r="G4128">
        <v>41664000</v>
      </c>
      <c r="H4128">
        <f t="shared" si="256"/>
        <v>2013</v>
      </c>
      <c r="I4128">
        <f t="shared" si="257"/>
        <v>10</v>
      </c>
      <c r="J4128" t="str">
        <f t="shared" si="258"/>
        <v>Oct</v>
      </c>
      <c r="K4128" t="str">
        <f t="shared" si="259"/>
        <v>Mon</v>
      </c>
    </row>
    <row r="4129" spans="1:11" x14ac:dyDescent="0.35">
      <c r="A4129" s="1">
        <v>41555</v>
      </c>
      <c r="B4129">
        <v>15.574999809265099</v>
      </c>
      <c r="C4129">
        <v>15.577500343322701</v>
      </c>
      <c r="D4129">
        <v>15.013500213623001</v>
      </c>
      <c r="E4129">
        <v>15.1614999771118</v>
      </c>
      <c r="F4129">
        <v>15.1614999771118</v>
      </c>
      <c r="G4129">
        <v>63324000</v>
      </c>
      <c r="H4129">
        <f t="shared" si="256"/>
        <v>2013</v>
      </c>
      <c r="I4129">
        <f t="shared" si="257"/>
        <v>10</v>
      </c>
      <c r="J4129" t="str">
        <f t="shared" si="258"/>
        <v>Oct</v>
      </c>
      <c r="K4129" t="str">
        <f t="shared" si="259"/>
        <v>Tue</v>
      </c>
    </row>
    <row r="4130" spans="1:11" x14ac:dyDescent="0.35">
      <c r="A4130" s="1">
        <v>41556</v>
      </c>
      <c r="B4130">
        <v>15.1709995269775</v>
      </c>
      <c r="C4130">
        <v>15.175000190734799</v>
      </c>
      <c r="D4130">
        <v>14.824999809265099</v>
      </c>
      <c r="E4130">
        <v>14.9114999771118</v>
      </c>
      <c r="F4130">
        <v>14.9114999771118</v>
      </c>
      <c r="G4130">
        <v>64948000</v>
      </c>
      <c r="H4130">
        <f t="shared" si="256"/>
        <v>2013</v>
      </c>
      <c r="I4130">
        <f t="shared" si="257"/>
        <v>10</v>
      </c>
      <c r="J4130" t="str">
        <f t="shared" si="258"/>
        <v>Oct</v>
      </c>
      <c r="K4130" t="str">
        <f t="shared" si="259"/>
        <v>Wed</v>
      </c>
    </row>
    <row r="4131" spans="1:11" x14ac:dyDescent="0.35">
      <c r="A4131" s="1">
        <v>41557</v>
      </c>
      <c r="B4131">
        <v>15.231499671936</v>
      </c>
      <c r="C4131">
        <v>15.3350000381469</v>
      </c>
      <c r="D4131">
        <v>15.1295003890991</v>
      </c>
      <c r="E4131">
        <v>15.2585000991821</v>
      </c>
      <c r="F4131">
        <v>15.2585000991821</v>
      </c>
      <c r="G4131">
        <v>51102000</v>
      </c>
      <c r="H4131">
        <f t="shared" si="256"/>
        <v>2013</v>
      </c>
      <c r="I4131">
        <f t="shared" si="257"/>
        <v>10</v>
      </c>
      <c r="J4131" t="str">
        <f t="shared" si="258"/>
        <v>Oct</v>
      </c>
      <c r="K4131" t="str">
        <f t="shared" si="259"/>
        <v>Thu</v>
      </c>
    </row>
    <row r="4132" spans="1:11" x14ac:dyDescent="0.35">
      <c r="A4132" s="1">
        <v>41558</v>
      </c>
      <c r="B4132">
        <v>15.2384996414184</v>
      </c>
      <c r="C4132">
        <v>15.546500205993601</v>
      </c>
      <c r="D4132">
        <v>15.1920003890991</v>
      </c>
      <c r="E4132">
        <v>15.5445003509521</v>
      </c>
      <c r="F4132">
        <v>15.5445003509521</v>
      </c>
      <c r="G4132">
        <v>43262000</v>
      </c>
      <c r="H4132">
        <f t="shared" si="256"/>
        <v>2013</v>
      </c>
      <c r="I4132">
        <f t="shared" si="257"/>
        <v>10</v>
      </c>
      <c r="J4132" t="str">
        <f t="shared" si="258"/>
        <v>Oct</v>
      </c>
      <c r="K4132" t="str">
        <f t="shared" si="259"/>
        <v>Fri</v>
      </c>
    </row>
    <row r="4133" spans="1:11" x14ac:dyDescent="0.35">
      <c r="A4133" s="1">
        <v>41561</v>
      </c>
      <c r="B4133">
        <v>15.461000442504799</v>
      </c>
      <c r="C4133">
        <v>15.582500457763601</v>
      </c>
      <c r="D4133">
        <v>15.3500003814697</v>
      </c>
      <c r="E4133">
        <v>15.5349998474121</v>
      </c>
      <c r="F4133">
        <v>15.5349998474121</v>
      </c>
      <c r="G4133">
        <v>38782000</v>
      </c>
      <c r="H4133">
        <f t="shared" si="256"/>
        <v>2013</v>
      </c>
      <c r="I4133">
        <f t="shared" si="257"/>
        <v>10</v>
      </c>
      <c r="J4133" t="str">
        <f t="shared" si="258"/>
        <v>Oct</v>
      </c>
      <c r="K4133" t="str">
        <f t="shared" si="259"/>
        <v>Mon</v>
      </c>
    </row>
    <row r="4134" spans="1:11" x14ac:dyDescent="0.35">
      <c r="A4134" s="1">
        <v>41562</v>
      </c>
      <c r="B4134">
        <v>15.4934997558593</v>
      </c>
      <c r="C4134">
        <v>15.5395002365112</v>
      </c>
      <c r="D4134">
        <v>15.2629995346069</v>
      </c>
      <c r="E4134">
        <v>15.319999694824199</v>
      </c>
      <c r="F4134">
        <v>15.319999694824199</v>
      </c>
      <c r="G4134">
        <v>45222000</v>
      </c>
      <c r="H4134">
        <f t="shared" si="256"/>
        <v>2013</v>
      </c>
      <c r="I4134">
        <f t="shared" si="257"/>
        <v>10</v>
      </c>
      <c r="J4134" t="str">
        <f t="shared" si="258"/>
        <v>Oct</v>
      </c>
      <c r="K4134" t="str">
        <f t="shared" si="259"/>
        <v>Tue</v>
      </c>
    </row>
    <row r="4135" spans="1:11" x14ac:dyDescent="0.35">
      <c r="A4135" s="1">
        <v>41563</v>
      </c>
      <c r="B4135">
        <v>15.418999671936</v>
      </c>
      <c r="C4135">
        <v>15.539999961853001</v>
      </c>
      <c r="D4135">
        <v>15.2775001525878</v>
      </c>
      <c r="E4135">
        <v>15.5244998931884</v>
      </c>
      <c r="F4135">
        <v>15.5244998931884</v>
      </c>
      <c r="G4135">
        <v>43414000</v>
      </c>
      <c r="H4135">
        <f t="shared" si="256"/>
        <v>2013</v>
      </c>
      <c r="I4135">
        <f t="shared" si="257"/>
        <v>10</v>
      </c>
      <c r="J4135" t="str">
        <f t="shared" si="258"/>
        <v>Oct</v>
      </c>
      <c r="K4135" t="str">
        <f t="shared" si="259"/>
        <v>Wed</v>
      </c>
    </row>
    <row r="4136" spans="1:11" x14ac:dyDescent="0.35">
      <c r="A4136" s="1">
        <v>41564</v>
      </c>
      <c r="B4136">
        <v>15.3535003662109</v>
      </c>
      <c r="C4136">
        <v>15.550000190734799</v>
      </c>
      <c r="D4136">
        <v>15.262000083923301</v>
      </c>
      <c r="E4136">
        <v>15.538499832153301</v>
      </c>
      <c r="F4136">
        <v>15.538499832153301</v>
      </c>
      <c r="G4136">
        <v>52968000</v>
      </c>
      <c r="H4136">
        <f t="shared" si="256"/>
        <v>2013</v>
      </c>
      <c r="I4136">
        <f t="shared" si="257"/>
        <v>10</v>
      </c>
      <c r="J4136" t="str">
        <f t="shared" si="258"/>
        <v>Oct</v>
      </c>
      <c r="K4136" t="str">
        <f t="shared" si="259"/>
        <v>Thu</v>
      </c>
    </row>
    <row r="4137" spans="1:11" x14ac:dyDescent="0.35">
      <c r="A4137" s="1">
        <v>41565</v>
      </c>
      <c r="B4137">
        <v>15.968000411987299</v>
      </c>
      <c r="C4137">
        <v>16.594499588012599</v>
      </c>
      <c r="D4137">
        <v>15.837499618530201</v>
      </c>
      <c r="E4137">
        <v>16.4465007781982</v>
      </c>
      <c r="F4137">
        <v>16.4465007781982</v>
      </c>
      <c r="G4137">
        <v>119396000</v>
      </c>
      <c r="H4137">
        <f t="shared" si="256"/>
        <v>2013</v>
      </c>
      <c r="I4137">
        <f t="shared" si="257"/>
        <v>10</v>
      </c>
      <c r="J4137" t="str">
        <f t="shared" si="258"/>
        <v>Oct</v>
      </c>
      <c r="K4137" t="str">
        <f t="shared" si="259"/>
        <v>Fri</v>
      </c>
    </row>
    <row r="4138" spans="1:11" x14ac:dyDescent="0.35">
      <c r="A4138" s="1">
        <v>41568</v>
      </c>
      <c r="B4138">
        <v>16.494499206542901</v>
      </c>
      <c r="C4138">
        <v>16.5</v>
      </c>
      <c r="D4138">
        <v>16.190000534057599</v>
      </c>
      <c r="E4138">
        <v>16.32200050354</v>
      </c>
      <c r="F4138">
        <v>16.32200050354</v>
      </c>
      <c r="G4138">
        <v>50446000</v>
      </c>
      <c r="H4138">
        <f t="shared" si="256"/>
        <v>2013</v>
      </c>
      <c r="I4138">
        <f t="shared" si="257"/>
        <v>10</v>
      </c>
      <c r="J4138" t="str">
        <f t="shared" si="258"/>
        <v>Oct</v>
      </c>
      <c r="K4138" t="str">
        <f t="shared" si="259"/>
        <v>Mon</v>
      </c>
    </row>
    <row r="4139" spans="1:11" x14ac:dyDescent="0.35">
      <c r="A4139" s="1">
        <v>41569</v>
      </c>
      <c r="B4139">
        <v>16.385999679565401</v>
      </c>
      <c r="C4139">
        <v>16.8554992675781</v>
      </c>
      <c r="D4139">
        <v>16.284000396728501</v>
      </c>
      <c r="E4139">
        <v>16.627000808715799</v>
      </c>
      <c r="F4139">
        <v>16.627000808715799</v>
      </c>
      <c r="G4139">
        <v>78710000</v>
      </c>
      <c r="H4139">
        <f t="shared" si="256"/>
        <v>2013</v>
      </c>
      <c r="I4139">
        <f t="shared" si="257"/>
        <v>10</v>
      </c>
      <c r="J4139" t="str">
        <f t="shared" si="258"/>
        <v>Oct</v>
      </c>
      <c r="K4139" t="str">
        <f t="shared" si="259"/>
        <v>Tue</v>
      </c>
    </row>
    <row r="4140" spans="1:11" x14ac:dyDescent="0.35">
      <c r="A4140" s="1">
        <v>41570</v>
      </c>
      <c r="B4140">
        <v>16.541999816894499</v>
      </c>
      <c r="C4140">
        <v>16.586000442504801</v>
      </c>
      <c r="D4140">
        <v>16.202999114990199</v>
      </c>
      <c r="E4140">
        <v>16.337999343871999</v>
      </c>
      <c r="F4140">
        <v>16.337999343871999</v>
      </c>
      <c r="G4140">
        <v>56364000</v>
      </c>
      <c r="H4140">
        <f t="shared" si="256"/>
        <v>2013</v>
      </c>
      <c r="I4140">
        <f t="shared" si="257"/>
        <v>10</v>
      </c>
      <c r="J4140" t="str">
        <f t="shared" si="258"/>
        <v>Oct</v>
      </c>
      <c r="K4140" t="str">
        <f t="shared" si="259"/>
        <v>Wed</v>
      </c>
    </row>
    <row r="4141" spans="1:11" x14ac:dyDescent="0.35">
      <c r="A4141" s="1">
        <v>41571</v>
      </c>
      <c r="B4141">
        <v>16.481500625610298</v>
      </c>
      <c r="C4141">
        <v>16.632499694824201</v>
      </c>
      <c r="D4141">
        <v>16.337499618530199</v>
      </c>
      <c r="E4141">
        <v>16.610500335693299</v>
      </c>
      <c r="F4141">
        <v>16.610500335693299</v>
      </c>
      <c r="G4141">
        <v>117694000</v>
      </c>
      <c r="H4141">
        <f t="shared" si="256"/>
        <v>2013</v>
      </c>
      <c r="I4141">
        <f t="shared" si="257"/>
        <v>10</v>
      </c>
      <c r="J4141" t="str">
        <f t="shared" si="258"/>
        <v>Oct</v>
      </c>
      <c r="K4141" t="str">
        <f t="shared" si="259"/>
        <v>Thu</v>
      </c>
    </row>
    <row r="4142" spans="1:11" x14ac:dyDescent="0.35">
      <c r="A4142" s="1">
        <v>41572</v>
      </c>
      <c r="B4142">
        <v>17.9300003051757</v>
      </c>
      <c r="C4142">
        <v>18.420000076293899</v>
      </c>
      <c r="D4142">
        <v>17.6310005187988</v>
      </c>
      <c r="E4142">
        <v>18.169500350952099</v>
      </c>
      <c r="F4142">
        <v>18.169500350952099</v>
      </c>
      <c r="G4142">
        <v>240736000</v>
      </c>
      <c r="H4142">
        <f t="shared" si="256"/>
        <v>2013</v>
      </c>
      <c r="I4142">
        <f t="shared" si="257"/>
        <v>10</v>
      </c>
      <c r="J4142" t="str">
        <f t="shared" si="258"/>
        <v>Oct</v>
      </c>
      <c r="K4142" t="str">
        <f t="shared" si="259"/>
        <v>Fri</v>
      </c>
    </row>
    <row r="4143" spans="1:11" x14ac:dyDescent="0.35">
      <c r="A4143" s="1">
        <v>41575</v>
      </c>
      <c r="B4143">
        <v>17.9960002899169</v>
      </c>
      <c r="C4143">
        <v>18.1375007629394</v>
      </c>
      <c r="D4143">
        <v>17.860000610351499</v>
      </c>
      <c r="E4143">
        <v>17.908000946044901</v>
      </c>
      <c r="F4143">
        <v>17.908000946044901</v>
      </c>
      <c r="G4143">
        <v>72716000</v>
      </c>
      <c r="H4143">
        <f t="shared" si="256"/>
        <v>2013</v>
      </c>
      <c r="I4143">
        <f t="shared" si="257"/>
        <v>10</v>
      </c>
      <c r="J4143" t="str">
        <f t="shared" si="258"/>
        <v>Oct</v>
      </c>
      <c r="K4143" t="str">
        <f t="shared" si="259"/>
        <v>Mon</v>
      </c>
    </row>
    <row r="4144" spans="1:11" x14ac:dyDescent="0.35">
      <c r="A4144" s="1">
        <v>41576</v>
      </c>
      <c r="B4144">
        <v>17.947999954223601</v>
      </c>
      <c r="C4144">
        <v>18.1445007324218</v>
      </c>
      <c r="D4144">
        <v>17.814500808715799</v>
      </c>
      <c r="E4144">
        <v>18.1350002288818</v>
      </c>
      <c r="F4144">
        <v>18.1350002288818</v>
      </c>
      <c r="G4144">
        <v>43708000</v>
      </c>
      <c r="H4144">
        <f t="shared" si="256"/>
        <v>2013</v>
      </c>
      <c r="I4144">
        <f t="shared" si="257"/>
        <v>10</v>
      </c>
      <c r="J4144" t="str">
        <f t="shared" si="258"/>
        <v>Oct</v>
      </c>
      <c r="K4144" t="str">
        <f t="shared" si="259"/>
        <v>Tue</v>
      </c>
    </row>
    <row r="4145" spans="1:11" x14ac:dyDescent="0.35">
      <c r="A4145" s="1">
        <v>41577</v>
      </c>
      <c r="B4145">
        <v>18.1310005187988</v>
      </c>
      <c r="C4145">
        <v>18.25</v>
      </c>
      <c r="D4145">
        <v>17.932500839233398</v>
      </c>
      <c r="E4145">
        <v>18.054000854492099</v>
      </c>
      <c r="F4145">
        <v>18.054000854492099</v>
      </c>
      <c r="G4145">
        <v>90044000</v>
      </c>
      <c r="H4145">
        <f t="shared" si="256"/>
        <v>2013</v>
      </c>
      <c r="I4145">
        <f t="shared" si="257"/>
        <v>10</v>
      </c>
      <c r="J4145" t="str">
        <f t="shared" si="258"/>
        <v>Oct</v>
      </c>
      <c r="K4145" t="str">
        <f t="shared" si="259"/>
        <v>Wed</v>
      </c>
    </row>
    <row r="4146" spans="1:11" x14ac:dyDescent="0.35">
      <c r="A4146" s="1">
        <v>41578</v>
      </c>
      <c r="B4146">
        <v>18.086500167846602</v>
      </c>
      <c r="C4146">
        <v>18.299999237060501</v>
      </c>
      <c r="D4146">
        <v>17.9500007629394</v>
      </c>
      <c r="E4146">
        <v>18.201499938964801</v>
      </c>
      <c r="F4146">
        <v>18.201499938964801</v>
      </c>
      <c r="G4146">
        <v>49336000</v>
      </c>
      <c r="H4146">
        <f t="shared" si="256"/>
        <v>2013</v>
      </c>
      <c r="I4146">
        <f t="shared" si="257"/>
        <v>10</v>
      </c>
      <c r="J4146" t="str">
        <f t="shared" si="258"/>
        <v>Oct</v>
      </c>
      <c r="K4146" t="str">
        <f t="shared" si="259"/>
        <v>Thu</v>
      </c>
    </row>
    <row r="4147" spans="1:11" x14ac:dyDescent="0.35">
      <c r="A4147" s="1">
        <v>41579</v>
      </c>
      <c r="B4147">
        <v>18.281499862670898</v>
      </c>
      <c r="C4147">
        <v>18.288499832153299</v>
      </c>
      <c r="D4147">
        <v>17.8050003051757</v>
      </c>
      <c r="E4147">
        <v>17.9500007629394</v>
      </c>
      <c r="F4147">
        <v>17.9500007629394</v>
      </c>
      <c r="G4147">
        <v>66620000</v>
      </c>
      <c r="H4147">
        <f t="shared" si="256"/>
        <v>2013</v>
      </c>
      <c r="I4147">
        <f t="shared" si="257"/>
        <v>11</v>
      </c>
      <c r="J4147" t="str">
        <f t="shared" si="258"/>
        <v>Nov</v>
      </c>
      <c r="K4147" t="str">
        <f t="shared" si="259"/>
        <v>Fri</v>
      </c>
    </row>
    <row r="4148" spans="1:11" x14ac:dyDescent="0.35">
      <c r="A4148" s="1">
        <v>41582</v>
      </c>
      <c r="B4148">
        <v>18.0060005187988</v>
      </c>
      <c r="C4148">
        <v>18.049999237060501</v>
      </c>
      <c r="D4148">
        <v>17.7199993133544</v>
      </c>
      <c r="E4148">
        <v>17.9370002746582</v>
      </c>
      <c r="F4148">
        <v>17.9370002746582</v>
      </c>
      <c r="G4148">
        <v>38768000</v>
      </c>
      <c r="H4148">
        <f t="shared" si="256"/>
        <v>2013</v>
      </c>
      <c r="I4148">
        <f t="shared" si="257"/>
        <v>11</v>
      </c>
      <c r="J4148" t="str">
        <f t="shared" si="258"/>
        <v>Nov</v>
      </c>
      <c r="K4148" t="str">
        <f t="shared" si="259"/>
        <v>Mon</v>
      </c>
    </row>
    <row r="4149" spans="1:11" x14ac:dyDescent="0.35">
      <c r="A4149" s="1">
        <v>41583</v>
      </c>
      <c r="B4149">
        <v>17.839000701904201</v>
      </c>
      <c r="C4149">
        <v>18.008499145507798</v>
      </c>
      <c r="D4149">
        <v>17.742000579833899</v>
      </c>
      <c r="E4149">
        <v>17.944499969482401</v>
      </c>
      <c r="F4149">
        <v>17.944499969482401</v>
      </c>
      <c r="G4149">
        <v>40142000</v>
      </c>
      <c r="H4149">
        <f t="shared" si="256"/>
        <v>2013</v>
      </c>
      <c r="I4149">
        <f t="shared" si="257"/>
        <v>11</v>
      </c>
      <c r="J4149" t="str">
        <f t="shared" si="258"/>
        <v>Nov</v>
      </c>
      <c r="K4149" t="str">
        <f t="shared" si="259"/>
        <v>Tue</v>
      </c>
    </row>
    <row r="4150" spans="1:11" x14ac:dyDescent="0.35">
      <c r="A4150" s="1">
        <v>41584</v>
      </c>
      <c r="B4150">
        <v>18.022499084472599</v>
      </c>
      <c r="C4150">
        <v>18.143499374389599</v>
      </c>
      <c r="D4150">
        <v>17.725000381469702</v>
      </c>
      <c r="E4150">
        <v>17.8090000152587</v>
      </c>
      <c r="F4150">
        <v>17.8090000152587</v>
      </c>
      <c r="G4150">
        <v>45646000</v>
      </c>
      <c r="H4150">
        <f t="shared" si="256"/>
        <v>2013</v>
      </c>
      <c r="I4150">
        <f t="shared" si="257"/>
        <v>11</v>
      </c>
      <c r="J4150" t="str">
        <f t="shared" si="258"/>
        <v>Nov</v>
      </c>
      <c r="K4150" t="str">
        <f t="shared" si="259"/>
        <v>Wed</v>
      </c>
    </row>
    <row r="4151" spans="1:11" x14ac:dyDescent="0.35">
      <c r="A4151" s="1">
        <v>41585</v>
      </c>
      <c r="B4151">
        <v>17.7929992675781</v>
      </c>
      <c r="C4151">
        <v>17.895000457763601</v>
      </c>
      <c r="D4151">
        <v>17.093999862670898</v>
      </c>
      <c r="E4151">
        <v>17.177999496459901</v>
      </c>
      <c r="F4151">
        <v>17.177999496459901</v>
      </c>
      <c r="G4151">
        <v>84926000</v>
      </c>
      <c r="H4151">
        <f t="shared" si="256"/>
        <v>2013</v>
      </c>
      <c r="I4151">
        <f t="shared" si="257"/>
        <v>11</v>
      </c>
      <c r="J4151" t="str">
        <f t="shared" si="258"/>
        <v>Nov</v>
      </c>
      <c r="K4151" t="str">
        <f t="shared" si="259"/>
        <v>Thu</v>
      </c>
    </row>
    <row r="4152" spans="1:11" x14ac:dyDescent="0.35">
      <c r="A4152" s="1">
        <v>41586</v>
      </c>
      <c r="B4152">
        <v>17.297500610351499</v>
      </c>
      <c r="C4152">
        <v>17.5524997711181</v>
      </c>
      <c r="D4152">
        <v>17.201999664306602</v>
      </c>
      <c r="E4152">
        <v>17.515499114990199</v>
      </c>
      <c r="F4152">
        <v>17.515499114990199</v>
      </c>
      <c r="G4152">
        <v>53138000</v>
      </c>
      <c r="H4152">
        <f t="shared" si="256"/>
        <v>2013</v>
      </c>
      <c r="I4152">
        <f t="shared" si="257"/>
        <v>11</v>
      </c>
      <c r="J4152" t="str">
        <f t="shared" si="258"/>
        <v>Nov</v>
      </c>
      <c r="K4152" t="str">
        <f t="shared" si="259"/>
        <v>Fri</v>
      </c>
    </row>
    <row r="4153" spans="1:11" x14ac:dyDescent="0.35">
      <c r="A4153" s="1">
        <v>41589</v>
      </c>
      <c r="B4153">
        <v>17.529499053955</v>
      </c>
      <c r="C4153">
        <v>17.768499374389599</v>
      </c>
      <c r="D4153">
        <v>17.402999877929599</v>
      </c>
      <c r="E4153">
        <v>17.718999862670898</v>
      </c>
      <c r="F4153">
        <v>17.718999862670898</v>
      </c>
      <c r="G4153">
        <v>45234000</v>
      </c>
      <c r="H4153">
        <f t="shared" si="256"/>
        <v>2013</v>
      </c>
      <c r="I4153">
        <f t="shared" si="257"/>
        <v>11</v>
      </c>
      <c r="J4153" t="str">
        <f t="shared" si="258"/>
        <v>Nov</v>
      </c>
      <c r="K4153" t="str">
        <f t="shared" si="259"/>
        <v>Mon</v>
      </c>
    </row>
    <row r="4154" spans="1:11" x14ac:dyDescent="0.35">
      <c r="A4154" s="1">
        <v>41590</v>
      </c>
      <c r="B4154">
        <v>17.649499893188398</v>
      </c>
      <c r="C4154">
        <v>17.774000167846602</v>
      </c>
      <c r="D4154">
        <v>17.364000320434499</v>
      </c>
      <c r="E4154">
        <v>17.476499557495099</v>
      </c>
      <c r="F4154">
        <v>17.476499557495099</v>
      </c>
      <c r="G4154">
        <v>46862000</v>
      </c>
      <c r="H4154">
        <f t="shared" si="256"/>
        <v>2013</v>
      </c>
      <c r="I4154">
        <f t="shared" si="257"/>
        <v>11</v>
      </c>
      <c r="J4154" t="str">
        <f t="shared" si="258"/>
        <v>Nov</v>
      </c>
      <c r="K4154" t="str">
        <f t="shared" si="259"/>
        <v>Tue</v>
      </c>
    </row>
    <row r="4155" spans="1:11" x14ac:dyDescent="0.35">
      <c r="A4155" s="1">
        <v>41591</v>
      </c>
      <c r="B4155">
        <v>17.370000839233398</v>
      </c>
      <c r="C4155">
        <v>17.811000823974599</v>
      </c>
      <c r="D4155">
        <v>17.284000396728501</v>
      </c>
      <c r="E4155">
        <v>17.811000823974599</v>
      </c>
      <c r="F4155">
        <v>17.811000823974599</v>
      </c>
      <c r="G4155">
        <v>55466000</v>
      </c>
      <c r="H4155">
        <f t="shared" si="256"/>
        <v>2013</v>
      </c>
      <c r="I4155">
        <f t="shared" si="257"/>
        <v>11</v>
      </c>
      <c r="J4155" t="str">
        <f t="shared" si="258"/>
        <v>Nov</v>
      </c>
      <c r="K4155" t="str">
        <f t="shared" si="259"/>
        <v>Wed</v>
      </c>
    </row>
    <row r="4156" spans="1:11" x14ac:dyDescent="0.35">
      <c r="A4156" s="1">
        <v>41592</v>
      </c>
      <c r="B4156">
        <v>17.869499206542901</v>
      </c>
      <c r="C4156">
        <v>18.44700050354</v>
      </c>
      <c r="D4156">
        <v>17.8215007781982</v>
      </c>
      <c r="E4156">
        <v>18.370000839233398</v>
      </c>
      <c r="F4156">
        <v>18.370000839233398</v>
      </c>
      <c r="G4156">
        <v>83196000</v>
      </c>
      <c r="H4156">
        <f t="shared" si="256"/>
        <v>2013</v>
      </c>
      <c r="I4156">
        <f t="shared" si="257"/>
        <v>11</v>
      </c>
      <c r="J4156" t="str">
        <f t="shared" si="258"/>
        <v>Nov</v>
      </c>
      <c r="K4156" t="str">
        <f t="shared" si="259"/>
        <v>Thu</v>
      </c>
    </row>
    <row r="4157" spans="1:11" x14ac:dyDescent="0.35">
      <c r="A4157" s="1">
        <v>41593</v>
      </c>
      <c r="B4157">
        <v>18.3815002441406</v>
      </c>
      <c r="C4157">
        <v>18.645000457763601</v>
      </c>
      <c r="D4157">
        <v>18.277500152587798</v>
      </c>
      <c r="E4157">
        <v>18.458499908447202</v>
      </c>
      <c r="F4157">
        <v>18.458499908447202</v>
      </c>
      <c r="G4157">
        <v>89832000</v>
      </c>
      <c r="H4157">
        <f t="shared" si="256"/>
        <v>2013</v>
      </c>
      <c r="I4157">
        <f t="shared" si="257"/>
        <v>11</v>
      </c>
      <c r="J4157" t="str">
        <f t="shared" si="258"/>
        <v>Nov</v>
      </c>
      <c r="K4157" t="str">
        <f t="shared" si="259"/>
        <v>Fri</v>
      </c>
    </row>
    <row r="4158" spans="1:11" x14ac:dyDescent="0.35">
      <c r="A4158" s="1">
        <v>41596</v>
      </c>
      <c r="B4158">
        <v>18.513999938964801</v>
      </c>
      <c r="C4158">
        <v>18.6744995117187</v>
      </c>
      <c r="D4158">
        <v>18.2334995269775</v>
      </c>
      <c r="E4158">
        <v>18.3090000152587</v>
      </c>
      <c r="F4158">
        <v>18.3090000152587</v>
      </c>
      <c r="G4158">
        <v>54748000</v>
      </c>
      <c r="H4158">
        <f t="shared" si="256"/>
        <v>2013</v>
      </c>
      <c r="I4158">
        <f t="shared" si="257"/>
        <v>11</v>
      </c>
      <c r="J4158" t="str">
        <f t="shared" si="258"/>
        <v>Nov</v>
      </c>
      <c r="K4158" t="str">
        <f t="shared" si="259"/>
        <v>Mon</v>
      </c>
    </row>
    <row r="4159" spans="1:11" x14ac:dyDescent="0.35">
      <c r="A4159" s="1">
        <v>41597</v>
      </c>
      <c r="B4159">
        <v>18.291000366210898</v>
      </c>
      <c r="C4159">
        <v>18.438999176025298</v>
      </c>
      <c r="D4159">
        <v>18.125</v>
      </c>
      <c r="E4159">
        <v>18.246999740600501</v>
      </c>
      <c r="F4159">
        <v>18.246999740600501</v>
      </c>
      <c r="G4159">
        <v>38096000</v>
      </c>
      <c r="H4159">
        <f t="shared" si="256"/>
        <v>2013</v>
      </c>
      <c r="I4159">
        <f t="shared" si="257"/>
        <v>11</v>
      </c>
      <c r="J4159" t="str">
        <f t="shared" si="258"/>
        <v>Nov</v>
      </c>
      <c r="K4159" t="str">
        <f t="shared" si="259"/>
        <v>Tue</v>
      </c>
    </row>
    <row r="4160" spans="1:11" x14ac:dyDescent="0.35">
      <c r="A4160" s="1">
        <v>41598</v>
      </c>
      <c r="B4160">
        <v>18.3780002593994</v>
      </c>
      <c r="C4160">
        <v>18.3780002593994</v>
      </c>
      <c r="D4160">
        <v>18.022499084472599</v>
      </c>
      <c r="E4160">
        <v>18.1284999847412</v>
      </c>
      <c r="F4160">
        <v>18.1284999847412</v>
      </c>
      <c r="G4160">
        <v>35430000</v>
      </c>
      <c r="H4160">
        <f t="shared" si="256"/>
        <v>2013</v>
      </c>
      <c r="I4160">
        <f t="shared" si="257"/>
        <v>11</v>
      </c>
      <c r="J4160" t="str">
        <f t="shared" si="258"/>
        <v>Nov</v>
      </c>
      <c r="K4160" t="str">
        <f t="shared" si="259"/>
        <v>Wed</v>
      </c>
    </row>
    <row r="4161" spans="1:11" x14ac:dyDescent="0.35">
      <c r="A4161" s="1">
        <v>41599</v>
      </c>
      <c r="B4161">
        <v>18.202499389648398</v>
      </c>
      <c r="C4161">
        <v>18.462499618530199</v>
      </c>
      <c r="D4161">
        <v>18.165000915527301</v>
      </c>
      <c r="E4161">
        <v>18.445999145507798</v>
      </c>
      <c r="F4161">
        <v>18.445999145507798</v>
      </c>
      <c r="G4161">
        <v>39292000</v>
      </c>
      <c r="H4161">
        <f t="shared" si="256"/>
        <v>2013</v>
      </c>
      <c r="I4161">
        <f t="shared" si="257"/>
        <v>11</v>
      </c>
      <c r="J4161" t="str">
        <f t="shared" si="258"/>
        <v>Nov</v>
      </c>
      <c r="K4161" t="str">
        <f t="shared" si="259"/>
        <v>Thu</v>
      </c>
    </row>
    <row r="4162" spans="1:11" x14ac:dyDescent="0.35">
      <c r="A4162" s="1">
        <v>41600</v>
      </c>
      <c r="B4162">
        <v>18.5</v>
      </c>
      <c r="C4162">
        <v>18.725000381469702</v>
      </c>
      <c r="D4162">
        <v>18.3155002593994</v>
      </c>
      <c r="E4162">
        <v>18.615499496459901</v>
      </c>
      <c r="F4162">
        <v>18.615499496459901</v>
      </c>
      <c r="G4162">
        <v>59310000</v>
      </c>
      <c r="H4162">
        <f t="shared" si="256"/>
        <v>2013</v>
      </c>
      <c r="I4162">
        <f t="shared" si="257"/>
        <v>11</v>
      </c>
      <c r="J4162" t="str">
        <f t="shared" si="258"/>
        <v>Nov</v>
      </c>
      <c r="K4162" t="str">
        <f t="shared" si="259"/>
        <v>Fri</v>
      </c>
    </row>
    <row r="4163" spans="1:11" x14ac:dyDescent="0.35">
      <c r="A4163" s="1">
        <v>41603</v>
      </c>
      <c r="B4163">
        <v>18.6909999847412</v>
      </c>
      <c r="C4163">
        <v>18.889499664306602</v>
      </c>
      <c r="D4163">
        <v>18.659000396728501</v>
      </c>
      <c r="E4163">
        <v>18.8320007324218</v>
      </c>
      <c r="F4163">
        <v>18.8320007324218</v>
      </c>
      <c r="G4163">
        <v>59446000</v>
      </c>
      <c r="H4163">
        <f t="shared" si="256"/>
        <v>2013</v>
      </c>
      <c r="I4163">
        <f t="shared" si="257"/>
        <v>11</v>
      </c>
      <c r="J4163" t="str">
        <f t="shared" si="258"/>
        <v>Nov</v>
      </c>
      <c r="K4163" t="str">
        <f t="shared" si="259"/>
        <v>Mon</v>
      </c>
    </row>
    <row r="4164" spans="1:11" x14ac:dyDescent="0.35">
      <c r="A4164" s="1">
        <v>41604</v>
      </c>
      <c r="B4164">
        <v>18.880500793456999</v>
      </c>
      <c r="C4164">
        <v>19.125</v>
      </c>
      <c r="D4164">
        <v>18.740999221801701</v>
      </c>
      <c r="E4164">
        <v>19.0685005187988</v>
      </c>
      <c r="F4164">
        <v>19.0685005187988</v>
      </c>
      <c r="G4164">
        <v>54488000</v>
      </c>
      <c r="H4164">
        <f t="shared" ref="H4164:H4227" si="260">YEAR($A4164)</f>
        <v>2013</v>
      </c>
      <c r="I4164">
        <f t="shared" ref="I4164:I4227" si="261">MONTH($A4164)</f>
        <v>11</v>
      </c>
      <c r="J4164" t="str">
        <f t="shared" ref="J4164:J4227" si="262">TEXT($A4164,"mmm")</f>
        <v>Nov</v>
      </c>
      <c r="K4164" t="str">
        <f t="shared" ref="K4164:K4227" si="263">TEXT($A4164,"ddd")</f>
        <v>Tue</v>
      </c>
    </row>
    <row r="4165" spans="1:11" x14ac:dyDescent="0.35">
      <c r="A4165" s="1">
        <v>41605</v>
      </c>
      <c r="B4165">
        <v>19.174999237060501</v>
      </c>
      <c r="C4165">
        <v>19.350000381469702</v>
      </c>
      <c r="D4165">
        <v>19.130500793456999</v>
      </c>
      <c r="E4165">
        <v>19.335500717163001</v>
      </c>
      <c r="F4165">
        <v>19.335500717163001</v>
      </c>
      <c r="G4165">
        <v>45394000</v>
      </c>
      <c r="H4165">
        <f t="shared" si="260"/>
        <v>2013</v>
      </c>
      <c r="I4165">
        <f t="shared" si="261"/>
        <v>11</v>
      </c>
      <c r="J4165" t="str">
        <f t="shared" si="262"/>
        <v>Nov</v>
      </c>
      <c r="K4165" t="str">
        <f t="shared" si="263"/>
        <v>Wed</v>
      </c>
    </row>
    <row r="4166" spans="1:11" x14ac:dyDescent="0.35">
      <c r="A4166" s="1">
        <v>41607</v>
      </c>
      <c r="B4166">
        <v>19.454999923706001</v>
      </c>
      <c r="C4166">
        <v>19.704999923706001</v>
      </c>
      <c r="D4166">
        <v>19.4309997558593</v>
      </c>
      <c r="E4166">
        <v>19.6809997558593</v>
      </c>
      <c r="F4166">
        <v>19.6809997558593</v>
      </c>
      <c r="G4166">
        <v>48120000</v>
      </c>
      <c r="H4166">
        <f t="shared" si="260"/>
        <v>2013</v>
      </c>
      <c r="I4166">
        <f t="shared" si="261"/>
        <v>11</v>
      </c>
      <c r="J4166" t="str">
        <f t="shared" si="262"/>
        <v>Nov</v>
      </c>
      <c r="K4166" t="str">
        <f t="shared" si="263"/>
        <v>Fri</v>
      </c>
    </row>
    <row r="4167" spans="1:11" x14ac:dyDescent="0.35">
      <c r="A4167" s="1">
        <v>41610</v>
      </c>
      <c r="B4167">
        <v>19.9500007629394</v>
      </c>
      <c r="C4167">
        <v>19.9500007629394</v>
      </c>
      <c r="D4167">
        <v>19.454999923706001</v>
      </c>
      <c r="E4167">
        <v>19.6149997711181</v>
      </c>
      <c r="F4167">
        <v>19.6149997711181</v>
      </c>
      <c r="G4167">
        <v>94280000</v>
      </c>
      <c r="H4167">
        <f t="shared" si="260"/>
        <v>2013</v>
      </c>
      <c r="I4167">
        <f t="shared" si="261"/>
        <v>12</v>
      </c>
      <c r="J4167" t="str">
        <f t="shared" si="262"/>
        <v>Dec</v>
      </c>
      <c r="K4167" t="str">
        <f t="shared" si="263"/>
        <v>Mon</v>
      </c>
    </row>
    <row r="4168" spans="1:11" x14ac:dyDescent="0.35">
      <c r="A4168" s="1">
        <v>41611</v>
      </c>
      <c r="B4168">
        <v>19.505500793456999</v>
      </c>
      <c r="C4168">
        <v>19.547500610351499</v>
      </c>
      <c r="D4168">
        <v>19.155000686645501</v>
      </c>
      <c r="E4168">
        <v>19.2329998016357</v>
      </c>
      <c r="F4168">
        <v>19.2329998016357</v>
      </c>
      <c r="G4168">
        <v>74058000</v>
      </c>
      <c r="H4168">
        <f t="shared" si="260"/>
        <v>2013</v>
      </c>
      <c r="I4168">
        <f t="shared" si="261"/>
        <v>12</v>
      </c>
      <c r="J4168" t="str">
        <f t="shared" si="262"/>
        <v>Dec</v>
      </c>
      <c r="K4168" t="str">
        <f t="shared" si="263"/>
        <v>Tue</v>
      </c>
    </row>
    <row r="4169" spans="1:11" x14ac:dyDescent="0.35">
      <c r="A4169" s="1">
        <v>41612</v>
      </c>
      <c r="B4169">
        <v>19.174999237060501</v>
      </c>
      <c r="C4169">
        <v>19.484500885009702</v>
      </c>
      <c r="D4169">
        <v>19.074499130248999</v>
      </c>
      <c r="E4169">
        <v>19.298000335693299</v>
      </c>
      <c r="F4169">
        <v>19.298000335693299</v>
      </c>
      <c r="G4169">
        <v>47106000</v>
      </c>
      <c r="H4169">
        <f t="shared" si="260"/>
        <v>2013</v>
      </c>
      <c r="I4169">
        <f t="shared" si="261"/>
        <v>12</v>
      </c>
      <c r="J4169" t="str">
        <f t="shared" si="262"/>
        <v>Dec</v>
      </c>
      <c r="K4169" t="str">
        <f t="shared" si="263"/>
        <v>Wed</v>
      </c>
    </row>
    <row r="4170" spans="1:11" x14ac:dyDescent="0.35">
      <c r="A4170" s="1">
        <v>41613</v>
      </c>
      <c r="B4170">
        <v>19.332500457763601</v>
      </c>
      <c r="C4170">
        <v>19.332500457763601</v>
      </c>
      <c r="D4170">
        <v>19.0685005187988</v>
      </c>
      <c r="E4170">
        <v>19.224500656127901</v>
      </c>
      <c r="F4170">
        <v>19.224500656127901</v>
      </c>
      <c r="G4170">
        <v>38130000</v>
      </c>
      <c r="H4170">
        <f t="shared" si="260"/>
        <v>2013</v>
      </c>
      <c r="I4170">
        <f t="shared" si="261"/>
        <v>12</v>
      </c>
      <c r="J4170" t="str">
        <f t="shared" si="262"/>
        <v>Dec</v>
      </c>
      <c r="K4170" t="str">
        <f t="shared" si="263"/>
        <v>Thu</v>
      </c>
    </row>
    <row r="4171" spans="1:11" x14ac:dyDescent="0.35">
      <c r="A4171" s="1">
        <v>41614</v>
      </c>
      <c r="B4171">
        <v>19.4174995422363</v>
      </c>
      <c r="C4171">
        <v>19.4174995422363</v>
      </c>
      <c r="D4171">
        <v>19.191499710083001</v>
      </c>
      <c r="E4171">
        <v>19.347499847412099</v>
      </c>
      <c r="F4171">
        <v>19.347499847412099</v>
      </c>
      <c r="G4171">
        <v>39694000</v>
      </c>
      <c r="H4171">
        <f t="shared" si="260"/>
        <v>2013</v>
      </c>
      <c r="I4171">
        <f t="shared" si="261"/>
        <v>12</v>
      </c>
      <c r="J4171" t="str">
        <f t="shared" si="262"/>
        <v>Dec</v>
      </c>
      <c r="K4171" t="str">
        <f t="shared" si="263"/>
        <v>Fri</v>
      </c>
    </row>
    <row r="4172" spans="1:11" x14ac:dyDescent="0.35">
      <c r="A4172" s="1">
        <v>41617</v>
      </c>
      <c r="B4172">
        <v>19.405500411987301</v>
      </c>
      <c r="C4172">
        <v>19.410499572753899</v>
      </c>
      <c r="D4172">
        <v>19.1284999847412</v>
      </c>
      <c r="E4172">
        <v>19.244499206542901</v>
      </c>
      <c r="F4172">
        <v>19.244499206542901</v>
      </c>
      <c r="G4172">
        <v>55236000</v>
      </c>
      <c r="H4172">
        <f t="shared" si="260"/>
        <v>2013</v>
      </c>
      <c r="I4172">
        <f t="shared" si="261"/>
        <v>12</v>
      </c>
      <c r="J4172" t="str">
        <f t="shared" si="262"/>
        <v>Dec</v>
      </c>
      <c r="K4172" t="str">
        <f t="shared" si="263"/>
        <v>Mon</v>
      </c>
    </row>
    <row r="4173" spans="1:11" x14ac:dyDescent="0.35">
      <c r="A4173" s="1">
        <v>41618</v>
      </c>
      <c r="B4173">
        <v>19.1870002746582</v>
      </c>
      <c r="C4173">
        <v>19.452999114990199</v>
      </c>
      <c r="D4173">
        <v>19.1509990692138</v>
      </c>
      <c r="E4173">
        <v>19.388999938964801</v>
      </c>
      <c r="F4173">
        <v>19.388999938964801</v>
      </c>
      <c r="G4173">
        <v>54736000</v>
      </c>
      <c r="H4173">
        <f t="shared" si="260"/>
        <v>2013</v>
      </c>
      <c r="I4173">
        <f t="shared" si="261"/>
        <v>12</v>
      </c>
      <c r="J4173" t="str">
        <f t="shared" si="262"/>
        <v>Dec</v>
      </c>
      <c r="K4173" t="str">
        <f t="shared" si="263"/>
        <v>Tue</v>
      </c>
    </row>
    <row r="4174" spans="1:11" x14ac:dyDescent="0.35">
      <c r="A4174" s="1">
        <v>41619</v>
      </c>
      <c r="B4174">
        <v>19.367000579833899</v>
      </c>
      <c r="C4174">
        <v>19.448999404907202</v>
      </c>
      <c r="D4174">
        <v>19.100000381469702</v>
      </c>
      <c r="E4174">
        <v>19.109500885009702</v>
      </c>
      <c r="F4174">
        <v>19.109500885009702</v>
      </c>
      <c r="G4174">
        <v>49026000</v>
      </c>
      <c r="H4174">
        <f t="shared" si="260"/>
        <v>2013</v>
      </c>
      <c r="I4174">
        <f t="shared" si="261"/>
        <v>12</v>
      </c>
      <c r="J4174" t="str">
        <f t="shared" si="262"/>
        <v>Dec</v>
      </c>
      <c r="K4174" t="str">
        <f t="shared" si="263"/>
        <v>Wed</v>
      </c>
    </row>
    <row r="4175" spans="1:11" x14ac:dyDescent="0.35">
      <c r="A4175" s="1">
        <v>41620</v>
      </c>
      <c r="B4175">
        <v>19.062999725341701</v>
      </c>
      <c r="C4175">
        <v>19.25</v>
      </c>
      <c r="D4175">
        <v>18.975000381469702</v>
      </c>
      <c r="E4175">
        <v>19.0625</v>
      </c>
      <c r="F4175">
        <v>19.0625</v>
      </c>
      <c r="G4175">
        <v>42474000</v>
      </c>
      <c r="H4175">
        <f t="shared" si="260"/>
        <v>2013</v>
      </c>
      <c r="I4175">
        <f t="shared" si="261"/>
        <v>12</v>
      </c>
      <c r="J4175" t="str">
        <f t="shared" si="262"/>
        <v>Dec</v>
      </c>
      <c r="K4175" t="str">
        <f t="shared" si="263"/>
        <v>Thu</v>
      </c>
    </row>
    <row r="4176" spans="1:11" x14ac:dyDescent="0.35">
      <c r="A4176" s="1">
        <v>41621</v>
      </c>
      <c r="B4176">
        <v>19.2660007476806</v>
      </c>
      <c r="C4176">
        <v>19.471000671386701</v>
      </c>
      <c r="D4176">
        <v>19.190000534057599</v>
      </c>
      <c r="E4176">
        <v>19.211999893188398</v>
      </c>
      <c r="F4176">
        <v>19.211999893188398</v>
      </c>
      <c r="G4176">
        <v>60500000</v>
      </c>
      <c r="H4176">
        <f t="shared" si="260"/>
        <v>2013</v>
      </c>
      <c r="I4176">
        <f t="shared" si="261"/>
        <v>12</v>
      </c>
      <c r="J4176" t="str">
        <f t="shared" si="262"/>
        <v>Dec</v>
      </c>
      <c r="K4176" t="str">
        <f t="shared" si="263"/>
        <v>Fri</v>
      </c>
    </row>
    <row r="4177" spans="1:11" x14ac:dyDescent="0.35">
      <c r="A4177" s="1">
        <v>41624</v>
      </c>
      <c r="B4177">
        <v>19.251499176025298</v>
      </c>
      <c r="C4177">
        <v>19.584999084472599</v>
      </c>
      <c r="D4177">
        <v>19.25</v>
      </c>
      <c r="E4177">
        <v>19.448499679565401</v>
      </c>
      <c r="F4177">
        <v>19.448499679565401</v>
      </c>
      <c r="G4177">
        <v>45034000</v>
      </c>
      <c r="H4177">
        <f t="shared" si="260"/>
        <v>2013</v>
      </c>
      <c r="I4177">
        <f t="shared" si="261"/>
        <v>12</v>
      </c>
      <c r="J4177" t="str">
        <f t="shared" si="262"/>
        <v>Dec</v>
      </c>
      <c r="K4177" t="str">
        <f t="shared" si="263"/>
        <v>Mon</v>
      </c>
    </row>
    <row r="4178" spans="1:11" x14ac:dyDescent="0.35">
      <c r="A4178" s="1">
        <v>41625</v>
      </c>
      <c r="B4178">
        <v>19.5324993133544</v>
      </c>
      <c r="C4178">
        <v>19.568000793456999</v>
      </c>
      <c r="D4178">
        <v>19.3250007629394</v>
      </c>
      <c r="E4178">
        <v>19.382499694824201</v>
      </c>
      <c r="F4178">
        <v>19.382499694824201</v>
      </c>
      <c r="G4178">
        <v>46878000</v>
      </c>
      <c r="H4178">
        <f t="shared" si="260"/>
        <v>2013</v>
      </c>
      <c r="I4178">
        <f t="shared" si="261"/>
        <v>12</v>
      </c>
      <c r="J4178" t="str">
        <f t="shared" si="262"/>
        <v>Dec</v>
      </c>
      <c r="K4178" t="str">
        <f t="shared" si="263"/>
        <v>Tue</v>
      </c>
    </row>
    <row r="4179" spans="1:11" x14ac:dyDescent="0.35">
      <c r="A4179" s="1">
        <v>41626</v>
      </c>
      <c r="B4179">
        <v>19.461500167846602</v>
      </c>
      <c r="C4179">
        <v>19.815000534057599</v>
      </c>
      <c r="D4179">
        <v>19.155000686645501</v>
      </c>
      <c r="E4179">
        <v>19.798000335693299</v>
      </c>
      <c r="F4179">
        <v>19.798000335693299</v>
      </c>
      <c r="G4179">
        <v>69782000</v>
      </c>
      <c r="H4179">
        <f t="shared" si="260"/>
        <v>2013</v>
      </c>
      <c r="I4179">
        <f t="shared" si="261"/>
        <v>12</v>
      </c>
      <c r="J4179" t="str">
        <f t="shared" si="262"/>
        <v>Dec</v>
      </c>
      <c r="K4179" t="str">
        <f t="shared" si="263"/>
        <v>Wed</v>
      </c>
    </row>
    <row r="4180" spans="1:11" x14ac:dyDescent="0.35">
      <c r="A4180" s="1">
        <v>41627</v>
      </c>
      <c r="B4180">
        <v>19.7134990692138</v>
      </c>
      <c r="C4180">
        <v>19.8645000457763</v>
      </c>
      <c r="D4180">
        <v>19.629999160766602</v>
      </c>
      <c r="E4180">
        <v>19.75950050354</v>
      </c>
      <c r="F4180">
        <v>19.75950050354</v>
      </c>
      <c r="G4180">
        <v>48544000</v>
      </c>
      <c r="H4180">
        <f t="shared" si="260"/>
        <v>2013</v>
      </c>
      <c r="I4180">
        <f t="shared" si="261"/>
        <v>12</v>
      </c>
      <c r="J4180" t="str">
        <f t="shared" si="262"/>
        <v>Dec</v>
      </c>
      <c r="K4180" t="str">
        <f t="shared" si="263"/>
        <v>Thu</v>
      </c>
    </row>
    <row r="4181" spans="1:11" x14ac:dyDescent="0.35">
      <c r="A4181" s="1">
        <v>41628</v>
      </c>
      <c r="B4181">
        <v>19.827499389648398</v>
      </c>
      <c r="C4181">
        <v>20.236000061035099</v>
      </c>
      <c r="D4181">
        <v>19.788999557495099</v>
      </c>
      <c r="E4181">
        <v>20.110000610351499</v>
      </c>
      <c r="F4181">
        <v>20.110000610351499</v>
      </c>
      <c r="G4181">
        <v>100678000</v>
      </c>
      <c r="H4181">
        <f t="shared" si="260"/>
        <v>2013</v>
      </c>
      <c r="I4181">
        <f t="shared" si="261"/>
        <v>12</v>
      </c>
      <c r="J4181" t="str">
        <f t="shared" si="262"/>
        <v>Dec</v>
      </c>
      <c r="K4181" t="str">
        <f t="shared" si="263"/>
        <v>Fri</v>
      </c>
    </row>
    <row r="4182" spans="1:11" x14ac:dyDescent="0.35">
      <c r="A4182" s="1">
        <v>41631</v>
      </c>
      <c r="B4182">
        <v>20.184499740600501</v>
      </c>
      <c r="C4182">
        <v>20.25</v>
      </c>
      <c r="D4182">
        <v>19.959999084472599</v>
      </c>
      <c r="E4182">
        <v>20.145999908447202</v>
      </c>
      <c r="F4182">
        <v>20.145999908447202</v>
      </c>
      <c r="G4182">
        <v>53190000</v>
      </c>
      <c r="H4182">
        <f t="shared" si="260"/>
        <v>2013</v>
      </c>
      <c r="I4182">
        <f t="shared" si="261"/>
        <v>12</v>
      </c>
      <c r="J4182" t="str">
        <f t="shared" si="262"/>
        <v>Dec</v>
      </c>
      <c r="K4182" t="str">
        <f t="shared" si="263"/>
        <v>Mon</v>
      </c>
    </row>
    <row r="4183" spans="1:11" x14ac:dyDescent="0.35">
      <c r="A4183" s="1">
        <v>41632</v>
      </c>
      <c r="B4183">
        <v>20.125999450683501</v>
      </c>
      <c r="C4183">
        <v>20.186000823974599</v>
      </c>
      <c r="D4183">
        <v>19.8185005187988</v>
      </c>
      <c r="E4183">
        <v>19.959999084472599</v>
      </c>
      <c r="F4183">
        <v>19.959999084472599</v>
      </c>
      <c r="G4183">
        <v>27608000</v>
      </c>
      <c r="H4183">
        <f t="shared" si="260"/>
        <v>2013</v>
      </c>
      <c r="I4183">
        <f t="shared" si="261"/>
        <v>12</v>
      </c>
      <c r="J4183" t="str">
        <f t="shared" si="262"/>
        <v>Dec</v>
      </c>
      <c r="K4183" t="str">
        <f t="shared" si="263"/>
        <v>Tue</v>
      </c>
    </row>
    <row r="4184" spans="1:11" x14ac:dyDescent="0.35">
      <c r="A4184" s="1">
        <v>41634</v>
      </c>
      <c r="B4184">
        <v>20.089500427246001</v>
      </c>
      <c r="C4184">
        <v>20.225999832153299</v>
      </c>
      <c r="D4184">
        <v>19.840499877929599</v>
      </c>
      <c r="E4184">
        <v>20.219499588012599</v>
      </c>
      <c r="F4184">
        <v>20.219499588012599</v>
      </c>
      <c r="G4184">
        <v>37370000</v>
      </c>
      <c r="H4184">
        <f t="shared" si="260"/>
        <v>2013</v>
      </c>
      <c r="I4184">
        <f t="shared" si="261"/>
        <v>12</v>
      </c>
      <c r="J4184" t="str">
        <f t="shared" si="262"/>
        <v>Dec</v>
      </c>
      <c r="K4184" t="str">
        <f t="shared" si="263"/>
        <v>Thu</v>
      </c>
    </row>
    <row r="4185" spans="1:11" x14ac:dyDescent="0.35">
      <c r="A4185" s="1">
        <v>41635</v>
      </c>
      <c r="B4185">
        <v>20.232500076293899</v>
      </c>
      <c r="C4185">
        <v>20.281499862670898</v>
      </c>
      <c r="D4185">
        <v>19.8125</v>
      </c>
      <c r="E4185">
        <v>19.9039993286132</v>
      </c>
      <c r="F4185">
        <v>19.9039993286132</v>
      </c>
      <c r="G4185">
        <v>39738000</v>
      </c>
      <c r="H4185">
        <f t="shared" si="260"/>
        <v>2013</v>
      </c>
      <c r="I4185">
        <f t="shared" si="261"/>
        <v>12</v>
      </c>
      <c r="J4185" t="str">
        <f t="shared" si="262"/>
        <v>Dec</v>
      </c>
      <c r="K4185" t="str">
        <f t="shared" si="263"/>
        <v>Fri</v>
      </c>
    </row>
    <row r="4186" spans="1:11" x14ac:dyDescent="0.35">
      <c r="A4186" s="1">
        <v>41638</v>
      </c>
      <c r="B4186">
        <v>19.970500946044901</v>
      </c>
      <c r="C4186">
        <v>19.9960002899169</v>
      </c>
      <c r="D4186">
        <v>19.622499465942301</v>
      </c>
      <c r="E4186">
        <v>19.668500900268501</v>
      </c>
      <c r="F4186">
        <v>19.668500900268501</v>
      </c>
      <c r="G4186">
        <v>49742000</v>
      </c>
      <c r="H4186">
        <f t="shared" si="260"/>
        <v>2013</v>
      </c>
      <c r="I4186">
        <f t="shared" si="261"/>
        <v>12</v>
      </c>
      <c r="J4186" t="str">
        <f t="shared" si="262"/>
        <v>Dec</v>
      </c>
      <c r="K4186" t="str">
        <f t="shared" si="263"/>
        <v>Mon</v>
      </c>
    </row>
    <row r="4187" spans="1:11" x14ac:dyDescent="0.35">
      <c r="A4187" s="1">
        <v>41639</v>
      </c>
      <c r="B4187">
        <v>19.729000091552699</v>
      </c>
      <c r="C4187">
        <v>19.941499710083001</v>
      </c>
      <c r="D4187">
        <v>19.690000534057599</v>
      </c>
      <c r="E4187">
        <v>19.939500808715799</v>
      </c>
      <c r="F4187">
        <v>19.939500808715799</v>
      </c>
      <c r="G4187">
        <v>39930000</v>
      </c>
      <c r="H4187">
        <f t="shared" si="260"/>
        <v>2013</v>
      </c>
      <c r="I4187">
        <f t="shared" si="261"/>
        <v>12</v>
      </c>
      <c r="J4187" t="str">
        <f t="shared" si="262"/>
        <v>Dec</v>
      </c>
      <c r="K4187" t="str">
        <f t="shared" si="263"/>
        <v>Tue</v>
      </c>
    </row>
    <row r="4188" spans="1:11" x14ac:dyDescent="0.35">
      <c r="A4188" s="1">
        <v>41641</v>
      </c>
      <c r="B4188">
        <v>19.940000534057599</v>
      </c>
      <c r="C4188">
        <v>19.968000411987301</v>
      </c>
      <c r="D4188">
        <v>19.701000213623001</v>
      </c>
      <c r="E4188">
        <v>19.898500442504801</v>
      </c>
      <c r="F4188">
        <v>19.898500442504801</v>
      </c>
      <c r="G4188">
        <v>42756000</v>
      </c>
      <c r="H4188">
        <f t="shared" si="260"/>
        <v>2014</v>
      </c>
      <c r="I4188">
        <f t="shared" si="261"/>
        <v>1</v>
      </c>
      <c r="J4188" t="str">
        <f t="shared" si="262"/>
        <v>Jan</v>
      </c>
      <c r="K4188" t="str">
        <f t="shared" si="263"/>
        <v>Thu</v>
      </c>
    </row>
    <row r="4189" spans="1:11" x14ac:dyDescent="0.35">
      <c r="A4189" s="1">
        <v>41642</v>
      </c>
      <c r="B4189">
        <v>19.9144992828369</v>
      </c>
      <c r="C4189">
        <v>20.135499954223601</v>
      </c>
      <c r="D4189">
        <v>19.811000823974599</v>
      </c>
      <c r="E4189">
        <v>19.82200050354</v>
      </c>
      <c r="F4189">
        <v>19.82200050354</v>
      </c>
      <c r="G4189">
        <v>44204000</v>
      </c>
      <c r="H4189">
        <f t="shared" si="260"/>
        <v>2014</v>
      </c>
      <c r="I4189">
        <f t="shared" si="261"/>
        <v>1</v>
      </c>
      <c r="J4189" t="str">
        <f t="shared" si="262"/>
        <v>Jan</v>
      </c>
      <c r="K4189" t="str">
        <f t="shared" si="263"/>
        <v>Fri</v>
      </c>
    </row>
    <row r="4190" spans="1:11" x14ac:dyDescent="0.35">
      <c r="A4190" s="1">
        <v>41645</v>
      </c>
      <c r="B4190">
        <v>19.7924995422363</v>
      </c>
      <c r="C4190">
        <v>19.850000381469702</v>
      </c>
      <c r="D4190">
        <v>19.4209995269775</v>
      </c>
      <c r="E4190">
        <v>19.681499481201101</v>
      </c>
      <c r="F4190">
        <v>19.681499481201101</v>
      </c>
      <c r="G4190">
        <v>63412000</v>
      </c>
      <c r="H4190">
        <f t="shared" si="260"/>
        <v>2014</v>
      </c>
      <c r="I4190">
        <f t="shared" si="261"/>
        <v>1</v>
      </c>
      <c r="J4190" t="str">
        <f t="shared" si="262"/>
        <v>Jan</v>
      </c>
      <c r="K4190" t="str">
        <f t="shared" si="263"/>
        <v>Mon</v>
      </c>
    </row>
    <row r="4191" spans="1:11" x14ac:dyDescent="0.35">
      <c r="A4191" s="1">
        <v>41646</v>
      </c>
      <c r="B4191">
        <v>19.752000808715799</v>
      </c>
      <c r="C4191">
        <v>19.923500061035099</v>
      </c>
      <c r="D4191">
        <v>19.714500427246001</v>
      </c>
      <c r="E4191">
        <v>19.901500701904201</v>
      </c>
      <c r="F4191">
        <v>19.901500701904201</v>
      </c>
      <c r="G4191">
        <v>38320000</v>
      </c>
      <c r="H4191">
        <f t="shared" si="260"/>
        <v>2014</v>
      </c>
      <c r="I4191">
        <f t="shared" si="261"/>
        <v>1</v>
      </c>
      <c r="J4191" t="str">
        <f t="shared" si="262"/>
        <v>Jan</v>
      </c>
      <c r="K4191" t="str">
        <f t="shared" si="263"/>
        <v>Tue</v>
      </c>
    </row>
    <row r="4192" spans="1:11" x14ac:dyDescent="0.35">
      <c r="A4192" s="1">
        <v>41647</v>
      </c>
      <c r="B4192">
        <v>19.923500061035099</v>
      </c>
      <c r="C4192">
        <v>20.149999618530199</v>
      </c>
      <c r="D4192">
        <v>19.8020000457763</v>
      </c>
      <c r="E4192">
        <v>20.096000671386701</v>
      </c>
      <c r="F4192">
        <v>20.096000671386701</v>
      </c>
      <c r="G4192">
        <v>46330000</v>
      </c>
      <c r="H4192">
        <f t="shared" si="260"/>
        <v>2014</v>
      </c>
      <c r="I4192">
        <f t="shared" si="261"/>
        <v>1</v>
      </c>
      <c r="J4192" t="str">
        <f t="shared" si="262"/>
        <v>Jan</v>
      </c>
      <c r="K4192" t="str">
        <f t="shared" si="263"/>
        <v>Wed</v>
      </c>
    </row>
    <row r="4193" spans="1:11" x14ac:dyDescent="0.35">
      <c r="A4193" s="1">
        <v>41648</v>
      </c>
      <c r="B4193">
        <v>20.185499191284102</v>
      </c>
      <c r="C4193">
        <v>20.344499588012599</v>
      </c>
      <c r="D4193">
        <v>19.922000885009702</v>
      </c>
      <c r="E4193">
        <v>20.050500869750898</v>
      </c>
      <c r="F4193">
        <v>20.050500869750898</v>
      </c>
      <c r="G4193">
        <v>42060000</v>
      </c>
      <c r="H4193">
        <f t="shared" si="260"/>
        <v>2014</v>
      </c>
      <c r="I4193">
        <f t="shared" si="261"/>
        <v>1</v>
      </c>
      <c r="J4193" t="str">
        <f t="shared" si="262"/>
        <v>Jan</v>
      </c>
      <c r="K4193" t="str">
        <f t="shared" si="263"/>
        <v>Thu</v>
      </c>
    </row>
    <row r="4194" spans="1:11" x14ac:dyDescent="0.35">
      <c r="A4194" s="1">
        <v>41649</v>
      </c>
      <c r="B4194">
        <v>20.126499176025298</v>
      </c>
      <c r="C4194">
        <v>20.187999725341701</v>
      </c>
      <c r="D4194">
        <v>19.690000534057599</v>
      </c>
      <c r="E4194">
        <v>19.882999420166001</v>
      </c>
      <c r="F4194">
        <v>19.882999420166001</v>
      </c>
      <c r="G4194">
        <v>53590000</v>
      </c>
      <c r="H4194">
        <f t="shared" si="260"/>
        <v>2014</v>
      </c>
      <c r="I4194">
        <f t="shared" si="261"/>
        <v>1</v>
      </c>
      <c r="J4194" t="str">
        <f t="shared" si="262"/>
        <v>Jan</v>
      </c>
      <c r="K4194" t="str">
        <f t="shared" si="263"/>
        <v>Fri</v>
      </c>
    </row>
    <row r="4195" spans="1:11" x14ac:dyDescent="0.35">
      <c r="A4195" s="1">
        <v>41652</v>
      </c>
      <c r="B4195">
        <v>19.899000167846602</v>
      </c>
      <c r="C4195">
        <v>19.989000320434499</v>
      </c>
      <c r="D4195">
        <v>19.422500610351499</v>
      </c>
      <c r="E4195">
        <v>19.5489997863769</v>
      </c>
      <c r="F4195">
        <v>19.5489997863769</v>
      </c>
      <c r="G4195">
        <v>56898000</v>
      </c>
      <c r="H4195">
        <f t="shared" si="260"/>
        <v>2014</v>
      </c>
      <c r="I4195">
        <f t="shared" si="261"/>
        <v>1</v>
      </c>
      <c r="J4195" t="str">
        <f t="shared" si="262"/>
        <v>Jan</v>
      </c>
      <c r="K4195" t="str">
        <f t="shared" si="263"/>
        <v>Mon</v>
      </c>
    </row>
    <row r="4196" spans="1:11" x14ac:dyDescent="0.35">
      <c r="A4196" s="1">
        <v>41653</v>
      </c>
      <c r="B4196">
        <v>19.606500625610298</v>
      </c>
      <c r="C4196">
        <v>19.931499481201101</v>
      </c>
      <c r="D4196">
        <v>19.564500808715799</v>
      </c>
      <c r="E4196">
        <v>19.877000808715799</v>
      </c>
      <c r="F4196">
        <v>19.877000808715799</v>
      </c>
      <c r="G4196">
        <v>46802000</v>
      </c>
      <c r="H4196">
        <f t="shared" si="260"/>
        <v>2014</v>
      </c>
      <c r="I4196">
        <f t="shared" si="261"/>
        <v>1</v>
      </c>
      <c r="J4196" t="str">
        <f t="shared" si="262"/>
        <v>Jan</v>
      </c>
      <c r="K4196" t="str">
        <f t="shared" si="263"/>
        <v>Tue</v>
      </c>
    </row>
    <row r="4197" spans="1:11" x14ac:dyDescent="0.35">
      <c r="A4197" s="1">
        <v>41654</v>
      </c>
      <c r="B4197">
        <v>19.94700050354</v>
      </c>
      <c r="C4197">
        <v>19.965499877929599</v>
      </c>
      <c r="D4197">
        <v>19.626499176025298</v>
      </c>
      <c r="E4197">
        <v>19.793500900268501</v>
      </c>
      <c r="F4197">
        <v>19.793500900268501</v>
      </c>
      <c r="G4197">
        <v>53566000</v>
      </c>
      <c r="H4197">
        <f t="shared" si="260"/>
        <v>2014</v>
      </c>
      <c r="I4197">
        <f t="shared" si="261"/>
        <v>1</v>
      </c>
      <c r="J4197" t="str">
        <f t="shared" si="262"/>
        <v>Jan</v>
      </c>
      <c r="K4197" t="str">
        <f t="shared" si="263"/>
        <v>Wed</v>
      </c>
    </row>
    <row r="4198" spans="1:11" x14ac:dyDescent="0.35">
      <c r="A4198" s="1">
        <v>41655</v>
      </c>
      <c r="B4198">
        <v>19.6840000152587</v>
      </c>
      <c r="C4198">
        <v>19.964500427246001</v>
      </c>
      <c r="D4198">
        <v>19.470500946044901</v>
      </c>
      <c r="E4198">
        <v>19.790000915527301</v>
      </c>
      <c r="F4198">
        <v>19.790000915527301</v>
      </c>
      <c r="G4198">
        <v>52024000</v>
      </c>
      <c r="H4198">
        <f t="shared" si="260"/>
        <v>2014</v>
      </c>
      <c r="I4198">
        <f t="shared" si="261"/>
        <v>1</v>
      </c>
      <c r="J4198" t="str">
        <f t="shared" si="262"/>
        <v>Jan</v>
      </c>
      <c r="K4198" t="str">
        <f t="shared" si="263"/>
        <v>Thu</v>
      </c>
    </row>
    <row r="4199" spans="1:11" x14ac:dyDescent="0.35">
      <c r="A4199" s="1">
        <v>41656</v>
      </c>
      <c r="B4199">
        <v>19.712999343871999</v>
      </c>
      <c r="C4199">
        <v>20.1744995117187</v>
      </c>
      <c r="D4199">
        <v>19.683000564575099</v>
      </c>
      <c r="E4199">
        <v>19.9804992675781</v>
      </c>
      <c r="F4199">
        <v>19.9804992675781</v>
      </c>
      <c r="G4199">
        <v>90102000</v>
      </c>
      <c r="H4199">
        <f t="shared" si="260"/>
        <v>2014</v>
      </c>
      <c r="I4199">
        <f t="shared" si="261"/>
        <v>1</v>
      </c>
      <c r="J4199" t="str">
        <f t="shared" si="262"/>
        <v>Jan</v>
      </c>
      <c r="K4199" t="str">
        <f t="shared" si="263"/>
        <v>Fri</v>
      </c>
    </row>
    <row r="4200" spans="1:11" x14ac:dyDescent="0.35">
      <c r="A4200" s="1">
        <v>41660</v>
      </c>
      <c r="B4200">
        <v>20.149999618530199</v>
      </c>
      <c r="C4200">
        <v>20.389999389648398</v>
      </c>
      <c r="D4200">
        <v>20.079999923706001</v>
      </c>
      <c r="E4200">
        <v>20.352500915527301</v>
      </c>
      <c r="F4200">
        <v>20.352500915527301</v>
      </c>
      <c r="G4200">
        <v>62442000</v>
      </c>
      <c r="H4200">
        <f t="shared" si="260"/>
        <v>2014</v>
      </c>
      <c r="I4200">
        <f t="shared" si="261"/>
        <v>1</v>
      </c>
      <c r="J4200" t="str">
        <f t="shared" si="262"/>
        <v>Jan</v>
      </c>
      <c r="K4200" t="str">
        <f t="shared" si="263"/>
        <v>Tue</v>
      </c>
    </row>
    <row r="4201" spans="1:11" x14ac:dyDescent="0.35">
      <c r="A4201" s="1">
        <v>41661</v>
      </c>
      <c r="B4201">
        <v>20.399999618530199</v>
      </c>
      <c r="C4201">
        <v>20.402999877929599</v>
      </c>
      <c r="D4201">
        <v>20.100000381469702</v>
      </c>
      <c r="E4201">
        <v>20.2269992828369</v>
      </c>
      <c r="F4201">
        <v>20.2269992828369</v>
      </c>
      <c r="G4201">
        <v>41210000</v>
      </c>
      <c r="H4201">
        <f t="shared" si="260"/>
        <v>2014</v>
      </c>
      <c r="I4201">
        <f t="shared" si="261"/>
        <v>1</v>
      </c>
      <c r="J4201" t="str">
        <f t="shared" si="262"/>
        <v>Jan</v>
      </c>
      <c r="K4201" t="str">
        <f t="shared" si="263"/>
        <v>Wed</v>
      </c>
    </row>
    <row r="4202" spans="1:11" x14ac:dyDescent="0.35">
      <c r="A4202" s="1">
        <v>41662</v>
      </c>
      <c r="B4202">
        <v>20.049999237060501</v>
      </c>
      <c r="C4202">
        <v>20.3085002899169</v>
      </c>
      <c r="D4202">
        <v>19.889499664306602</v>
      </c>
      <c r="E4202">
        <v>19.9934997558593</v>
      </c>
      <c r="F4202">
        <v>19.9934997558593</v>
      </c>
      <c r="G4202">
        <v>60508000</v>
      </c>
      <c r="H4202">
        <f t="shared" si="260"/>
        <v>2014</v>
      </c>
      <c r="I4202">
        <f t="shared" si="261"/>
        <v>1</v>
      </c>
      <c r="J4202" t="str">
        <f t="shared" si="262"/>
        <v>Jan</v>
      </c>
      <c r="K4202" t="str">
        <f t="shared" si="263"/>
        <v>Thu</v>
      </c>
    </row>
    <row r="4203" spans="1:11" x14ac:dyDescent="0.35">
      <c r="A4203" s="1">
        <v>41663</v>
      </c>
      <c r="B4203">
        <v>19.908000946044901</v>
      </c>
      <c r="C4203">
        <v>20.0100002288818</v>
      </c>
      <c r="D4203">
        <v>19.363500595092699</v>
      </c>
      <c r="E4203">
        <v>19.379999160766602</v>
      </c>
      <c r="F4203">
        <v>19.379999160766602</v>
      </c>
      <c r="G4203">
        <v>89168000</v>
      </c>
      <c r="H4203">
        <f t="shared" si="260"/>
        <v>2014</v>
      </c>
      <c r="I4203">
        <f t="shared" si="261"/>
        <v>1</v>
      </c>
      <c r="J4203" t="str">
        <f t="shared" si="262"/>
        <v>Jan</v>
      </c>
      <c r="K4203" t="str">
        <f t="shared" si="263"/>
        <v>Fri</v>
      </c>
    </row>
    <row r="4204" spans="1:11" x14ac:dyDescent="0.35">
      <c r="A4204" s="1">
        <v>41666</v>
      </c>
      <c r="B4204">
        <v>19.524999618530199</v>
      </c>
      <c r="C4204">
        <v>19.704999923706001</v>
      </c>
      <c r="D4204">
        <v>19.024499893188398</v>
      </c>
      <c r="E4204">
        <v>19.313999176025298</v>
      </c>
      <c r="F4204">
        <v>19.313999176025298</v>
      </c>
      <c r="G4204">
        <v>78736000</v>
      </c>
      <c r="H4204">
        <f t="shared" si="260"/>
        <v>2014</v>
      </c>
      <c r="I4204">
        <f t="shared" si="261"/>
        <v>1</v>
      </c>
      <c r="J4204" t="str">
        <f t="shared" si="262"/>
        <v>Jan</v>
      </c>
      <c r="K4204" t="str">
        <f t="shared" si="263"/>
        <v>Mon</v>
      </c>
    </row>
    <row r="4205" spans="1:11" x14ac:dyDescent="0.35">
      <c r="A4205" s="1">
        <v>41667</v>
      </c>
      <c r="B4205">
        <v>19.370000839233398</v>
      </c>
      <c r="C4205">
        <v>19.7369995117187</v>
      </c>
      <c r="D4205">
        <v>19.356000900268501</v>
      </c>
      <c r="E4205">
        <v>19.721500396728501</v>
      </c>
      <c r="F4205">
        <v>19.721500396728501</v>
      </c>
      <c r="G4205">
        <v>57890000</v>
      </c>
      <c r="H4205">
        <f t="shared" si="260"/>
        <v>2014</v>
      </c>
      <c r="I4205">
        <f t="shared" si="261"/>
        <v>1</v>
      </c>
      <c r="J4205" t="str">
        <f t="shared" si="262"/>
        <v>Jan</v>
      </c>
      <c r="K4205" t="str">
        <f t="shared" si="263"/>
        <v>Tue</v>
      </c>
    </row>
    <row r="4206" spans="1:11" x14ac:dyDescent="0.35">
      <c r="A4206" s="1">
        <v>41668</v>
      </c>
      <c r="B4206">
        <v>19.6079998016357</v>
      </c>
      <c r="C4206">
        <v>19.642499923706001</v>
      </c>
      <c r="D4206">
        <v>19.162000656127901</v>
      </c>
      <c r="E4206">
        <v>19.209999084472599</v>
      </c>
      <c r="F4206">
        <v>19.209999084472599</v>
      </c>
      <c r="G4206">
        <v>67646000</v>
      </c>
      <c r="H4206">
        <f t="shared" si="260"/>
        <v>2014</v>
      </c>
      <c r="I4206">
        <f t="shared" si="261"/>
        <v>1</v>
      </c>
      <c r="J4206" t="str">
        <f t="shared" si="262"/>
        <v>Jan</v>
      </c>
      <c r="K4206" t="str">
        <f t="shared" si="263"/>
        <v>Wed</v>
      </c>
    </row>
    <row r="4207" spans="1:11" x14ac:dyDescent="0.35">
      <c r="A4207" s="1">
        <v>41669</v>
      </c>
      <c r="B4207">
        <v>19.688499450683501</v>
      </c>
      <c r="C4207">
        <v>20.3125</v>
      </c>
      <c r="D4207">
        <v>19.3850002288818</v>
      </c>
      <c r="E4207">
        <v>20.150499343871999</v>
      </c>
      <c r="F4207">
        <v>20.150499343871999</v>
      </c>
      <c r="G4207">
        <v>209478000</v>
      </c>
      <c r="H4207">
        <f t="shared" si="260"/>
        <v>2014</v>
      </c>
      <c r="I4207">
        <f t="shared" si="261"/>
        <v>1</v>
      </c>
      <c r="J4207" t="str">
        <f t="shared" si="262"/>
        <v>Jan</v>
      </c>
      <c r="K4207" t="str">
        <f t="shared" si="263"/>
        <v>Thu</v>
      </c>
    </row>
    <row r="4208" spans="1:11" x14ac:dyDescent="0.35">
      <c r="A4208" s="1">
        <v>41670</v>
      </c>
      <c r="B4208">
        <v>18.587999343871999</v>
      </c>
      <c r="C4208">
        <v>18.772499084472599</v>
      </c>
      <c r="D4208">
        <v>17.8880004882812</v>
      </c>
      <c r="E4208">
        <v>17.934499740600501</v>
      </c>
      <c r="F4208">
        <v>17.934499740600501</v>
      </c>
      <c r="G4208">
        <v>323096000</v>
      </c>
      <c r="H4208">
        <f t="shared" si="260"/>
        <v>2014</v>
      </c>
      <c r="I4208">
        <f t="shared" si="261"/>
        <v>1</v>
      </c>
      <c r="J4208" t="str">
        <f t="shared" si="262"/>
        <v>Jan</v>
      </c>
      <c r="K4208" t="str">
        <f t="shared" si="263"/>
        <v>Fri</v>
      </c>
    </row>
    <row r="4209" spans="1:11" x14ac:dyDescent="0.35">
      <c r="A4209" s="1">
        <v>41673</v>
      </c>
      <c r="B4209">
        <v>17.948999404907202</v>
      </c>
      <c r="C4209">
        <v>18.0424995422363</v>
      </c>
      <c r="D4209">
        <v>17.004999160766602</v>
      </c>
      <c r="E4209">
        <v>17.307500839233398</v>
      </c>
      <c r="F4209">
        <v>17.307500839233398</v>
      </c>
      <c r="G4209">
        <v>205616000</v>
      </c>
      <c r="H4209">
        <f t="shared" si="260"/>
        <v>2014</v>
      </c>
      <c r="I4209">
        <f t="shared" si="261"/>
        <v>2</v>
      </c>
      <c r="J4209" t="str">
        <f t="shared" si="262"/>
        <v>Feb</v>
      </c>
      <c r="K4209" t="str">
        <f t="shared" si="263"/>
        <v>Mon</v>
      </c>
    </row>
    <row r="4210" spans="1:11" x14ac:dyDescent="0.35">
      <c r="A4210" s="1">
        <v>41674</v>
      </c>
      <c r="B4210">
        <v>17.479499816894499</v>
      </c>
      <c r="C4210">
        <v>17.7000007629394</v>
      </c>
      <c r="D4210">
        <v>17.201000213623001</v>
      </c>
      <c r="E4210">
        <v>17.397499084472599</v>
      </c>
      <c r="F4210">
        <v>17.397499084472599</v>
      </c>
      <c r="G4210">
        <v>96258000</v>
      </c>
      <c r="H4210">
        <f t="shared" si="260"/>
        <v>2014</v>
      </c>
      <c r="I4210">
        <f t="shared" si="261"/>
        <v>2</v>
      </c>
      <c r="J4210" t="str">
        <f t="shared" si="262"/>
        <v>Feb</v>
      </c>
      <c r="K4210" t="str">
        <f t="shared" si="263"/>
        <v>Tue</v>
      </c>
    </row>
    <row r="4211" spans="1:11" x14ac:dyDescent="0.35">
      <c r="A4211" s="1">
        <v>41675</v>
      </c>
      <c r="B4211">
        <v>17.299999237060501</v>
      </c>
      <c r="C4211">
        <v>17.468500137329102</v>
      </c>
      <c r="D4211">
        <v>16.886499404907202</v>
      </c>
      <c r="E4211">
        <v>17.3225002288818</v>
      </c>
      <c r="F4211">
        <v>17.3225002288818</v>
      </c>
      <c r="G4211">
        <v>88708000</v>
      </c>
      <c r="H4211">
        <f t="shared" si="260"/>
        <v>2014</v>
      </c>
      <c r="I4211">
        <f t="shared" si="261"/>
        <v>2</v>
      </c>
      <c r="J4211" t="str">
        <f t="shared" si="262"/>
        <v>Feb</v>
      </c>
      <c r="K4211" t="str">
        <f t="shared" si="263"/>
        <v>Wed</v>
      </c>
    </row>
    <row r="4212" spans="1:11" x14ac:dyDescent="0.35">
      <c r="A4212" s="1">
        <v>41676</v>
      </c>
      <c r="B4212">
        <v>17.370000839233398</v>
      </c>
      <c r="C4212">
        <v>17.740999221801701</v>
      </c>
      <c r="D4212">
        <v>17.370000839233398</v>
      </c>
      <c r="E4212">
        <v>17.729499816894499</v>
      </c>
      <c r="F4212">
        <v>17.729499816894499</v>
      </c>
      <c r="G4212">
        <v>66714000</v>
      </c>
      <c r="H4212">
        <f t="shared" si="260"/>
        <v>2014</v>
      </c>
      <c r="I4212">
        <f t="shared" si="261"/>
        <v>2</v>
      </c>
      <c r="J4212" t="str">
        <f t="shared" si="262"/>
        <v>Feb</v>
      </c>
      <c r="K4212" t="str">
        <f t="shared" si="263"/>
        <v>Thu</v>
      </c>
    </row>
    <row r="4213" spans="1:11" x14ac:dyDescent="0.35">
      <c r="A4213" s="1">
        <v>41677</v>
      </c>
      <c r="B4213">
        <v>17.948999404907202</v>
      </c>
      <c r="C4213">
        <v>18.090000152587798</v>
      </c>
      <c r="D4213">
        <v>17.6245002746582</v>
      </c>
      <c r="E4213">
        <v>18.054000854492099</v>
      </c>
      <c r="F4213">
        <v>18.054000854492099</v>
      </c>
      <c r="G4213">
        <v>86610000</v>
      </c>
      <c r="H4213">
        <f t="shared" si="260"/>
        <v>2014</v>
      </c>
      <c r="I4213">
        <f t="shared" si="261"/>
        <v>2</v>
      </c>
      <c r="J4213" t="str">
        <f t="shared" si="262"/>
        <v>Feb</v>
      </c>
      <c r="K4213" t="str">
        <f t="shared" si="263"/>
        <v>Fri</v>
      </c>
    </row>
    <row r="4214" spans="1:11" x14ac:dyDescent="0.35">
      <c r="A4214" s="1">
        <v>41680</v>
      </c>
      <c r="B4214">
        <v>18.080499649047798</v>
      </c>
      <c r="C4214">
        <v>18.25</v>
      </c>
      <c r="D4214">
        <v>17.967500686645501</v>
      </c>
      <c r="E4214">
        <v>18.043500900268501</v>
      </c>
      <c r="F4214">
        <v>18.043500900268501</v>
      </c>
      <c r="G4214">
        <v>68994000</v>
      </c>
      <c r="H4214">
        <f t="shared" si="260"/>
        <v>2014</v>
      </c>
      <c r="I4214">
        <f t="shared" si="261"/>
        <v>2</v>
      </c>
      <c r="J4214" t="str">
        <f t="shared" si="262"/>
        <v>Feb</v>
      </c>
      <c r="K4214" t="str">
        <f t="shared" si="263"/>
        <v>Mon</v>
      </c>
    </row>
    <row r="4215" spans="1:11" x14ac:dyDescent="0.35">
      <c r="A4215" s="1">
        <v>41681</v>
      </c>
      <c r="B4215">
        <v>18.091999053955</v>
      </c>
      <c r="C4215">
        <v>18.1805000305175</v>
      </c>
      <c r="D4215">
        <v>17.8125</v>
      </c>
      <c r="E4215">
        <v>18.089500427246001</v>
      </c>
      <c r="F4215">
        <v>18.089500427246001</v>
      </c>
      <c r="G4215">
        <v>64442000</v>
      </c>
      <c r="H4215">
        <f t="shared" si="260"/>
        <v>2014</v>
      </c>
      <c r="I4215">
        <f t="shared" si="261"/>
        <v>2</v>
      </c>
      <c r="J4215" t="str">
        <f t="shared" si="262"/>
        <v>Feb</v>
      </c>
      <c r="K4215" t="str">
        <f t="shared" si="263"/>
        <v>Tue</v>
      </c>
    </row>
    <row r="4216" spans="1:11" x14ac:dyDescent="0.35">
      <c r="A4216" s="1">
        <v>41682</v>
      </c>
      <c r="B4216">
        <v>17.8215007781982</v>
      </c>
      <c r="C4216">
        <v>17.8875007629394</v>
      </c>
      <c r="D4216">
        <v>17.3159999847412</v>
      </c>
      <c r="E4216">
        <v>17.462499618530199</v>
      </c>
      <c r="F4216">
        <v>17.462499618530199</v>
      </c>
      <c r="G4216">
        <v>131754000</v>
      </c>
      <c r="H4216">
        <f t="shared" si="260"/>
        <v>2014</v>
      </c>
      <c r="I4216">
        <f t="shared" si="261"/>
        <v>2</v>
      </c>
      <c r="J4216" t="str">
        <f t="shared" si="262"/>
        <v>Feb</v>
      </c>
      <c r="K4216" t="str">
        <f t="shared" si="263"/>
        <v>Wed</v>
      </c>
    </row>
    <row r="4217" spans="1:11" x14ac:dyDescent="0.35">
      <c r="A4217" s="1">
        <v>41683</v>
      </c>
      <c r="B4217">
        <v>17.3850002288818</v>
      </c>
      <c r="C4217">
        <v>17.860000610351499</v>
      </c>
      <c r="D4217">
        <v>17.3250007629394</v>
      </c>
      <c r="E4217">
        <v>17.860000610351499</v>
      </c>
      <c r="F4217">
        <v>17.860000610351499</v>
      </c>
      <c r="G4217">
        <v>83500000</v>
      </c>
      <c r="H4217">
        <f t="shared" si="260"/>
        <v>2014</v>
      </c>
      <c r="I4217">
        <f t="shared" si="261"/>
        <v>2</v>
      </c>
      <c r="J4217" t="str">
        <f t="shared" si="262"/>
        <v>Feb</v>
      </c>
      <c r="K4217" t="str">
        <f t="shared" si="263"/>
        <v>Thu</v>
      </c>
    </row>
    <row r="4218" spans="1:11" x14ac:dyDescent="0.35">
      <c r="A4218" s="1">
        <v>41684</v>
      </c>
      <c r="B4218">
        <v>17.966999053955</v>
      </c>
      <c r="C4218">
        <v>17.966999053955</v>
      </c>
      <c r="D4218">
        <v>17.6674995422363</v>
      </c>
      <c r="E4218">
        <v>17.8675003051757</v>
      </c>
      <c r="F4218">
        <v>17.8675003051757</v>
      </c>
      <c r="G4218">
        <v>70404000</v>
      </c>
      <c r="H4218">
        <f t="shared" si="260"/>
        <v>2014</v>
      </c>
      <c r="I4218">
        <f t="shared" si="261"/>
        <v>2</v>
      </c>
      <c r="J4218" t="str">
        <f t="shared" si="262"/>
        <v>Feb</v>
      </c>
      <c r="K4218" t="str">
        <f t="shared" si="263"/>
        <v>Fri</v>
      </c>
    </row>
    <row r="4219" spans="1:11" x14ac:dyDescent="0.35">
      <c r="A4219" s="1">
        <v>41688</v>
      </c>
      <c r="B4219">
        <v>17.763999938964801</v>
      </c>
      <c r="C4219">
        <v>17.786500930786101</v>
      </c>
      <c r="D4219">
        <v>17.472499847412099</v>
      </c>
      <c r="E4219">
        <v>17.682500839233398</v>
      </c>
      <c r="F4219">
        <v>17.682500839233398</v>
      </c>
      <c r="G4219">
        <v>99960000</v>
      </c>
      <c r="H4219">
        <f t="shared" si="260"/>
        <v>2014</v>
      </c>
      <c r="I4219">
        <f t="shared" si="261"/>
        <v>2</v>
      </c>
      <c r="J4219" t="str">
        <f t="shared" si="262"/>
        <v>Feb</v>
      </c>
      <c r="K4219" t="str">
        <f t="shared" si="263"/>
        <v>Tue</v>
      </c>
    </row>
    <row r="4220" spans="1:11" x14ac:dyDescent="0.35">
      <c r="A4220" s="1">
        <v>41689</v>
      </c>
      <c r="B4220">
        <v>17.631999969482401</v>
      </c>
      <c r="C4220">
        <v>17.7269992828369</v>
      </c>
      <c r="D4220">
        <v>17.3050003051757</v>
      </c>
      <c r="E4220">
        <v>17.368999481201101</v>
      </c>
      <c r="F4220">
        <v>17.368999481201101</v>
      </c>
      <c r="G4220">
        <v>83362000</v>
      </c>
      <c r="H4220">
        <f t="shared" si="260"/>
        <v>2014</v>
      </c>
      <c r="I4220">
        <f t="shared" si="261"/>
        <v>2</v>
      </c>
      <c r="J4220" t="str">
        <f t="shared" si="262"/>
        <v>Feb</v>
      </c>
      <c r="K4220" t="str">
        <f t="shared" si="263"/>
        <v>Wed</v>
      </c>
    </row>
    <row r="4221" spans="1:11" x14ac:dyDescent="0.35">
      <c r="A4221" s="1">
        <v>41690</v>
      </c>
      <c r="B4221">
        <v>17.440000534057599</v>
      </c>
      <c r="C4221">
        <v>17.523000717163001</v>
      </c>
      <c r="D4221">
        <v>17.218999862670898</v>
      </c>
      <c r="E4221">
        <v>17.4899997711181</v>
      </c>
      <c r="F4221">
        <v>17.4899997711181</v>
      </c>
      <c r="G4221">
        <v>69856000</v>
      </c>
      <c r="H4221">
        <f t="shared" si="260"/>
        <v>2014</v>
      </c>
      <c r="I4221">
        <f t="shared" si="261"/>
        <v>2</v>
      </c>
      <c r="J4221" t="str">
        <f t="shared" si="262"/>
        <v>Feb</v>
      </c>
      <c r="K4221" t="str">
        <f t="shared" si="263"/>
        <v>Thu</v>
      </c>
    </row>
    <row r="4222" spans="1:11" x14ac:dyDescent="0.35">
      <c r="A4222" s="1">
        <v>41691</v>
      </c>
      <c r="B4222">
        <v>17.621999740600501</v>
      </c>
      <c r="C4222">
        <v>17.7070007324218</v>
      </c>
      <c r="D4222">
        <v>17.337499618530199</v>
      </c>
      <c r="E4222">
        <v>17.337999343871999</v>
      </c>
      <c r="F4222">
        <v>17.337999343871999</v>
      </c>
      <c r="G4222">
        <v>84200000</v>
      </c>
      <c r="H4222">
        <f t="shared" si="260"/>
        <v>2014</v>
      </c>
      <c r="I4222">
        <f t="shared" si="261"/>
        <v>2</v>
      </c>
      <c r="J4222" t="str">
        <f t="shared" si="262"/>
        <v>Feb</v>
      </c>
      <c r="K4222" t="str">
        <f t="shared" si="263"/>
        <v>Fri</v>
      </c>
    </row>
    <row r="4223" spans="1:11" x14ac:dyDescent="0.35">
      <c r="A4223" s="1">
        <v>41694</v>
      </c>
      <c r="B4223">
        <v>17.25950050354</v>
      </c>
      <c r="C4223">
        <v>17.649999618530199</v>
      </c>
      <c r="D4223">
        <v>17.1644992828369</v>
      </c>
      <c r="E4223">
        <v>17.589000701904201</v>
      </c>
      <c r="F4223">
        <v>17.589000701904201</v>
      </c>
      <c r="G4223">
        <v>72894000</v>
      </c>
      <c r="H4223">
        <f t="shared" si="260"/>
        <v>2014</v>
      </c>
      <c r="I4223">
        <f t="shared" si="261"/>
        <v>2</v>
      </c>
      <c r="J4223" t="str">
        <f t="shared" si="262"/>
        <v>Feb</v>
      </c>
      <c r="K4223" t="str">
        <f t="shared" si="263"/>
        <v>Mon</v>
      </c>
    </row>
    <row r="4224" spans="1:11" x14ac:dyDescent="0.35">
      <c r="A4224" s="1">
        <v>41695</v>
      </c>
      <c r="B4224">
        <v>17.649999618530199</v>
      </c>
      <c r="C4224">
        <v>18.054000854492099</v>
      </c>
      <c r="D4224">
        <v>17.579000473022401</v>
      </c>
      <c r="E4224">
        <v>17.916000366210898</v>
      </c>
      <c r="F4224">
        <v>17.916000366210898</v>
      </c>
      <c r="G4224">
        <v>74728000</v>
      </c>
      <c r="H4224">
        <f t="shared" si="260"/>
        <v>2014</v>
      </c>
      <c r="I4224">
        <f t="shared" si="261"/>
        <v>2</v>
      </c>
      <c r="J4224" t="str">
        <f t="shared" si="262"/>
        <v>Feb</v>
      </c>
      <c r="K4224" t="str">
        <f t="shared" si="263"/>
        <v>Tue</v>
      </c>
    </row>
    <row r="4225" spans="1:11" x14ac:dyDescent="0.35">
      <c r="A4225" s="1">
        <v>41696</v>
      </c>
      <c r="B4225">
        <v>17.9930000305175</v>
      </c>
      <c r="C4225">
        <v>18.237499237060501</v>
      </c>
      <c r="D4225">
        <v>17.8584995269775</v>
      </c>
      <c r="E4225">
        <v>17.9899997711181</v>
      </c>
      <c r="F4225">
        <v>17.9899997711181</v>
      </c>
      <c r="G4225">
        <v>72442000</v>
      </c>
      <c r="H4225">
        <f t="shared" si="260"/>
        <v>2014</v>
      </c>
      <c r="I4225">
        <f t="shared" si="261"/>
        <v>2</v>
      </c>
      <c r="J4225" t="str">
        <f t="shared" si="262"/>
        <v>Feb</v>
      </c>
      <c r="K4225" t="str">
        <f t="shared" si="263"/>
        <v>Wed</v>
      </c>
    </row>
    <row r="4226" spans="1:11" x14ac:dyDescent="0.35">
      <c r="A4226" s="1">
        <v>41697</v>
      </c>
      <c r="B4226">
        <v>17.861000061035099</v>
      </c>
      <c r="C4226">
        <v>18.029499053955</v>
      </c>
      <c r="D4226">
        <v>17.774999618530199</v>
      </c>
      <c r="E4226">
        <v>18.0065002441406</v>
      </c>
      <c r="F4226">
        <v>18.0065002441406</v>
      </c>
      <c r="G4226">
        <v>62098000</v>
      </c>
      <c r="H4226">
        <f t="shared" si="260"/>
        <v>2014</v>
      </c>
      <c r="I4226">
        <f t="shared" si="261"/>
        <v>2</v>
      </c>
      <c r="J4226" t="str">
        <f t="shared" si="262"/>
        <v>Feb</v>
      </c>
      <c r="K4226" t="str">
        <f t="shared" si="263"/>
        <v>Thu</v>
      </c>
    </row>
    <row r="4227" spans="1:11" x14ac:dyDescent="0.35">
      <c r="A4227" s="1">
        <v>41698</v>
      </c>
      <c r="B4227">
        <v>18.030000686645501</v>
      </c>
      <c r="C4227">
        <v>18.293500900268501</v>
      </c>
      <c r="D4227">
        <v>17.854000091552699</v>
      </c>
      <c r="E4227">
        <v>18.1049995422363</v>
      </c>
      <c r="F4227">
        <v>18.1049995422363</v>
      </c>
      <c r="G4227">
        <v>77640000</v>
      </c>
      <c r="H4227">
        <f t="shared" si="260"/>
        <v>2014</v>
      </c>
      <c r="I4227">
        <f t="shared" si="261"/>
        <v>2</v>
      </c>
      <c r="J4227" t="str">
        <f t="shared" si="262"/>
        <v>Feb</v>
      </c>
      <c r="K4227" t="str">
        <f t="shared" si="263"/>
        <v>Fri</v>
      </c>
    </row>
    <row r="4228" spans="1:11" x14ac:dyDescent="0.35">
      <c r="A4228" s="1">
        <v>41701</v>
      </c>
      <c r="B4228">
        <v>17.9370002746582</v>
      </c>
      <c r="C4228">
        <v>18.048000335693299</v>
      </c>
      <c r="D4228">
        <v>17.724000930786101</v>
      </c>
      <c r="E4228">
        <v>17.989000320434499</v>
      </c>
      <c r="F4228">
        <v>17.989000320434499</v>
      </c>
      <c r="G4228">
        <v>55966000</v>
      </c>
      <c r="H4228">
        <f t="shared" ref="H4228:H4291" si="264">YEAR($A4228)</f>
        <v>2014</v>
      </c>
      <c r="I4228">
        <f t="shared" ref="I4228:I4291" si="265">MONTH($A4228)</f>
        <v>3</v>
      </c>
      <c r="J4228" t="str">
        <f t="shared" ref="J4228:J4291" si="266">TEXT($A4228,"mmm")</f>
        <v>Mar</v>
      </c>
      <c r="K4228" t="str">
        <f t="shared" ref="K4228:K4291" si="267">TEXT($A4228,"ddd")</f>
        <v>Mon</v>
      </c>
    </row>
    <row r="4229" spans="1:11" x14ac:dyDescent="0.35">
      <c r="A4229" s="1">
        <v>41702</v>
      </c>
      <c r="B4229">
        <v>18.194999694824201</v>
      </c>
      <c r="C4229">
        <v>18.284000396728501</v>
      </c>
      <c r="D4229">
        <v>18.122999191284102</v>
      </c>
      <c r="E4229">
        <v>18.194999694824201</v>
      </c>
      <c r="F4229">
        <v>18.194999694824201</v>
      </c>
      <c r="G4229">
        <v>54088000</v>
      </c>
      <c r="H4229">
        <f t="shared" si="264"/>
        <v>2014</v>
      </c>
      <c r="I4229">
        <f t="shared" si="265"/>
        <v>3</v>
      </c>
      <c r="J4229" t="str">
        <f t="shared" si="266"/>
        <v>Mar</v>
      </c>
      <c r="K4229" t="str">
        <f t="shared" si="267"/>
        <v>Tue</v>
      </c>
    </row>
    <row r="4230" spans="1:11" x14ac:dyDescent="0.35">
      <c r="A4230" s="1">
        <v>41703</v>
      </c>
      <c r="B4230">
        <v>18.206499099731399</v>
      </c>
      <c r="C4230">
        <v>18.636499404907202</v>
      </c>
      <c r="D4230">
        <v>18.194999694824201</v>
      </c>
      <c r="E4230">
        <v>18.6184997558593</v>
      </c>
      <c r="F4230">
        <v>18.6184997558593</v>
      </c>
      <c r="G4230">
        <v>76966000</v>
      </c>
      <c r="H4230">
        <f t="shared" si="264"/>
        <v>2014</v>
      </c>
      <c r="I4230">
        <f t="shared" si="265"/>
        <v>3</v>
      </c>
      <c r="J4230" t="str">
        <f t="shared" si="266"/>
        <v>Mar</v>
      </c>
      <c r="K4230" t="str">
        <f t="shared" si="267"/>
        <v>Wed</v>
      </c>
    </row>
    <row r="4231" spans="1:11" x14ac:dyDescent="0.35">
      <c r="A4231" s="1">
        <v>41704</v>
      </c>
      <c r="B4231">
        <v>18.702499389648398</v>
      </c>
      <c r="C4231">
        <v>18.766500473022401</v>
      </c>
      <c r="D4231">
        <v>18.444999694824201</v>
      </c>
      <c r="E4231">
        <v>18.6079998016357</v>
      </c>
      <c r="F4231">
        <v>18.6079998016357</v>
      </c>
      <c r="G4231">
        <v>58532000</v>
      </c>
      <c r="H4231">
        <f t="shared" si="264"/>
        <v>2014</v>
      </c>
      <c r="I4231">
        <f t="shared" si="265"/>
        <v>3</v>
      </c>
      <c r="J4231" t="str">
        <f t="shared" si="266"/>
        <v>Mar</v>
      </c>
      <c r="K4231" t="str">
        <f t="shared" si="267"/>
        <v>Thu</v>
      </c>
    </row>
    <row r="4232" spans="1:11" x14ac:dyDescent="0.35">
      <c r="A4232" s="1">
        <v>41705</v>
      </c>
      <c r="B4232">
        <v>18.729000091552699</v>
      </c>
      <c r="C4232">
        <v>18.7495002746582</v>
      </c>
      <c r="D4232">
        <v>18.476499557495099</v>
      </c>
      <c r="E4232">
        <v>18.603000640869102</v>
      </c>
      <c r="F4232">
        <v>18.603000640869102</v>
      </c>
      <c r="G4232">
        <v>45596000</v>
      </c>
      <c r="H4232">
        <f t="shared" si="264"/>
        <v>2014</v>
      </c>
      <c r="I4232">
        <f t="shared" si="265"/>
        <v>3</v>
      </c>
      <c r="J4232" t="str">
        <f t="shared" si="266"/>
        <v>Mar</v>
      </c>
      <c r="K4232" t="str">
        <f t="shared" si="267"/>
        <v>Fri</v>
      </c>
    </row>
    <row r="4233" spans="1:11" x14ac:dyDescent="0.35">
      <c r="A4233" s="1">
        <v>41708</v>
      </c>
      <c r="B4233">
        <v>18.63450050354</v>
      </c>
      <c r="C4233">
        <v>18.636499404907202</v>
      </c>
      <c r="D4233">
        <v>18.350000381469702</v>
      </c>
      <c r="E4233">
        <v>18.526500701904201</v>
      </c>
      <c r="F4233">
        <v>18.526500701904201</v>
      </c>
      <c r="G4233">
        <v>42116000</v>
      </c>
      <c r="H4233">
        <f t="shared" si="264"/>
        <v>2014</v>
      </c>
      <c r="I4233">
        <f t="shared" si="265"/>
        <v>3</v>
      </c>
      <c r="J4233" t="str">
        <f t="shared" si="266"/>
        <v>Mar</v>
      </c>
      <c r="K4233" t="str">
        <f t="shared" si="267"/>
        <v>Mon</v>
      </c>
    </row>
    <row r="4234" spans="1:11" x14ac:dyDescent="0.35">
      <c r="A4234" s="1">
        <v>41709</v>
      </c>
      <c r="B4234">
        <v>18.5494995117187</v>
      </c>
      <c r="C4234">
        <v>18.639999389648398</v>
      </c>
      <c r="D4234">
        <v>18.364000320434499</v>
      </c>
      <c r="E4234">
        <v>18.4409999847412</v>
      </c>
      <c r="F4234">
        <v>18.4409999847412</v>
      </c>
      <c r="G4234">
        <v>44922000</v>
      </c>
      <c r="H4234">
        <f t="shared" si="264"/>
        <v>2014</v>
      </c>
      <c r="I4234">
        <f t="shared" si="265"/>
        <v>3</v>
      </c>
      <c r="J4234" t="str">
        <f t="shared" si="266"/>
        <v>Mar</v>
      </c>
      <c r="K4234" t="str">
        <f t="shared" si="267"/>
        <v>Tue</v>
      </c>
    </row>
    <row r="4235" spans="1:11" x14ac:dyDescent="0.35">
      <c r="A4235" s="1">
        <v>41710</v>
      </c>
      <c r="B4235">
        <v>18.319999694824201</v>
      </c>
      <c r="C4235">
        <v>18.558000564575099</v>
      </c>
      <c r="D4235">
        <v>18.1805000305175</v>
      </c>
      <c r="E4235">
        <v>18.531999588012599</v>
      </c>
      <c r="F4235">
        <v>18.531999588012599</v>
      </c>
      <c r="G4235">
        <v>44332000</v>
      </c>
      <c r="H4235">
        <f t="shared" si="264"/>
        <v>2014</v>
      </c>
      <c r="I4235">
        <f t="shared" si="265"/>
        <v>3</v>
      </c>
      <c r="J4235" t="str">
        <f t="shared" si="266"/>
        <v>Mar</v>
      </c>
      <c r="K4235" t="str">
        <f t="shared" si="267"/>
        <v>Wed</v>
      </c>
    </row>
    <row r="4236" spans="1:11" x14ac:dyDescent="0.35">
      <c r="A4236" s="1">
        <v>41711</v>
      </c>
      <c r="B4236">
        <v>18.830999374389599</v>
      </c>
      <c r="C4236">
        <v>19.155500411987301</v>
      </c>
      <c r="D4236">
        <v>18.4039993286132</v>
      </c>
      <c r="E4236">
        <v>18.5755004882812</v>
      </c>
      <c r="F4236">
        <v>18.5755004882812</v>
      </c>
      <c r="G4236">
        <v>136580000</v>
      </c>
      <c r="H4236">
        <f t="shared" si="264"/>
        <v>2014</v>
      </c>
      <c r="I4236">
        <f t="shared" si="265"/>
        <v>3</v>
      </c>
      <c r="J4236" t="str">
        <f t="shared" si="266"/>
        <v>Mar</v>
      </c>
      <c r="K4236" t="str">
        <f t="shared" si="267"/>
        <v>Thu</v>
      </c>
    </row>
    <row r="4237" spans="1:11" x14ac:dyDescent="0.35">
      <c r="A4237" s="1">
        <v>41712</v>
      </c>
      <c r="B4237">
        <v>18.639999389648398</v>
      </c>
      <c r="C4237">
        <v>18.928499221801701</v>
      </c>
      <c r="D4237">
        <v>18.577499389648398</v>
      </c>
      <c r="E4237">
        <v>18.6870002746582</v>
      </c>
      <c r="F4237">
        <v>18.6870002746582</v>
      </c>
      <c r="G4237">
        <v>88044000</v>
      </c>
      <c r="H4237">
        <f t="shared" si="264"/>
        <v>2014</v>
      </c>
      <c r="I4237">
        <f t="shared" si="265"/>
        <v>3</v>
      </c>
      <c r="J4237" t="str">
        <f t="shared" si="266"/>
        <v>Mar</v>
      </c>
      <c r="K4237" t="str">
        <f t="shared" si="267"/>
        <v>Fri</v>
      </c>
    </row>
    <row r="4238" spans="1:11" x14ac:dyDescent="0.35">
      <c r="A4238" s="1">
        <v>41715</v>
      </c>
      <c r="B4238">
        <v>18.7859992980957</v>
      </c>
      <c r="C4238">
        <v>18.942499160766602</v>
      </c>
      <c r="D4238">
        <v>18.743999481201101</v>
      </c>
      <c r="E4238">
        <v>18.752000808715799</v>
      </c>
      <c r="F4238">
        <v>18.752000808715799</v>
      </c>
      <c r="G4238">
        <v>46060000</v>
      </c>
      <c r="H4238">
        <f t="shared" si="264"/>
        <v>2014</v>
      </c>
      <c r="I4238">
        <f t="shared" si="265"/>
        <v>3</v>
      </c>
      <c r="J4238" t="str">
        <f t="shared" si="266"/>
        <v>Mar</v>
      </c>
      <c r="K4238" t="str">
        <f t="shared" si="267"/>
        <v>Mon</v>
      </c>
    </row>
    <row r="4239" spans="1:11" x14ac:dyDescent="0.35">
      <c r="A4239" s="1">
        <v>41716</v>
      </c>
      <c r="B4239">
        <v>18.865999221801701</v>
      </c>
      <c r="C4239">
        <v>18.9500007629394</v>
      </c>
      <c r="D4239">
        <v>18.75</v>
      </c>
      <c r="E4239">
        <v>18.938499450683501</v>
      </c>
      <c r="F4239">
        <v>18.938499450683501</v>
      </c>
      <c r="G4239">
        <v>49670000</v>
      </c>
      <c r="H4239">
        <f t="shared" si="264"/>
        <v>2014</v>
      </c>
      <c r="I4239">
        <f t="shared" si="265"/>
        <v>3</v>
      </c>
      <c r="J4239" t="str">
        <f t="shared" si="266"/>
        <v>Mar</v>
      </c>
      <c r="K4239" t="str">
        <f t="shared" si="267"/>
        <v>Tue</v>
      </c>
    </row>
    <row r="4240" spans="1:11" x14ac:dyDescent="0.35">
      <c r="A4240" s="1">
        <v>41717</v>
      </c>
      <c r="B4240">
        <v>18.938499450683501</v>
      </c>
      <c r="C4240">
        <v>18.9500007629394</v>
      </c>
      <c r="D4240">
        <v>18.471000671386701</v>
      </c>
      <c r="E4240">
        <v>18.661500930786101</v>
      </c>
      <c r="F4240">
        <v>18.661500930786101</v>
      </c>
      <c r="G4240">
        <v>52934000</v>
      </c>
      <c r="H4240">
        <f t="shared" si="264"/>
        <v>2014</v>
      </c>
      <c r="I4240">
        <f t="shared" si="265"/>
        <v>3</v>
      </c>
      <c r="J4240" t="str">
        <f t="shared" si="266"/>
        <v>Mar</v>
      </c>
      <c r="K4240" t="str">
        <f t="shared" si="267"/>
        <v>Wed</v>
      </c>
    </row>
    <row r="4241" spans="1:11" x14ac:dyDescent="0.35">
      <c r="A4241" s="1">
        <v>41718</v>
      </c>
      <c r="B4241">
        <v>18.531999588012599</v>
      </c>
      <c r="C4241">
        <v>18.649999618530199</v>
      </c>
      <c r="D4241">
        <v>18.311000823974599</v>
      </c>
      <c r="E4241">
        <v>18.448499679565401</v>
      </c>
      <c r="F4241">
        <v>18.448499679565401</v>
      </c>
      <c r="G4241">
        <v>51170000</v>
      </c>
      <c r="H4241">
        <f t="shared" si="264"/>
        <v>2014</v>
      </c>
      <c r="I4241">
        <f t="shared" si="265"/>
        <v>3</v>
      </c>
      <c r="J4241" t="str">
        <f t="shared" si="266"/>
        <v>Mar</v>
      </c>
      <c r="K4241" t="str">
        <f t="shared" si="267"/>
        <v>Thu</v>
      </c>
    </row>
    <row r="4242" spans="1:11" x14ac:dyDescent="0.35">
      <c r="A4242" s="1">
        <v>41719</v>
      </c>
      <c r="B4242">
        <v>18.549999237060501</v>
      </c>
      <c r="C4242">
        <v>18.642000198364201</v>
      </c>
      <c r="D4242">
        <v>17.920000076293899</v>
      </c>
      <c r="E4242">
        <v>18.031000137329102</v>
      </c>
      <c r="F4242">
        <v>18.031000137329102</v>
      </c>
      <c r="G4242">
        <v>108282000</v>
      </c>
      <c r="H4242">
        <f t="shared" si="264"/>
        <v>2014</v>
      </c>
      <c r="I4242">
        <f t="shared" si="265"/>
        <v>3</v>
      </c>
      <c r="J4242" t="str">
        <f t="shared" si="266"/>
        <v>Mar</v>
      </c>
      <c r="K4242" t="str">
        <f t="shared" si="267"/>
        <v>Fri</v>
      </c>
    </row>
    <row r="4243" spans="1:11" x14ac:dyDescent="0.35">
      <c r="A4243" s="1">
        <v>41722</v>
      </c>
      <c r="B4243">
        <v>18.004499435424801</v>
      </c>
      <c r="C4243">
        <v>18.0750007629394</v>
      </c>
      <c r="D4243">
        <v>17.4300003051757</v>
      </c>
      <c r="E4243">
        <v>17.592500686645501</v>
      </c>
      <c r="F4243">
        <v>17.592500686645501</v>
      </c>
      <c r="G4243">
        <v>97470000</v>
      </c>
      <c r="H4243">
        <f t="shared" si="264"/>
        <v>2014</v>
      </c>
      <c r="I4243">
        <f t="shared" si="265"/>
        <v>3</v>
      </c>
      <c r="J4243" t="str">
        <f t="shared" si="266"/>
        <v>Mar</v>
      </c>
      <c r="K4243" t="str">
        <f t="shared" si="267"/>
        <v>Mon</v>
      </c>
    </row>
    <row r="4244" spans="1:11" x14ac:dyDescent="0.35">
      <c r="A4244" s="1">
        <v>41723</v>
      </c>
      <c r="B4244">
        <v>17.701499938964801</v>
      </c>
      <c r="C4244">
        <v>17.948499679565401</v>
      </c>
      <c r="D4244">
        <v>17.441999435424801</v>
      </c>
      <c r="E4244">
        <v>17.735500335693299</v>
      </c>
      <c r="F4244">
        <v>17.735500335693299</v>
      </c>
      <c r="G4244">
        <v>88914000</v>
      </c>
      <c r="H4244">
        <f t="shared" si="264"/>
        <v>2014</v>
      </c>
      <c r="I4244">
        <f t="shared" si="265"/>
        <v>3</v>
      </c>
      <c r="J4244" t="str">
        <f t="shared" si="266"/>
        <v>Mar</v>
      </c>
      <c r="K4244" t="str">
        <f t="shared" si="267"/>
        <v>Tue</v>
      </c>
    </row>
    <row r="4245" spans="1:11" x14ac:dyDescent="0.35">
      <c r="A4245" s="1">
        <v>41724</v>
      </c>
      <c r="B4245">
        <v>17.856500625610298</v>
      </c>
      <c r="C4245">
        <v>17.879999160766602</v>
      </c>
      <c r="D4245">
        <v>17.170000076293899</v>
      </c>
      <c r="E4245">
        <v>17.1704998016357</v>
      </c>
      <c r="F4245">
        <v>17.1704998016357</v>
      </c>
      <c r="G4245">
        <v>82414000</v>
      </c>
      <c r="H4245">
        <f t="shared" si="264"/>
        <v>2014</v>
      </c>
      <c r="I4245">
        <f t="shared" si="265"/>
        <v>3</v>
      </c>
      <c r="J4245" t="str">
        <f t="shared" si="266"/>
        <v>Mar</v>
      </c>
      <c r="K4245" t="str">
        <f t="shared" si="267"/>
        <v>Wed</v>
      </c>
    </row>
    <row r="4246" spans="1:11" x14ac:dyDescent="0.35">
      <c r="A4246" s="1">
        <v>41725</v>
      </c>
      <c r="B4246">
        <v>17.1574993133544</v>
      </c>
      <c r="C4246">
        <v>17.2000007629394</v>
      </c>
      <c r="D4246">
        <v>16.544000625610298</v>
      </c>
      <c r="E4246">
        <v>16.923500061035099</v>
      </c>
      <c r="F4246">
        <v>16.923500061035099</v>
      </c>
      <c r="G4246">
        <v>115328000</v>
      </c>
      <c r="H4246">
        <f t="shared" si="264"/>
        <v>2014</v>
      </c>
      <c r="I4246">
        <f t="shared" si="265"/>
        <v>3</v>
      </c>
      <c r="J4246" t="str">
        <f t="shared" si="266"/>
        <v>Mar</v>
      </c>
      <c r="K4246" t="str">
        <f t="shared" si="267"/>
        <v>Thu</v>
      </c>
    </row>
    <row r="4247" spans="1:11" x14ac:dyDescent="0.35">
      <c r="A4247" s="1">
        <v>41726</v>
      </c>
      <c r="B4247">
        <v>17.002500534057599</v>
      </c>
      <c r="C4247">
        <v>17.350000381469702</v>
      </c>
      <c r="D4247">
        <v>16.804000854492099</v>
      </c>
      <c r="E4247">
        <v>16.9144992828369</v>
      </c>
      <c r="F4247">
        <v>16.9144992828369</v>
      </c>
      <c r="G4247">
        <v>79736000</v>
      </c>
      <c r="H4247">
        <f t="shared" si="264"/>
        <v>2014</v>
      </c>
      <c r="I4247">
        <f t="shared" si="265"/>
        <v>3</v>
      </c>
      <c r="J4247" t="str">
        <f t="shared" si="266"/>
        <v>Mar</v>
      </c>
      <c r="K4247" t="str">
        <f t="shared" si="267"/>
        <v>Fri</v>
      </c>
    </row>
    <row r="4248" spans="1:11" x14ac:dyDescent="0.35">
      <c r="A4248" s="1">
        <v>41729</v>
      </c>
      <c r="B4248">
        <v>17.120000839233398</v>
      </c>
      <c r="C4248">
        <v>17.314500808715799</v>
      </c>
      <c r="D4248">
        <v>16.702999114990199</v>
      </c>
      <c r="E4248">
        <v>16.8185005187988</v>
      </c>
      <c r="F4248">
        <v>16.8185005187988</v>
      </c>
      <c r="G4248">
        <v>85950000</v>
      </c>
      <c r="H4248">
        <f t="shared" si="264"/>
        <v>2014</v>
      </c>
      <c r="I4248">
        <f t="shared" si="265"/>
        <v>3</v>
      </c>
      <c r="J4248" t="str">
        <f t="shared" si="266"/>
        <v>Mar</v>
      </c>
      <c r="K4248" t="str">
        <f t="shared" si="267"/>
        <v>Mon</v>
      </c>
    </row>
    <row r="4249" spans="1:11" x14ac:dyDescent="0.35">
      <c r="A4249" s="1">
        <v>41730</v>
      </c>
      <c r="B4249">
        <v>16.904499053955</v>
      </c>
      <c r="C4249">
        <v>17.221500396728501</v>
      </c>
      <c r="D4249">
        <v>16.899999618530199</v>
      </c>
      <c r="E4249">
        <v>17.149499893188398</v>
      </c>
      <c r="F4249">
        <v>17.149499893188398</v>
      </c>
      <c r="G4249">
        <v>72002000</v>
      </c>
      <c r="H4249">
        <f t="shared" si="264"/>
        <v>2014</v>
      </c>
      <c r="I4249">
        <f t="shared" si="265"/>
        <v>4</v>
      </c>
      <c r="J4249" t="str">
        <f t="shared" si="266"/>
        <v>Apr</v>
      </c>
      <c r="K4249" t="str">
        <f t="shared" si="267"/>
        <v>Tue</v>
      </c>
    </row>
    <row r="4250" spans="1:11" x14ac:dyDescent="0.35">
      <c r="A4250" s="1">
        <v>41731</v>
      </c>
      <c r="B4250">
        <v>17.2994995117187</v>
      </c>
      <c r="C4250">
        <v>17.415000915527301</v>
      </c>
      <c r="D4250">
        <v>17.018999099731399</v>
      </c>
      <c r="E4250">
        <v>17.097999572753899</v>
      </c>
      <c r="F4250">
        <v>17.097999572753899</v>
      </c>
      <c r="G4250">
        <v>89510000</v>
      </c>
      <c r="H4250">
        <f t="shared" si="264"/>
        <v>2014</v>
      </c>
      <c r="I4250">
        <f t="shared" si="265"/>
        <v>4</v>
      </c>
      <c r="J4250" t="str">
        <f t="shared" si="266"/>
        <v>Apr</v>
      </c>
      <c r="K4250" t="str">
        <f t="shared" si="267"/>
        <v>Wed</v>
      </c>
    </row>
    <row r="4251" spans="1:11" x14ac:dyDescent="0.35">
      <c r="A4251" s="1">
        <v>41732</v>
      </c>
      <c r="B4251">
        <v>17.090999603271399</v>
      </c>
      <c r="C4251">
        <v>17.125</v>
      </c>
      <c r="D4251">
        <v>16.423000335693299</v>
      </c>
      <c r="E4251">
        <v>16.6809997558593</v>
      </c>
      <c r="F4251">
        <v>16.6809997558593</v>
      </c>
      <c r="G4251">
        <v>127986000</v>
      </c>
      <c r="H4251">
        <f t="shared" si="264"/>
        <v>2014</v>
      </c>
      <c r="I4251">
        <f t="shared" si="265"/>
        <v>4</v>
      </c>
      <c r="J4251" t="str">
        <f t="shared" si="266"/>
        <v>Apr</v>
      </c>
      <c r="K4251" t="str">
        <f t="shared" si="267"/>
        <v>Thu</v>
      </c>
    </row>
    <row r="4252" spans="1:11" x14ac:dyDescent="0.35">
      <c r="A4252" s="1">
        <v>41733</v>
      </c>
      <c r="B4252">
        <v>16.757499694824201</v>
      </c>
      <c r="C4252">
        <v>16.771999359130799</v>
      </c>
      <c r="D4252">
        <v>15.780500411987299</v>
      </c>
      <c r="E4252">
        <v>16.149999618530199</v>
      </c>
      <c r="F4252">
        <v>16.149999618530199</v>
      </c>
      <c r="G4252">
        <v>250692000</v>
      </c>
      <c r="H4252">
        <f t="shared" si="264"/>
        <v>2014</v>
      </c>
      <c r="I4252">
        <f t="shared" si="265"/>
        <v>4</v>
      </c>
      <c r="J4252" t="str">
        <f t="shared" si="266"/>
        <v>Apr</v>
      </c>
      <c r="K4252" t="str">
        <f t="shared" si="267"/>
        <v>Fri</v>
      </c>
    </row>
    <row r="4253" spans="1:11" x14ac:dyDescent="0.35">
      <c r="A4253" s="1">
        <v>41736</v>
      </c>
      <c r="B4253">
        <v>16.0494995117187</v>
      </c>
      <c r="C4253">
        <v>16.246999740600501</v>
      </c>
      <c r="D4253">
        <v>15.656499862670801</v>
      </c>
      <c r="E4253">
        <v>15.8879995346069</v>
      </c>
      <c r="F4253">
        <v>15.8879995346069</v>
      </c>
      <c r="G4253">
        <v>141548000</v>
      </c>
      <c r="H4253">
        <f t="shared" si="264"/>
        <v>2014</v>
      </c>
      <c r="I4253">
        <f t="shared" si="265"/>
        <v>4</v>
      </c>
      <c r="J4253" t="str">
        <f t="shared" si="266"/>
        <v>Apr</v>
      </c>
      <c r="K4253" t="str">
        <f t="shared" si="267"/>
        <v>Mon</v>
      </c>
    </row>
    <row r="4254" spans="1:11" x14ac:dyDescent="0.35">
      <c r="A4254" s="1">
        <v>41737</v>
      </c>
      <c r="B4254">
        <v>16.093999862670898</v>
      </c>
      <c r="C4254">
        <v>16.399999618530199</v>
      </c>
      <c r="D4254">
        <v>15.921999931335399</v>
      </c>
      <c r="E4254">
        <v>16.353500366210898</v>
      </c>
      <c r="F4254">
        <v>16.353500366210898</v>
      </c>
      <c r="G4254">
        <v>131552000</v>
      </c>
      <c r="H4254">
        <f t="shared" si="264"/>
        <v>2014</v>
      </c>
      <c r="I4254">
        <f t="shared" si="265"/>
        <v>4</v>
      </c>
      <c r="J4254" t="str">
        <f t="shared" si="266"/>
        <v>Apr</v>
      </c>
      <c r="K4254" t="str">
        <f t="shared" si="267"/>
        <v>Tue</v>
      </c>
    </row>
    <row r="4255" spans="1:11" x14ac:dyDescent="0.35">
      <c r="A4255" s="1">
        <v>41738</v>
      </c>
      <c r="B4255">
        <v>16.423500061035099</v>
      </c>
      <c r="C4255">
        <v>16.6089992523193</v>
      </c>
      <c r="D4255">
        <v>16.125</v>
      </c>
      <c r="E4255">
        <v>16.590499877929599</v>
      </c>
      <c r="F4255">
        <v>16.590499877929599</v>
      </c>
      <c r="G4255">
        <v>101132000</v>
      </c>
      <c r="H4255">
        <f t="shared" si="264"/>
        <v>2014</v>
      </c>
      <c r="I4255">
        <f t="shared" si="265"/>
        <v>4</v>
      </c>
      <c r="J4255" t="str">
        <f t="shared" si="266"/>
        <v>Apr</v>
      </c>
      <c r="K4255" t="str">
        <f t="shared" si="267"/>
        <v>Wed</v>
      </c>
    </row>
    <row r="4256" spans="1:11" x14ac:dyDescent="0.35">
      <c r="A4256" s="1">
        <v>41739</v>
      </c>
      <c r="B4256">
        <v>16.530000686645501</v>
      </c>
      <c r="C4256">
        <v>16.549999237060501</v>
      </c>
      <c r="D4256">
        <v>15.824999809265099</v>
      </c>
      <c r="E4256">
        <v>15.855500221252401</v>
      </c>
      <c r="F4256">
        <v>15.855500221252401</v>
      </c>
      <c r="G4256">
        <v>122534000</v>
      </c>
      <c r="H4256">
        <f t="shared" si="264"/>
        <v>2014</v>
      </c>
      <c r="I4256">
        <f t="shared" si="265"/>
        <v>4</v>
      </c>
      <c r="J4256" t="str">
        <f t="shared" si="266"/>
        <v>Apr</v>
      </c>
      <c r="K4256" t="str">
        <f t="shared" si="267"/>
        <v>Thu</v>
      </c>
    </row>
    <row r="4257" spans="1:11" x14ac:dyDescent="0.35">
      <c r="A4257" s="1">
        <v>41740</v>
      </c>
      <c r="B4257">
        <v>15.699999809265099</v>
      </c>
      <c r="C4257">
        <v>15.824999809265099</v>
      </c>
      <c r="D4257">
        <v>15.4750003814697</v>
      </c>
      <c r="E4257">
        <v>15.5865001678466</v>
      </c>
      <c r="F4257">
        <v>15.5865001678466</v>
      </c>
      <c r="G4257">
        <v>145750000</v>
      </c>
      <c r="H4257">
        <f t="shared" si="264"/>
        <v>2014</v>
      </c>
      <c r="I4257">
        <f t="shared" si="265"/>
        <v>4</v>
      </c>
      <c r="J4257" t="str">
        <f t="shared" si="266"/>
        <v>Apr</v>
      </c>
      <c r="K4257" t="str">
        <f t="shared" si="267"/>
        <v>Fri</v>
      </c>
    </row>
    <row r="4258" spans="1:11" x14ac:dyDescent="0.35">
      <c r="A4258" s="1">
        <v>41743</v>
      </c>
      <c r="B4258">
        <v>15.8835000991821</v>
      </c>
      <c r="C4258">
        <v>16.024000167846602</v>
      </c>
      <c r="D4258">
        <v>15.5640001296997</v>
      </c>
      <c r="E4258">
        <v>15.7954998016357</v>
      </c>
      <c r="F4258">
        <v>15.7954998016357</v>
      </c>
      <c r="G4258">
        <v>85870000</v>
      </c>
      <c r="H4258">
        <f t="shared" si="264"/>
        <v>2014</v>
      </c>
      <c r="I4258">
        <f t="shared" si="265"/>
        <v>4</v>
      </c>
      <c r="J4258" t="str">
        <f t="shared" si="266"/>
        <v>Apr</v>
      </c>
      <c r="K4258" t="str">
        <f t="shared" si="267"/>
        <v>Mon</v>
      </c>
    </row>
    <row r="4259" spans="1:11" x14ac:dyDescent="0.35">
      <c r="A4259" s="1">
        <v>41744</v>
      </c>
      <c r="B4259">
        <v>15.8350000381469</v>
      </c>
      <c r="C4259">
        <v>15.913999557495099</v>
      </c>
      <c r="D4259">
        <v>15.274999618530201</v>
      </c>
      <c r="E4259">
        <v>15.8039999008178</v>
      </c>
      <c r="F4259">
        <v>15.8039999008178</v>
      </c>
      <c r="G4259">
        <v>107972000</v>
      </c>
      <c r="H4259">
        <f t="shared" si="264"/>
        <v>2014</v>
      </c>
      <c r="I4259">
        <f t="shared" si="265"/>
        <v>4</v>
      </c>
      <c r="J4259" t="str">
        <f t="shared" si="266"/>
        <v>Apr</v>
      </c>
      <c r="K4259" t="str">
        <f t="shared" si="267"/>
        <v>Tue</v>
      </c>
    </row>
    <row r="4260" spans="1:11" x14ac:dyDescent="0.35">
      <c r="A4260" s="1">
        <v>41745</v>
      </c>
      <c r="B4260">
        <v>16.0585002899169</v>
      </c>
      <c r="C4260">
        <v>16.2000007629394</v>
      </c>
      <c r="D4260">
        <v>15.735500335693301</v>
      </c>
      <c r="E4260">
        <v>16.1840000152587</v>
      </c>
      <c r="F4260">
        <v>16.1840000152587</v>
      </c>
      <c r="G4260">
        <v>85698000</v>
      </c>
      <c r="H4260">
        <f t="shared" si="264"/>
        <v>2014</v>
      </c>
      <c r="I4260">
        <f t="shared" si="265"/>
        <v>4</v>
      </c>
      <c r="J4260" t="str">
        <f t="shared" si="266"/>
        <v>Apr</v>
      </c>
      <c r="K4260" t="str">
        <f t="shared" si="267"/>
        <v>Wed</v>
      </c>
    </row>
    <row r="4261" spans="1:11" x14ac:dyDescent="0.35">
      <c r="A4261" s="1">
        <v>41746</v>
      </c>
      <c r="B4261">
        <v>15.9879999160766</v>
      </c>
      <c r="C4261">
        <v>16.433000564575099</v>
      </c>
      <c r="D4261">
        <v>15.9879999160766</v>
      </c>
      <c r="E4261">
        <v>16.245500564575099</v>
      </c>
      <c r="F4261">
        <v>16.245500564575099</v>
      </c>
      <c r="G4261">
        <v>85984000</v>
      </c>
      <c r="H4261">
        <f t="shared" si="264"/>
        <v>2014</v>
      </c>
      <c r="I4261">
        <f t="shared" si="265"/>
        <v>4</v>
      </c>
      <c r="J4261" t="str">
        <f t="shared" si="266"/>
        <v>Apr</v>
      </c>
      <c r="K4261" t="str">
        <f t="shared" si="267"/>
        <v>Thu</v>
      </c>
    </row>
    <row r="4262" spans="1:11" x14ac:dyDescent="0.35">
      <c r="A4262" s="1">
        <v>41750</v>
      </c>
      <c r="B4262">
        <v>16.198499679565401</v>
      </c>
      <c r="C4262">
        <v>16.557500839233398</v>
      </c>
      <c r="D4262">
        <v>16.115499496459901</v>
      </c>
      <c r="E4262">
        <v>16.543500900268501</v>
      </c>
      <c r="F4262">
        <v>16.543500900268501</v>
      </c>
      <c r="G4262">
        <v>59988000</v>
      </c>
      <c r="H4262">
        <f t="shared" si="264"/>
        <v>2014</v>
      </c>
      <c r="I4262">
        <f t="shared" si="265"/>
        <v>4</v>
      </c>
      <c r="J4262" t="str">
        <f t="shared" si="266"/>
        <v>Apr</v>
      </c>
      <c r="K4262" t="str">
        <f t="shared" si="267"/>
        <v>Mon</v>
      </c>
    </row>
    <row r="4263" spans="1:11" x14ac:dyDescent="0.35">
      <c r="A4263" s="1">
        <v>41751</v>
      </c>
      <c r="B4263">
        <v>16.600000381469702</v>
      </c>
      <c r="C4263">
        <v>16.875</v>
      </c>
      <c r="D4263">
        <v>16.44700050354</v>
      </c>
      <c r="E4263">
        <v>16.465999603271399</v>
      </c>
      <c r="F4263">
        <v>16.465999603271399</v>
      </c>
      <c r="G4263">
        <v>74232000</v>
      </c>
      <c r="H4263">
        <f t="shared" si="264"/>
        <v>2014</v>
      </c>
      <c r="I4263">
        <f t="shared" si="265"/>
        <v>4</v>
      </c>
      <c r="J4263" t="str">
        <f t="shared" si="266"/>
        <v>Apr</v>
      </c>
      <c r="K4263" t="str">
        <f t="shared" si="267"/>
        <v>Tue</v>
      </c>
    </row>
    <row r="4264" spans="1:11" x14ac:dyDescent="0.35">
      <c r="A4264" s="1">
        <v>41752</v>
      </c>
      <c r="B4264">
        <v>16.652999877929599</v>
      </c>
      <c r="C4264">
        <v>16.656499862670898</v>
      </c>
      <c r="D4264">
        <v>16.169500350952099</v>
      </c>
      <c r="E4264">
        <v>16.229000091552699</v>
      </c>
      <c r="F4264">
        <v>16.229000091552699</v>
      </c>
      <c r="G4264">
        <v>72092000</v>
      </c>
      <c r="H4264">
        <f t="shared" si="264"/>
        <v>2014</v>
      </c>
      <c r="I4264">
        <f t="shared" si="265"/>
        <v>4</v>
      </c>
      <c r="J4264" t="str">
        <f t="shared" si="266"/>
        <v>Apr</v>
      </c>
      <c r="K4264" t="str">
        <f t="shared" si="267"/>
        <v>Wed</v>
      </c>
    </row>
    <row r="4265" spans="1:11" x14ac:dyDescent="0.35">
      <c r="A4265" s="1">
        <v>41753</v>
      </c>
      <c r="B4265">
        <v>16.4834995269775</v>
      </c>
      <c r="C4265">
        <v>16.870000839233398</v>
      </c>
      <c r="D4265">
        <v>16.147499084472599</v>
      </c>
      <c r="E4265">
        <v>16.857500076293899</v>
      </c>
      <c r="F4265">
        <v>16.857500076293899</v>
      </c>
      <c r="G4265">
        <v>185874000</v>
      </c>
      <c r="H4265">
        <f t="shared" si="264"/>
        <v>2014</v>
      </c>
      <c r="I4265">
        <f t="shared" si="265"/>
        <v>4</v>
      </c>
      <c r="J4265" t="str">
        <f t="shared" si="266"/>
        <v>Apr</v>
      </c>
      <c r="K4265" t="str">
        <f t="shared" si="267"/>
        <v>Thu</v>
      </c>
    </row>
    <row r="4266" spans="1:11" x14ac:dyDescent="0.35">
      <c r="A4266" s="1">
        <v>41754</v>
      </c>
      <c r="B4266">
        <v>15.8125</v>
      </c>
      <c r="C4266">
        <v>15.824500083923301</v>
      </c>
      <c r="D4266">
        <v>15.135499954223601</v>
      </c>
      <c r="E4266">
        <v>15.191499710083001</v>
      </c>
      <c r="F4266">
        <v>15.191499710083001</v>
      </c>
      <c r="G4266">
        <v>323604000</v>
      </c>
      <c r="H4266">
        <f t="shared" si="264"/>
        <v>2014</v>
      </c>
      <c r="I4266">
        <f t="shared" si="265"/>
        <v>4</v>
      </c>
      <c r="J4266" t="str">
        <f t="shared" si="266"/>
        <v>Apr</v>
      </c>
      <c r="K4266" t="str">
        <f t="shared" si="267"/>
        <v>Fri</v>
      </c>
    </row>
    <row r="4267" spans="1:11" x14ac:dyDescent="0.35">
      <c r="A4267" s="1">
        <v>41757</v>
      </c>
      <c r="B4267">
        <v>15.199999809265099</v>
      </c>
      <c r="C4267">
        <v>15.219499588012599</v>
      </c>
      <c r="D4267">
        <v>14.399999618530201</v>
      </c>
      <c r="E4267">
        <v>14.829000473022401</v>
      </c>
      <c r="F4267">
        <v>14.829000473022401</v>
      </c>
      <c r="G4267">
        <v>289596000</v>
      </c>
      <c r="H4267">
        <f t="shared" si="264"/>
        <v>2014</v>
      </c>
      <c r="I4267">
        <f t="shared" si="265"/>
        <v>4</v>
      </c>
      <c r="J4267" t="str">
        <f t="shared" si="266"/>
        <v>Apr</v>
      </c>
      <c r="K4267" t="str">
        <f t="shared" si="267"/>
        <v>Mon</v>
      </c>
    </row>
    <row r="4268" spans="1:11" x14ac:dyDescent="0.35">
      <c r="A4268" s="1">
        <v>41758</v>
      </c>
      <c r="B4268">
        <v>14.8219995498657</v>
      </c>
      <c r="C4268">
        <v>15.0920000076293</v>
      </c>
      <c r="D4268">
        <v>14.5225000381469</v>
      </c>
      <c r="E4268">
        <v>15.0190000534057</v>
      </c>
      <c r="F4268">
        <v>15.0190000534057</v>
      </c>
      <c r="G4268">
        <v>130186000</v>
      </c>
      <c r="H4268">
        <f t="shared" si="264"/>
        <v>2014</v>
      </c>
      <c r="I4268">
        <f t="shared" si="265"/>
        <v>4</v>
      </c>
      <c r="J4268" t="str">
        <f t="shared" si="266"/>
        <v>Apr</v>
      </c>
      <c r="K4268" t="str">
        <f t="shared" si="267"/>
        <v>Tue</v>
      </c>
    </row>
    <row r="4269" spans="1:11" x14ac:dyDescent="0.35">
      <c r="A4269" s="1">
        <v>41759</v>
      </c>
      <c r="B4269">
        <v>14.904999732971101</v>
      </c>
      <c r="C4269">
        <v>15.227999687194799</v>
      </c>
      <c r="D4269">
        <v>14.904999732971101</v>
      </c>
      <c r="E4269">
        <v>15.2065000534057</v>
      </c>
      <c r="F4269">
        <v>15.2065000534057</v>
      </c>
      <c r="G4269">
        <v>81772000</v>
      </c>
      <c r="H4269">
        <f t="shared" si="264"/>
        <v>2014</v>
      </c>
      <c r="I4269">
        <f t="shared" si="265"/>
        <v>4</v>
      </c>
      <c r="J4269" t="str">
        <f t="shared" si="266"/>
        <v>Apr</v>
      </c>
      <c r="K4269" t="str">
        <f t="shared" si="267"/>
        <v>Wed</v>
      </c>
    </row>
    <row r="4270" spans="1:11" x14ac:dyDescent="0.35">
      <c r="A4270" s="1">
        <v>41760</v>
      </c>
      <c r="B4270">
        <v>15.2065000534057</v>
      </c>
      <c r="C4270">
        <v>15.5240001678466</v>
      </c>
      <c r="D4270">
        <v>15.199999809265099</v>
      </c>
      <c r="E4270">
        <v>15.3944997787475</v>
      </c>
      <c r="F4270">
        <v>15.3944997787475</v>
      </c>
      <c r="G4270">
        <v>86572000</v>
      </c>
      <c r="H4270">
        <f t="shared" si="264"/>
        <v>2014</v>
      </c>
      <c r="I4270">
        <f t="shared" si="265"/>
        <v>5</v>
      </c>
      <c r="J4270" t="str">
        <f t="shared" si="266"/>
        <v>May</v>
      </c>
      <c r="K4270" t="str">
        <f t="shared" si="267"/>
        <v>Thu</v>
      </c>
    </row>
    <row r="4271" spans="1:11" x14ac:dyDescent="0.35">
      <c r="A4271" s="1">
        <v>41761</v>
      </c>
      <c r="B4271">
        <v>15.5209999084472</v>
      </c>
      <c r="C4271">
        <v>15.6645002365112</v>
      </c>
      <c r="D4271">
        <v>15.2154998779296</v>
      </c>
      <c r="E4271">
        <v>15.4005002975463</v>
      </c>
      <c r="F4271">
        <v>15.4005002975463</v>
      </c>
      <c r="G4271">
        <v>79902000</v>
      </c>
      <c r="H4271">
        <f t="shared" si="264"/>
        <v>2014</v>
      </c>
      <c r="I4271">
        <f t="shared" si="265"/>
        <v>5</v>
      </c>
      <c r="J4271" t="str">
        <f t="shared" si="266"/>
        <v>May</v>
      </c>
      <c r="K4271" t="str">
        <f t="shared" si="267"/>
        <v>Fri</v>
      </c>
    </row>
    <row r="4272" spans="1:11" x14ac:dyDescent="0.35">
      <c r="A4272" s="1">
        <v>41764</v>
      </c>
      <c r="B4272">
        <v>15.318499565124499</v>
      </c>
      <c r="C4272">
        <v>15.5115003585815</v>
      </c>
      <c r="D4272">
        <v>15.25</v>
      </c>
      <c r="E4272">
        <v>15.502499580383301</v>
      </c>
      <c r="F4272">
        <v>15.502499580383301</v>
      </c>
      <c r="G4272">
        <v>50398000</v>
      </c>
      <c r="H4272">
        <f t="shared" si="264"/>
        <v>2014</v>
      </c>
      <c r="I4272">
        <f t="shared" si="265"/>
        <v>5</v>
      </c>
      <c r="J4272" t="str">
        <f t="shared" si="266"/>
        <v>May</v>
      </c>
      <c r="K4272" t="str">
        <f t="shared" si="267"/>
        <v>Mon</v>
      </c>
    </row>
    <row r="4273" spans="1:11" x14ac:dyDescent="0.35">
      <c r="A4273" s="1">
        <v>41765</v>
      </c>
      <c r="B4273">
        <v>15.476499557495099</v>
      </c>
      <c r="C4273">
        <v>15.490500450134199</v>
      </c>
      <c r="D4273">
        <v>14.8520002365112</v>
      </c>
      <c r="E4273">
        <v>14.869000434875399</v>
      </c>
      <c r="F4273">
        <v>14.869000434875399</v>
      </c>
      <c r="G4273">
        <v>93646000</v>
      </c>
      <c r="H4273">
        <f t="shared" si="264"/>
        <v>2014</v>
      </c>
      <c r="I4273">
        <f t="shared" si="265"/>
        <v>5</v>
      </c>
      <c r="J4273" t="str">
        <f t="shared" si="266"/>
        <v>May</v>
      </c>
      <c r="K4273" t="str">
        <f t="shared" si="267"/>
        <v>Tue</v>
      </c>
    </row>
    <row r="4274" spans="1:11" x14ac:dyDescent="0.35">
      <c r="A4274" s="1">
        <v>41766</v>
      </c>
      <c r="B4274">
        <v>14.7779998779296</v>
      </c>
      <c r="C4274">
        <v>14.819999694824199</v>
      </c>
      <c r="D4274">
        <v>14.333999633789</v>
      </c>
      <c r="E4274">
        <v>14.635499954223601</v>
      </c>
      <c r="F4274">
        <v>14.635499954223601</v>
      </c>
      <c r="G4274">
        <v>140304000</v>
      </c>
      <c r="H4274">
        <f t="shared" si="264"/>
        <v>2014</v>
      </c>
      <c r="I4274">
        <f t="shared" si="265"/>
        <v>5</v>
      </c>
      <c r="J4274" t="str">
        <f t="shared" si="266"/>
        <v>May</v>
      </c>
      <c r="K4274" t="str">
        <f t="shared" si="267"/>
        <v>Wed</v>
      </c>
    </row>
    <row r="4275" spans="1:11" x14ac:dyDescent="0.35">
      <c r="A4275" s="1">
        <v>41767</v>
      </c>
      <c r="B4275">
        <v>14.5410003662109</v>
      </c>
      <c r="C4275">
        <v>14.793999671936</v>
      </c>
      <c r="D4275">
        <v>14.3614997863769</v>
      </c>
      <c r="E4275">
        <v>14.4160003662109</v>
      </c>
      <c r="F4275">
        <v>14.4160003662109</v>
      </c>
      <c r="G4275">
        <v>76964000</v>
      </c>
      <c r="H4275">
        <f t="shared" si="264"/>
        <v>2014</v>
      </c>
      <c r="I4275">
        <f t="shared" si="265"/>
        <v>5</v>
      </c>
      <c r="J4275" t="str">
        <f t="shared" si="266"/>
        <v>May</v>
      </c>
      <c r="K4275" t="str">
        <f t="shared" si="267"/>
        <v>Thu</v>
      </c>
    </row>
    <row r="4276" spans="1:11" x14ac:dyDescent="0.35">
      <c r="A4276" s="1">
        <v>41768</v>
      </c>
      <c r="B4276">
        <v>14.528499603271401</v>
      </c>
      <c r="C4276">
        <v>14.6840000152587</v>
      </c>
      <c r="D4276">
        <v>14.218999862670801</v>
      </c>
      <c r="E4276">
        <v>14.612000465393001</v>
      </c>
      <c r="F4276">
        <v>14.612000465393001</v>
      </c>
      <c r="G4276">
        <v>81260000</v>
      </c>
      <c r="H4276">
        <f t="shared" si="264"/>
        <v>2014</v>
      </c>
      <c r="I4276">
        <f t="shared" si="265"/>
        <v>5</v>
      </c>
      <c r="J4276" t="str">
        <f t="shared" si="266"/>
        <v>May</v>
      </c>
      <c r="K4276" t="str">
        <f t="shared" si="267"/>
        <v>Fri</v>
      </c>
    </row>
    <row r="4277" spans="1:11" x14ac:dyDescent="0.35">
      <c r="A4277" s="1">
        <v>41771</v>
      </c>
      <c r="B4277">
        <v>14.7150001525878</v>
      </c>
      <c r="C4277">
        <v>15.166999816894499</v>
      </c>
      <c r="D4277">
        <v>14.708000183105399</v>
      </c>
      <c r="E4277">
        <v>15.1429996490478</v>
      </c>
      <c r="F4277">
        <v>15.1429996490478</v>
      </c>
      <c r="G4277">
        <v>74592000</v>
      </c>
      <c r="H4277">
        <f t="shared" si="264"/>
        <v>2014</v>
      </c>
      <c r="I4277">
        <f t="shared" si="265"/>
        <v>5</v>
      </c>
      <c r="J4277" t="str">
        <f t="shared" si="266"/>
        <v>May</v>
      </c>
      <c r="K4277" t="str">
        <f t="shared" si="267"/>
        <v>Mon</v>
      </c>
    </row>
    <row r="4278" spans="1:11" x14ac:dyDescent="0.35">
      <c r="A4278" s="1">
        <v>41772</v>
      </c>
      <c r="B4278">
        <v>15.1300001144409</v>
      </c>
      <c r="C4278">
        <v>15.279999732971101</v>
      </c>
      <c r="D4278">
        <v>15.0375003814697</v>
      </c>
      <c r="E4278">
        <v>15.2320003509521</v>
      </c>
      <c r="F4278">
        <v>15.2320003509521</v>
      </c>
      <c r="G4278">
        <v>70198000</v>
      </c>
      <c r="H4278">
        <f t="shared" si="264"/>
        <v>2014</v>
      </c>
      <c r="I4278">
        <f t="shared" si="265"/>
        <v>5</v>
      </c>
      <c r="J4278" t="str">
        <f t="shared" si="266"/>
        <v>May</v>
      </c>
      <c r="K4278" t="str">
        <f t="shared" si="267"/>
        <v>Tue</v>
      </c>
    </row>
    <row r="4279" spans="1:11" x14ac:dyDescent="0.35">
      <c r="A4279" s="1">
        <v>41773</v>
      </c>
      <c r="B4279">
        <v>15.125</v>
      </c>
      <c r="C4279">
        <v>15.2320003509521</v>
      </c>
      <c r="D4279">
        <v>14.833000183105399</v>
      </c>
      <c r="E4279">
        <v>14.880999565124499</v>
      </c>
      <c r="F4279">
        <v>14.880999565124499</v>
      </c>
      <c r="G4279">
        <v>66466000</v>
      </c>
      <c r="H4279">
        <f t="shared" si="264"/>
        <v>2014</v>
      </c>
      <c r="I4279">
        <f t="shared" si="265"/>
        <v>5</v>
      </c>
      <c r="J4279" t="str">
        <f t="shared" si="266"/>
        <v>May</v>
      </c>
      <c r="K4279" t="str">
        <f t="shared" si="267"/>
        <v>Wed</v>
      </c>
    </row>
    <row r="4280" spans="1:11" x14ac:dyDescent="0.35">
      <c r="A4280" s="1">
        <v>41774</v>
      </c>
      <c r="B4280">
        <v>14.9010000228881</v>
      </c>
      <c r="C4280">
        <v>14.9600000381469</v>
      </c>
      <c r="D4280">
        <v>14.5190000534057</v>
      </c>
      <c r="E4280">
        <v>14.7594995498657</v>
      </c>
      <c r="F4280">
        <v>14.7594995498657</v>
      </c>
      <c r="G4280">
        <v>85902000</v>
      </c>
      <c r="H4280">
        <f t="shared" si="264"/>
        <v>2014</v>
      </c>
      <c r="I4280">
        <f t="shared" si="265"/>
        <v>5</v>
      </c>
      <c r="J4280" t="str">
        <f t="shared" si="266"/>
        <v>May</v>
      </c>
      <c r="K4280" t="str">
        <f t="shared" si="267"/>
        <v>Thu</v>
      </c>
    </row>
    <row r="4281" spans="1:11" x14ac:dyDescent="0.35">
      <c r="A4281" s="1">
        <v>41775</v>
      </c>
      <c r="B4281">
        <v>14.640000343322701</v>
      </c>
      <c r="C4281">
        <v>14.9440002441406</v>
      </c>
      <c r="D4281">
        <v>14.577500343322701</v>
      </c>
      <c r="E4281">
        <v>14.8850002288818</v>
      </c>
      <c r="F4281">
        <v>14.8850002288818</v>
      </c>
      <c r="G4281">
        <v>72736000</v>
      </c>
      <c r="H4281">
        <f t="shared" si="264"/>
        <v>2014</v>
      </c>
      <c r="I4281">
        <f t="shared" si="265"/>
        <v>5</v>
      </c>
      <c r="J4281" t="str">
        <f t="shared" si="266"/>
        <v>May</v>
      </c>
      <c r="K4281" t="str">
        <f t="shared" si="267"/>
        <v>Fri</v>
      </c>
    </row>
    <row r="4282" spans="1:11" x14ac:dyDescent="0.35">
      <c r="A4282" s="1">
        <v>41778</v>
      </c>
      <c r="B4282">
        <v>14.7880001068115</v>
      </c>
      <c r="C4282">
        <v>14.949999809265099</v>
      </c>
      <c r="D4282">
        <v>14.6905002593994</v>
      </c>
      <c r="E4282">
        <v>14.8380002975463</v>
      </c>
      <c r="F4282">
        <v>14.8380002975463</v>
      </c>
      <c r="G4282">
        <v>45684000</v>
      </c>
      <c r="H4282">
        <f t="shared" si="264"/>
        <v>2014</v>
      </c>
      <c r="I4282">
        <f t="shared" si="265"/>
        <v>5</v>
      </c>
      <c r="J4282" t="str">
        <f t="shared" si="266"/>
        <v>May</v>
      </c>
      <c r="K4282" t="str">
        <f t="shared" si="267"/>
        <v>Mon</v>
      </c>
    </row>
    <row r="4283" spans="1:11" x14ac:dyDescent="0.35">
      <c r="A4283" s="1">
        <v>41779</v>
      </c>
      <c r="B4283">
        <v>14.8549995422363</v>
      </c>
      <c r="C4283">
        <v>15.222999572753899</v>
      </c>
      <c r="D4283">
        <v>14.837499618530201</v>
      </c>
      <c r="E4283">
        <v>15.059499740600501</v>
      </c>
      <c r="F4283">
        <v>15.059499740600501</v>
      </c>
      <c r="G4283">
        <v>81914000</v>
      </c>
      <c r="H4283">
        <f t="shared" si="264"/>
        <v>2014</v>
      </c>
      <c r="I4283">
        <f t="shared" si="265"/>
        <v>5</v>
      </c>
      <c r="J4283" t="str">
        <f t="shared" si="266"/>
        <v>May</v>
      </c>
      <c r="K4283" t="str">
        <f t="shared" si="267"/>
        <v>Tue</v>
      </c>
    </row>
    <row r="4284" spans="1:11" x14ac:dyDescent="0.35">
      <c r="A4284" s="1">
        <v>41780</v>
      </c>
      <c r="B4284">
        <v>15.110500335693301</v>
      </c>
      <c r="C4284">
        <v>15.298000335693301</v>
      </c>
      <c r="D4284">
        <v>15.076000213623001</v>
      </c>
      <c r="E4284">
        <v>15.250499725341699</v>
      </c>
      <c r="F4284">
        <v>15.250499725341699</v>
      </c>
      <c r="G4284">
        <v>68176000</v>
      </c>
      <c r="H4284">
        <f t="shared" si="264"/>
        <v>2014</v>
      </c>
      <c r="I4284">
        <f t="shared" si="265"/>
        <v>5</v>
      </c>
      <c r="J4284" t="str">
        <f t="shared" si="266"/>
        <v>May</v>
      </c>
      <c r="K4284" t="str">
        <f t="shared" si="267"/>
        <v>Wed</v>
      </c>
    </row>
    <row r="4285" spans="1:11" x14ac:dyDescent="0.35">
      <c r="A4285" s="1">
        <v>41781</v>
      </c>
      <c r="B4285">
        <v>15.252499580383301</v>
      </c>
      <c r="C4285">
        <v>15.4270000457763</v>
      </c>
      <c r="D4285">
        <v>15.1505002975463</v>
      </c>
      <c r="E4285">
        <v>15.245499610900801</v>
      </c>
      <c r="F4285">
        <v>15.245499610900801</v>
      </c>
      <c r="G4285">
        <v>51536000</v>
      </c>
      <c r="H4285">
        <f t="shared" si="264"/>
        <v>2014</v>
      </c>
      <c r="I4285">
        <f t="shared" si="265"/>
        <v>5</v>
      </c>
      <c r="J4285" t="str">
        <f t="shared" si="266"/>
        <v>May</v>
      </c>
      <c r="K4285" t="str">
        <f t="shared" si="267"/>
        <v>Thu</v>
      </c>
    </row>
    <row r="4286" spans="1:11" x14ac:dyDescent="0.35">
      <c r="A4286" s="1">
        <v>41782</v>
      </c>
      <c r="B4286">
        <v>15.2729997634887</v>
      </c>
      <c r="C4286">
        <v>15.6175003051757</v>
      </c>
      <c r="D4286">
        <v>15.244999885559</v>
      </c>
      <c r="E4286">
        <v>15.612000465393001</v>
      </c>
      <c r="F4286">
        <v>15.612000465393001</v>
      </c>
      <c r="G4286">
        <v>61058000</v>
      </c>
      <c r="H4286">
        <f t="shared" si="264"/>
        <v>2014</v>
      </c>
      <c r="I4286">
        <f t="shared" si="265"/>
        <v>5</v>
      </c>
      <c r="J4286" t="str">
        <f t="shared" si="266"/>
        <v>May</v>
      </c>
      <c r="K4286" t="str">
        <f t="shared" si="267"/>
        <v>Fri</v>
      </c>
    </row>
    <row r="4287" spans="1:11" x14ac:dyDescent="0.35">
      <c r="A4287" s="1">
        <v>41786</v>
      </c>
      <c r="B4287">
        <v>15.7204999923706</v>
      </c>
      <c r="C4287">
        <v>15.731499671936</v>
      </c>
      <c r="D4287">
        <v>15.369000434875399</v>
      </c>
      <c r="E4287">
        <v>15.5410003662109</v>
      </c>
      <c r="F4287">
        <v>15.5410003662109</v>
      </c>
      <c r="G4287">
        <v>97242000</v>
      </c>
      <c r="H4287">
        <f t="shared" si="264"/>
        <v>2014</v>
      </c>
      <c r="I4287">
        <f t="shared" si="265"/>
        <v>5</v>
      </c>
      <c r="J4287" t="str">
        <f t="shared" si="266"/>
        <v>May</v>
      </c>
      <c r="K4287" t="str">
        <f t="shared" si="267"/>
        <v>Tue</v>
      </c>
    </row>
    <row r="4288" spans="1:11" x14ac:dyDescent="0.35">
      <c r="A4288" s="1">
        <v>41787</v>
      </c>
      <c r="B4288">
        <v>15.4750003814697</v>
      </c>
      <c r="C4288">
        <v>15.6909999847412</v>
      </c>
      <c r="D4288">
        <v>15.3710002899169</v>
      </c>
      <c r="E4288">
        <v>15.5080003738403</v>
      </c>
      <c r="F4288">
        <v>15.5080003738403</v>
      </c>
      <c r="G4288">
        <v>54520000</v>
      </c>
      <c r="H4288">
        <f t="shared" si="264"/>
        <v>2014</v>
      </c>
      <c r="I4288">
        <f t="shared" si="265"/>
        <v>5</v>
      </c>
      <c r="J4288" t="str">
        <f t="shared" si="266"/>
        <v>May</v>
      </c>
      <c r="K4288" t="str">
        <f t="shared" si="267"/>
        <v>Wed</v>
      </c>
    </row>
    <row r="4289" spans="1:11" x14ac:dyDescent="0.35">
      <c r="A4289" s="1">
        <v>41788</v>
      </c>
      <c r="B4289">
        <v>15.5209999084472</v>
      </c>
      <c r="C4289">
        <v>15.7434997558593</v>
      </c>
      <c r="D4289">
        <v>15.5100002288818</v>
      </c>
      <c r="E4289">
        <v>15.6890001296997</v>
      </c>
      <c r="F4289">
        <v>15.6890001296997</v>
      </c>
      <c r="G4289">
        <v>47310000</v>
      </c>
      <c r="H4289">
        <f t="shared" si="264"/>
        <v>2014</v>
      </c>
      <c r="I4289">
        <f t="shared" si="265"/>
        <v>5</v>
      </c>
      <c r="J4289" t="str">
        <f t="shared" si="266"/>
        <v>May</v>
      </c>
      <c r="K4289" t="str">
        <f t="shared" si="267"/>
        <v>Thu</v>
      </c>
    </row>
    <row r="4290" spans="1:11" x14ac:dyDescent="0.35">
      <c r="A4290" s="1">
        <v>41789</v>
      </c>
      <c r="B4290">
        <v>15.7215003967285</v>
      </c>
      <c r="C4290">
        <v>15.732500076293899</v>
      </c>
      <c r="D4290">
        <v>15.3784999847412</v>
      </c>
      <c r="E4290">
        <v>15.627499580383301</v>
      </c>
      <c r="F4290">
        <v>15.627499580383301</v>
      </c>
      <c r="G4290">
        <v>85204000</v>
      </c>
      <c r="H4290">
        <f t="shared" si="264"/>
        <v>2014</v>
      </c>
      <c r="I4290">
        <f t="shared" si="265"/>
        <v>5</v>
      </c>
      <c r="J4290" t="str">
        <f t="shared" si="266"/>
        <v>May</v>
      </c>
      <c r="K4290" t="str">
        <f t="shared" si="267"/>
        <v>Fri</v>
      </c>
    </row>
    <row r="4291" spans="1:11" x14ac:dyDescent="0.35">
      <c r="A4291" s="1">
        <v>41792</v>
      </c>
      <c r="B4291">
        <v>15.6295003890991</v>
      </c>
      <c r="C4291">
        <v>15.6300001144409</v>
      </c>
      <c r="D4291">
        <v>15.3500003814697</v>
      </c>
      <c r="E4291">
        <v>15.4420003890991</v>
      </c>
      <c r="F4291">
        <v>15.4420003890991</v>
      </c>
      <c r="G4291">
        <v>44068000</v>
      </c>
      <c r="H4291">
        <f t="shared" si="264"/>
        <v>2014</v>
      </c>
      <c r="I4291">
        <f t="shared" si="265"/>
        <v>6</v>
      </c>
      <c r="J4291" t="str">
        <f t="shared" si="266"/>
        <v>Jun</v>
      </c>
      <c r="K4291" t="str">
        <f t="shared" si="267"/>
        <v>Mon</v>
      </c>
    </row>
    <row r="4292" spans="1:11" x14ac:dyDescent="0.35">
      <c r="A4292" s="1">
        <v>41793</v>
      </c>
      <c r="B4292">
        <v>15.2875003814697</v>
      </c>
      <c r="C4292">
        <v>15.3959999084472</v>
      </c>
      <c r="D4292">
        <v>15.2534999847412</v>
      </c>
      <c r="E4292">
        <v>15.359499931335399</v>
      </c>
      <c r="F4292">
        <v>15.359499931335399</v>
      </c>
      <c r="G4292">
        <v>47584000</v>
      </c>
      <c r="H4292">
        <f t="shared" ref="H4292:H4355" si="268">YEAR($A4292)</f>
        <v>2014</v>
      </c>
      <c r="I4292">
        <f t="shared" ref="I4292:I4355" si="269">MONTH($A4292)</f>
        <v>6</v>
      </c>
      <c r="J4292" t="str">
        <f t="shared" ref="J4292:J4355" si="270">TEXT($A4292,"mmm")</f>
        <v>Jun</v>
      </c>
      <c r="K4292" t="str">
        <f t="shared" ref="K4292:K4355" si="271">TEXT($A4292,"ddd")</f>
        <v>Tue</v>
      </c>
    </row>
    <row r="4293" spans="1:11" x14ac:dyDescent="0.35">
      <c r="A4293" s="1">
        <v>41794</v>
      </c>
      <c r="B4293">
        <v>15.342499732971101</v>
      </c>
      <c r="C4293">
        <v>15.4750003814697</v>
      </c>
      <c r="D4293">
        <v>15.1920003890991</v>
      </c>
      <c r="E4293">
        <v>15.338999748229901</v>
      </c>
      <c r="F4293">
        <v>15.338999748229901</v>
      </c>
      <c r="G4293">
        <v>42142000</v>
      </c>
      <c r="H4293">
        <f t="shared" si="268"/>
        <v>2014</v>
      </c>
      <c r="I4293">
        <f t="shared" si="269"/>
        <v>6</v>
      </c>
      <c r="J4293" t="str">
        <f t="shared" si="270"/>
        <v>Jun</v>
      </c>
      <c r="K4293" t="str">
        <f t="shared" si="271"/>
        <v>Wed</v>
      </c>
    </row>
    <row r="4294" spans="1:11" x14ac:dyDescent="0.35">
      <c r="A4294" s="1">
        <v>41795</v>
      </c>
      <c r="B4294">
        <v>15.404999732971101</v>
      </c>
      <c r="C4294">
        <v>16.396999359130799</v>
      </c>
      <c r="D4294">
        <v>15.3450002670288</v>
      </c>
      <c r="E4294">
        <v>16.178499221801701</v>
      </c>
      <c r="F4294">
        <v>16.178499221801701</v>
      </c>
      <c r="G4294">
        <v>155934000</v>
      </c>
      <c r="H4294">
        <f t="shared" si="268"/>
        <v>2014</v>
      </c>
      <c r="I4294">
        <f t="shared" si="269"/>
        <v>6</v>
      </c>
      <c r="J4294" t="str">
        <f t="shared" si="270"/>
        <v>Jun</v>
      </c>
      <c r="K4294" t="str">
        <f t="shared" si="271"/>
        <v>Thu</v>
      </c>
    </row>
    <row r="4295" spans="1:11" x14ac:dyDescent="0.35">
      <c r="A4295" s="1">
        <v>41796</v>
      </c>
      <c r="B4295">
        <v>16.25</v>
      </c>
      <c r="C4295">
        <v>16.544000625610298</v>
      </c>
      <c r="D4295">
        <v>16.2465000152587</v>
      </c>
      <c r="E4295">
        <v>16.4834995269775</v>
      </c>
      <c r="F4295">
        <v>16.4834995269775</v>
      </c>
      <c r="G4295">
        <v>104880000</v>
      </c>
      <c r="H4295">
        <f t="shared" si="268"/>
        <v>2014</v>
      </c>
      <c r="I4295">
        <f t="shared" si="269"/>
        <v>6</v>
      </c>
      <c r="J4295" t="str">
        <f t="shared" si="270"/>
        <v>Jun</v>
      </c>
      <c r="K4295" t="str">
        <f t="shared" si="271"/>
        <v>Fri</v>
      </c>
    </row>
    <row r="4296" spans="1:11" x14ac:dyDescent="0.35">
      <c r="A4296" s="1">
        <v>41799</v>
      </c>
      <c r="B4296">
        <v>16.5785007476806</v>
      </c>
      <c r="C4296">
        <v>16.649999618530199</v>
      </c>
      <c r="D4296">
        <v>16.2824993133544</v>
      </c>
      <c r="E4296">
        <v>16.375</v>
      </c>
      <c r="F4296">
        <v>16.375</v>
      </c>
      <c r="G4296">
        <v>64244000</v>
      </c>
      <c r="H4296">
        <f t="shared" si="268"/>
        <v>2014</v>
      </c>
      <c r="I4296">
        <f t="shared" si="269"/>
        <v>6</v>
      </c>
      <c r="J4296" t="str">
        <f t="shared" si="270"/>
        <v>Jun</v>
      </c>
      <c r="K4296" t="str">
        <f t="shared" si="271"/>
        <v>Mon</v>
      </c>
    </row>
    <row r="4297" spans="1:11" x14ac:dyDescent="0.35">
      <c r="A4297" s="1">
        <v>41800</v>
      </c>
      <c r="B4297">
        <v>16.382499694824201</v>
      </c>
      <c r="C4297">
        <v>16.774999618530199</v>
      </c>
      <c r="D4297">
        <v>16.375</v>
      </c>
      <c r="E4297">
        <v>16.620500564575099</v>
      </c>
      <c r="F4297">
        <v>16.620500564575099</v>
      </c>
      <c r="G4297">
        <v>73268000</v>
      </c>
      <c r="H4297">
        <f t="shared" si="268"/>
        <v>2014</v>
      </c>
      <c r="I4297">
        <f t="shared" si="269"/>
        <v>6</v>
      </c>
      <c r="J4297" t="str">
        <f t="shared" si="270"/>
        <v>Jun</v>
      </c>
      <c r="K4297" t="str">
        <f t="shared" si="271"/>
        <v>Tue</v>
      </c>
    </row>
    <row r="4298" spans="1:11" x14ac:dyDescent="0.35">
      <c r="A4298" s="1">
        <v>41801</v>
      </c>
      <c r="B4298">
        <v>16.799999237060501</v>
      </c>
      <c r="C4298">
        <v>17.0359992980957</v>
      </c>
      <c r="D4298">
        <v>16.6940002441406</v>
      </c>
      <c r="E4298">
        <v>16.7600002288818</v>
      </c>
      <c r="F4298">
        <v>16.7600002288818</v>
      </c>
      <c r="G4298">
        <v>88736000</v>
      </c>
      <c r="H4298">
        <f t="shared" si="268"/>
        <v>2014</v>
      </c>
      <c r="I4298">
        <f t="shared" si="269"/>
        <v>6</v>
      </c>
      <c r="J4298" t="str">
        <f t="shared" si="270"/>
        <v>Jun</v>
      </c>
      <c r="K4298" t="str">
        <f t="shared" si="271"/>
        <v>Wed</v>
      </c>
    </row>
    <row r="4299" spans="1:11" x14ac:dyDescent="0.35">
      <c r="A4299" s="1">
        <v>41802</v>
      </c>
      <c r="B4299">
        <v>16.777500152587798</v>
      </c>
      <c r="C4299">
        <v>16.777500152587798</v>
      </c>
      <c r="D4299">
        <v>16.2329998016357</v>
      </c>
      <c r="E4299">
        <v>16.2954998016357</v>
      </c>
      <c r="F4299">
        <v>16.2954998016357</v>
      </c>
      <c r="G4299">
        <v>85526000</v>
      </c>
      <c r="H4299">
        <f t="shared" si="268"/>
        <v>2014</v>
      </c>
      <c r="I4299">
        <f t="shared" si="269"/>
        <v>6</v>
      </c>
      <c r="J4299" t="str">
        <f t="shared" si="270"/>
        <v>Jun</v>
      </c>
      <c r="K4299" t="str">
        <f t="shared" si="271"/>
        <v>Thu</v>
      </c>
    </row>
    <row r="4300" spans="1:11" x14ac:dyDescent="0.35">
      <c r="A4300" s="1">
        <v>41803</v>
      </c>
      <c r="B4300">
        <v>16.352500915527301</v>
      </c>
      <c r="C4300">
        <v>16.465000152587798</v>
      </c>
      <c r="D4300">
        <v>16.176500320434499</v>
      </c>
      <c r="E4300">
        <v>16.313499450683501</v>
      </c>
      <c r="F4300">
        <v>16.313499450683501</v>
      </c>
      <c r="G4300">
        <v>55296000</v>
      </c>
      <c r="H4300">
        <f t="shared" si="268"/>
        <v>2014</v>
      </c>
      <c r="I4300">
        <f t="shared" si="269"/>
        <v>6</v>
      </c>
      <c r="J4300" t="str">
        <f t="shared" si="270"/>
        <v>Jun</v>
      </c>
      <c r="K4300" t="str">
        <f t="shared" si="271"/>
        <v>Fri</v>
      </c>
    </row>
    <row r="4301" spans="1:11" x14ac:dyDescent="0.35">
      <c r="A4301" s="1">
        <v>41806</v>
      </c>
      <c r="B4301">
        <v>16.2430000305175</v>
      </c>
      <c r="C4301">
        <v>16.434499740600501</v>
      </c>
      <c r="D4301">
        <v>16.176000595092699</v>
      </c>
      <c r="E4301">
        <v>16.3810005187988</v>
      </c>
      <c r="F4301">
        <v>16.3810005187988</v>
      </c>
      <c r="G4301">
        <v>48996000</v>
      </c>
      <c r="H4301">
        <f t="shared" si="268"/>
        <v>2014</v>
      </c>
      <c r="I4301">
        <f t="shared" si="269"/>
        <v>6</v>
      </c>
      <c r="J4301" t="str">
        <f t="shared" si="270"/>
        <v>Jun</v>
      </c>
      <c r="K4301" t="str">
        <f t="shared" si="271"/>
        <v>Mon</v>
      </c>
    </row>
    <row r="4302" spans="1:11" x14ac:dyDescent="0.35">
      <c r="A4302" s="1">
        <v>41807</v>
      </c>
      <c r="B4302">
        <v>16.377000808715799</v>
      </c>
      <c r="C4302">
        <v>16.566999435424801</v>
      </c>
      <c r="D4302">
        <v>16.261499404907202</v>
      </c>
      <c r="E4302">
        <v>16.281000137329102</v>
      </c>
      <c r="F4302">
        <v>16.281000137329102</v>
      </c>
      <c r="G4302">
        <v>58482000</v>
      </c>
      <c r="H4302">
        <f t="shared" si="268"/>
        <v>2014</v>
      </c>
      <c r="I4302">
        <f t="shared" si="269"/>
        <v>6</v>
      </c>
      <c r="J4302" t="str">
        <f t="shared" si="270"/>
        <v>Jun</v>
      </c>
      <c r="K4302" t="str">
        <f t="shared" si="271"/>
        <v>Tue</v>
      </c>
    </row>
    <row r="4303" spans="1:11" x14ac:dyDescent="0.35">
      <c r="A4303" s="1">
        <v>41808</v>
      </c>
      <c r="B4303">
        <v>16.399999618530199</v>
      </c>
      <c r="C4303">
        <v>16.787500381469702</v>
      </c>
      <c r="D4303">
        <v>16.25</v>
      </c>
      <c r="E4303">
        <v>16.718999862670898</v>
      </c>
      <c r="F4303">
        <v>16.718999862670898</v>
      </c>
      <c r="G4303">
        <v>128030000</v>
      </c>
      <c r="H4303">
        <f t="shared" si="268"/>
        <v>2014</v>
      </c>
      <c r="I4303">
        <f t="shared" si="269"/>
        <v>6</v>
      </c>
      <c r="J4303" t="str">
        <f t="shared" si="270"/>
        <v>Jun</v>
      </c>
      <c r="K4303" t="str">
        <f t="shared" si="271"/>
        <v>Wed</v>
      </c>
    </row>
    <row r="4304" spans="1:11" x14ac:dyDescent="0.35">
      <c r="A4304" s="1">
        <v>41809</v>
      </c>
      <c r="B4304">
        <v>16.7630004882812</v>
      </c>
      <c r="C4304">
        <v>16.944999694824201</v>
      </c>
      <c r="D4304">
        <v>16.2989997863769</v>
      </c>
      <c r="E4304">
        <v>16.350000381469702</v>
      </c>
      <c r="F4304">
        <v>16.350000381469702</v>
      </c>
      <c r="G4304">
        <v>106412000</v>
      </c>
      <c r="H4304">
        <f t="shared" si="268"/>
        <v>2014</v>
      </c>
      <c r="I4304">
        <f t="shared" si="269"/>
        <v>6</v>
      </c>
      <c r="J4304" t="str">
        <f t="shared" si="270"/>
        <v>Jun</v>
      </c>
      <c r="K4304" t="str">
        <f t="shared" si="271"/>
        <v>Thu</v>
      </c>
    </row>
    <row r="4305" spans="1:11" x14ac:dyDescent="0.35">
      <c r="A4305" s="1">
        <v>41810</v>
      </c>
      <c r="B4305">
        <v>16.3880004882812</v>
      </c>
      <c r="C4305">
        <v>16.4109992980957</v>
      </c>
      <c r="D4305">
        <v>16.020999908447202</v>
      </c>
      <c r="E4305">
        <v>16.209999084472599</v>
      </c>
      <c r="F4305">
        <v>16.209999084472599</v>
      </c>
      <c r="G4305">
        <v>121080000</v>
      </c>
      <c r="H4305">
        <f t="shared" si="268"/>
        <v>2014</v>
      </c>
      <c r="I4305">
        <f t="shared" si="269"/>
        <v>6</v>
      </c>
      <c r="J4305" t="str">
        <f t="shared" si="270"/>
        <v>Jun</v>
      </c>
      <c r="K4305" t="str">
        <f t="shared" si="271"/>
        <v>Fri</v>
      </c>
    </row>
    <row r="4306" spans="1:11" x14ac:dyDescent="0.35">
      <c r="A4306" s="1">
        <v>41813</v>
      </c>
      <c r="B4306">
        <v>16.166500091552699</v>
      </c>
      <c r="C4306">
        <v>16.377500534057599</v>
      </c>
      <c r="D4306">
        <v>16.070499420166001</v>
      </c>
      <c r="E4306">
        <v>16.3619995117187</v>
      </c>
      <c r="F4306">
        <v>16.3619995117187</v>
      </c>
      <c r="G4306">
        <v>52096000</v>
      </c>
      <c r="H4306">
        <f t="shared" si="268"/>
        <v>2014</v>
      </c>
      <c r="I4306">
        <f t="shared" si="269"/>
        <v>6</v>
      </c>
      <c r="J4306" t="str">
        <f t="shared" si="270"/>
        <v>Jun</v>
      </c>
      <c r="K4306" t="str">
        <f t="shared" si="271"/>
        <v>Mon</v>
      </c>
    </row>
    <row r="4307" spans="1:11" x14ac:dyDescent="0.35">
      <c r="A4307" s="1">
        <v>41814</v>
      </c>
      <c r="B4307">
        <v>16.377000808715799</v>
      </c>
      <c r="C4307">
        <v>16.4864997863769</v>
      </c>
      <c r="D4307">
        <v>16.136999130248999</v>
      </c>
      <c r="E4307">
        <v>16.208000183105401</v>
      </c>
      <c r="F4307">
        <v>16.208000183105401</v>
      </c>
      <c r="G4307">
        <v>52532000</v>
      </c>
      <c r="H4307">
        <f t="shared" si="268"/>
        <v>2014</v>
      </c>
      <c r="I4307">
        <f t="shared" si="269"/>
        <v>6</v>
      </c>
      <c r="J4307" t="str">
        <f t="shared" si="270"/>
        <v>Jun</v>
      </c>
      <c r="K4307" t="str">
        <f t="shared" si="271"/>
        <v>Tue</v>
      </c>
    </row>
    <row r="4308" spans="1:11" x14ac:dyDescent="0.35">
      <c r="A4308" s="1">
        <v>41815</v>
      </c>
      <c r="B4308">
        <v>16.2164993286132</v>
      </c>
      <c r="C4308">
        <v>16.4074993133544</v>
      </c>
      <c r="D4308">
        <v>16.086999893188398</v>
      </c>
      <c r="E4308">
        <v>16.371999740600501</v>
      </c>
      <c r="F4308">
        <v>16.371999740600501</v>
      </c>
      <c r="G4308">
        <v>46556000</v>
      </c>
      <c r="H4308">
        <f t="shared" si="268"/>
        <v>2014</v>
      </c>
      <c r="I4308">
        <f t="shared" si="269"/>
        <v>6</v>
      </c>
      <c r="J4308" t="str">
        <f t="shared" si="270"/>
        <v>Jun</v>
      </c>
      <c r="K4308" t="str">
        <f t="shared" si="271"/>
        <v>Wed</v>
      </c>
    </row>
    <row r="4309" spans="1:11" x14ac:dyDescent="0.35">
      <c r="A4309" s="1">
        <v>41816</v>
      </c>
      <c r="B4309">
        <v>16.4244995117187</v>
      </c>
      <c r="C4309">
        <v>16.432500839233398</v>
      </c>
      <c r="D4309">
        <v>16.106500625610298</v>
      </c>
      <c r="E4309">
        <v>16.284500122070298</v>
      </c>
      <c r="F4309">
        <v>16.284500122070298</v>
      </c>
      <c r="G4309">
        <v>53990000</v>
      </c>
      <c r="H4309">
        <f t="shared" si="268"/>
        <v>2014</v>
      </c>
      <c r="I4309">
        <f t="shared" si="269"/>
        <v>6</v>
      </c>
      <c r="J4309" t="str">
        <f t="shared" si="270"/>
        <v>Jun</v>
      </c>
      <c r="K4309" t="str">
        <f t="shared" si="271"/>
        <v>Thu</v>
      </c>
    </row>
    <row r="4310" spans="1:11" x14ac:dyDescent="0.35">
      <c r="A4310" s="1">
        <v>41817</v>
      </c>
      <c r="B4310">
        <v>16.294000625610298</v>
      </c>
      <c r="C4310">
        <v>16.326000213623001</v>
      </c>
      <c r="D4310">
        <v>16.163499832153299</v>
      </c>
      <c r="E4310">
        <v>16.228500366210898</v>
      </c>
      <c r="F4310">
        <v>16.228500366210898</v>
      </c>
      <c r="G4310">
        <v>48324000</v>
      </c>
      <c r="H4310">
        <f t="shared" si="268"/>
        <v>2014</v>
      </c>
      <c r="I4310">
        <f t="shared" si="269"/>
        <v>6</v>
      </c>
      <c r="J4310" t="str">
        <f t="shared" si="270"/>
        <v>Jun</v>
      </c>
      <c r="K4310" t="str">
        <f t="shared" si="271"/>
        <v>Fri</v>
      </c>
    </row>
    <row r="4311" spans="1:11" x14ac:dyDescent="0.35">
      <c r="A4311" s="1">
        <v>41820</v>
      </c>
      <c r="B4311">
        <v>16.249000549316399</v>
      </c>
      <c r="C4311">
        <v>16.349000930786101</v>
      </c>
      <c r="D4311">
        <v>16.1119995117187</v>
      </c>
      <c r="E4311">
        <v>16.239000320434499</v>
      </c>
      <c r="F4311">
        <v>16.239000320434499</v>
      </c>
      <c r="G4311">
        <v>53426000</v>
      </c>
      <c r="H4311">
        <f t="shared" si="268"/>
        <v>2014</v>
      </c>
      <c r="I4311">
        <f t="shared" si="269"/>
        <v>6</v>
      </c>
      <c r="J4311" t="str">
        <f t="shared" si="270"/>
        <v>Jun</v>
      </c>
      <c r="K4311" t="str">
        <f t="shared" si="271"/>
        <v>Mon</v>
      </c>
    </row>
    <row r="4312" spans="1:11" x14ac:dyDescent="0.35">
      <c r="A4312" s="1">
        <v>41821</v>
      </c>
      <c r="B4312">
        <v>16.2929992675781</v>
      </c>
      <c r="C4312">
        <v>16.659999847412099</v>
      </c>
      <c r="D4312">
        <v>16.254999160766602</v>
      </c>
      <c r="E4312">
        <v>16.619499206542901</v>
      </c>
      <c r="F4312">
        <v>16.619499206542901</v>
      </c>
      <c r="G4312">
        <v>63472000</v>
      </c>
      <c r="H4312">
        <f t="shared" si="268"/>
        <v>2014</v>
      </c>
      <c r="I4312">
        <f t="shared" si="269"/>
        <v>7</v>
      </c>
      <c r="J4312" t="str">
        <f t="shared" si="270"/>
        <v>Jul</v>
      </c>
      <c r="K4312" t="str">
        <f t="shared" si="271"/>
        <v>Tue</v>
      </c>
    </row>
    <row r="4313" spans="1:11" x14ac:dyDescent="0.35">
      <c r="A4313" s="1">
        <v>41822</v>
      </c>
      <c r="B4313">
        <v>16.659999847412099</v>
      </c>
      <c r="C4313">
        <v>16.837999343871999</v>
      </c>
      <c r="D4313">
        <v>16.583000183105401</v>
      </c>
      <c r="E4313">
        <v>16.642499923706001</v>
      </c>
      <c r="F4313">
        <v>16.642499923706001</v>
      </c>
      <c r="G4313">
        <v>53626000</v>
      </c>
      <c r="H4313">
        <f t="shared" si="268"/>
        <v>2014</v>
      </c>
      <c r="I4313">
        <f t="shared" si="269"/>
        <v>7</v>
      </c>
      <c r="J4313" t="str">
        <f t="shared" si="270"/>
        <v>Jul</v>
      </c>
      <c r="K4313" t="str">
        <f t="shared" si="271"/>
        <v>Wed</v>
      </c>
    </row>
    <row r="4314" spans="1:11" x14ac:dyDescent="0.35">
      <c r="A4314" s="1">
        <v>41823</v>
      </c>
      <c r="B4314">
        <v>16.741500854492099</v>
      </c>
      <c r="C4314">
        <v>16.915000915527301</v>
      </c>
      <c r="D4314">
        <v>16.6539993286132</v>
      </c>
      <c r="E4314">
        <v>16.8745002746582</v>
      </c>
      <c r="F4314">
        <v>16.8745002746582</v>
      </c>
      <c r="G4314">
        <v>38886000</v>
      </c>
      <c r="H4314">
        <f t="shared" si="268"/>
        <v>2014</v>
      </c>
      <c r="I4314">
        <f t="shared" si="269"/>
        <v>7</v>
      </c>
      <c r="J4314" t="str">
        <f t="shared" si="270"/>
        <v>Jul</v>
      </c>
      <c r="K4314" t="str">
        <f t="shared" si="271"/>
        <v>Thu</v>
      </c>
    </row>
    <row r="4315" spans="1:11" x14ac:dyDescent="0.35">
      <c r="A4315" s="1">
        <v>41827</v>
      </c>
      <c r="B4315">
        <v>16.875</v>
      </c>
      <c r="C4315">
        <v>16.877500534057599</v>
      </c>
      <c r="D4315">
        <v>16.625999450683501</v>
      </c>
      <c r="E4315">
        <v>16.6774997711181</v>
      </c>
      <c r="F4315">
        <v>16.6774997711181</v>
      </c>
      <c r="G4315">
        <v>42578000</v>
      </c>
      <c r="H4315">
        <f t="shared" si="268"/>
        <v>2014</v>
      </c>
      <c r="I4315">
        <f t="shared" si="269"/>
        <v>7</v>
      </c>
      <c r="J4315" t="str">
        <f t="shared" si="270"/>
        <v>Jul</v>
      </c>
      <c r="K4315" t="str">
        <f t="shared" si="271"/>
        <v>Mon</v>
      </c>
    </row>
    <row r="4316" spans="1:11" x14ac:dyDescent="0.35">
      <c r="A4316" s="1">
        <v>41828</v>
      </c>
      <c r="B4316">
        <v>16.655000686645501</v>
      </c>
      <c r="C4316">
        <v>16.6870002746582</v>
      </c>
      <c r="D4316">
        <v>16.069999694824201</v>
      </c>
      <c r="E4316">
        <v>16.1905002593994</v>
      </c>
      <c r="F4316">
        <v>16.1905002593994</v>
      </c>
      <c r="G4316">
        <v>85432000</v>
      </c>
      <c r="H4316">
        <f t="shared" si="268"/>
        <v>2014</v>
      </c>
      <c r="I4316">
        <f t="shared" si="269"/>
        <v>7</v>
      </c>
      <c r="J4316" t="str">
        <f t="shared" si="270"/>
        <v>Jul</v>
      </c>
      <c r="K4316" t="str">
        <f t="shared" si="271"/>
        <v>Tue</v>
      </c>
    </row>
    <row r="4317" spans="1:11" x14ac:dyDescent="0.35">
      <c r="A4317" s="1">
        <v>41829</v>
      </c>
      <c r="B4317">
        <v>16.235500335693299</v>
      </c>
      <c r="C4317">
        <v>16.5100002288818</v>
      </c>
      <c r="D4317">
        <v>16.1574993133544</v>
      </c>
      <c r="E4317">
        <v>16.498500823974599</v>
      </c>
      <c r="F4317">
        <v>16.498500823974599</v>
      </c>
      <c r="G4317">
        <v>63322000</v>
      </c>
      <c r="H4317">
        <f t="shared" si="268"/>
        <v>2014</v>
      </c>
      <c r="I4317">
        <f t="shared" si="269"/>
        <v>7</v>
      </c>
      <c r="J4317" t="str">
        <f t="shared" si="270"/>
        <v>Jul</v>
      </c>
      <c r="K4317" t="str">
        <f t="shared" si="271"/>
        <v>Wed</v>
      </c>
    </row>
    <row r="4318" spans="1:11" x14ac:dyDescent="0.35">
      <c r="A4318" s="1">
        <v>41830</v>
      </c>
      <c r="B4318">
        <v>16.216999053955</v>
      </c>
      <c r="C4318">
        <v>16.499000549316399</v>
      </c>
      <c r="D4318">
        <v>16.132499694824201</v>
      </c>
      <c r="E4318">
        <v>16.395999908447202</v>
      </c>
      <c r="F4318">
        <v>16.395999908447202</v>
      </c>
      <c r="G4318">
        <v>53300000</v>
      </c>
      <c r="H4318">
        <f t="shared" si="268"/>
        <v>2014</v>
      </c>
      <c r="I4318">
        <f t="shared" si="269"/>
        <v>7</v>
      </c>
      <c r="J4318" t="str">
        <f t="shared" si="270"/>
        <v>Jul</v>
      </c>
      <c r="K4318" t="str">
        <f t="shared" si="271"/>
        <v>Thu</v>
      </c>
    </row>
    <row r="4319" spans="1:11" x14ac:dyDescent="0.35">
      <c r="A4319" s="1">
        <v>41831</v>
      </c>
      <c r="B4319">
        <v>16.735500335693299</v>
      </c>
      <c r="C4319">
        <v>17.350000381469702</v>
      </c>
      <c r="D4319">
        <v>16.735500335693299</v>
      </c>
      <c r="E4319">
        <v>17.309999465942301</v>
      </c>
      <c r="F4319">
        <v>17.309999465942301</v>
      </c>
      <c r="G4319">
        <v>166016000</v>
      </c>
      <c r="H4319">
        <f t="shared" si="268"/>
        <v>2014</v>
      </c>
      <c r="I4319">
        <f t="shared" si="269"/>
        <v>7</v>
      </c>
      <c r="J4319" t="str">
        <f t="shared" si="270"/>
        <v>Jul</v>
      </c>
      <c r="K4319" t="str">
        <f t="shared" si="271"/>
        <v>Fri</v>
      </c>
    </row>
    <row r="4320" spans="1:11" x14ac:dyDescent="0.35">
      <c r="A4320" s="1">
        <v>41834</v>
      </c>
      <c r="B4320">
        <v>17.351499557495099</v>
      </c>
      <c r="C4320">
        <v>17.788499832153299</v>
      </c>
      <c r="D4320">
        <v>17.267999649047798</v>
      </c>
      <c r="E4320">
        <v>17.7660007476806</v>
      </c>
      <c r="F4320">
        <v>17.7660007476806</v>
      </c>
      <c r="G4320">
        <v>112198000</v>
      </c>
      <c r="H4320">
        <f t="shared" si="268"/>
        <v>2014</v>
      </c>
      <c r="I4320">
        <f t="shared" si="269"/>
        <v>7</v>
      </c>
      <c r="J4320" t="str">
        <f t="shared" si="270"/>
        <v>Jul</v>
      </c>
      <c r="K4320" t="str">
        <f t="shared" si="271"/>
        <v>Mon</v>
      </c>
    </row>
    <row r="4321" spans="1:11" x14ac:dyDescent="0.35">
      <c r="A4321" s="1">
        <v>41835</v>
      </c>
      <c r="B4321">
        <v>17.686000823974599</v>
      </c>
      <c r="C4321">
        <v>17.779499053955</v>
      </c>
      <c r="D4321">
        <v>17.4699993133544</v>
      </c>
      <c r="E4321">
        <v>17.722000122070298</v>
      </c>
      <c r="F4321">
        <v>17.722000122070298</v>
      </c>
      <c r="G4321">
        <v>83418000</v>
      </c>
      <c r="H4321">
        <f t="shared" si="268"/>
        <v>2014</v>
      </c>
      <c r="I4321">
        <f t="shared" si="269"/>
        <v>7</v>
      </c>
      <c r="J4321" t="str">
        <f t="shared" si="270"/>
        <v>Jul</v>
      </c>
      <c r="K4321" t="str">
        <f t="shared" si="271"/>
        <v>Tue</v>
      </c>
    </row>
    <row r="4322" spans="1:11" x14ac:dyDescent="0.35">
      <c r="A4322" s="1">
        <v>41836</v>
      </c>
      <c r="B4322">
        <v>17.781000137329102</v>
      </c>
      <c r="C4322">
        <v>17.965999603271399</v>
      </c>
      <c r="D4322">
        <v>17.649999618530199</v>
      </c>
      <c r="E4322">
        <v>17.795000076293899</v>
      </c>
      <c r="F4322">
        <v>17.795000076293899</v>
      </c>
      <c r="G4322">
        <v>70072000</v>
      </c>
      <c r="H4322">
        <f t="shared" si="268"/>
        <v>2014</v>
      </c>
      <c r="I4322">
        <f t="shared" si="269"/>
        <v>7</v>
      </c>
      <c r="J4322" t="str">
        <f t="shared" si="270"/>
        <v>Jul</v>
      </c>
      <c r="K4322" t="str">
        <f t="shared" si="271"/>
        <v>Wed</v>
      </c>
    </row>
    <row r="4323" spans="1:11" x14ac:dyDescent="0.35">
      <c r="A4323" s="1">
        <v>41837</v>
      </c>
      <c r="B4323">
        <v>17.672000885009702</v>
      </c>
      <c r="C4323">
        <v>17.847999572753899</v>
      </c>
      <c r="D4323">
        <v>17.5690002441406</v>
      </c>
      <c r="E4323">
        <v>17.622499465942301</v>
      </c>
      <c r="F4323">
        <v>17.622499465942301</v>
      </c>
      <c r="G4323">
        <v>72720000</v>
      </c>
      <c r="H4323">
        <f t="shared" si="268"/>
        <v>2014</v>
      </c>
      <c r="I4323">
        <f t="shared" si="269"/>
        <v>7</v>
      </c>
      <c r="J4323" t="str">
        <f t="shared" si="270"/>
        <v>Jul</v>
      </c>
      <c r="K4323" t="str">
        <f t="shared" si="271"/>
        <v>Thu</v>
      </c>
    </row>
    <row r="4324" spans="1:11" x14ac:dyDescent="0.35">
      <c r="A4324" s="1">
        <v>41838</v>
      </c>
      <c r="B4324">
        <v>17.7199993133544</v>
      </c>
      <c r="C4324">
        <v>17.9839992523193</v>
      </c>
      <c r="D4324">
        <v>17.604000091552699</v>
      </c>
      <c r="E4324">
        <v>17.933000564575099</v>
      </c>
      <c r="F4324">
        <v>17.933000564575099</v>
      </c>
      <c r="G4324">
        <v>68148000</v>
      </c>
      <c r="H4324">
        <f t="shared" si="268"/>
        <v>2014</v>
      </c>
      <c r="I4324">
        <f t="shared" si="269"/>
        <v>7</v>
      </c>
      <c r="J4324" t="str">
        <f t="shared" si="270"/>
        <v>Jul</v>
      </c>
      <c r="K4324" t="str">
        <f t="shared" si="271"/>
        <v>Fri</v>
      </c>
    </row>
    <row r="4325" spans="1:11" x14ac:dyDescent="0.35">
      <c r="A4325" s="1">
        <v>41841</v>
      </c>
      <c r="B4325">
        <v>17.905000686645501</v>
      </c>
      <c r="C4325">
        <v>18.085500717163001</v>
      </c>
      <c r="D4325">
        <v>17.836000442504801</v>
      </c>
      <c r="E4325">
        <v>17.988000869750898</v>
      </c>
      <c r="F4325">
        <v>17.988000869750898</v>
      </c>
      <c r="G4325">
        <v>45568000</v>
      </c>
      <c r="H4325">
        <f t="shared" si="268"/>
        <v>2014</v>
      </c>
      <c r="I4325">
        <f t="shared" si="269"/>
        <v>7</v>
      </c>
      <c r="J4325" t="str">
        <f t="shared" si="270"/>
        <v>Jul</v>
      </c>
      <c r="K4325" t="str">
        <f t="shared" si="271"/>
        <v>Mon</v>
      </c>
    </row>
    <row r="4326" spans="1:11" x14ac:dyDescent="0.35">
      <c r="A4326" s="1">
        <v>41842</v>
      </c>
      <c r="B4326">
        <v>17.7625007629394</v>
      </c>
      <c r="C4326">
        <v>18.146499633788999</v>
      </c>
      <c r="D4326">
        <v>17.7625007629394</v>
      </c>
      <c r="E4326">
        <v>18.041999816894499</v>
      </c>
      <c r="F4326">
        <v>18.041999816894499</v>
      </c>
      <c r="G4326">
        <v>57778000</v>
      </c>
      <c r="H4326">
        <f t="shared" si="268"/>
        <v>2014</v>
      </c>
      <c r="I4326">
        <f t="shared" si="269"/>
        <v>7</v>
      </c>
      <c r="J4326" t="str">
        <f t="shared" si="270"/>
        <v>Jul</v>
      </c>
      <c r="K4326" t="str">
        <f t="shared" si="271"/>
        <v>Tue</v>
      </c>
    </row>
    <row r="4327" spans="1:11" x14ac:dyDescent="0.35">
      <c r="A4327" s="1">
        <v>41843</v>
      </c>
      <c r="B4327">
        <v>17.952499389648398</v>
      </c>
      <c r="C4327">
        <v>18.031499862670898</v>
      </c>
      <c r="D4327">
        <v>17.830999374389599</v>
      </c>
      <c r="E4327">
        <v>17.906999588012599</v>
      </c>
      <c r="F4327">
        <v>17.906999588012599</v>
      </c>
      <c r="G4327">
        <v>53746000</v>
      </c>
      <c r="H4327">
        <f t="shared" si="268"/>
        <v>2014</v>
      </c>
      <c r="I4327">
        <f t="shared" si="269"/>
        <v>7</v>
      </c>
      <c r="J4327" t="str">
        <f t="shared" si="270"/>
        <v>Jul</v>
      </c>
      <c r="K4327" t="str">
        <f t="shared" si="271"/>
        <v>Wed</v>
      </c>
    </row>
    <row r="4328" spans="1:11" x14ac:dyDescent="0.35">
      <c r="A4328" s="1">
        <v>41844</v>
      </c>
      <c r="B4328">
        <v>17.999000549316399</v>
      </c>
      <c r="C4328">
        <v>18.2425003051757</v>
      </c>
      <c r="D4328">
        <v>17.926000595092699</v>
      </c>
      <c r="E4328">
        <v>17.9305000305175</v>
      </c>
      <c r="F4328">
        <v>17.9305000305175</v>
      </c>
      <c r="G4328">
        <v>141774000</v>
      </c>
      <c r="H4328">
        <f t="shared" si="268"/>
        <v>2014</v>
      </c>
      <c r="I4328">
        <f t="shared" si="269"/>
        <v>7</v>
      </c>
      <c r="J4328" t="str">
        <f t="shared" si="270"/>
        <v>Jul</v>
      </c>
      <c r="K4328" t="str">
        <f t="shared" si="271"/>
        <v>Thu</v>
      </c>
    </row>
    <row r="4329" spans="1:11" x14ac:dyDescent="0.35">
      <c r="A4329" s="1">
        <v>41845</v>
      </c>
      <c r="B4329">
        <v>15.8649997711181</v>
      </c>
      <c r="C4329">
        <v>16.2434997558593</v>
      </c>
      <c r="D4329">
        <v>15.7379999160766</v>
      </c>
      <c r="E4329">
        <v>16.2005004882812</v>
      </c>
      <c r="F4329">
        <v>16.2005004882812</v>
      </c>
      <c r="G4329">
        <v>356930000</v>
      </c>
      <c r="H4329">
        <f t="shared" si="268"/>
        <v>2014</v>
      </c>
      <c r="I4329">
        <f t="shared" si="269"/>
        <v>7</v>
      </c>
      <c r="J4329" t="str">
        <f t="shared" si="270"/>
        <v>Jul</v>
      </c>
      <c r="K4329" t="str">
        <f t="shared" si="271"/>
        <v>Fri</v>
      </c>
    </row>
    <row r="4330" spans="1:11" x14ac:dyDescent="0.35">
      <c r="A4330" s="1">
        <v>41848</v>
      </c>
      <c r="B4330">
        <v>16.212499618530199</v>
      </c>
      <c r="C4330">
        <v>16.240999221801701</v>
      </c>
      <c r="D4330">
        <v>15.824999809265099</v>
      </c>
      <c r="E4330">
        <v>16.020500183105401</v>
      </c>
      <c r="F4330">
        <v>16.020500183105401</v>
      </c>
      <c r="G4330">
        <v>118640000</v>
      </c>
      <c r="H4330">
        <f t="shared" si="268"/>
        <v>2014</v>
      </c>
      <c r="I4330">
        <f t="shared" si="269"/>
        <v>7</v>
      </c>
      <c r="J4330" t="str">
        <f t="shared" si="270"/>
        <v>Jul</v>
      </c>
      <c r="K4330" t="str">
        <f t="shared" si="271"/>
        <v>Mon</v>
      </c>
    </row>
    <row r="4331" spans="1:11" x14ac:dyDescent="0.35">
      <c r="A4331" s="1">
        <v>41849</v>
      </c>
      <c r="B4331">
        <v>16.099000930786101</v>
      </c>
      <c r="C4331">
        <v>16.145000457763601</v>
      </c>
      <c r="D4331">
        <v>15.9750003814697</v>
      </c>
      <c r="E4331">
        <v>16</v>
      </c>
      <c r="F4331">
        <v>16</v>
      </c>
      <c r="G4331">
        <v>57676000</v>
      </c>
      <c r="H4331">
        <f t="shared" si="268"/>
        <v>2014</v>
      </c>
      <c r="I4331">
        <f t="shared" si="269"/>
        <v>7</v>
      </c>
      <c r="J4331" t="str">
        <f t="shared" si="270"/>
        <v>Jul</v>
      </c>
      <c r="K4331" t="str">
        <f t="shared" si="271"/>
        <v>Tue</v>
      </c>
    </row>
    <row r="4332" spans="1:11" x14ac:dyDescent="0.35">
      <c r="A4332" s="1">
        <v>41850</v>
      </c>
      <c r="B4332">
        <v>16.0725002288818</v>
      </c>
      <c r="C4332">
        <v>16.136499404907202</v>
      </c>
      <c r="D4332">
        <v>15.925000190734799</v>
      </c>
      <c r="E4332">
        <v>16.125499725341701</v>
      </c>
      <c r="F4332">
        <v>16.125499725341701</v>
      </c>
      <c r="G4332">
        <v>79380000</v>
      </c>
      <c r="H4332">
        <f t="shared" si="268"/>
        <v>2014</v>
      </c>
      <c r="I4332">
        <f t="shared" si="269"/>
        <v>7</v>
      </c>
      <c r="J4332" t="str">
        <f t="shared" si="270"/>
        <v>Jul</v>
      </c>
      <c r="K4332" t="str">
        <f t="shared" si="271"/>
        <v>Wed</v>
      </c>
    </row>
    <row r="4333" spans="1:11" x14ac:dyDescent="0.35">
      <c r="A4333" s="1">
        <v>41851</v>
      </c>
      <c r="B4333">
        <v>16.000499725341701</v>
      </c>
      <c r="C4333">
        <v>16.034000396728501</v>
      </c>
      <c r="D4333">
        <v>15.593000411987299</v>
      </c>
      <c r="E4333">
        <v>15.6494998931884</v>
      </c>
      <c r="F4333">
        <v>15.6494998931884</v>
      </c>
      <c r="G4333">
        <v>103840000</v>
      </c>
      <c r="H4333">
        <f t="shared" si="268"/>
        <v>2014</v>
      </c>
      <c r="I4333">
        <f t="shared" si="269"/>
        <v>7</v>
      </c>
      <c r="J4333" t="str">
        <f t="shared" si="270"/>
        <v>Jul</v>
      </c>
      <c r="K4333" t="str">
        <f t="shared" si="271"/>
        <v>Thu</v>
      </c>
    </row>
    <row r="4334" spans="1:11" x14ac:dyDescent="0.35">
      <c r="A4334" s="1">
        <v>41852</v>
      </c>
      <c r="B4334">
        <v>15.684499740600501</v>
      </c>
      <c r="C4334">
        <v>15.791500091552701</v>
      </c>
      <c r="D4334">
        <v>15.229499816894499</v>
      </c>
      <c r="E4334">
        <v>15.352999687194799</v>
      </c>
      <c r="F4334">
        <v>15.352999687194799</v>
      </c>
      <c r="G4334">
        <v>148830000</v>
      </c>
      <c r="H4334">
        <f t="shared" si="268"/>
        <v>2014</v>
      </c>
      <c r="I4334">
        <f t="shared" si="269"/>
        <v>8</v>
      </c>
      <c r="J4334" t="str">
        <f t="shared" si="270"/>
        <v>Aug</v>
      </c>
      <c r="K4334" t="str">
        <f t="shared" si="271"/>
        <v>Fri</v>
      </c>
    </row>
    <row r="4335" spans="1:11" x14ac:dyDescent="0.35">
      <c r="A4335" s="1">
        <v>41855</v>
      </c>
      <c r="B4335">
        <v>15.4420003890991</v>
      </c>
      <c r="C4335">
        <v>15.8090000152587</v>
      </c>
      <c r="D4335">
        <v>15.425000190734799</v>
      </c>
      <c r="E4335">
        <v>15.682499885559</v>
      </c>
      <c r="F4335">
        <v>15.682499885559</v>
      </c>
      <c r="G4335">
        <v>84018000</v>
      </c>
      <c r="H4335">
        <f t="shared" si="268"/>
        <v>2014</v>
      </c>
      <c r="I4335">
        <f t="shared" si="269"/>
        <v>8</v>
      </c>
      <c r="J4335" t="str">
        <f t="shared" si="270"/>
        <v>Aug</v>
      </c>
      <c r="K4335" t="str">
        <f t="shared" si="271"/>
        <v>Mon</v>
      </c>
    </row>
    <row r="4336" spans="1:11" x14ac:dyDescent="0.35">
      <c r="A4336" s="1">
        <v>41856</v>
      </c>
      <c r="B4336">
        <v>15.664999961853001</v>
      </c>
      <c r="C4336">
        <v>15.727499961853001</v>
      </c>
      <c r="D4336">
        <v>15.5030002593994</v>
      </c>
      <c r="E4336">
        <v>15.616000175476</v>
      </c>
      <c r="F4336">
        <v>15.616000175476</v>
      </c>
      <c r="G4336">
        <v>57042000</v>
      </c>
      <c r="H4336">
        <f t="shared" si="268"/>
        <v>2014</v>
      </c>
      <c r="I4336">
        <f t="shared" si="269"/>
        <v>8</v>
      </c>
      <c r="J4336" t="str">
        <f t="shared" si="270"/>
        <v>Aug</v>
      </c>
      <c r="K4336" t="str">
        <f t="shared" si="271"/>
        <v>Tue</v>
      </c>
    </row>
    <row r="4337" spans="1:11" x14ac:dyDescent="0.35">
      <c r="A4337" s="1">
        <v>41857</v>
      </c>
      <c r="B4337">
        <v>15.541500091552701</v>
      </c>
      <c r="C4337">
        <v>15.788999557495099</v>
      </c>
      <c r="D4337">
        <v>15.5100002288818</v>
      </c>
      <c r="E4337">
        <v>15.694499969482401</v>
      </c>
      <c r="F4337">
        <v>15.694499969482401</v>
      </c>
      <c r="G4337">
        <v>45938000</v>
      </c>
      <c r="H4337">
        <f t="shared" si="268"/>
        <v>2014</v>
      </c>
      <c r="I4337">
        <f t="shared" si="269"/>
        <v>8</v>
      </c>
      <c r="J4337" t="str">
        <f t="shared" si="270"/>
        <v>Aug</v>
      </c>
      <c r="K4337" t="str">
        <f t="shared" si="271"/>
        <v>Wed</v>
      </c>
    </row>
    <row r="4338" spans="1:11" x14ac:dyDescent="0.35">
      <c r="A4338" s="1">
        <v>41858</v>
      </c>
      <c r="B4338">
        <v>15.760499954223601</v>
      </c>
      <c r="C4338">
        <v>15.793999671936</v>
      </c>
      <c r="D4338">
        <v>15.482500076293899</v>
      </c>
      <c r="E4338">
        <v>15.5725002288818</v>
      </c>
      <c r="F4338">
        <v>15.5725002288818</v>
      </c>
      <c r="G4338">
        <v>58712000</v>
      </c>
      <c r="H4338">
        <f t="shared" si="268"/>
        <v>2014</v>
      </c>
      <c r="I4338">
        <f t="shared" si="269"/>
        <v>8</v>
      </c>
      <c r="J4338" t="str">
        <f t="shared" si="270"/>
        <v>Aug</v>
      </c>
      <c r="K4338" t="str">
        <f t="shared" si="271"/>
        <v>Thu</v>
      </c>
    </row>
    <row r="4339" spans="1:11" x14ac:dyDescent="0.35">
      <c r="A4339" s="1">
        <v>41859</v>
      </c>
      <c r="B4339">
        <v>15.5970001220703</v>
      </c>
      <c r="C4339">
        <v>15.866000175476</v>
      </c>
      <c r="D4339">
        <v>15.5329999923706</v>
      </c>
      <c r="E4339">
        <v>15.8400001525878</v>
      </c>
      <c r="F4339">
        <v>15.8400001525878</v>
      </c>
      <c r="G4339">
        <v>54118000</v>
      </c>
      <c r="H4339">
        <f t="shared" si="268"/>
        <v>2014</v>
      </c>
      <c r="I4339">
        <f t="shared" si="269"/>
        <v>8</v>
      </c>
      <c r="J4339" t="str">
        <f t="shared" si="270"/>
        <v>Aug</v>
      </c>
      <c r="K4339" t="str">
        <f t="shared" si="271"/>
        <v>Fri</v>
      </c>
    </row>
    <row r="4340" spans="1:11" x14ac:dyDescent="0.35">
      <c r="A4340" s="1">
        <v>41862</v>
      </c>
      <c r="B4340">
        <v>15.9239997863769</v>
      </c>
      <c r="C4340">
        <v>16.018999099731399</v>
      </c>
      <c r="D4340">
        <v>15.843999862670801</v>
      </c>
      <c r="E4340">
        <v>15.916500091552701</v>
      </c>
      <c r="F4340">
        <v>15.916500091552701</v>
      </c>
      <c r="G4340">
        <v>49372000</v>
      </c>
      <c r="H4340">
        <f t="shared" si="268"/>
        <v>2014</v>
      </c>
      <c r="I4340">
        <f t="shared" si="269"/>
        <v>8</v>
      </c>
      <c r="J4340" t="str">
        <f t="shared" si="270"/>
        <v>Aug</v>
      </c>
      <c r="K4340" t="str">
        <f t="shared" si="271"/>
        <v>Mon</v>
      </c>
    </row>
    <row r="4341" spans="1:11" x14ac:dyDescent="0.35">
      <c r="A4341" s="1">
        <v>41863</v>
      </c>
      <c r="B4341">
        <v>15.944499969482401</v>
      </c>
      <c r="C4341">
        <v>16.0655002593994</v>
      </c>
      <c r="D4341">
        <v>15.8474998474121</v>
      </c>
      <c r="E4341">
        <v>15.965999603271401</v>
      </c>
      <c r="F4341">
        <v>15.965999603271401</v>
      </c>
      <c r="G4341">
        <v>38316000</v>
      </c>
      <c r="H4341">
        <f t="shared" si="268"/>
        <v>2014</v>
      </c>
      <c r="I4341">
        <f t="shared" si="269"/>
        <v>8</v>
      </c>
      <c r="J4341" t="str">
        <f t="shared" si="270"/>
        <v>Aug</v>
      </c>
      <c r="K4341" t="str">
        <f t="shared" si="271"/>
        <v>Tue</v>
      </c>
    </row>
    <row r="4342" spans="1:11" x14ac:dyDescent="0.35">
      <c r="A4342" s="1">
        <v>41864</v>
      </c>
      <c r="B4342">
        <v>16.379999160766602</v>
      </c>
      <c r="C4342">
        <v>16.586000442504801</v>
      </c>
      <c r="D4342">
        <v>16.306999206542901</v>
      </c>
      <c r="E4342">
        <v>16.313999176025298</v>
      </c>
      <c r="F4342">
        <v>16.313999176025298</v>
      </c>
      <c r="G4342">
        <v>98782000</v>
      </c>
      <c r="H4342">
        <f t="shared" si="268"/>
        <v>2014</v>
      </c>
      <c r="I4342">
        <f t="shared" si="269"/>
        <v>8</v>
      </c>
      <c r="J4342" t="str">
        <f t="shared" si="270"/>
        <v>Aug</v>
      </c>
      <c r="K4342" t="str">
        <f t="shared" si="271"/>
        <v>Wed</v>
      </c>
    </row>
    <row r="4343" spans="1:11" x14ac:dyDescent="0.35">
      <c r="A4343" s="1">
        <v>41865</v>
      </c>
      <c r="B4343">
        <v>16.389999389648398</v>
      </c>
      <c r="C4343">
        <v>16.704500198364201</v>
      </c>
      <c r="D4343">
        <v>16.335500717163001</v>
      </c>
      <c r="E4343">
        <v>16.660499572753899</v>
      </c>
      <c r="F4343">
        <v>16.660499572753899</v>
      </c>
      <c r="G4343">
        <v>68408000</v>
      </c>
      <c r="H4343">
        <f t="shared" si="268"/>
        <v>2014</v>
      </c>
      <c r="I4343">
        <f t="shared" si="269"/>
        <v>8</v>
      </c>
      <c r="J4343" t="str">
        <f t="shared" si="270"/>
        <v>Aug</v>
      </c>
      <c r="K4343" t="str">
        <f t="shared" si="271"/>
        <v>Thu</v>
      </c>
    </row>
    <row r="4344" spans="1:11" x14ac:dyDescent="0.35">
      <c r="A4344" s="1">
        <v>41866</v>
      </c>
      <c r="B4344">
        <v>16.7000007629394</v>
      </c>
      <c r="C4344">
        <v>16.75</v>
      </c>
      <c r="D4344">
        <v>16.416000366210898</v>
      </c>
      <c r="E4344">
        <v>16.681499481201101</v>
      </c>
      <c r="F4344">
        <v>16.681499481201101</v>
      </c>
      <c r="G4344">
        <v>77934000</v>
      </c>
      <c r="H4344">
        <f t="shared" si="268"/>
        <v>2014</v>
      </c>
      <c r="I4344">
        <f t="shared" si="269"/>
        <v>8</v>
      </c>
      <c r="J4344" t="str">
        <f t="shared" si="270"/>
        <v>Aug</v>
      </c>
      <c r="K4344" t="str">
        <f t="shared" si="271"/>
        <v>Fri</v>
      </c>
    </row>
    <row r="4345" spans="1:11" x14ac:dyDescent="0.35">
      <c r="A4345" s="1">
        <v>41869</v>
      </c>
      <c r="B4345">
        <v>16.774000167846602</v>
      </c>
      <c r="C4345">
        <v>16.889999389648398</v>
      </c>
      <c r="D4345">
        <v>16.688499450683501</v>
      </c>
      <c r="E4345">
        <v>16.726499557495099</v>
      </c>
      <c r="F4345">
        <v>16.726499557495099</v>
      </c>
      <c r="G4345">
        <v>49708000</v>
      </c>
      <c r="H4345">
        <f t="shared" si="268"/>
        <v>2014</v>
      </c>
      <c r="I4345">
        <f t="shared" si="269"/>
        <v>8</v>
      </c>
      <c r="J4345" t="str">
        <f t="shared" si="270"/>
        <v>Aug</v>
      </c>
      <c r="K4345" t="str">
        <f t="shared" si="271"/>
        <v>Mon</v>
      </c>
    </row>
    <row r="4346" spans="1:11" x14ac:dyDescent="0.35">
      <c r="A4346" s="1">
        <v>41870</v>
      </c>
      <c r="B4346">
        <v>16.7434997558593</v>
      </c>
      <c r="C4346">
        <v>16.790500640869102</v>
      </c>
      <c r="D4346">
        <v>16.650499343871999</v>
      </c>
      <c r="E4346">
        <v>16.7565002441406</v>
      </c>
      <c r="F4346">
        <v>16.7565002441406</v>
      </c>
      <c r="G4346">
        <v>34276000</v>
      </c>
      <c r="H4346">
        <f t="shared" si="268"/>
        <v>2014</v>
      </c>
      <c r="I4346">
        <f t="shared" si="269"/>
        <v>8</v>
      </c>
      <c r="J4346" t="str">
        <f t="shared" si="270"/>
        <v>Aug</v>
      </c>
      <c r="K4346" t="str">
        <f t="shared" si="271"/>
        <v>Tue</v>
      </c>
    </row>
    <row r="4347" spans="1:11" x14ac:dyDescent="0.35">
      <c r="A4347" s="1">
        <v>41871</v>
      </c>
      <c r="B4347">
        <v>16.7339992523193</v>
      </c>
      <c r="C4347">
        <v>16.8579998016357</v>
      </c>
      <c r="D4347">
        <v>16.701000213623001</v>
      </c>
      <c r="E4347">
        <v>16.788999557495099</v>
      </c>
      <c r="F4347">
        <v>16.788999557495099</v>
      </c>
      <c r="G4347">
        <v>36210000</v>
      </c>
      <c r="H4347">
        <f t="shared" si="268"/>
        <v>2014</v>
      </c>
      <c r="I4347">
        <f t="shared" si="269"/>
        <v>8</v>
      </c>
      <c r="J4347" t="str">
        <f t="shared" si="270"/>
        <v>Aug</v>
      </c>
      <c r="K4347" t="str">
        <f t="shared" si="271"/>
        <v>Wed</v>
      </c>
    </row>
    <row r="4348" spans="1:11" x14ac:dyDescent="0.35">
      <c r="A4348" s="1">
        <v>41872</v>
      </c>
      <c r="B4348">
        <v>16.823999404907202</v>
      </c>
      <c r="C4348">
        <v>16.829000473022401</v>
      </c>
      <c r="D4348">
        <v>16.6114997863769</v>
      </c>
      <c r="E4348">
        <v>16.645500183105401</v>
      </c>
      <c r="F4348">
        <v>16.645500183105401</v>
      </c>
      <c r="G4348">
        <v>39422000</v>
      </c>
      <c r="H4348">
        <f t="shared" si="268"/>
        <v>2014</v>
      </c>
      <c r="I4348">
        <f t="shared" si="269"/>
        <v>8</v>
      </c>
      <c r="J4348" t="str">
        <f t="shared" si="270"/>
        <v>Aug</v>
      </c>
      <c r="K4348" t="str">
        <f t="shared" si="271"/>
        <v>Thu</v>
      </c>
    </row>
    <row r="4349" spans="1:11" x14ac:dyDescent="0.35">
      <c r="A4349" s="1">
        <v>41873</v>
      </c>
      <c r="B4349">
        <v>16.649499893188398</v>
      </c>
      <c r="C4349">
        <v>16.704000473022401</v>
      </c>
      <c r="D4349">
        <v>16.540000915527301</v>
      </c>
      <c r="E4349">
        <v>16.579500198364201</v>
      </c>
      <c r="F4349">
        <v>16.579500198364201</v>
      </c>
      <c r="G4349">
        <v>44224000</v>
      </c>
      <c r="H4349">
        <f t="shared" si="268"/>
        <v>2014</v>
      </c>
      <c r="I4349">
        <f t="shared" si="269"/>
        <v>8</v>
      </c>
      <c r="J4349" t="str">
        <f t="shared" si="270"/>
        <v>Aug</v>
      </c>
      <c r="K4349" t="str">
        <f t="shared" si="271"/>
        <v>Fri</v>
      </c>
    </row>
    <row r="4350" spans="1:11" x14ac:dyDescent="0.35">
      <c r="A4350" s="1">
        <v>41876</v>
      </c>
      <c r="B4350">
        <v>16.660499572753899</v>
      </c>
      <c r="C4350">
        <v>16.8384990692138</v>
      </c>
      <c r="D4350">
        <v>16.635499954223601</v>
      </c>
      <c r="E4350">
        <v>16.701000213623001</v>
      </c>
      <c r="F4350">
        <v>16.701000213623001</v>
      </c>
      <c r="G4350">
        <v>39154000</v>
      </c>
      <c r="H4350">
        <f t="shared" si="268"/>
        <v>2014</v>
      </c>
      <c r="I4350">
        <f t="shared" si="269"/>
        <v>8</v>
      </c>
      <c r="J4350" t="str">
        <f t="shared" si="270"/>
        <v>Aug</v>
      </c>
      <c r="K4350" t="str">
        <f t="shared" si="271"/>
        <v>Mon</v>
      </c>
    </row>
    <row r="4351" spans="1:11" x14ac:dyDescent="0.35">
      <c r="A4351" s="1">
        <v>41877</v>
      </c>
      <c r="B4351">
        <v>16.850000381469702</v>
      </c>
      <c r="C4351">
        <v>17.218000411987301</v>
      </c>
      <c r="D4351">
        <v>16.727500915527301</v>
      </c>
      <c r="E4351">
        <v>17.0914993286132</v>
      </c>
      <c r="F4351">
        <v>17.0914993286132</v>
      </c>
      <c r="G4351">
        <v>73094000</v>
      </c>
      <c r="H4351">
        <f t="shared" si="268"/>
        <v>2014</v>
      </c>
      <c r="I4351">
        <f t="shared" si="269"/>
        <v>8</v>
      </c>
      <c r="J4351" t="str">
        <f t="shared" si="270"/>
        <v>Aug</v>
      </c>
      <c r="K4351" t="str">
        <f t="shared" si="271"/>
        <v>Tue</v>
      </c>
    </row>
    <row r="4352" spans="1:11" x14ac:dyDescent="0.35">
      <c r="A4352" s="1">
        <v>41878</v>
      </c>
      <c r="B4352">
        <v>17.104499816894499</v>
      </c>
      <c r="C4352">
        <v>17.333499908447202</v>
      </c>
      <c r="D4352">
        <v>17.066999435424801</v>
      </c>
      <c r="E4352">
        <v>17.159000396728501</v>
      </c>
      <c r="F4352">
        <v>17.159000396728501</v>
      </c>
      <c r="G4352">
        <v>59232000</v>
      </c>
      <c r="H4352">
        <f t="shared" si="268"/>
        <v>2014</v>
      </c>
      <c r="I4352">
        <f t="shared" si="269"/>
        <v>8</v>
      </c>
      <c r="J4352" t="str">
        <f t="shared" si="270"/>
        <v>Aug</v>
      </c>
      <c r="K4352" t="str">
        <f t="shared" si="271"/>
        <v>Wed</v>
      </c>
    </row>
    <row r="4353" spans="1:11" x14ac:dyDescent="0.35">
      <c r="A4353" s="1">
        <v>41879</v>
      </c>
      <c r="B4353">
        <v>17</v>
      </c>
      <c r="C4353">
        <v>17.089500427246001</v>
      </c>
      <c r="D4353">
        <v>16.940000534057599</v>
      </c>
      <c r="E4353">
        <v>17.000999450683501</v>
      </c>
      <c r="F4353">
        <v>17.000999450683501</v>
      </c>
      <c r="G4353">
        <v>45054000</v>
      </c>
      <c r="H4353">
        <f t="shared" si="268"/>
        <v>2014</v>
      </c>
      <c r="I4353">
        <f t="shared" si="269"/>
        <v>8</v>
      </c>
      <c r="J4353" t="str">
        <f t="shared" si="270"/>
        <v>Aug</v>
      </c>
      <c r="K4353" t="str">
        <f t="shared" si="271"/>
        <v>Thu</v>
      </c>
    </row>
    <row r="4354" spans="1:11" x14ac:dyDescent="0.35">
      <c r="A4354" s="1">
        <v>41880</v>
      </c>
      <c r="B4354">
        <v>17.087999343871999</v>
      </c>
      <c r="C4354">
        <v>17.090999603271399</v>
      </c>
      <c r="D4354">
        <v>16.8840007781982</v>
      </c>
      <c r="E4354">
        <v>16.951999664306602</v>
      </c>
      <c r="F4354">
        <v>16.951999664306602</v>
      </c>
      <c r="G4354">
        <v>38790000</v>
      </c>
      <c r="H4354">
        <f t="shared" si="268"/>
        <v>2014</v>
      </c>
      <c r="I4354">
        <f t="shared" si="269"/>
        <v>8</v>
      </c>
      <c r="J4354" t="str">
        <f t="shared" si="270"/>
        <v>Aug</v>
      </c>
      <c r="K4354" t="str">
        <f t="shared" si="271"/>
        <v>Fri</v>
      </c>
    </row>
    <row r="4355" spans="1:11" x14ac:dyDescent="0.35">
      <c r="A4355" s="1">
        <v>41884</v>
      </c>
      <c r="B4355">
        <v>16.999000549316399</v>
      </c>
      <c r="C4355">
        <v>17.125</v>
      </c>
      <c r="D4355">
        <v>16.8579998016357</v>
      </c>
      <c r="E4355">
        <v>17.118999481201101</v>
      </c>
      <c r="F4355">
        <v>17.118999481201101</v>
      </c>
      <c r="G4355">
        <v>46520000</v>
      </c>
      <c r="H4355">
        <f t="shared" si="268"/>
        <v>2014</v>
      </c>
      <c r="I4355">
        <f t="shared" si="269"/>
        <v>9</v>
      </c>
      <c r="J4355" t="str">
        <f t="shared" si="270"/>
        <v>Sep</v>
      </c>
      <c r="K4355" t="str">
        <f t="shared" si="271"/>
        <v>Tue</v>
      </c>
    </row>
    <row r="4356" spans="1:11" x14ac:dyDescent="0.35">
      <c r="A4356" s="1">
        <v>41885</v>
      </c>
      <c r="B4356">
        <v>17.127000808715799</v>
      </c>
      <c r="C4356">
        <v>17.163499832153299</v>
      </c>
      <c r="D4356">
        <v>16.877500534057599</v>
      </c>
      <c r="E4356">
        <v>16.9500007629394</v>
      </c>
      <c r="F4356">
        <v>16.9500007629394</v>
      </c>
      <c r="G4356">
        <v>39874000</v>
      </c>
      <c r="H4356">
        <f t="shared" ref="H4356:H4419" si="272">YEAR($A4356)</f>
        <v>2014</v>
      </c>
      <c r="I4356">
        <f t="shared" ref="I4356:I4419" si="273">MONTH($A4356)</f>
        <v>9</v>
      </c>
      <c r="J4356" t="str">
        <f t="shared" ref="J4356:J4419" si="274">TEXT($A4356,"mmm")</f>
        <v>Sep</v>
      </c>
      <c r="K4356" t="str">
        <f t="shared" ref="K4356:K4419" si="275">TEXT($A4356,"ddd")</f>
        <v>Wed</v>
      </c>
    </row>
    <row r="4357" spans="1:11" x14ac:dyDescent="0.35">
      <c r="A4357" s="1">
        <v>41886</v>
      </c>
      <c r="B4357">
        <v>17.184499740600501</v>
      </c>
      <c r="C4357">
        <v>17.468999862670898</v>
      </c>
      <c r="D4357">
        <v>17.179000854492099</v>
      </c>
      <c r="E4357">
        <v>17.297500610351499</v>
      </c>
      <c r="F4357">
        <v>17.297500610351499</v>
      </c>
      <c r="G4357">
        <v>79312000</v>
      </c>
      <c r="H4357">
        <f t="shared" si="272"/>
        <v>2014</v>
      </c>
      <c r="I4357">
        <f t="shared" si="273"/>
        <v>9</v>
      </c>
      <c r="J4357" t="str">
        <f t="shared" si="274"/>
        <v>Sep</v>
      </c>
      <c r="K4357" t="str">
        <f t="shared" si="275"/>
        <v>Thu</v>
      </c>
    </row>
    <row r="4358" spans="1:11" x14ac:dyDescent="0.35">
      <c r="A4358" s="1">
        <v>41887</v>
      </c>
      <c r="B4358">
        <v>17.315000534057599</v>
      </c>
      <c r="C4358">
        <v>17.3414993286132</v>
      </c>
      <c r="D4358">
        <v>17.125</v>
      </c>
      <c r="E4358">
        <v>17.3190002441406</v>
      </c>
      <c r="F4358">
        <v>17.3190002441406</v>
      </c>
      <c r="G4358">
        <v>42140000</v>
      </c>
      <c r="H4358">
        <f t="shared" si="272"/>
        <v>2014</v>
      </c>
      <c r="I4358">
        <f t="shared" si="273"/>
        <v>9</v>
      </c>
      <c r="J4358" t="str">
        <f t="shared" si="274"/>
        <v>Sep</v>
      </c>
      <c r="K4358" t="str">
        <f t="shared" si="275"/>
        <v>Fri</v>
      </c>
    </row>
    <row r="4359" spans="1:11" x14ac:dyDescent="0.35">
      <c r="A4359" s="1">
        <v>41890</v>
      </c>
      <c r="B4359">
        <v>17.2269992828369</v>
      </c>
      <c r="C4359">
        <v>17.290500640869102</v>
      </c>
      <c r="D4359">
        <v>16.951999664306602</v>
      </c>
      <c r="E4359">
        <v>17.117000579833899</v>
      </c>
      <c r="F4359">
        <v>17.117000579833899</v>
      </c>
      <c r="G4359">
        <v>59106000</v>
      </c>
      <c r="H4359">
        <f t="shared" si="272"/>
        <v>2014</v>
      </c>
      <c r="I4359">
        <f t="shared" si="273"/>
        <v>9</v>
      </c>
      <c r="J4359" t="str">
        <f t="shared" si="274"/>
        <v>Sep</v>
      </c>
      <c r="K4359" t="str">
        <f t="shared" si="275"/>
        <v>Mon</v>
      </c>
    </row>
    <row r="4360" spans="1:11" x14ac:dyDescent="0.35">
      <c r="A4360" s="1">
        <v>41891</v>
      </c>
      <c r="B4360">
        <v>17.080499649047798</v>
      </c>
      <c r="C4360">
        <v>17.087999343871999</v>
      </c>
      <c r="D4360">
        <v>16.458999633788999</v>
      </c>
      <c r="E4360">
        <v>16.487499237060501</v>
      </c>
      <c r="F4360">
        <v>16.487499237060501</v>
      </c>
      <c r="G4360">
        <v>92936000</v>
      </c>
      <c r="H4360">
        <f t="shared" si="272"/>
        <v>2014</v>
      </c>
      <c r="I4360">
        <f t="shared" si="273"/>
        <v>9</v>
      </c>
      <c r="J4360" t="str">
        <f t="shared" si="274"/>
        <v>Sep</v>
      </c>
      <c r="K4360" t="str">
        <f t="shared" si="275"/>
        <v>Tue</v>
      </c>
    </row>
    <row r="4361" spans="1:11" x14ac:dyDescent="0.35">
      <c r="A4361" s="1">
        <v>41892</v>
      </c>
      <c r="B4361">
        <v>16.715000152587798</v>
      </c>
      <c r="C4361">
        <v>16.749000549316399</v>
      </c>
      <c r="D4361">
        <v>16.4409999847412</v>
      </c>
      <c r="E4361">
        <v>16.566499710083001</v>
      </c>
      <c r="F4361">
        <v>16.566499710083001</v>
      </c>
      <c r="G4361">
        <v>75948000</v>
      </c>
      <c r="H4361">
        <f t="shared" si="272"/>
        <v>2014</v>
      </c>
      <c r="I4361">
        <f t="shared" si="273"/>
        <v>9</v>
      </c>
      <c r="J4361" t="str">
        <f t="shared" si="274"/>
        <v>Sep</v>
      </c>
      <c r="K4361" t="str">
        <f t="shared" si="275"/>
        <v>Wed</v>
      </c>
    </row>
    <row r="4362" spans="1:11" x14ac:dyDescent="0.35">
      <c r="A4362" s="1">
        <v>41893</v>
      </c>
      <c r="B4362">
        <v>16.496999740600501</v>
      </c>
      <c r="C4362">
        <v>16.650499343871999</v>
      </c>
      <c r="D4362">
        <v>16.319499969482401</v>
      </c>
      <c r="E4362">
        <v>16.5259990692138</v>
      </c>
      <c r="F4362">
        <v>16.5259990692138</v>
      </c>
      <c r="G4362">
        <v>54404000</v>
      </c>
      <c r="H4362">
        <f t="shared" si="272"/>
        <v>2014</v>
      </c>
      <c r="I4362">
        <f t="shared" si="273"/>
        <v>9</v>
      </c>
      <c r="J4362" t="str">
        <f t="shared" si="274"/>
        <v>Sep</v>
      </c>
      <c r="K4362" t="str">
        <f t="shared" si="275"/>
        <v>Thu</v>
      </c>
    </row>
    <row r="4363" spans="1:11" x14ac:dyDescent="0.35">
      <c r="A4363" s="1">
        <v>41894</v>
      </c>
      <c r="B4363">
        <v>16.478000640869102</v>
      </c>
      <c r="C4363">
        <v>16.6445007324218</v>
      </c>
      <c r="D4363">
        <v>16.439500808715799</v>
      </c>
      <c r="E4363">
        <v>16.559499740600501</v>
      </c>
      <c r="F4363">
        <v>16.559499740600501</v>
      </c>
      <c r="G4363">
        <v>68586000</v>
      </c>
      <c r="H4363">
        <f t="shared" si="272"/>
        <v>2014</v>
      </c>
      <c r="I4363">
        <f t="shared" si="273"/>
        <v>9</v>
      </c>
      <c r="J4363" t="str">
        <f t="shared" si="274"/>
        <v>Sep</v>
      </c>
      <c r="K4363" t="str">
        <f t="shared" si="275"/>
        <v>Fri</v>
      </c>
    </row>
    <row r="4364" spans="1:11" x14ac:dyDescent="0.35">
      <c r="A4364" s="1">
        <v>41897</v>
      </c>
      <c r="B4364">
        <v>16.5454998016357</v>
      </c>
      <c r="C4364">
        <v>16.566499710083001</v>
      </c>
      <c r="D4364">
        <v>15.949999809265099</v>
      </c>
      <c r="E4364">
        <v>16.194499969482401</v>
      </c>
      <c r="F4364">
        <v>16.194499969482401</v>
      </c>
      <c r="G4364">
        <v>80008000</v>
      </c>
      <c r="H4364">
        <f t="shared" si="272"/>
        <v>2014</v>
      </c>
      <c r="I4364">
        <f t="shared" si="273"/>
        <v>9</v>
      </c>
      <c r="J4364" t="str">
        <f t="shared" si="274"/>
        <v>Sep</v>
      </c>
      <c r="K4364" t="str">
        <f t="shared" si="275"/>
        <v>Mon</v>
      </c>
    </row>
    <row r="4365" spans="1:11" x14ac:dyDescent="0.35">
      <c r="A4365" s="1">
        <v>41898</v>
      </c>
      <c r="B4365">
        <v>16.053499221801701</v>
      </c>
      <c r="C4365">
        <v>16.474000930786101</v>
      </c>
      <c r="D4365">
        <v>16.004999160766602</v>
      </c>
      <c r="E4365">
        <v>16.3880004882812</v>
      </c>
      <c r="F4365">
        <v>16.3880004882812</v>
      </c>
      <c r="G4365">
        <v>65198000</v>
      </c>
      <c r="H4365">
        <f t="shared" si="272"/>
        <v>2014</v>
      </c>
      <c r="I4365">
        <f t="shared" si="273"/>
        <v>9</v>
      </c>
      <c r="J4365" t="str">
        <f t="shared" si="274"/>
        <v>Sep</v>
      </c>
      <c r="K4365" t="str">
        <f t="shared" si="275"/>
        <v>Tue</v>
      </c>
    </row>
    <row r="4366" spans="1:11" x14ac:dyDescent="0.35">
      <c r="A4366" s="1">
        <v>41899</v>
      </c>
      <c r="B4366">
        <v>16.3880004882812</v>
      </c>
      <c r="C4366">
        <v>16.399999618530199</v>
      </c>
      <c r="D4366">
        <v>16.076000213623001</v>
      </c>
      <c r="E4366">
        <v>16.2000007629394</v>
      </c>
      <c r="F4366">
        <v>16.2000007629394</v>
      </c>
      <c r="G4366">
        <v>82720000</v>
      </c>
      <c r="H4366">
        <f t="shared" si="272"/>
        <v>2014</v>
      </c>
      <c r="I4366">
        <f t="shared" si="273"/>
        <v>9</v>
      </c>
      <c r="J4366" t="str">
        <f t="shared" si="274"/>
        <v>Sep</v>
      </c>
      <c r="K4366" t="str">
        <f t="shared" si="275"/>
        <v>Wed</v>
      </c>
    </row>
    <row r="4367" spans="1:11" x14ac:dyDescent="0.35">
      <c r="A4367" s="1">
        <v>41900</v>
      </c>
      <c r="B4367">
        <v>16.271999359130799</v>
      </c>
      <c r="C4367">
        <v>16.3549995422363</v>
      </c>
      <c r="D4367">
        <v>16.185499191284102</v>
      </c>
      <c r="E4367">
        <v>16.25</v>
      </c>
      <c r="F4367">
        <v>16.25</v>
      </c>
      <c r="G4367">
        <v>51538000</v>
      </c>
      <c r="H4367">
        <f t="shared" si="272"/>
        <v>2014</v>
      </c>
      <c r="I4367">
        <f t="shared" si="273"/>
        <v>9</v>
      </c>
      <c r="J4367" t="str">
        <f t="shared" si="274"/>
        <v>Sep</v>
      </c>
      <c r="K4367" t="str">
        <f t="shared" si="275"/>
        <v>Thu</v>
      </c>
    </row>
    <row r="4368" spans="1:11" x14ac:dyDescent="0.35">
      <c r="A4368" s="1">
        <v>41901</v>
      </c>
      <c r="B4368">
        <v>16.379999160766602</v>
      </c>
      <c r="C4368">
        <v>16.6380004882812</v>
      </c>
      <c r="D4368">
        <v>16.278499603271399</v>
      </c>
      <c r="E4368">
        <v>16.5659999847412</v>
      </c>
      <c r="F4368">
        <v>16.5659999847412</v>
      </c>
      <c r="G4368">
        <v>137724000</v>
      </c>
      <c r="H4368">
        <f t="shared" si="272"/>
        <v>2014</v>
      </c>
      <c r="I4368">
        <f t="shared" si="273"/>
        <v>9</v>
      </c>
      <c r="J4368" t="str">
        <f t="shared" si="274"/>
        <v>Sep</v>
      </c>
      <c r="K4368" t="str">
        <f t="shared" si="275"/>
        <v>Fri</v>
      </c>
    </row>
    <row r="4369" spans="1:11" x14ac:dyDescent="0.35">
      <c r="A4369" s="1">
        <v>41904</v>
      </c>
      <c r="B4369">
        <v>16.4244995117187</v>
      </c>
      <c r="C4369">
        <v>16.474500656127901</v>
      </c>
      <c r="D4369">
        <v>16.052999496459901</v>
      </c>
      <c r="E4369">
        <v>16.225000381469702</v>
      </c>
      <c r="F4369">
        <v>16.225000381469702</v>
      </c>
      <c r="G4369">
        <v>62194000</v>
      </c>
      <c r="H4369">
        <f t="shared" si="272"/>
        <v>2014</v>
      </c>
      <c r="I4369">
        <f t="shared" si="273"/>
        <v>9</v>
      </c>
      <c r="J4369" t="str">
        <f t="shared" si="274"/>
        <v>Sep</v>
      </c>
      <c r="K4369" t="str">
        <f t="shared" si="275"/>
        <v>Mon</v>
      </c>
    </row>
    <row r="4370" spans="1:11" x14ac:dyDescent="0.35">
      <c r="A4370" s="1">
        <v>41905</v>
      </c>
      <c r="B4370">
        <v>16.122999191284102</v>
      </c>
      <c r="C4370">
        <v>16.379999160766602</v>
      </c>
      <c r="D4370">
        <v>16.0625</v>
      </c>
      <c r="E4370">
        <v>16.181499481201101</v>
      </c>
      <c r="F4370">
        <v>16.181499481201101</v>
      </c>
      <c r="G4370">
        <v>47052000</v>
      </c>
      <c r="H4370">
        <f t="shared" si="272"/>
        <v>2014</v>
      </c>
      <c r="I4370">
        <f t="shared" si="273"/>
        <v>9</v>
      </c>
      <c r="J4370" t="str">
        <f t="shared" si="274"/>
        <v>Sep</v>
      </c>
      <c r="K4370" t="str">
        <f t="shared" si="275"/>
        <v>Tue</v>
      </c>
    </row>
    <row r="4371" spans="1:11" x14ac:dyDescent="0.35">
      <c r="A4371" s="1">
        <v>41906</v>
      </c>
      <c r="B4371">
        <v>16.208499908447202</v>
      </c>
      <c r="C4371">
        <v>16.472000122070298</v>
      </c>
      <c r="D4371">
        <v>15.977999687194799</v>
      </c>
      <c r="E4371">
        <v>16.410499572753899</v>
      </c>
      <c r="F4371">
        <v>16.410499572753899</v>
      </c>
      <c r="G4371">
        <v>52844000</v>
      </c>
      <c r="H4371">
        <f t="shared" si="272"/>
        <v>2014</v>
      </c>
      <c r="I4371">
        <f t="shared" si="273"/>
        <v>9</v>
      </c>
      <c r="J4371" t="str">
        <f t="shared" si="274"/>
        <v>Sep</v>
      </c>
      <c r="K4371" t="str">
        <f t="shared" si="275"/>
        <v>Wed</v>
      </c>
    </row>
    <row r="4372" spans="1:11" x14ac:dyDescent="0.35">
      <c r="A4372" s="1">
        <v>41907</v>
      </c>
      <c r="B4372">
        <v>16.399499893188398</v>
      </c>
      <c r="C4372">
        <v>16.4270000457763</v>
      </c>
      <c r="D4372">
        <v>16.069999694824201</v>
      </c>
      <c r="E4372">
        <v>16.096500396728501</v>
      </c>
      <c r="F4372">
        <v>16.096500396728501</v>
      </c>
      <c r="G4372">
        <v>58576000</v>
      </c>
      <c r="H4372">
        <f t="shared" si="272"/>
        <v>2014</v>
      </c>
      <c r="I4372">
        <f t="shared" si="273"/>
        <v>9</v>
      </c>
      <c r="J4372" t="str">
        <f t="shared" si="274"/>
        <v>Sep</v>
      </c>
      <c r="K4372" t="str">
        <f t="shared" si="275"/>
        <v>Thu</v>
      </c>
    </row>
    <row r="4373" spans="1:11" x14ac:dyDescent="0.35">
      <c r="A4373" s="1">
        <v>41908</v>
      </c>
      <c r="B4373">
        <v>16.030000686645501</v>
      </c>
      <c r="C4373">
        <v>16.174999237060501</v>
      </c>
      <c r="D4373">
        <v>15.881999969482401</v>
      </c>
      <c r="E4373">
        <v>16.160499572753899</v>
      </c>
      <c r="F4373">
        <v>16.160499572753899</v>
      </c>
      <c r="G4373">
        <v>72760000</v>
      </c>
      <c r="H4373">
        <f t="shared" si="272"/>
        <v>2014</v>
      </c>
      <c r="I4373">
        <f t="shared" si="273"/>
        <v>9</v>
      </c>
      <c r="J4373" t="str">
        <f t="shared" si="274"/>
        <v>Sep</v>
      </c>
      <c r="K4373" t="str">
        <f t="shared" si="275"/>
        <v>Fri</v>
      </c>
    </row>
    <row r="4374" spans="1:11" x14ac:dyDescent="0.35">
      <c r="A4374" s="1">
        <v>41911</v>
      </c>
      <c r="B4374">
        <v>16.024999618530199</v>
      </c>
      <c r="C4374">
        <v>16.1875</v>
      </c>
      <c r="D4374">
        <v>15.949999809265099</v>
      </c>
      <c r="E4374">
        <v>16.090999603271399</v>
      </c>
      <c r="F4374">
        <v>16.090999603271399</v>
      </c>
      <c r="G4374">
        <v>38492000</v>
      </c>
      <c r="H4374">
        <f t="shared" si="272"/>
        <v>2014</v>
      </c>
      <c r="I4374">
        <f t="shared" si="273"/>
        <v>9</v>
      </c>
      <c r="J4374" t="str">
        <f t="shared" si="274"/>
        <v>Sep</v>
      </c>
      <c r="K4374" t="str">
        <f t="shared" si="275"/>
        <v>Mon</v>
      </c>
    </row>
    <row r="4375" spans="1:11" x14ac:dyDescent="0.35">
      <c r="A4375" s="1">
        <v>41912</v>
      </c>
      <c r="B4375">
        <v>16.068000793456999</v>
      </c>
      <c r="C4375">
        <v>16.1714992523193</v>
      </c>
      <c r="D4375">
        <v>15.9254999160766</v>
      </c>
      <c r="E4375">
        <v>16.121999740600501</v>
      </c>
      <c r="F4375">
        <v>16.121999740600501</v>
      </c>
      <c r="G4375">
        <v>52724000</v>
      </c>
      <c r="H4375">
        <f t="shared" si="272"/>
        <v>2014</v>
      </c>
      <c r="I4375">
        <f t="shared" si="273"/>
        <v>9</v>
      </c>
      <c r="J4375" t="str">
        <f t="shared" si="274"/>
        <v>Sep</v>
      </c>
      <c r="K4375" t="str">
        <f t="shared" si="275"/>
        <v>Tue</v>
      </c>
    </row>
    <row r="4376" spans="1:11" x14ac:dyDescent="0.35">
      <c r="A4376" s="1">
        <v>41913</v>
      </c>
      <c r="B4376">
        <v>16.1019992828369</v>
      </c>
      <c r="C4376">
        <v>16.1084995269775</v>
      </c>
      <c r="D4376">
        <v>15.7775001525878</v>
      </c>
      <c r="E4376">
        <v>15.8730001449584</v>
      </c>
      <c r="F4376">
        <v>15.8730001449584</v>
      </c>
      <c r="G4376">
        <v>61782000</v>
      </c>
      <c r="H4376">
        <f t="shared" si="272"/>
        <v>2014</v>
      </c>
      <c r="I4376">
        <f t="shared" si="273"/>
        <v>10</v>
      </c>
      <c r="J4376" t="str">
        <f t="shared" si="274"/>
        <v>Oct</v>
      </c>
      <c r="K4376" t="str">
        <f t="shared" si="275"/>
        <v>Wed</v>
      </c>
    </row>
    <row r="4377" spans="1:11" x14ac:dyDescent="0.35">
      <c r="A4377" s="1">
        <v>41914</v>
      </c>
      <c r="B4377">
        <v>15.845999717712401</v>
      </c>
      <c r="C4377">
        <v>15.926500320434499</v>
      </c>
      <c r="D4377">
        <v>15.5655002593994</v>
      </c>
      <c r="E4377">
        <v>15.9204998016357</v>
      </c>
      <c r="F4377">
        <v>15.9204998016357</v>
      </c>
      <c r="G4377">
        <v>71078000</v>
      </c>
      <c r="H4377">
        <f t="shared" si="272"/>
        <v>2014</v>
      </c>
      <c r="I4377">
        <f t="shared" si="273"/>
        <v>10</v>
      </c>
      <c r="J4377" t="str">
        <f t="shared" si="274"/>
        <v>Oct</v>
      </c>
      <c r="K4377" t="str">
        <f t="shared" si="275"/>
        <v>Thu</v>
      </c>
    </row>
    <row r="4378" spans="1:11" x14ac:dyDescent="0.35">
      <c r="A4378" s="1">
        <v>41915</v>
      </c>
      <c r="B4378">
        <v>16.017999649047798</v>
      </c>
      <c r="C4378">
        <v>16.257999420166001</v>
      </c>
      <c r="D4378">
        <v>15.976499557495099</v>
      </c>
      <c r="E4378">
        <v>16.136999130248999</v>
      </c>
      <c r="F4378">
        <v>16.136999130248999</v>
      </c>
      <c r="G4378">
        <v>60748000</v>
      </c>
      <c r="H4378">
        <f t="shared" si="272"/>
        <v>2014</v>
      </c>
      <c r="I4378">
        <f t="shared" si="273"/>
        <v>10</v>
      </c>
      <c r="J4378" t="str">
        <f t="shared" si="274"/>
        <v>Oct</v>
      </c>
      <c r="K4378" t="str">
        <f t="shared" si="275"/>
        <v>Fri</v>
      </c>
    </row>
    <row r="4379" spans="1:11" x14ac:dyDescent="0.35">
      <c r="A4379" s="1">
        <v>41918</v>
      </c>
      <c r="B4379">
        <v>16.174999237060501</v>
      </c>
      <c r="C4379">
        <v>16.206499099731399</v>
      </c>
      <c r="D4379">
        <v>15.9799995422363</v>
      </c>
      <c r="E4379">
        <v>16.110000610351499</v>
      </c>
      <c r="F4379">
        <v>16.110000610351499</v>
      </c>
      <c r="G4379">
        <v>45806000</v>
      </c>
      <c r="H4379">
        <f t="shared" si="272"/>
        <v>2014</v>
      </c>
      <c r="I4379">
        <f t="shared" si="273"/>
        <v>10</v>
      </c>
      <c r="J4379" t="str">
        <f t="shared" si="274"/>
        <v>Oct</v>
      </c>
      <c r="K4379" t="str">
        <f t="shared" si="275"/>
        <v>Mon</v>
      </c>
    </row>
    <row r="4380" spans="1:11" x14ac:dyDescent="0.35">
      <c r="A4380" s="1">
        <v>41919</v>
      </c>
      <c r="B4380">
        <v>15.9715003967285</v>
      </c>
      <c r="C4380">
        <v>16.100000381469702</v>
      </c>
      <c r="D4380">
        <v>15.8334999084472</v>
      </c>
      <c r="E4380">
        <v>15.8489999771118</v>
      </c>
      <c r="F4380">
        <v>15.8489999771118</v>
      </c>
      <c r="G4380">
        <v>47308000</v>
      </c>
      <c r="H4380">
        <f t="shared" si="272"/>
        <v>2014</v>
      </c>
      <c r="I4380">
        <f t="shared" si="273"/>
        <v>10</v>
      </c>
      <c r="J4380" t="str">
        <f t="shared" si="274"/>
        <v>Oct</v>
      </c>
      <c r="K4380" t="str">
        <f t="shared" si="275"/>
        <v>Tue</v>
      </c>
    </row>
    <row r="4381" spans="1:11" x14ac:dyDescent="0.35">
      <c r="A4381" s="1">
        <v>41920</v>
      </c>
      <c r="B4381">
        <v>15.829000473022401</v>
      </c>
      <c r="C4381">
        <v>16.205499649047798</v>
      </c>
      <c r="D4381">
        <v>15.7069997787475</v>
      </c>
      <c r="E4381">
        <v>16.1350002288818</v>
      </c>
      <c r="F4381">
        <v>16.1350002288818</v>
      </c>
      <c r="G4381">
        <v>69056000</v>
      </c>
      <c r="H4381">
        <f t="shared" si="272"/>
        <v>2014</v>
      </c>
      <c r="I4381">
        <f t="shared" si="273"/>
        <v>10</v>
      </c>
      <c r="J4381" t="str">
        <f t="shared" si="274"/>
        <v>Oct</v>
      </c>
      <c r="K4381" t="str">
        <f t="shared" si="275"/>
        <v>Wed</v>
      </c>
    </row>
    <row r="4382" spans="1:11" x14ac:dyDescent="0.35">
      <c r="A4382" s="1">
        <v>41921</v>
      </c>
      <c r="B4382">
        <v>16.074499130248999</v>
      </c>
      <c r="C4382">
        <v>16.113500595092699</v>
      </c>
      <c r="D4382">
        <v>15.725999832153301</v>
      </c>
      <c r="E4382">
        <v>15.768500328063899</v>
      </c>
      <c r="F4382">
        <v>15.768500328063899</v>
      </c>
      <c r="G4382">
        <v>71758000</v>
      </c>
      <c r="H4382">
        <f t="shared" si="272"/>
        <v>2014</v>
      </c>
      <c r="I4382">
        <f t="shared" si="273"/>
        <v>10</v>
      </c>
      <c r="J4382" t="str">
        <f t="shared" si="274"/>
        <v>Oct</v>
      </c>
      <c r="K4382" t="str">
        <f t="shared" si="275"/>
        <v>Thu</v>
      </c>
    </row>
    <row r="4383" spans="1:11" x14ac:dyDescent="0.35">
      <c r="A4383" s="1">
        <v>41922</v>
      </c>
      <c r="B4383">
        <v>15.701000213623001</v>
      </c>
      <c r="C4383">
        <v>15.888500213623001</v>
      </c>
      <c r="D4383">
        <v>15.5690002441406</v>
      </c>
      <c r="E4383">
        <v>15.569499969482401</v>
      </c>
      <c r="F4383">
        <v>15.569499969482401</v>
      </c>
      <c r="G4383">
        <v>73638000</v>
      </c>
      <c r="H4383">
        <f t="shared" si="272"/>
        <v>2014</v>
      </c>
      <c r="I4383">
        <f t="shared" si="273"/>
        <v>10</v>
      </c>
      <c r="J4383" t="str">
        <f t="shared" si="274"/>
        <v>Oct</v>
      </c>
      <c r="K4383" t="str">
        <f t="shared" si="275"/>
        <v>Fri</v>
      </c>
    </row>
    <row r="4384" spans="1:11" x14ac:dyDescent="0.35">
      <c r="A4384" s="1">
        <v>41925</v>
      </c>
      <c r="B4384">
        <v>15.4934997558593</v>
      </c>
      <c r="C4384">
        <v>15.6599998474121</v>
      </c>
      <c r="D4384">
        <v>15.173500061035099</v>
      </c>
      <c r="E4384">
        <v>15.3225002288818</v>
      </c>
      <c r="F4384">
        <v>15.3225002288818</v>
      </c>
      <c r="G4384">
        <v>87278000</v>
      </c>
      <c r="H4384">
        <f t="shared" si="272"/>
        <v>2014</v>
      </c>
      <c r="I4384">
        <f t="shared" si="273"/>
        <v>10</v>
      </c>
      <c r="J4384" t="str">
        <f t="shared" si="274"/>
        <v>Oct</v>
      </c>
      <c r="K4384" t="str">
        <f t="shared" si="275"/>
        <v>Mon</v>
      </c>
    </row>
    <row r="4385" spans="1:11" x14ac:dyDescent="0.35">
      <c r="A4385" s="1">
        <v>41926</v>
      </c>
      <c r="B4385">
        <v>15.399999618530201</v>
      </c>
      <c r="C4385">
        <v>15.612000465393001</v>
      </c>
      <c r="D4385">
        <v>15.2875003814697</v>
      </c>
      <c r="E4385">
        <v>15.415499687194799</v>
      </c>
      <c r="F4385">
        <v>15.415499687194799</v>
      </c>
      <c r="G4385">
        <v>67716000</v>
      </c>
      <c r="H4385">
        <f t="shared" si="272"/>
        <v>2014</v>
      </c>
      <c r="I4385">
        <f t="shared" si="273"/>
        <v>10</v>
      </c>
      <c r="J4385" t="str">
        <f t="shared" si="274"/>
        <v>Oct</v>
      </c>
      <c r="K4385" t="str">
        <f t="shared" si="275"/>
        <v>Tue</v>
      </c>
    </row>
    <row r="4386" spans="1:11" x14ac:dyDescent="0.35">
      <c r="A4386" s="1">
        <v>41927</v>
      </c>
      <c r="B4386">
        <v>15.217499732971101</v>
      </c>
      <c r="C4386">
        <v>15.395000457763601</v>
      </c>
      <c r="D4386">
        <v>14.954999923706</v>
      </c>
      <c r="E4386">
        <v>15.298500061035099</v>
      </c>
      <c r="F4386">
        <v>15.298500061035099</v>
      </c>
      <c r="G4386">
        <v>106878000</v>
      </c>
      <c r="H4386">
        <f t="shared" si="272"/>
        <v>2014</v>
      </c>
      <c r="I4386">
        <f t="shared" si="273"/>
        <v>10</v>
      </c>
      <c r="J4386" t="str">
        <f t="shared" si="274"/>
        <v>Oct</v>
      </c>
      <c r="K4386" t="str">
        <f t="shared" si="275"/>
        <v>Wed</v>
      </c>
    </row>
    <row r="4387" spans="1:11" x14ac:dyDescent="0.35">
      <c r="A4387" s="1">
        <v>41928</v>
      </c>
      <c r="B4387">
        <v>14.691499710083001</v>
      </c>
      <c r="C4387">
        <v>15.340999603271401</v>
      </c>
      <c r="D4387">
        <v>14.691499710083001</v>
      </c>
      <c r="E4387">
        <v>15.1429996490478</v>
      </c>
      <c r="F4387">
        <v>15.1429996490478</v>
      </c>
      <c r="G4387">
        <v>94626000</v>
      </c>
      <c r="H4387">
        <f t="shared" si="272"/>
        <v>2014</v>
      </c>
      <c r="I4387">
        <f t="shared" si="273"/>
        <v>10</v>
      </c>
      <c r="J4387" t="str">
        <f t="shared" si="274"/>
        <v>Oct</v>
      </c>
      <c r="K4387" t="str">
        <f t="shared" si="275"/>
        <v>Thu</v>
      </c>
    </row>
    <row r="4388" spans="1:11" x14ac:dyDescent="0.35">
      <c r="A4388" s="1">
        <v>41929</v>
      </c>
      <c r="B4388">
        <v>15.357500076293899</v>
      </c>
      <c r="C4388">
        <v>15.4600000381469</v>
      </c>
      <c r="D4388">
        <v>15.135999679565399</v>
      </c>
      <c r="E4388">
        <v>15.1820001602172</v>
      </c>
      <c r="F4388">
        <v>15.1820001602172</v>
      </c>
      <c r="G4388">
        <v>88102000</v>
      </c>
      <c r="H4388">
        <f t="shared" si="272"/>
        <v>2014</v>
      </c>
      <c r="I4388">
        <f t="shared" si="273"/>
        <v>10</v>
      </c>
      <c r="J4388" t="str">
        <f t="shared" si="274"/>
        <v>Oct</v>
      </c>
      <c r="K4388" t="str">
        <f t="shared" si="275"/>
        <v>Fri</v>
      </c>
    </row>
    <row r="4389" spans="1:11" x14ac:dyDescent="0.35">
      <c r="A4389" s="1">
        <v>41932</v>
      </c>
      <c r="B4389">
        <v>15.1475000381469</v>
      </c>
      <c r="C4389">
        <v>15.326499938964799</v>
      </c>
      <c r="D4389">
        <v>15.100999832153301</v>
      </c>
      <c r="E4389">
        <v>15.3105001449584</v>
      </c>
      <c r="F4389">
        <v>15.3105001449584</v>
      </c>
      <c r="G4389">
        <v>64690000</v>
      </c>
      <c r="H4389">
        <f t="shared" si="272"/>
        <v>2014</v>
      </c>
      <c r="I4389">
        <f t="shared" si="273"/>
        <v>10</v>
      </c>
      <c r="J4389" t="str">
        <f t="shared" si="274"/>
        <v>Oct</v>
      </c>
      <c r="K4389" t="str">
        <f t="shared" si="275"/>
        <v>Mon</v>
      </c>
    </row>
    <row r="4390" spans="1:11" x14ac:dyDescent="0.35">
      <c r="A4390" s="1">
        <v>41933</v>
      </c>
      <c r="B4390">
        <v>15.494999885559</v>
      </c>
      <c r="C4390">
        <v>15.781999588012599</v>
      </c>
      <c r="D4390">
        <v>15.3535003662109</v>
      </c>
      <c r="E4390">
        <v>15.766500473022401</v>
      </c>
      <c r="F4390">
        <v>15.766500473022401</v>
      </c>
      <c r="G4390">
        <v>71186000</v>
      </c>
      <c r="H4390">
        <f t="shared" si="272"/>
        <v>2014</v>
      </c>
      <c r="I4390">
        <f t="shared" si="273"/>
        <v>10</v>
      </c>
      <c r="J4390" t="str">
        <f t="shared" si="274"/>
        <v>Oct</v>
      </c>
      <c r="K4390" t="str">
        <f t="shared" si="275"/>
        <v>Tue</v>
      </c>
    </row>
    <row r="4391" spans="1:11" x14ac:dyDescent="0.35">
      <c r="A4391" s="1">
        <v>41934</v>
      </c>
      <c r="B4391">
        <v>15.771499633789</v>
      </c>
      <c r="C4391">
        <v>15.9490003585815</v>
      </c>
      <c r="D4391">
        <v>15.631999969482401</v>
      </c>
      <c r="E4391">
        <v>15.648500442504799</v>
      </c>
      <c r="F4391">
        <v>15.648500442504799</v>
      </c>
      <c r="G4391">
        <v>62518000</v>
      </c>
      <c r="H4391">
        <f t="shared" si="272"/>
        <v>2014</v>
      </c>
      <c r="I4391">
        <f t="shared" si="273"/>
        <v>10</v>
      </c>
      <c r="J4391" t="str">
        <f t="shared" si="274"/>
        <v>Oct</v>
      </c>
      <c r="K4391" t="str">
        <f t="shared" si="275"/>
        <v>Wed</v>
      </c>
    </row>
    <row r="4392" spans="1:11" x14ac:dyDescent="0.35">
      <c r="A4392" s="1">
        <v>41935</v>
      </c>
      <c r="B4392">
        <v>15.670000076293899</v>
      </c>
      <c r="C4392">
        <v>15.8400001525878</v>
      </c>
      <c r="D4392">
        <v>15.569999694824199</v>
      </c>
      <c r="E4392">
        <v>15.6590003967285</v>
      </c>
      <c r="F4392">
        <v>15.6590003967285</v>
      </c>
      <c r="G4392">
        <v>180764000</v>
      </c>
      <c r="H4392">
        <f t="shared" si="272"/>
        <v>2014</v>
      </c>
      <c r="I4392">
        <f t="shared" si="273"/>
        <v>10</v>
      </c>
      <c r="J4392" t="str">
        <f t="shared" si="274"/>
        <v>Oct</v>
      </c>
      <c r="K4392" t="str">
        <f t="shared" si="275"/>
        <v>Thu</v>
      </c>
    </row>
    <row r="4393" spans="1:11" x14ac:dyDescent="0.35">
      <c r="A4393" s="1">
        <v>41936</v>
      </c>
      <c r="B4393">
        <v>14.2200002670288</v>
      </c>
      <c r="C4393">
        <v>14.6905002593994</v>
      </c>
      <c r="D4393">
        <v>14.199999809265099</v>
      </c>
      <c r="E4393">
        <v>14.352999687194799</v>
      </c>
      <c r="F4393">
        <v>14.352999687194799</v>
      </c>
      <c r="G4393">
        <v>396022000</v>
      </c>
      <c r="H4393">
        <f t="shared" si="272"/>
        <v>2014</v>
      </c>
      <c r="I4393">
        <f t="shared" si="273"/>
        <v>10</v>
      </c>
      <c r="J4393" t="str">
        <f t="shared" si="274"/>
        <v>Oct</v>
      </c>
      <c r="K4393" t="str">
        <f t="shared" si="275"/>
        <v>Fri</v>
      </c>
    </row>
    <row r="4394" spans="1:11" x14ac:dyDescent="0.35">
      <c r="A4394" s="1">
        <v>41939</v>
      </c>
      <c r="B4394">
        <v>14.2849998474121</v>
      </c>
      <c r="C4394">
        <v>14.5209999084472</v>
      </c>
      <c r="D4394">
        <v>14.251000404357899</v>
      </c>
      <c r="E4394">
        <v>14.498499870300201</v>
      </c>
      <c r="F4394">
        <v>14.498499870300201</v>
      </c>
      <c r="G4394">
        <v>119012000</v>
      </c>
      <c r="H4394">
        <f t="shared" si="272"/>
        <v>2014</v>
      </c>
      <c r="I4394">
        <f t="shared" si="273"/>
        <v>10</v>
      </c>
      <c r="J4394" t="str">
        <f t="shared" si="274"/>
        <v>Oct</v>
      </c>
      <c r="K4394" t="str">
        <f t="shared" si="275"/>
        <v>Mon</v>
      </c>
    </row>
    <row r="4395" spans="1:11" x14ac:dyDescent="0.35">
      <c r="A4395" s="1">
        <v>41940</v>
      </c>
      <c r="B4395">
        <v>14.4879999160766</v>
      </c>
      <c r="C4395">
        <v>14.899999618530201</v>
      </c>
      <c r="D4395">
        <v>14.4879999160766</v>
      </c>
      <c r="E4395">
        <v>14.7795000076293</v>
      </c>
      <c r="F4395">
        <v>14.7795000076293</v>
      </c>
      <c r="G4395">
        <v>111452000</v>
      </c>
      <c r="H4395">
        <f t="shared" si="272"/>
        <v>2014</v>
      </c>
      <c r="I4395">
        <f t="shared" si="273"/>
        <v>10</v>
      </c>
      <c r="J4395" t="str">
        <f t="shared" si="274"/>
        <v>Oct</v>
      </c>
      <c r="K4395" t="str">
        <f t="shared" si="275"/>
        <v>Tue</v>
      </c>
    </row>
    <row r="4396" spans="1:11" x14ac:dyDescent="0.35">
      <c r="A4396" s="1">
        <v>41941</v>
      </c>
      <c r="B4396">
        <v>14.9554996490478</v>
      </c>
      <c r="C4396">
        <v>14.980500221252401</v>
      </c>
      <c r="D4396">
        <v>14.653499603271401</v>
      </c>
      <c r="E4396">
        <v>14.706000328063899</v>
      </c>
      <c r="F4396">
        <v>14.706000328063899</v>
      </c>
      <c r="G4396">
        <v>97638000</v>
      </c>
      <c r="H4396">
        <f t="shared" si="272"/>
        <v>2014</v>
      </c>
      <c r="I4396">
        <f t="shared" si="273"/>
        <v>10</v>
      </c>
      <c r="J4396" t="str">
        <f t="shared" si="274"/>
        <v>Oct</v>
      </c>
      <c r="K4396" t="str">
        <f t="shared" si="275"/>
        <v>Wed</v>
      </c>
    </row>
    <row r="4397" spans="1:11" x14ac:dyDescent="0.35">
      <c r="A4397" s="1">
        <v>41942</v>
      </c>
      <c r="B4397">
        <v>14.6990003585815</v>
      </c>
      <c r="C4397">
        <v>14.987000465393001</v>
      </c>
      <c r="D4397">
        <v>14.6180000305175</v>
      </c>
      <c r="E4397">
        <v>14.9534997940063</v>
      </c>
      <c r="F4397">
        <v>14.9534997940063</v>
      </c>
      <c r="G4397">
        <v>81104000</v>
      </c>
      <c r="H4397">
        <f t="shared" si="272"/>
        <v>2014</v>
      </c>
      <c r="I4397">
        <f t="shared" si="273"/>
        <v>10</v>
      </c>
      <c r="J4397" t="str">
        <f t="shared" si="274"/>
        <v>Oct</v>
      </c>
      <c r="K4397" t="str">
        <f t="shared" si="275"/>
        <v>Thu</v>
      </c>
    </row>
    <row r="4398" spans="1:11" x14ac:dyDescent="0.35">
      <c r="A4398" s="1">
        <v>41943</v>
      </c>
      <c r="B4398">
        <v>15.257499694824199</v>
      </c>
      <c r="C4398">
        <v>15.28600025177</v>
      </c>
      <c r="D4398">
        <v>15.074999809265099</v>
      </c>
      <c r="E4398">
        <v>15.2729997634887</v>
      </c>
      <c r="F4398">
        <v>15.2729997634887</v>
      </c>
      <c r="G4398">
        <v>91014000</v>
      </c>
      <c r="H4398">
        <f t="shared" si="272"/>
        <v>2014</v>
      </c>
      <c r="I4398">
        <f t="shared" si="273"/>
        <v>10</v>
      </c>
      <c r="J4398" t="str">
        <f t="shared" si="274"/>
        <v>Oct</v>
      </c>
      <c r="K4398" t="str">
        <f t="shared" si="275"/>
        <v>Fri</v>
      </c>
    </row>
    <row r="4399" spans="1:11" x14ac:dyDescent="0.35">
      <c r="A4399" s="1">
        <v>41946</v>
      </c>
      <c r="B4399">
        <v>15.3120002746582</v>
      </c>
      <c r="C4399">
        <v>15.4005002975463</v>
      </c>
      <c r="D4399">
        <v>15.161999702453601</v>
      </c>
      <c r="E4399">
        <v>15.28600025177</v>
      </c>
      <c r="F4399">
        <v>15.28600025177</v>
      </c>
      <c r="G4399">
        <v>64850000</v>
      </c>
      <c r="H4399">
        <f t="shared" si="272"/>
        <v>2014</v>
      </c>
      <c r="I4399">
        <f t="shared" si="273"/>
        <v>11</v>
      </c>
      <c r="J4399" t="str">
        <f t="shared" si="274"/>
        <v>Nov</v>
      </c>
      <c r="K4399" t="str">
        <f t="shared" si="275"/>
        <v>Mon</v>
      </c>
    </row>
    <row r="4400" spans="1:11" x14ac:dyDescent="0.35">
      <c r="A4400" s="1">
        <v>41947</v>
      </c>
      <c r="B4400">
        <v>15.199500083923301</v>
      </c>
      <c r="C4400">
        <v>15.212499618530201</v>
      </c>
      <c r="D4400">
        <v>15.0085000991821</v>
      </c>
      <c r="E4400">
        <v>15.140500068664499</v>
      </c>
      <c r="F4400">
        <v>15.140500068664499</v>
      </c>
      <c r="G4400">
        <v>68548000</v>
      </c>
      <c r="H4400">
        <f t="shared" si="272"/>
        <v>2014</v>
      </c>
      <c r="I4400">
        <f t="shared" si="273"/>
        <v>11</v>
      </c>
      <c r="J4400" t="str">
        <f t="shared" si="274"/>
        <v>Nov</v>
      </c>
      <c r="K4400" t="str">
        <f t="shared" si="275"/>
        <v>Tue</v>
      </c>
    </row>
    <row r="4401" spans="1:11" x14ac:dyDescent="0.35">
      <c r="A4401" s="1">
        <v>41948</v>
      </c>
      <c r="B4401">
        <v>15.1505002975463</v>
      </c>
      <c r="C4401">
        <v>15.199999809265099</v>
      </c>
      <c r="D4401">
        <v>14.708000183105399</v>
      </c>
      <c r="E4401">
        <v>14.826000213623001</v>
      </c>
      <c r="F4401">
        <v>14.826000213623001</v>
      </c>
      <c r="G4401">
        <v>93490000</v>
      </c>
      <c r="H4401">
        <f t="shared" si="272"/>
        <v>2014</v>
      </c>
      <c r="I4401">
        <f t="shared" si="273"/>
        <v>11</v>
      </c>
      <c r="J4401" t="str">
        <f t="shared" si="274"/>
        <v>Nov</v>
      </c>
      <c r="K4401" t="str">
        <f t="shared" si="275"/>
        <v>Wed</v>
      </c>
    </row>
    <row r="4402" spans="1:11" x14ac:dyDescent="0.35">
      <c r="A4402" s="1">
        <v>41949</v>
      </c>
      <c r="B4402">
        <v>14.834500312805099</v>
      </c>
      <c r="C4402">
        <v>14.8500003814697</v>
      </c>
      <c r="D4402">
        <v>14.6145000457763</v>
      </c>
      <c r="E4402">
        <v>14.8319997787475</v>
      </c>
      <c r="F4402">
        <v>14.8319997787475</v>
      </c>
      <c r="G4402">
        <v>75162000</v>
      </c>
      <c r="H4402">
        <f t="shared" si="272"/>
        <v>2014</v>
      </c>
      <c r="I4402">
        <f t="shared" si="273"/>
        <v>11</v>
      </c>
      <c r="J4402" t="str">
        <f t="shared" si="274"/>
        <v>Nov</v>
      </c>
      <c r="K4402" t="str">
        <f t="shared" si="275"/>
        <v>Thu</v>
      </c>
    </row>
    <row r="4403" spans="1:11" x14ac:dyDescent="0.35">
      <c r="A4403" s="1">
        <v>41950</v>
      </c>
      <c r="B4403">
        <v>14.8909997940063</v>
      </c>
      <c r="C4403">
        <v>14.9995002746582</v>
      </c>
      <c r="D4403">
        <v>14.8144998550415</v>
      </c>
      <c r="E4403">
        <v>14.9930000305175</v>
      </c>
      <c r="F4403">
        <v>14.9930000305175</v>
      </c>
      <c r="G4403">
        <v>52948000</v>
      </c>
      <c r="H4403">
        <f t="shared" si="272"/>
        <v>2014</v>
      </c>
      <c r="I4403">
        <f t="shared" si="273"/>
        <v>11</v>
      </c>
      <c r="J4403" t="str">
        <f t="shared" si="274"/>
        <v>Nov</v>
      </c>
      <c r="K4403" t="str">
        <f t="shared" si="275"/>
        <v>Fri</v>
      </c>
    </row>
    <row r="4404" spans="1:11" x14ac:dyDescent="0.35">
      <c r="A4404" s="1">
        <v>41953</v>
      </c>
      <c r="B4404">
        <v>15</v>
      </c>
      <c r="C4404">
        <v>15.289999961853001</v>
      </c>
      <c r="D4404">
        <v>15</v>
      </c>
      <c r="E4404">
        <v>15.255499839782701</v>
      </c>
      <c r="F4404">
        <v>15.255499839782701</v>
      </c>
      <c r="G4404">
        <v>56182000</v>
      </c>
      <c r="H4404">
        <f t="shared" si="272"/>
        <v>2014</v>
      </c>
      <c r="I4404">
        <f t="shared" si="273"/>
        <v>11</v>
      </c>
      <c r="J4404" t="str">
        <f t="shared" si="274"/>
        <v>Nov</v>
      </c>
      <c r="K4404" t="str">
        <f t="shared" si="275"/>
        <v>Mon</v>
      </c>
    </row>
    <row r="4405" spans="1:11" x14ac:dyDescent="0.35">
      <c r="A4405" s="1">
        <v>41954</v>
      </c>
      <c r="B4405">
        <v>15.296999931335399</v>
      </c>
      <c r="C4405">
        <v>15.619000434875399</v>
      </c>
      <c r="D4405">
        <v>15.182499885559</v>
      </c>
      <c r="E4405">
        <v>15.6005001068115</v>
      </c>
      <c r="F4405">
        <v>15.6005001068115</v>
      </c>
      <c r="G4405">
        <v>76072000</v>
      </c>
      <c r="H4405">
        <f t="shared" si="272"/>
        <v>2014</v>
      </c>
      <c r="I4405">
        <f t="shared" si="273"/>
        <v>11</v>
      </c>
      <c r="J4405" t="str">
        <f t="shared" si="274"/>
        <v>Nov</v>
      </c>
      <c r="K4405" t="str">
        <f t="shared" si="275"/>
        <v>Tue</v>
      </c>
    </row>
    <row r="4406" spans="1:11" x14ac:dyDescent="0.35">
      <c r="A4406" s="1">
        <v>41955</v>
      </c>
      <c r="B4406">
        <v>15.5375003814697</v>
      </c>
      <c r="C4406">
        <v>15.628999710083001</v>
      </c>
      <c r="D4406">
        <v>15.4394998550415</v>
      </c>
      <c r="E4406">
        <v>15.5754995346069</v>
      </c>
      <c r="F4406">
        <v>15.5754995346069</v>
      </c>
      <c r="G4406">
        <v>43660000</v>
      </c>
      <c r="H4406">
        <f t="shared" si="272"/>
        <v>2014</v>
      </c>
      <c r="I4406">
        <f t="shared" si="273"/>
        <v>11</v>
      </c>
      <c r="J4406" t="str">
        <f t="shared" si="274"/>
        <v>Nov</v>
      </c>
      <c r="K4406" t="str">
        <f t="shared" si="275"/>
        <v>Wed</v>
      </c>
    </row>
    <row r="4407" spans="1:11" x14ac:dyDescent="0.35">
      <c r="A4407" s="1">
        <v>41956</v>
      </c>
      <c r="B4407">
        <v>15.6000003814697</v>
      </c>
      <c r="C4407">
        <v>15.8944997787475</v>
      </c>
      <c r="D4407">
        <v>15.5754995346069</v>
      </c>
      <c r="E4407">
        <v>15.8240003585815</v>
      </c>
      <c r="F4407">
        <v>15.8240003585815</v>
      </c>
      <c r="G4407">
        <v>73728000</v>
      </c>
      <c r="H4407">
        <f t="shared" si="272"/>
        <v>2014</v>
      </c>
      <c r="I4407">
        <f t="shared" si="273"/>
        <v>11</v>
      </c>
      <c r="J4407" t="str">
        <f t="shared" si="274"/>
        <v>Nov</v>
      </c>
      <c r="K4407" t="str">
        <f t="shared" si="275"/>
        <v>Thu</v>
      </c>
    </row>
    <row r="4408" spans="1:11" x14ac:dyDescent="0.35">
      <c r="A4408" s="1">
        <v>41957</v>
      </c>
      <c r="B4408">
        <v>15.855999946594199</v>
      </c>
      <c r="C4408">
        <v>16.643999099731399</v>
      </c>
      <c r="D4408">
        <v>15.819999694824199</v>
      </c>
      <c r="E4408">
        <v>16.3910007476806</v>
      </c>
      <c r="F4408">
        <v>16.3910007476806</v>
      </c>
      <c r="G4408">
        <v>177556000</v>
      </c>
      <c r="H4408">
        <f t="shared" si="272"/>
        <v>2014</v>
      </c>
      <c r="I4408">
        <f t="shared" si="273"/>
        <v>11</v>
      </c>
      <c r="J4408" t="str">
        <f t="shared" si="274"/>
        <v>Nov</v>
      </c>
      <c r="K4408" t="str">
        <f t="shared" si="275"/>
        <v>Fri</v>
      </c>
    </row>
    <row r="4409" spans="1:11" x14ac:dyDescent="0.35">
      <c r="A4409" s="1">
        <v>41960</v>
      </c>
      <c r="B4409">
        <v>16.32200050354</v>
      </c>
      <c r="C4409">
        <v>16.399999618530199</v>
      </c>
      <c r="D4409">
        <v>15.901499748229901</v>
      </c>
      <c r="E4409">
        <v>16.152500152587798</v>
      </c>
      <c r="F4409">
        <v>16.152500152587798</v>
      </c>
      <c r="G4409">
        <v>95698000</v>
      </c>
      <c r="H4409">
        <f t="shared" si="272"/>
        <v>2014</v>
      </c>
      <c r="I4409">
        <f t="shared" si="273"/>
        <v>11</v>
      </c>
      <c r="J4409" t="str">
        <f t="shared" si="274"/>
        <v>Nov</v>
      </c>
      <c r="K4409" t="str">
        <f t="shared" si="275"/>
        <v>Mon</v>
      </c>
    </row>
    <row r="4410" spans="1:11" x14ac:dyDescent="0.35">
      <c r="A4410" s="1">
        <v>41961</v>
      </c>
      <c r="B4410">
        <v>16.199499130248999</v>
      </c>
      <c r="C4410">
        <v>16.478000640869102</v>
      </c>
      <c r="D4410">
        <v>16.162500381469702</v>
      </c>
      <c r="E4410">
        <v>16.2465000152587</v>
      </c>
      <c r="F4410">
        <v>16.2465000152587</v>
      </c>
      <c r="G4410">
        <v>70990000</v>
      </c>
      <c r="H4410">
        <f t="shared" si="272"/>
        <v>2014</v>
      </c>
      <c r="I4410">
        <f t="shared" si="273"/>
        <v>11</v>
      </c>
      <c r="J4410" t="str">
        <f t="shared" si="274"/>
        <v>Nov</v>
      </c>
      <c r="K4410" t="str">
        <f t="shared" si="275"/>
        <v>Tue</v>
      </c>
    </row>
    <row r="4411" spans="1:11" x14ac:dyDescent="0.35">
      <c r="A4411" s="1">
        <v>41962</v>
      </c>
      <c r="B4411">
        <v>16.362499237060501</v>
      </c>
      <c r="C4411">
        <v>16.420000076293899</v>
      </c>
      <c r="D4411">
        <v>16.201000213623001</v>
      </c>
      <c r="E4411">
        <v>16.326999664306602</v>
      </c>
      <c r="F4411">
        <v>16.326999664306602</v>
      </c>
      <c r="G4411">
        <v>65632000</v>
      </c>
      <c r="H4411">
        <f t="shared" si="272"/>
        <v>2014</v>
      </c>
      <c r="I4411">
        <f t="shared" si="273"/>
        <v>11</v>
      </c>
      <c r="J4411" t="str">
        <f t="shared" si="274"/>
        <v>Nov</v>
      </c>
      <c r="K4411" t="str">
        <f t="shared" si="275"/>
        <v>Wed</v>
      </c>
    </row>
    <row r="4412" spans="1:11" x14ac:dyDescent="0.35">
      <c r="A4412" s="1">
        <v>41963</v>
      </c>
      <c r="B4412">
        <v>16.2000007629394</v>
      </c>
      <c r="C4412">
        <v>16.633499145507798</v>
      </c>
      <c r="D4412">
        <v>16.166500091552699</v>
      </c>
      <c r="E4412">
        <v>16.527000427246001</v>
      </c>
      <c r="F4412">
        <v>16.527000427246001</v>
      </c>
      <c r="G4412">
        <v>68734000</v>
      </c>
      <c r="H4412">
        <f t="shared" si="272"/>
        <v>2014</v>
      </c>
      <c r="I4412">
        <f t="shared" si="273"/>
        <v>11</v>
      </c>
      <c r="J4412" t="str">
        <f t="shared" si="274"/>
        <v>Nov</v>
      </c>
      <c r="K4412" t="str">
        <f t="shared" si="275"/>
        <v>Thu</v>
      </c>
    </row>
    <row r="4413" spans="1:11" x14ac:dyDescent="0.35">
      <c r="A4413" s="1">
        <v>41964</v>
      </c>
      <c r="B4413">
        <v>16.770999908447202</v>
      </c>
      <c r="C4413">
        <v>16.916500091552699</v>
      </c>
      <c r="D4413">
        <v>16.573499679565401</v>
      </c>
      <c r="E4413">
        <v>16.6315002441406</v>
      </c>
      <c r="F4413">
        <v>16.6315002441406</v>
      </c>
      <c r="G4413">
        <v>89332000</v>
      </c>
      <c r="H4413">
        <f t="shared" si="272"/>
        <v>2014</v>
      </c>
      <c r="I4413">
        <f t="shared" si="273"/>
        <v>11</v>
      </c>
      <c r="J4413" t="str">
        <f t="shared" si="274"/>
        <v>Nov</v>
      </c>
      <c r="K4413" t="str">
        <f t="shared" si="275"/>
        <v>Fri</v>
      </c>
    </row>
    <row r="4414" spans="1:11" x14ac:dyDescent="0.35">
      <c r="A4414" s="1">
        <v>41967</v>
      </c>
      <c r="B4414">
        <v>16.739000320434499</v>
      </c>
      <c r="C4414">
        <v>16.869499206542901</v>
      </c>
      <c r="D4414">
        <v>16.6800003051757</v>
      </c>
      <c r="E4414">
        <v>16.781999588012599</v>
      </c>
      <c r="F4414">
        <v>16.781999588012599</v>
      </c>
      <c r="G4414">
        <v>55084000</v>
      </c>
      <c r="H4414">
        <f t="shared" si="272"/>
        <v>2014</v>
      </c>
      <c r="I4414">
        <f t="shared" si="273"/>
        <v>11</v>
      </c>
      <c r="J4414" t="str">
        <f t="shared" si="274"/>
        <v>Nov</v>
      </c>
      <c r="K4414" t="str">
        <f t="shared" si="275"/>
        <v>Mon</v>
      </c>
    </row>
    <row r="4415" spans="1:11" x14ac:dyDescent="0.35">
      <c r="A4415" s="1">
        <v>41968</v>
      </c>
      <c r="B4415">
        <v>16.763500213623001</v>
      </c>
      <c r="C4415">
        <v>16.816499710083001</v>
      </c>
      <c r="D4415">
        <v>16.563999176025298</v>
      </c>
      <c r="E4415">
        <v>16.752000808715799</v>
      </c>
      <c r="F4415">
        <v>16.752000808715799</v>
      </c>
      <c r="G4415">
        <v>51300000</v>
      </c>
      <c r="H4415">
        <f t="shared" si="272"/>
        <v>2014</v>
      </c>
      <c r="I4415">
        <f t="shared" si="273"/>
        <v>11</v>
      </c>
      <c r="J4415" t="str">
        <f t="shared" si="274"/>
        <v>Nov</v>
      </c>
      <c r="K4415" t="str">
        <f t="shared" si="275"/>
        <v>Tue</v>
      </c>
    </row>
    <row r="4416" spans="1:11" x14ac:dyDescent="0.35">
      <c r="A4416" s="1">
        <v>41969</v>
      </c>
      <c r="B4416">
        <v>16.688999176025298</v>
      </c>
      <c r="C4416">
        <v>16.732500076293899</v>
      </c>
      <c r="D4416">
        <v>16.587499618530199</v>
      </c>
      <c r="E4416">
        <v>16.678499221801701</v>
      </c>
      <c r="F4416">
        <v>16.678499221801701</v>
      </c>
      <c r="G4416">
        <v>39672000</v>
      </c>
      <c r="H4416">
        <f t="shared" si="272"/>
        <v>2014</v>
      </c>
      <c r="I4416">
        <f t="shared" si="273"/>
        <v>11</v>
      </c>
      <c r="J4416" t="str">
        <f t="shared" si="274"/>
        <v>Nov</v>
      </c>
      <c r="K4416" t="str">
        <f t="shared" si="275"/>
        <v>Wed</v>
      </c>
    </row>
    <row r="4417" spans="1:11" x14ac:dyDescent="0.35">
      <c r="A4417" s="1">
        <v>41971</v>
      </c>
      <c r="B4417">
        <v>16.801500320434499</v>
      </c>
      <c r="C4417">
        <v>17.062999725341701</v>
      </c>
      <c r="D4417">
        <v>16.801500320434499</v>
      </c>
      <c r="E4417">
        <v>16.931999206542901</v>
      </c>
      <c r="F4417">
        <v>16.931999206542901</v>
      </c>
      <c r="G4417">
        <v>61036000</v>
      </c>
      <c r="H4417">
        <f t="shared" si="272"/>
        <v>2014</v>
      </c>
      <c r="I4417">
        <f t="shared" si="273"/>
        <v>11</v>
      </c>
      <c r="J4417" t="str">
        <f t="shared" si="274"/>
        <v>Nov</v>
      </c>
      <c r="K4417" t="str">
        <f t="shared" si="275"/>
        <v>Fri</v>
      </c>
    </row>
    <row r="4418" spans="1:11" x14ac:dyDescent="0.35">
      <c r="A4418" s="1">
        <v>41974</v>
      </c>
      <c r="B4418">
        <v>16.906000137329102</v>
      </c>
      <c r="C4418">
        <v>17.031999588012599</v>
      </c>
      <c r="D4418">
        <v>16.2964992523193</v>
      </c>
      <c r="E4418">
        <v>16.299999237060501</v>
      </c>
      <c r="F4418">
        <v>16.299999237060501</v>
      </c>
      <c r="G4418">
        <v>98898000</v>
      </c>
      <c r="H4418">
        <f t="shared" si="272"/>
        <v>2014</v>
      </c>
      <c r="I4418">
        <f t="shared" si="273"/>
        <v>12</v>
      </c>
      <c r="J4418" t="str">
        <f t="shared" si="274"/>
        <v>Dec</v>
      </c>
      <c r="K4418" t="str">
        <f t="shared" si="275"/>
        <v>Mon</v>
      </c>
    </row>
    <row r="4419" spans="1:11" x14ac:dyDescent="0.35">
      <c r="A4419" s="1">
        <v>41975</v>
      </c>
      <c r="B4419">
        <v>16.375</v>
      </c>
      <c r="C4419">
        <v>16.396499633788999</v>
      </c>
      <c r="D4419">
        <v>16.162500381469702</v>
      </c>
      <c r="E4419">
        <v>16.3155002593994</v>
      </c>
      <c r="F4419">
        <v>16.3155002593994</v>
      </c>
      <c r="G4419">
        <v>55806000</v>
      </c>
      <c r="H4419">
        <f t="shared" si="272"/>
        <v>2014</v>
      </c>
      <c r="I4419">
        <f t="shared" si="273"/>
        <v>12</v>
      </c>
      <c r="J4419" t="str">
        <f t="shared" si="274"/>
        <v>Dec</v>
      </c>
      <c r="K4419" t="str">
        <f t="shared" si="275"/>
        <v>Tue</v>
      </c>
    </row>
    <row r="4420" spans="1:11" x14ac:dyDescent="0.35">
      <c r="A4420" s="1">
        <v>41976</v>
      </c>
      <c r="B4420">
        <v>16.286500930786101</v>
      </c>
      <c r="C4420">
        <v>16.3384990692138</v>
      </c>
      <c r="D4420">
        <v>15.718000411987299</v>
      </c>
      <c r="E4420">
        <v>15.824999809265099</v>
      </c>
      <c r="F4420">
        <v>15.824999809265099</v>
      </c>
      <c r="G4420">
        <v>113620000</v>
      </c>
      <c r="H4420">
        <f t="shared" ref="H4420:H4483" si="276">YEAR($A4420)</f>
        <v>2014</v>
      </c>
      <c r="I4420">
        <f t="shared" ref="I4420:I4483" si="277">MONTH($A4420)</f>
        <v>12</v>
      </c>
      <c r="J4420" t="str">
        <f t="shared" ref="J4420:J4483" si="278">TEXT($A4420,"mmm")</f>
        <v>Dec</v>
      </c>
      <c r="K4420" t="str">
        <f t="shared" ref="K4420:K4483" si="279">TEXT($A4420,"ddd")</f>
        <v>Wed</v>
      </c>
    </row>
    <row r="4421" spans="1:11" x14ac:dyDescent="0.35">
      <c r="A4421" s="1">
        <v>41977</v>
      </c>
      <c r="B4421">
        <v>15.776499748229901</v>
      </c>
      <c r="C4421">
        <v>15.9294996261596</v>
      </c>
      <c r="D4421">
        <v>15.673500061035099</v>
      </c>
      <c r="E4421">
        <v>15.8465003967285</v>
      </c>
      <c r="F4421">
        <v>15.8465003967285</v>
      </c>
      <c r="G4421">
        <v>65806000</v>
      </c>
      <c r="H4421">
        <f t="shared" si="276"/>
        <v>2014</v>
      </c>
      <c r="I4421">
        <f t="shared" si="277"/>
        <v>12</v>
      </c>
      <c r="J4421" t="str">
        <f t="shared" si="278"/>
        <v>Dec</v>
      </c>
      <c r="K4421" t="str">
        <f t="shared" si="279"/>
        <v>Thu</v>
      </c>
    </row>
    <row r="4422" spans="1:11" x14ac:dyDescent="0.35">
      <c r="A4422" s="1">
        <v>41978</v>
      </c>
      <c r="B4422">
        <v>15.8400001525878</v>
      </c>
      <c r="C4422">
        <v>15.8465003967285</v>
      </c>
      <c r="D4422">
        <v>15.541999816894499</v>
      </c>
      <c r="E4422">
        <v>15.6315002441406</v>
      </c>
      <c r="F4422">
        <v>15.6315002441406</v>
      </c>
      <c r="G4422">
        <v>65304000</v>
      </c>
      <c r="H4422">
        <f t="shared" si="276"/>
        <v>2014</v>
      </c>
      <c r="I4422">
        <f t="shared" si="277"/>
        <v>12</v>
      </c>
      <c r="J4422" t="str">
        <f t="shared" si="278"/>
        <v>Dec</v>
      </c>
      <c r="K4422" t="str">
        <f t="shared" si="279"/>
        <v>Fri</v>
      </c>
    </row>
    <row r="4423" spans="1:11" x14ac:dyDescent="0.35">
      <c r="A4423" s="1">
        <v>41981</v>
      </c>
      <c r="B4423">
        <v>15.5784997940063</v>
      </c>
      <c r="C4423">
        <v>15.828000068664499</v>
      </c>
      <c r="D4423">
        <v>15.241000175476</v>
      </c>
      <c r="E4423">
        <v>15.3319997787475</v>
      </c>
      <c r="F4423">
        <v>15.3319997787475</v>
      </c>
      <c r="G4423">
        <v>72784000</v>
      </c>
      <c r="H4423">
        <f t="shared" si="276"/>
        <v>2014</v>
      </c>
      <c r="I4423">
        <f t="shared" si="277"/>
        <v>12</v>
      </c>
      <c r="J4423" t="str">
        <f t="shared" si="278"/>
        <v>Dec</v>
      </c>
      <c r="K4423" t="str">
        <f t="shared" si="279"/>
        <v>Mon</v>
      </c>
    </row>
    <row r="4424" spans="1:11" x14ac:dyDescent="0.35">
      <c r="A4424" s="1">
        <v>41982</v>
      </c>
      <c r="B4424">
        <v>15.1494998931884</v>
      </c>
      <c r="C4424">
        <v>15.6820001602172</v>
      </c>
      <c r="D4424">
        <v>15.0570001602172</v>
      </c>
      <c r="E4424">
        <v>15.625</v>
      </c>
      <c r="F4424">
        <v>15.625</v>
      </c>
      <c r="G4424">
        <v>80990000</v>
      </c>
      <c r="H4424">
        <f t="shared" si="276"/>
        <v>2014</v>
      </c>
      <c r="I4424">
        <f t="shared" si="277"/>
        <v>12</v>
      </c>
      <c r="J4424" t="str">
        <f t="shared" si="278"/>
        <v>Dec</v>
      </c>
      <c r="K4424" t="str">
        <f t="shared" si="279"/>
        <v>Tue</v>
      </c>
    </row>
    <row r="4425" spans="1:11" x14ac:dyDescent="0.35">
      <c r="A4425" s="1">
        <v>41983</v>
      </c>
      <c r="B4425">
        <v>15.6000003814697</v>
      </c>
      <c r="C4425">
        <v>15.6595001220703</v>
      </c>
      <c r="D4425">
        <v>15.234000205993601</v>
      </c>
      <c r="E4425">
        <v>15.291999816894499</v>
      </c>
      <c r="F4425">
        <v>15.291999816894499</v>
      </c>
      <c r="G4425">
        <v>64918000</v>
      </c>
      <c r="H4425">
        <f t="shared" si="276"/>
        <v>2014</v>
      </c>
      <c r="I4425">
        <f t="shared" si="277"/>
        <v>12</v>
      </c>
      <c r="J4425" t="str">
        <f t="shared" si="278"/>
        <v>Dec</v>
      </c>
      <c r="K4425" t="str">
        <f t="shared" si="279"/>
        <v>Wed</v>
      </c>
    </row>
    <row r="4426" spans="1:11" x14ac:dyDescent="0.35">
      <c r="A4426" s="1">
        <v>41984</v>
      </c>
      <c r="B4426">
        <v>15.3944997787475</v>
      </c>
      <c r="C4426">
        <v>15.631999969482401</v>
      </c>
      <c r="D4426">
        <v>15.3004999160766</v>
      </c>
      <c r="E4426">
        <v>15.3680000305175</v>
      </c>
      <c r="F4426">
        <v>15.3680000305175</v>
      </c>
      <c r="G4426">
        <v>65258000</v>
      </c>
      <c r="H4426">
        <f t="shared" si="276"/>
        <v>2014</v>
      </c>
      <c r="I4426">
        <f t="shared" si="277"/>
        <v>12</v>
      </c>
      <c r="J4426" t="str">
        <f t="shared" si="278"/>
        <v>Dec</v>
      </c>
      <c r="K4426" t="str">
        <f t="shared" si="279"/>
        <v>Thu</v>
      </c>
    </row>
    <row r="4427" spans="1:11" x14ac:dyDescent="0.35">
      <c r="A4427" s="1">
        <v>41985</v>
      </c>
      <c r="B4427">
        <v>15.199500083923301</v>
      </c>
      <c r="C4427">
        <v>15.531999588012599</v>
      </c>
      <c r="D4427">
        <v>15.1505002975463</v>
      </c>
      <c r="E4427">
        <v>15.366000175476</v>
      </c>
      <c r="F4427">
        <v>15.366000175476</v>
      </c>
      <c r="G4427">
        <v>63070000</v>
      </c>
      <c r="H4427">
        <f t="shared" si="276"/>
        <v>2014</v>
      </c>
      <c r="I4427">
        <f t="shared" si="277"/>
        <v>12</v>
      </c>
      <c r="J4427" t="str">
        <f t="shared" si="278"/>
        <v>Dec</v>
      </c>
      <c r="K4427" t="str">
        <f t="shared" si="279"/>
        <v>Fri</v>
      </c>
    </row>
    <row r="4428" spans="1:11" x14ac:dyDescent="0.35">
      <c r="A4428" s="1">
        <v>41988</v>
      </c>
      <c r="B4428">
        <v>15.443499565124499</v>
      </c>
      <c r="C4428">
        <v>15.543000221252401</v>
      </c>
      <c r="D4428">
        <v>15.107500076293899</v>
      </c>
      <c r="E4428">
        <v>15.303500175476</v>
      </c>
      <c r="F4428">
        <v>15.303500175476</v>
      </c>
      <c r="G4428">
        <v>76832000</v>
      </c>
      <c r="H4428">
        <f t="shared" si="276"/>
        <v>2014</v>
      </c>
      <c r="I4428">
        <f t="shared" si="277"/>
        <v>12</v>
      </c>
      <c r="J4428" t="str">
        <f t="shared" si="278"/>
        <v>Dec</v>
      </c>
      <c r="K4428" t="str">
        <f t="shared" si="279"/>
        <v>Mon</v>
      </c>
    </row>
    <row r="4429" spans="1:11" x14ac:dyDescent="0.35">
      <c r="A4429" s="1">
        <v>41989</v>
      </c>
      <c r="B4429">
        <v>15.217499732971101</v>
      </c>
      <c r="C4429">
        <v>15.224499702453601</v>
      </c>
      <c r="D4429">
        <v>14.750499725341699</v>
      </c>
      <c r="E4429">
        <v>14.7530002593994</v>
      </c>
      <c r="F4429">
        <v>14.7530002593994</v>
      </c>
      <c r="G4429">
        <v>130026000</v>
      </c>
      <c r="H4429">
        <f t="shared" si="276"/>
        <v>2014</v>
      </c>
      <c r="I4429">
        <f t="shared" si="277"/>
        <v>12</v>
      </c>
      <c r="J4429" t="str">
        <f t="shared" si="278"/>
        <v>Dec</v>
      </c>
      <c r="K4429" t="str">
        <f t="shared" si="279"/>
        <v>Tue</v>
      </c>
    </row>
    <row r="4430" spans="1:11" x14ac:dyDescent="0.35">
      <c r="A4430" s="1">
        <v>41990</v>
      </c>
      <c r="B4430">
        <v>14.818499565124499</v>
      </c>
      <c r="C4430">
        <v>14.9834995269775</v>
      </c>
      <c r="D4430">
        <v>14.651499748229901</v>
      </c>
      <c r="E4430">
        <v>14.9440002441406</v>
      </c>
      <c r="F4430">
        <v>14.9440002441406</v>
      </c>
      <c r="G4430">
        <v>88670000</v>
      </c>
      <c r="H4430">
        <f t="shared" si="276"/>
        <v>2014</v>
      </c>
      <c r="I4430">
        <f t="shared" si="277"/>
        <v>12</v>
      </c>
      <c r="J4430" t="str">
        <f t="shared" si="278"/>
        <v>Dec</v>
      </c>
      <c r="K4430" t="str">
        <f t="shared" si="279"/>
        <v>Wed</v>
      </c>
    </row>
    <row r="4431" spans="1:11" x14ac:dyDescent="0.35">
      <c r="A4431" s="1">
        <v>41991</v>
      </c>
      <c r="B4431">
        <v>15.2004995346069</v>
      </c>
      <c r="C4431">
        <v>15.2250003814697</v>
      </c>
      <c r="D4431">
        <v>14.6625003814697</v>
      </c>
      <c r="E4431">
        <v>14.8865003585815</v>
      </c>
      <c r="F4431">
        <v>14.8865003585815</v>
      </c>
      <c r="G4431">
        <v>154762000</v>
      </c>
      <c r="H4431">
        <f t="shared" si="276"/>
        <v>2014</v>
      </c>
      <c r="I4431">
        <f t="shared" si="277"/>
        <v>12</v>
      </c>
      <c r="J4431" t="str">
        <f t="shared" si="278"/>
        <v>Dec</v>
      </c>
      <c r="K4431" t="str">
        <f t="shared" si="279"/>
        <v>Thu</v>
      </c>
    </row>
    <row r="4432" spans="1:11" x14ac:dyDescent="0.35">
      <c r="A4432" s="1">
        <v>41992</v>
      </c>
      <c r="B4432">
        <v>14.8454999923706</v>
      </c>
      <c r="C4432">
        <v>15.0769996643066</v>
      </c>
      <c r="D4432">
        <v>14.7760000228881</v>
      </c>
      <c r="E4432">
        <v>14.994999885559</v>
      </c>
      <c r="F4432">
        <v>14.994999885559</v>
      </c>
      <c r="G4432">
        <v>174182000</v>
      </c>
      <c r="H4432">
        <f t="shared" si="276"/>
        <v>2014</v>
      </c>
      <c r="I4432">
        <f t="shared" si="277"/>
        <v>12</v>
      </c>
      <c r="J4432" t="str">
        <f t="shared" si="278"/>
        <v>Dec</v>
      </c>
      <c r="K4432" t="str">
        <f t="shared" si="279"/>
        <v>Fri</v>
      </c>
    </row>
    <row r="4433" spans="1:11" x14ac:dyDescent="0.35">
      <c r="A4433" s="1">
        <v>41995</v>
      </c>
      <c r="B4433">
        <v>15.0970001220703</v>
      </c>
      <c r="C4433">
        <v>15.3680000305175</v>
      </c>
      <c r="D4433">
        <v>15.0970001220703</v>
      </c>
      <c r="E4433">
        <v>15.3269996643066</v>
      </c>
      <c r="F4433">
        <v>15.3269996643066</v>
      </c>
      <c r="G4433">
        <v>80076000</v>
      </c>
      <c r="H4433">
        <f t="shared" si="276"/>
        <v>2014</v>
      </c>
      <c r="I4433">
        <f t="shared" si="277"/>
        <v>12</v>
      </c>
      <c r="J4433" t="str">
        <f t="shared" si="278"/>
        <v>Dec</v>
      </c>
      <c r="K4433" t="str">
        <f t="shared" si="279"/>
        <v>Mon</v>
      </c>
    </row>
    <row r="4434" spans="1:11" x14ac:dyDescent="0.35">
      <c r="A4434" s="1">
        <v>41996</v>
      </c>
      <c r="B4434">
        <v>15.3489999771118</v>
      </c>
      <c r="C4434">
        <v>15.3745002746582</v>
      </c>
      <c r="D4434">
        <v>15.1625003814697</v>
      </c>
      <c r="E4434">
        <v>15.3144998550415</v>
      </c>
      <c r="F4434">
        <v>15.3144998550415</v>
      </c>
      <c r="G4434">
        <v>54274000</v>
      </c>
      <c r="H4434">
        <f t="shared" si="276"/>
        <v>2014</v>
      </c>
      <c r="I4434">
        <f t="shared" si="277"/>
        <v>12</v>
      </c>
      <c r="J4434" t="str">
        <f t="shared" si="278"/>
        <v>Dec</v>
      </c>
      <c r="K4434" t="str">
        <f t="shared" si="279"/>
        <v>Tue</v>
      </c>
    </row>
    <row r="4435" spans="1:11" x14ac:dyDescent="0.35">
      <c r="A4435" s="1">
        <v>41997</v>
      </c>
      <c r="B4435">
        <v>15.3190002441406</v>
      </c>
      <c r="C4435">
        <v>15.3500003814697</v>
      </c>
      <c r="D4435">
        <v>15.1440000534057</v>
      </c>
      <c r="E4435">
        <v>15.151499748229901</v>
      </c>
      <c r="F4435">
        <v>15.151499748229901</v>
      </c>
      <c r="G4435">
        <v>30276000</v>
      </c>
      <c r="H4435">
        <f t="shared" si="276"/>
        <v>2014</v>
      </c>
      <c r="I4435">
        <f t="shared" si="277"/>
        <v>12</v>
      </c>
      <c r="J4435" t="str">
        <f t="shared" si="278"/>
        <v>Dec</v>
      </c>
      <c r="K4435" t="str">
        <f t="shared" si="279"/>
        <v>Wed</v>
      </c>
    </row>
    <row r="4436" spans="1:11" x14ac:dyDescent="0.35">
      <c r="A4436" s="1">
        <v>41999</v>
      </c>
      <c r="B4436">
        <v>15.25</v>
      </c>
      <c r="C4436">
        <v>15.538999557495099</v>
      </c>
      <c r="D4436">
        <v>15.1905002593994</v>
      </c>
      <c r="E4436">
        <v>15.454500198364199</v>
      </c>
      <c r="F4436">
        <v>15.454500198364199</v>
      </c>
      <c r="G4436">
        <v>57876000</v>
      </c>
      <c r="H4436">
        <f t="shared" si="276"/>
        <v>2014</v>
      </c>
      <c r="I4436">
        <f t="shared" si="277"/>
        <v>12</v>
      </c>
      <c r="J4436" t="str">
        <f t="shared" si="278"/>
        <v>Dec</v>
      </c>
      <c r="K4436" t="str">
        <f t="shared" si="279"/>
        <v>Fri</v>
      </c>
    </row>
    <row r="4437" spans="1:11" x14ac:dyDescent="0.35">
      <c r="A4437" s="1">
        <v>42002</v>
      </c>
      <c r="B4437">
        <v>15.392499923706</v>
      </c>
      <c r="C4437">
        <v>15.7135000228881</v>
      </c>
      <c r="D4437">
        <v>15.329000473022401</v>
      </c>
      <c r="E4437">
        <v>15.6020002365112</v>
      </c>
      <c r="F4437">
        <v>15.6020002365112</v>
      </c>
      <c r="G4437">
        <v>60180000</v>
      </c>
      <c r="H4437">
        <f t="shared" si="276"/>
        <v>2014</v>
      </c>
      <c r="I4437">
        <f t="shared" si="277"/>
        <v>12</v>
      </c>
      <c r="J4437" t="str">
        <f t="shared" si="278"/>
        <v>Dec</v>
      </c>
      <c r="K4437" t="str">
        <f t="shared" si="279"/>
        <v>Mon</v>
      </c>
    </row>
    <row r="4438" spans="1:11" x14ac:dyDescent="0.35">
      <c r="A4438" s="1">
        <v>42003</v>
      </c>
      <c r="B4438">
        <v>15.495499610900801</v>
      </c>
      <c r="C4438">
        <v>15.6969995498657</v>
      </c>
      <c r="D4438">
        <v>15.4670000076293</v>
      </c>
      <c r="E4438">
        <v>15.515000343322701</v>
      </c>
      <c r="F4438">
        <v>15.515000343322701</v>
      </c>
      <c r="G4438">
        <v>41860000</v>
      </c>
      <c r="H4438">
        <f t="shared" si="276"/>
        <v>2014</v>
      </c>
      <c r="I4438">
        <f t="shared" si="277"/>
        <v>12</v>
      </c>
      <c r="J4438" t="str">
        <f t="shared" si="278"/>
        <v>Dec</v>
      </c>
      <c r="K4438" t="str">
        <f t="shared" si="279"/>
        <v>Tue</v>
      </c>
    </row>
    <row r="4439" spans="1:11" x14ac:dyDescent="0.35">
      <c r="A4439" s="1">
        <v>42004</v>
      </c>
      <c r="B4439">
        <v>15.577500343322701</v>
      </c>
      <c r="C4439">
        <v>15.6490001678466</v>
      </c>
      <c r="D4439">
        <v>15.500499725341699</v>
      </c>
      <c r="E4439">
        <v>15.517499923706</v>
      </c>
      <c r="F4439">
        <v>15.517499923706</v>
      </c>
      <c r="G4439">
        <v>40960000</v>
      </c>
      <c r="H4439">
        <f t="shared" si="276"/>
        <v>2014</v>
      </c>
      <c r="I4439">
        <f t="shared" si="277"/>
        <v>12</v>
      </c>
      <c r="J4439" t="str">
        <f t="shared" si="278"/>
        <v>Dec</v>
      </c>
      <c r="K4439" t="str">
        <f t="shared" si="279"/>
        <v>Wed</v>
      </c>
    </row>
    <row r="4440" spans="1:11" x14ac:dyDescent="0.35">
      <c r="A4440" s="1">
        <v>42006</v>
      </c>
      <c r="B4440">
        <v>15.628999710083001</v>
      </c>
      <c r="C4440">
        <v>15.737500190734799</v>
      </c>
      <c r="D4440">
        <v>15.347999572753899</v>
      </c>
      <c r="E4440">
        <v>15.4259996414184</v>
      </c>
      <c r="F4440">
        <v>15.4259996414184</v>
      </c>
      <c r="G4440">
        <v>55664000</v>
      </c>
      <c r="H4440">
        <f t="shared" si="276"/>
        <v>2015</v>
      </c>
      <c r="I4440">
        <f t="shared" si="277"/>
        <v>1</v>
      </c>
      <c r="J4440" t="str">
        <f t="shared" si="278"/>
        <v>Jan</v>
      </c>
      <c r="K4440" t="str">
        <f t="shared" si="279"/>
        <v>Fri</v>
      </c>
    </row>
    <row r="4441" spans="1:11" x14ac:dyDescent="0.35">
      <c r="A4441" s="1">
        <v>42009</v>
      </c>
      <c r="B4441">
        <v>15.3505001068115</v>
      </c>
      <c r="C4441">
        <v>15.418999671936</v>
      </c>
      <c r="D4441">
        <v>15.0424995422363</v>
      </c>
      <c r="E4441">
        <v>15.109499931335399</v>
      </c>
      <c r="F4441">
        <v>15.109499931335399</v>
      </c>
      <c r="G4441">
        <v>55484000</v>
      </c>
      <c r="H4441">
        <f t="shared" si="276"/>
        <v>2015</v>
      </c>
      <c r="I4441">
        <f t="shared" si="277"/>
        <v>1</v>
      </c>
      <c r="J4441" t="str">
        <f t="shared" si="278"/>
        <v>Jan</v>
      </c>
      <c r="K4441" t="str">
        <f t="shared" si="279"/>
        <v>Mon</v>
      </c>
    </row>
    <row r="4442" spans="1:11" x14ac:dyDescent="0.35">
      <c r="A4442" s="1">
        <v>42010</v>
      </c>
      <c r="B4442">
        <v>15.112000465393001</v>
      </c>
      <c r="C4442">
        <v>15.149999618530201</v>
      </c>
      <c r="D4442">
        <v>14.619000434875399</v>
      </c>
      <c r="E4442">
        <v>14.7644996643066</v>
      </c>
      <c r="F4442">
        <v>14.7644996643066</v>
      </c>
      <c r="G4442">
        <v>70380000</v>
      </c>
      <c r="H4442">
        <f t="shared" si="276"/>
        <v>2015</v>
      </c>
      <c r="I4442">
        <f t="shared" si="277"/>
        <v>1</v>
      </c>
      <c r="J4442" t="str">
        <f t="shared" si="278"/>
        <v>Jan</v>
      </c>
      <c r="K4442" t="str">
        <f t="shared" si="279"/>
        <v>Tue</v>
      </c>
    </row>
    <row r="4443" spans="1:11" x14ac:dyDescent="0.35">
      <c r="A4443" s="1">
        <v>42011</v>
      </c>
      <c r="B4443">
        <v>14.875</v>
      </c>
      <c r="C4443">
        <v>15.0640001296997</v>
      </c>
      <c r="D4443">
        <v>14.766500473022401</v>
      </c>
      <c r="E4443">
        <v>14.9209995269775</v>
      </c>
      <c r="F4443">
        <v>14.9209995269775</v>
      </c>
      <c r="G4443">
        <v>52806000</v>
      </c>
      <c r="H4443">
        <f t="shared" si="276"/>
        <v>2015</v>
      </c>
      <c r="I4443">
        <f t="shared" si="277"/>
        <v>1</v>
      </c>
      <c r="J4443" t="str">
        <f t="shared" si="278"/>
        <v>Jan</v>
      </c>
      <c r="K4443" t="str">
        <f t="shared" si="279"/>
        <v>Wed</v>
      </c>
    </row>
    <row r="4444" spans="1:11" x14ac:dyDescent="0.35">
      <c r="A4444" s="1">
        <v>42012</v>
      </c>
      <c r="B4444">
        <v>15.0159997940063</v>
      </c>
      <c r="C4444">
        <v>15.156999588012599</v>
      </c>
      <c r="D4444">
        <v>14.8055000305175</v>
      </c>
      <c r="E4444">
        <v>15.0229997634887</v>
      </c>
      <c r="F4444">
        <v>15.0229997634887</v>
      </c>
      <c r="G4444">
        <v>61768000</v>
      </c>
      <c r="H4444">
        <f t="shared" si="276"/>
        <v>2015</v>
      </c>
      <c r="I4444">
        <f t="shared" si="277"/>
        <v>1</v>
      </c>
      <c r="J4444" t="str">
        <f t="shared" si="278"/>
        <v>Jan</v>
      </c>
      <c r="K4444" t="str">
        <f t="shared" si="279"/>
        <v>Thu</v>
      </c>
    </row>
    <row r="4445" spans="1:11" x14ac:dyDescent="0.35">
      <c r="A4445" s="1">
        <v>42013</v>
      </c>
      <c r="B4445">
        <v>15.0740003585815</v>
      </c>
      <c r="C4445">
        <v>15.143500328063899</v>
      </c>
      <c r="D4445">
        <v>14.833999633789</v>
      </c>
      <c r="E4445">
        <v>14.8465003967285</v>
      </c>
      <c r="F4445">
        <v>14.8465003967285</v>
      </c>
      <c r="G4445">
        <v>51848000</v>
      </c>
      <c r="H4445">
        <f t="shared" si="276"/>
        <v>2015</v>
      </c>
      <c r="I4445">
        <f t="shared" si="277"/>
        <v>1</v>
      </c>
      <c r="J4445" t="str">
        <f t="shared" si="278"/>
        <v>Jan</v>
      </c>
      <c r="K4445" t="str">
        <f t="shared" si="279"/>
        <v>Fri</v>
      </c>
    </row>
    <row r="4446" spans="1:11" x14ac:dyDescent="0.35">
      <c r="A4446" s="1">
        <v>42016</v>
      </c>
      <c r="B4446">
        <v>14.8780002593994</v>
      </c>
      <c r="C4446">
        <v>14.9254999160766</v>
      </c>
      <c r="D4446">
        <v>14.463999748229901</v>
      </c>
      <c r="E4446">
        <v>14.5705003738403</v>
      </c>
      <c r="F4446">
        <v>14.5705003738403</v>
      </c>
      <c r="G4446">
        <v>68428000</v>
      </c>
      <c r="H4446">
        <f t="shared" si="276"/>
        <v>2015</v>
      </c>
      <c r="I4446">
        <f t="shared" si="277"/>
        <v>1</v>
      </c>
      <c r="J4446" t="str">
        <f t="shared" si="278"/>
        <v>Jan</v>
      </c>
      <c r="K4446" t="str">
        <f t="shared" si="279"/>
        <v>Mon</v>
      </c>
    </row>
    <row r="4447" spans="1:11" x14ac:dyDescent="0.35">
      <c r="A4447" s="1">
        <v>42017</v>
      </c>
      <c r="B4447">
        <v>14.873999595641999</v>
      </c>
      <c r="C4447">
        <v>15.074999809265099</v>
      </c>
      <c r="D4447">
        <v>14.6614999771118</v>
      </c>
      <c r="E4447">
        <v>14.737000465393001</v>
      </c>
      <c r="F4447">
        <v>14.737000465393001</v>
      </c>
      <c r="G4447">
        <v>82728000</v>
      </c>
      <c r="H4447">
        <f t="shared" si="276"/>
        <v>2015</v>
      </c>
      <c r="I4447">
        <f t="shared" si="277"/>
        <v>1</v>
      </c>
      <c r="J4447" t="str">
        <f t="shared" si="278"/>
        <v>Jan</v>
      </c>
      <c r="K4447" t="str">
        <f t="shared" si="279"/>
        <v>Tue</v>
      </c>
    </row>
    <row r="4448" spans="1:11" x14ac:dyDescent="0.35">
      <c r="A4448" s="1">
        <v>42018</v>
      </c>
      <c r="B4448">
        <v>14.5965003967285</v>
      </c>
      <c r="C4448">
        <v>14.7954998016357</v>
      </c>
      <c r="D4448">
        <v>14.324999809265099</v>
      </c>
      <c r="E4448">
        <v>14.663499832153301</v>
      </c>
      <c r="F4448">
        <v>14.663499832153301</v>
      </c>
      <c r="G4448">
        <v>110774000</v>
      </c>
      <c r="H4448">
        <f t="shared" si="276"/>
        <v>2015</v>
      </c>
      <c r="I4448">
        <f t="shared" si="277"/>
        <v>1</v>
      </c>
      <c r="J4448" t="str">
        <f t="shared" si="278"/>
        <v>Jan</v>
      </c>
      <c r="K4448" t="str">
        <f t="shared" si="279"/>
        <v>Wed</v>
      </c>
    </row>
    <row r="4449" spans="1:11" x14ac:dyDescent="0.35">
      <c r="A4449" s="1">
        <v>42019</v>
      </c>
      <c r="B4449">
        <v>14.699999809265099</v>
      </c>
      <c r="C4449">
        <v>14.800000190734799</v>
      </c>
      <c r="D4449">
        <v>14.340999603271401</v>
      </c>
      <c r="E4449">
        <v>14.3474998474121</v>
      </c>
      <c r="F4449">
        <v>14.3474998474121</v>
      </c>
      <c r="G4449">
        <v>88384000</v>
      </c>
      <c r="H4449">
        <f t="shared" si="276"/>
        <v>2015</v>
      </c>
      <c r="I4449">
        <f t="shared" si="277"/>
        <v>1</v>
      </c>
      <c r="J4449" t="str">
        <f t="shared" si="278"/>
        <v>Jan</v>
      </c>
      <c r="K4449" t="str">
        <f t="shared" si="279"/>
        <v>Thu</v>
      </c>
    </row>
    <row r="4450" spans="1:11" x14ac:dyDescent="0.35">
      <c r="A4450" s="1">
        <v>42020</v>
      </c>
      <c r="B4450">
        <v>14.3140001296997</v>
      </c>
      <c r="C4450">
        <v>14.5395002365112</v>
      </c>
      <c r="D4450">
        <v>14.262499809265099</v>
      </c>
      <c r="E4450">
        <v>14.536999702453601</v>
      </c>
      <c r="F4450">
        <v>14.536999702453601</v>
      </c>
      <c r="G4450">
        <v>69564000</v>
      </c>
      <c r="H4450">
        <f t="shared" si="276"/>
        <v>2015</v>
      </c>
      <c r="I4450">
        <f t="shared" si="277"/>
        <v>1</v>
      </c>
      <c r="J4450" t="str">
        <f t="shared" si="278"/>
        <v>Jan</v>
      </c>
      <c r="K4450" t="str">
        <f t="shared" si="279"/>
        <v>Fri</v>
      </c>
    </row>
    <row r="4451" spans="1:11" x14ac:dyDescent="0.35">
      <c r="A4451" s="1">
        <v>42024</v>
      </c>
      <c r="B4451">
        <v>14.6295003890991</v>
      </c>
      <c r="C4451">
        <v>14.668000221252401</v>
      </c>
      <c r="D4451">
        <v>14.319499969482401</v>
      </c>
      <c r="E4451">
        <v>14.4720001220703</v>
      </c>
      <c r="F4451">
        <v>14.4720001220703</v>
      </c>
      <c r="G4451">
        <v>61502000</v>
      </c>
      <c r="H4451">
        <f t="shared" si="276"/>
        <v>2015</v>
      </c>
      <c r="I4451">
        <f t="shared" si="277"/>
        <v>1</v>
      </c>
      <c r="J4451" t="str">
        <f t="shared" si="278"/>
        <v>Jan</v>
      </c>
      <c r="K4451" t="str">
        <f t="shared" si="279"/>
        <v>Tue</v>
      </c>
    </row>
    <row r="4452" spans="1:11" x14ac:dyDescent="0.35">
      <c r="A4452" s="1">
        <v>42025</v>
      </c>
      <c r="B4452">
        <v>14.4820003509521</v>
      </c>
      <c r="C4452">
        <v>15.300000190734799</v>
      </c>
      <c r="D4452">
        <v>14.3629999160766</v>
      </c>
      <c r="E4452">
        <v>14.862500190734799</v>
      </c>
      <c r="F4452">
        <v>14.862500190734799</v>
      </c>
      <c r="G4452">
        <v>201302000</v>
      </c>
      <c r="H4452">
        <f t="shared" si="276"/>
        <v>2015</v>
      </c>
      <c r="I4452">
        <f t="shared" si="277"/>
        <v>1</v>
      </c>
      <c r="J4452" t="str">
        <f t="shared" si="278"/>
        <v>Jan</v>
      </c>
      <c r="K4452" t="str">
        <f t="shared" si="279"/>
        <v>Wed</v>
      </c>
    </row>
    <row r="4453" spans="1:11" x14ac:dyDescent="0.35">
      <c r="A4453" s="1">
        <v>42026</v>
      </c>
      <c r="B4453">
        <v>15</v>
      </c>
      <c r="C4453">
        <v>15.612500190734799</v>
      </c>
      <c r="D4453">
        <v>15</v>
      </c>
      <c r="E4453">
        <v>15.5159997940063</v>
      </c>
      <c r="F4453">
        <v>15.5159997940063</v>
      </c>
      <c r="G4453">
        <v>107252000</v>
      </c>
      <c r="H4453">
        <f t="shared" si="276"/>
        <v>2015</v>
      </c>
      <c r="I4453">
        <f t="shared" si="277"/>
        <v>1</v>
      </c>
      <c r="J4453" t="str">
        <f t="shared" si="278"/>
        <v>Jan</v>
      </c>
      <c r="K4453" t="str">
        <f t="shared" si="279"/>
        <v>Thu</v>
      </c>
    </row>
    <row r="4454" spans="1:11" x14ac:dyDescent="0.35">
      <c r="A4454" s="1">
        <v>42027</v>
      </c>
      <c r="B4454">
        <v>15.4040002822875</v>
      </c>
      <c r="C4454">
        <v>15.8465003967285</v>
      </c>
      <c r="D4454">
        <v>15.385999679565399</v>
      </c>
      <c r="E4454">
        <v>15.6195001602172</v>
      </c>
      <c r="F4454">
        <v>15.6195001602172</v>
      </c>
      <c r="G4454">
        <v>89928000</v>
      </c>
      <c r="H4454">
        <f t="shared" si="276"/>
        <v>2015</v>
      </c>
      <c r="I4454">
        <f t="shared" si="277"/>
        <v>1</v>
      </c>
      <c r="J4454" t="str">
        <f t="shared" si="278"/>
        <v>Jan</v>
      </c>
      <c r="K4454" t="str">
        <f t="shared" si="279"/>
        <v>Fri</v>
      </c>
    </row>
    <row r="4455" spans="1:11" x14ac:dyDescent="0.35">
      <c r="A4455" s="1">
        <v>42030</v>
      </c>
      <c r="B4455">
        <v>15.590999603271401</v>
      </c>
      <c r="C4455">
        <v>15.649999618530201</v>
      </c>
      <c r="D4455">
        <v>15.376000404357899</v>
      </c>
      <c r="E4455">
        <v>15.4829998016357</v>
      </c>
      <c r="F4455">
        <v>15.4829998016357</v>
      </c>
      <c r="G4455">
        <v>63394000</v>
      </c>
      <c r="H4455">
        <f t="shared" si="276"/>
        <v>2015</v>
      </c>
      <c r="I4455">
        <f t="shared" si="277"/>
        <v>1</v>
      </c>
      <c r="J4455" t="str">
        <f t="shared" si="278"/>
        <v>Jan</v>
      </c>
      <c r="K4455" t="str">
        <f t="shared" si="279"/>
        <v>Mon</v>
      </c>
    </row>
    <row r="4456" spans="1:11" x14ac:dyDescent="0.35">
      <c r="A4456" s="1">
        <v>42031</v>
      </c>
      <c r="B4456">
        <v>15.314999580383301</v>
      </c>
      <c r="C4456">
        <v>15.512000083923301</v>
      </c>
      <c r="D4456">
        <v>15.1315002441406</v>
      </c>
      <c r="E4456">
        <v>15.337499618530201</v>
      </c>
      <c r="F4456">
        <v>15.337499618530201</v>
      </c>
      <c r="G4456">
        <v>58406000</v>
      </c>
      <c r="H4456">
        <f t="shared" si="276"/>
        <v>2015</v>
      </c>
      <c r="I4456">
        <f t="shared" si="277"/>
        <v>1</v>
      </c>
      <c r="J4456" t="str">
        <f t="shared" si="278"/>
        <v>Jan</v>
      </c>
      <c r="K4456" t="str">
        <f t="shared" si="279"/>
        <v>Tue</v>
      </c>
    </row>
    <row r="4457" spans="1:11" x14ac:dyDescent="0.35">
      <c r="A4457" s="1">
        <v>42032</v>
      </c>
      <c r="B4457">
        <v>15.490500450134199</v>
      </c>
      <c r="C4457">
        <v>15.5754995346069</v>
      </c>
      <c r="D4457">
        <v>15.189999580383301</v>
      </c>
      <c r="E4457">
        <v>15.1955003738403</v>
      </c>
      <c r="F4457">
        <v>15.1955003738403</v>
      </c>
      <c r="G4457">
        <v>61276000</v>
      </c>
      <c r="H4457">
        <f t="shared" si="276"/>
        <v>2015</v>
      </c>
      <c r="I4457">
        <f t="shared" si="277"/>
        <v>1</v>
      </c>
      <c r="J4457" t="str">
        <f t="shared" si="278"/>
        <v>Jan</v>
      </c>
      <c r="K4457" t="str">
        <f t="shared" si="279"/>
        <v>Wed</v>
      </c>
    </row>
    <row r="4458" spans="1:11" x14ac:dyDescent="0.35">
      <c r="A4458" s="1">
        <v>42033</v>
      </c>
      <c r="B4458">
        <v>15.2364997863769</v>
      </c>
      <c r="C4458">
        <v>15.640000343322701</v>
      </c>
      <c r="D4458">
        <v>14.9665002822875</v>
      </c>
      <c r="E4458">
        <v>15.588999748229901</v>
      </c>
      <c r="F4458">
        <v>15.588999748229901</v>
      </c>
      <c r="G4458">
        <v>173132000</v>
      </c>
      <c r="H4458">
        <f t="shared" si="276"/>
        <v>2015</v>
      </c>
      <c r="I4458">
        <f t="shared" si="277"/>
        <v>1</v>
      </c>
      <c r="J4458" t="str">
        <f t="shared" si="278"/>
        <v>Jan</v>
      </c>
      <c r="K4458" t="str">
        <f t="shared" si="279"/>
        <v>Thu</v>
      </c>
    </row>
    <row r="4459" spans="1:11" x14ac:dyDescent="0.35">
      <c r="A4459" s="1">
        <v>42034</v>
      </c>
      <c r="B4459">
        <v>17.3159999847412</v>
      </c>
      <c r="C4459">
        <v>17.975000381469702</v>
      </c>
      <c r="D4459">
        <v>17.037000656127901</v>
      </c>
      <c r="E4459">
        <v>17.726499557495099</v>
      </c>
      <c r="F4459">
        <v>17.726499557495099</v>
      </c>
      <c r="G4459">
        <v>477122000</v>
      </c>
      <c r="H4459">
        <f t="shared" si="276"/>
        <v>2015</v>
      </c>
      <c r="I4459">
        <f t="shared" si="277"/>
        <v>1</v>
      </c>
      <c r="J4459" t="str">
        <f t="shared" si="278"/>
        <v>Jan</v>
      </c>
      <c r="K4459" t="str">
        <f t="shared" si="279"/>
        <v>Fri</v>
      </c>
    </row>
    <row r="4460" spans="1:11" x14ac:dyDescent="0.35">
      <c r="A4460" s="1">
        <v>42037</v>
      </c>
      <c r="B4460">
        <v>17.502500534057599</v>
      </c>
      <c r="C4460">
        <v>18.25</v>
      </c>
      <c r="D4460">
        <v>17.500499725341701</v>
      </c>
      <c r="E4460">
        <v>18.2234992980957</v>
      </c>
      <c r="F4460">
        <v>18.2234992980957</v>
      </c>
      <c r="G4460">
        <v>204638000</v>
      </c>
      <c r="H4460">
        <f t="shared" si="276"/>
        <v>2015</v>
      </c>
      <c r="I4460">
        <f t="shared" si="277"/>
        <v>2</v>
      </c>
      <c r="J4460" t="str">
        <f t="shared" si="278"/>
        <v>Feb</v>
      </c>
      <c r="K4460" t="str">
        <f t="shared" si="279"/>
        <v>Mon</v>
      </c>
    </row>
    <row r="4461" spans="1:11" x14ac:dyDescent="0.35">
      <c r="A4461" s="1">
        <v>42038</v>
      </c>
      <c r="B4461">
        <v>18.014499664306602</v>
      </c>
      <c r="C4461">
        <v>18.3910007476806</v>
      </c>
      <c r="D4461">
        <v>18.010499954223601</v>
      </c>
      <c r="E4461">
        <v>18.1774997711181</v>
      </c>
      <c r="F4461">
        <v>18.1774997711181</v>
      </c>
      <c r="G4461">
        <v>124252000</v>
      </c>
      <c r="H4461">
        <f t="shared" si="276"/>
        <v>2015</v>
      </c>
      <c r="I4461">
        <f t="shared" si="277"/>
        <v>2</v>
      </c>
      <c r="J4461" t="str">
        <f t="shared" si="278"/>
        <v>Feb</v>
      </c>
      <c r="K4461" t="str">
        <f t="shared" si="279"/>
        <v>Tue</v>
      </c>
    </row>
    <row r="4462" spans="1:11" x14ac:dyDescent="0.35">
      <c r="A4462" s="1">
        <v>42039</v>
      </c>
      <c r="B4462">
        <v>17.919000625610298</v>
      </c>
      <c r="C4462">
        <v>18.375</v>
      </c>
      <c r="D4462">
        <v>17.911500930786101</v>
      </c>
      <c r="E4462">
        <v>18.237499237060501</v>
      </c>
      <c r="F4462">
        <v>18.237499237060501</v>
      </c>
      <c r="G4462">
        <v>83398000</v>
      </c>
      <c r="H4462">
        <f t="shared" si="276"/>
        <v>2015</v>
      </c>
      <c r="I4462">
        <f t="shared" si="277"/>
        <v>2</v>
      </c>
      <c r="J4462" t="str">
        <f t="shared" si="278"/>
        <v>Feb</v>
      </c>
      <c r="K4462" t="str">
        <f t="shared" si="279"/>
        <v>Wed</v>
      </c>
    </row>
    <row r="4463" spans="1:11" x14ac:dyDescent="0.35">
      <c r="A4463" s="1">
        <v>42040</v>
      </c>
      <c r="B4463">
        <v>18.299999237060501</v>
      </c>
      <c r="C4463">
        <v>18.940000534057599</v>
      </c>
      <c r="D4463">
        <v>18.295000076293899</v>
      </c>
      <c r="E4463">
        <v>18.694499969482401</v>
      </c>
      <c r="F4463">
        <v>18.694499969482401</v>
      </c>
      <c r="G4463">
        <v>144952000</v>
      </c>
      <c r="H4463">
        <f t="shared" si="276"/>
        <v>2015</v>
      </c>
      <c r="I4463">
        <f t="shared" si="277"/>
        <v>2</v>
      </c>
      <c r="J4463" t="str">
        <f t="shared" si="278"/>
        <v>Feb</v>
      </c>
      <c r="K4463" t="str">
        <f t="shared" si="279"/>
        <v>Thu</v>
      </c>
    </row>
    <row r="4464" spans="1:11" x14ac:dyDescent="0.35">
      <c r="A4464" s="1">
        <v>42041</v>
      </c>
      <c r="B4464">
        <v>18.7434997558593</v>
      </c>
      <c r="C4464">
        <v>18.7994995117187</v>
      </c>
      <c r="D4464">
        <v>18.550500869750898</v>
      </c>
      <c r="E4464">
        <v>18.714000701904201</v>
      </c>
      <c r="F4464">
        <v>18.714000701904201</v>
      </c>
      <c r="G4464">
        <v>77848000</v>
      </c>
      <c r="H4464">
        <f t="shared" si="276"/>
        <v>2015</v>
      </c>
      <c r="I4464">
        <f t="shared" si="277"/>
        <v>2</v>
      </c>
      <c r="J4464" t="str">
        <f t="shared" si="278"/>
        <v>Feb</v>
      </c>
      <c r="K4464" t="str">
        <f t="shared" si="279"/>
        <v>Fri</v>
      </c>
    </row>
    <row r="4465" spans="1:11" x14ac:dyDescent="0.35">
      <c r="A4465" s="1">
        <v>42044</v>
      </c>
      <c r="B4465">
        <v>18.549999237060501</v>
      </c>
      <c r="C4465">
        <v>18.720500946044901</v>
      </c>
      <c r="D4465">
        <v>18.360000610351499</v>
      </c>
      <c r="E4465">
        <v>18.527999877929599</v>
      </c>
      <c r="F4465">
        <v>18.527999877929599</v>
      </c>
      <c r="G4465">
        <v>54492000</v>
      </c>
      <c r="H4465">
        <f t="shared" si="276"/>
        <v>2015</v>
      </c>
      <c r="I4465">
        <f t="shared" si="277"/>
        <v>2</v>
      </c>
      <c r="J4465" t="str">
        <f t="shared" si="278"/>
        <v>Feb</v>
      </c>
      <c r="K4465" t="str">
        <f t="shared" si="279"/>
        <v>Mon</v>
      </c>
    </row>
    <row r="4466" spans="1:11" x14ac:dyDescent="0.35">
      <c r="A4466" s="1">
        <v>42045</v>
      </c>
      <c r="B4466">
        <v>18.559499740600501</v>
      </c>
      <c r="C4466">
        <v>18.715000152587798</v>
      </c>
      <c r="D4466">
        <v>18.425500869750898</v>
      </c>
      <c r="E4466">
        <v>18.649999618530199</v>
      </c>
      <c r="F4466">
        <v>18.649999618530199</v>
      </c>
      <c r="G4466">
        <v>45744000</v>
      </c>
      <c r="H4466">
        <f t="shared" si="276"/>
        <v>2015</v>
      </c>
      <c r="I4466">
        <f t="shared" si="277"/>
        <v>2</v>
      </c>
      <c r="J4466" t="str">
        <f t="shared" si="278"/>
        <v>Feb</v>
      </c>
      <c r="K4466" t="str">
        <f t="shared" si="279"/>
        <v>Tue</v>
      </c>
    </row>
    <row r="4467" spans="1:11" x14ac:dyDescent="0.35">
      <c r="A4467" s="1">
        <v>42046</v>
      </c>
      <c r="B4467">
        <v>18.561500549316399</v>
      </c>
      <c r="C4467">
        <v>18.8549995422363</v>
      </c>
      <c r="D4467">
        <v>18.5550003051757</v>
      </c>
      <c r="E4467">
        <v>18.756999969482401</v>
      </c>
      <c r="F4467">
        <v>18.756999969482401</v>
      </c>
      <c r="G4467">
        <v>55730000</v>
      </c>
      <c r="H4467">
        <f t="shared" si="276"/>
        <v>2015</v>
      </c>
      <c r="I4467">
        <f t="shared" si="277"/>
        <v>2</v>
      </c>
      <c r="J4467" t="str">
        <f t="shared" si="278"/>
        <v>Feb</v>
      </c>
      <c r="K4467" t="str">
        <f t="shared" si="279"/>
        <v>Wed</v>
      </c>
    </row>
    <row r="4468" spans="1:11" x14ac:dyDescent="0.35">
      <c r="A4468" s="1">
        <v>42047</v>
      </c>
      <c r="B4468">
        <v>18.754999160766602</v>
      </c>
      <c r="C4468">
        <v>18.925500869750898</v>
      </c>
      <c r="D4468">
        <v>18.6574993133544</v>
      </c>
      <c r="E4468">
        <v>18.8584995269775</v>
      </c>
      <c r="F4468">
        <v>18.8584995269775</v>
      </c>
      <c r="G4468">
        <v>55822000</v>
      </c>
      <c r="H4468">
        <f t="shared" si="276"/>
        <v>2015</v>
      </c>
      <c r="I4468">
        <f t="shared" si="277"/>
        <v>2</v>
      </c>
      <c r="J4468" t="str">
        <f t="shared" si="278"/>
        <v>Feb</v>
      </c>
      <c r="K4468" t="str">
        <f t="shared" si="279"/>
        <v>Thu</v>
      </c>
    </row>
    <row r="4469" spans="1:11" x14ac:dyDescent="0.35">
      <c r="A4469" s="1">
        <v>42048</v>
      </c>
      <c r="B4469">
        <v>18.9204998016357</v>
      </c>
      <c r="C4469">
        <v>19.149999618530199</v>
      </c>
      <c r="D4469">
        <v>18.850500106811499</v>
      </c>
      <c r="E4469">
        <v>19.0914993286132</v>
      </c>
      <c r="F4469">
        <v>19.0914993286132</v>
      </c>
      <c r="G4469">
        <v>69502000</v>
      </c>
      <c r="H4469">
        <f t="shared" si="276"/>
        <v>2015</v>
      </c>
      <c r="I4469">
        <f t="shared" si="277"/>
        <v>2</v>
      </c>
      <c r="J4469" t="str">
        <f t="shared" si="278"/>
        <v>Feb</v>
      </c>
      <c r="K4469" t="str">
        <f t="shared" si="279"/>
        <v>Fri</v>
      </c>
    </row>
    <row r="4470" spans="1:11" x14ac:dyDescent="0.35">
      <c r="A4470" s="1">
        <v>42052</v>
      </c>
      <c r="B4470">
        <v>18.885999679565401</v>
      </c>
      <c r="C4470">
        <v>18.9995002746582</v>
      </c>
      <c r="D4470">
        <v>18.633499145507798</v>
      </c>
      <c r="E4470">
        <v>18.771499633788999</v>
      </c>
      <c r="F4470">
        <v>18.771499633788999</v>
      </c>
      <c r="G4470">
        <v>73464000</v>
      </c>
      <c r="H4470">
        <f t="shared" si="276"/>
        <v>2015</v>
      </c>
      <c r="I4470">
        <f t="shared" si="277"/>
        <v>2</v>
      </c>
      <c r="J4470" t="str">
        <f t="shared" si="278"/>
        <v>Feb</v>
      </c>
      <c r="K4470" t="str">
        <f t="shared" si="279"/>
        <v>Tue</v>
      </c>
    </row>
    <row r="4471" spans="1:11" x14ac:dyDescent="0.35">
      <c r="A4471" s="1">
        <v>42053</v>
      </c>
      <c r="B4471">
        <v>18.688999176025298</v>
      </c>
      <c r="C4471">
        <v>18.836999893188398</v>
      </c>
      <c r="D4471">
        <v>18.642499923706001</v>
      </c>
      <c r="E4471">
        <v>18.668500900268501</v>
      </c>
      <c r="F4471">
        <v>18.668500900268501</v>
      </c>
      <c r="G4471">
        <v>53012000</v>
      </c>
      <c r="H4471">
        <f t="shared" si="276"/>
        <v>2015</v>
      </c>
      <c r="I4471">
        <f t="shared" si="277"/>
        <v>2</v>
      </c>
      <c r="J4471" t="str">
        <f t="shared" si="278"/>
        <v>Feb</v>
      </c>
      <c r="K4471" t="str">
        <f t="shared" si="279"/>
        <v>Wed</v>
      </c>
    </row>
    <row r="4472" spans="1:11" x14ac:dyDescent="0.35">
      <c r="A4472" s="1">
        <v>42054</v>
      </c>
      <c r="B4472">
        <v>18.6744995117187</v>
      </c>
      <c r="C4472">
        <v>19.093999862670898</v>
      </c>
      <c r="D4472">
        <v>18.6714992523193</v>
      </c>
      <c r="E4472">
        <v>18.9500007629394</v>
      </c>
      <c r="F4472">
        <v>18.9500007629394</v>
      </c>
      <c r="G4472">
        <v>59076000</v>
      </c>
      <c r="H4472">
        <f t="shared" si="276"/>
        <v>2015</v>
      </c>
      <c r="I4472">
        <f t="shared" si="277"/>
        <v>2</v>
      </c>
      <c r="J4472" t="str">
        <f t="shared" si="278"/>
        <v>Feb</v>
      </c>
      <c r="K4472" t="str">
        <f t="shared" si="279"/>
        <v>Thu</v>
      </c>
    </row>
    <row r="4473" spans="1:11" x14ac:dyDescent="0.35">
      <c r="A4473" s="1">
        <v>42055</v>
      </c>
      <c r="B4473">
        <v>18.9309997558593</v>
      </c>
      <c r="C4473">
        <v>19.184999465942301</v>
      </c>
      <c r="D4473">
        <v>18.791999816894499</v>
      </c>
      <c r="E4473">
        <v>19.183000564575099</v>
      </c>
      <c r="F4473">
        <v>19.183000564575099</v>
      </c>
      <c r="G4473">
        <v>65160000</v>
      </c>
      <c r="H4473">
        <f t="shared" si="276"/>
        <v>2015</v>
      </c>
      <c r="I4473">
        <f t="shared" si="277"/>
        <v>2</v>
      </c>
      <c r="J4473" t="str">
        <f t="shared" si="278"/>
        <v>Feb</v>
      </c>
      <c r="K4473" t="str">
        <f t="shared" si="279"/>
        <v>Fri</v>
      </c>
    </row>
    <row r="4474" spans="1:11" x14ac:dyDescent="0.35">
      <c r="A4474" s="1">
        <v>42058</v>
      </c>
      <c r="B4474">
        <v>19.172000885009702</v>
      </c>
      <c r="C4474">
        <v>19.2269992828369</v>
      </c>
      <c r="D4474">
        <v>18.899999618530199</v>
      </c>
      <c r="E4474">
        <v>19.006999969482401</v>
      </c>
      <c r="F4474">
        <v>19.006999969482401</v>
      </c>
      <c r="G4474">
        <v>43540000</v>
      </c>
      <c r="H4474">
        <f t="shared" si="276"/>
        <v>2015</v>
      </c>
      <c r="I4474">
        <f t="shared" si="277"/>
        <v>2</v>
      </c>
      <c r="J4474" t="str">
        <f t="shared" si="278"/>
        <v>Feb</v>
      </c>
      <c r="K4474" t="str">
        <f t="shared" si="279"/>
        <v>Mon</v>
      </c>
    </row>
    <row r="4475" spans="1:11" x14ac:dyDescent="0.35">
      <c r="A4475" s="1">
        <v>42059</v>
      </c>
      <c r="B4475">
        <v>18.932500839233398</v>
      </c>
      <c r="C4475">
        <v>19.024000167846602</v>
      </c>
      <c r="D4475">
        <v>18.808000564575099</v>
      </c>
      <c r="E4475">
        <v>18.929500579833899</v>
      </c>
      <c r="F4475">
        <v>18.929500579833899</v>
      </c>
      <c r="G4475">
        <v>38416000</v>
      </c>
      <c r="H4475">
        <f t="shared" si="276"/>
        <v>2015</v>
      </c>
      <c r="I4475">
        <f t="shared" si="277"/>
        <v>2</v>
      </c>
      <c r="J4475" t="str">
        <f t="shared" si="278"/>
        <v>Feb</v>
      </c>
      <c r="K4475" t="str">
        <f t="shared" si="279"/>
        <v>Tue</v>
      </c>
    </row>
    <row r="4476" spans="1:11" x14ac:dyDescent="0.35">
      <c r="A4476" s="1">
        <v>42060</v>
      </c>
      <c r="B4476">
        <v>18.863500595092699</v>
      </c>
      <c r="C4476">
        <v>19.392499923706001</v>
      </c>
      <c r="D4476">
        <v>18.826999664306602</v>
      </c>
      <c r="E4476">
        <v>19.268499374389599</v>
      </c>
      <c r="F4476">
        <v>19.268499374389599</v>
      </c>
      <c r="G4476">
        <v>63490000</v>
      </c>
      <c r="H4476">
        <f t="shared" si="276"/>
        <v>2015</v>
      </c>
      <c r="I4476">
        <f t="shared" si="277"/>
        <v>2</v>
      </c>
      <c r="J4476" t="str">
        <f t="shared" si="278"/>
        <v>Feb</v>
      </c>
      <c r="K4476" t="str">
        <f t="shared" si="279"/>
        <v>Wed</v>
      </c>
    </row>
    <row r="4477" spans="1:11" x14ac:dyDescent="0.35">
      <c r="A4477" s="1">
        <v>42061</v>
      </c>
      <c r="B4477">
        <v>19.2035007476806</v>
      </c>
      <c r="C4477">
        <v>19.468500137329102</v>
      </c>
      <c r="D4477">
        <v>19.163999557495099</v>
      </c>
      <c r="E4477">
        <v>19.2399997711181</v>
      </c>
      <c r="F4477">
        <v>19.2399997711181</v>
      </c>
      <c r="G4477">
        <v>53742000</v>
      </c>
      <c r="H4477">
        <f t="shared" si="276"/>
        <v>2015</v>
      </c>
      <c r="I4477">
        <f t="shared" si="277"/>
        <v>2</v>
      </c>
      <c r="J4477" t="str">
        <f t="shared" si="278"/>
        <v>Feb</v>
      </c>
      <c r="K4477" t="str">
        <f t="shared" si="279"/>
        <v>Thu</v>
      </c>
    </row>
    <row r="4478" spans="1:11" x14ac:dyDescent="0.35">
      <c r="A4478" s="1">
        <v>42062</v>
      </c>
      <c r="B4478">
        <v>19.2000007629394</v>
      </c>
      <c r="C4478">
        <v>19.2994995117187</v>
      </c>
      <c r="D4478">
        <v>18.9895000457763</v>
      </c>
      <c r="E4478">
        <v>19.007999420166001</v>
      </c>
      <c r="F4478">
        <v>19.007999420166001</v>
      </c>
      <c r="G4478">
        <v>50646000</v>
      </c>
      <c r="H4478">
        <f t="shared" si="276"/>
        <v>2015</v>
      </c>
      <c r="I4478">
        <f t="shared" si="277"/>
        <v>2</v>
      </c>
      <c r="J4478" t="str">
        <f t="shared" si="278"/>
        <v>Feb</v>
      </c>
      <c r="K4478" t="str">
        <f t="shared" si="279"/>
        <v>Fri</v>
      </c>
    </row>
    <row r="4479" spans="1:11" x14ac:dyDescent="0.35">
      <c r="A4479" s="1">
        <v>42065</v>
      </c>
      <c r="B4479">
        <v>19.0424995422363</v>
      </c>
      <c r="C4479">
        <v>19.295000076293899</v>
      </c>
      <c r="D4479">
        <v>18.974000930786101</v>
      </c>
      <c r="E4479">
        <v>19.283000946044901</v>
      </c>
      <c r="F4479">
        <v>19.283000946044901</v>
      </c>
      <c r="G4479">
        <v>42784000</v>
      </c>
      <c r="H4479">
        <f t="shared" si="276"/>
        <v>2015</v>
      </c>
      <c r="I4479">
        <f t="shared" si="277"/>
        <v>3</v>
      </c>
      <c r="J4479" t="str">
        <f t="shared" si="278"/>
        <v>Mar</v>
      </c>
      <c r="K4479" t="str">
        <f t="shared" si="279"/>
        <v>Mon</v>
      </c>
    </row>
    <row r="4480" spans="1:11" x14ac:dyDescent="0.35">
      <c r="A4480" s="1">
        <v>42066</v>
      </c>
      <c r="B4480">
        <v>19.1975002288818</v>
      </c>
      <c r="C4480">
        <v>19.3050003051757</v>
      </c>
      <c r="D4480">
        <v>19.079999923706001</v>
      </c>
      <c r="E4480">
        <v>19.2304992675781</v>
      </c>
      <c r="F4480">
        <v>19.2304992675781</v>
      </c>
      <c r="G4480">
        <v>38930000</v>
      </c>
      <c r="H4480">
        <f t="shared" si="276"/>
        <v>2015</v>
      </c>
      <c r="I4480">
        <f t="shared" si="277"/>
        <v>3</v>
      </c>
      <c r="J4480" t="str">
        <f t="shared" si="278"/>
        <v>Mar</v>
      </c>
      <c r="K4480" t="str">
        <f t="shared" si="279"/>
        <v>Tue</v>
      </c>
    </row>
    <row r="4481" spans="1:11" x14ac:dyDescent="0.35">
      <c r="A4481" s="1">
        <v>42067</v>
      </c>
      <c r="B4481">
        <v>19.285499572753899</v>
      </c>
      <c r="C4481">
        <v>19.395000457763601</v>
      </c>
      <c r="D4481">
        <v>19.109500885009702</v>
      </c>
      <c r="E4481">
        <v>19.135999679565401</v>
      </c>
      <c r="F4481">
        <v>19.135999679565401</v>
      </c>
      <c r="G4481">
        <v>45182000</v>
      </c>
      <c r="H4481">
        <f t="shared" si="276"/>
        <v>2015</v>
      </c>
      <c r="I4481">
        <f t="shared" si="277"/>
        <v>3</v>
      </c>
      <c r="J4481" t="str">
        <f t="shared" si="278"/>
        <v>Mar</v>
      </c>
      <c r="K4481" t="str">
        <f t="shared" si="279"/>
        <v>Wed</v>
      </c>
    </row>
    <row r="4482" spans="1:11" x14ac:dyDescent="0.35">
      <c r="A4482" s="1">
        <v>42068</v>
      </c>
      <c r="B4482">
        <v>19.280500411987301</v>
      </c>
      <c r="C4482">
        <v>19.4209995269775</v>
      </c>
      <c r="D4482">
        <v>19.194499969482401</v>
      </c>
      <c r="E4482">
        <v>19.391500473022401</v>
      </c>
      <c r="F4482">
        <v>19.391500473022401</v>
      </c>
      <c r="G4482">
        <v>53870000</v>
      </c>
      <c r="H4482">
        <f t="shared" si="276"/>
        <v>2015</v>
      </c>
      <c r="I4482">
        <f t="shared" si="277"/>
        <v>3</v>
      </c>
      <c r="J4482" t="str">
        <f t="shared" si="278"/>
        <v>Mar</v>
      </c>
      <c r="K4482" t="str">
        <f t="shared" si="279"/>
        <v>Thu</v>
      </c>
    </row>
    <row r="4483" spans="1:11" x14ac:dyDescent="0.35">
      <c r="A4483" s="1">
        <v>42069</v>
      </c>
      <c r="B4483">
        <v>19.2759990692138</v>
      </c>
      <c r="C4483">
        <v>19.350000381469702</v>
      </c>
      <c r="D4483">
        <v>18.9440002441406</v>
      </c>
      <c r="E4483">
        <v>19.004499435424801</v>
      </c>
      <c r="F4483">
        <v>19.004499435424801</v>
      </c>
      <c r="G4483">
        <v>52540000</v>
      </c>
      <c r="H4483">
        <f t="shared" si="276"/>
        <v>2015</v>
      </c>
      <c r="I4483">
        <f t="shared" si="277"/>
        <v>3</v>
      </c>
      <c r="J4483" t="str">
        <f t="shared" si="278"/>
        <v>Mar</v>
      </c>
      <c r="K4483" t="str">
        <f t="shared" si="279"/>
        <v>Fri</v>
      </c>
    </row>
    <row r="4484" spans="1:11" x14ac:dyDescent="0.35">
      <c r="A4484" s="1">
        <v>42072</v>
      </c>
      <c r="B4484">
        <v>18.920000076293899</v>
      </c>
      <c r="C4484">
        <v>18.9664993286132</v>
      </c>
      <c r="D4484">
        <v>18.763999938964801</v>
      </c>
      <c r="E4484">
        <v>18.927999496459901</v>
      </c>
      <c r="F4484">
        <v>18.927999496459901</v>
      </c>
      <c r="G4484">
        <v>46228000</v>
      </c>
      <c r="H4484">
        <f t="shared" ref="H4484:H4547" si="280">YEAR($A4484)</f>
        <v>2015</v>
      </c>
      <c r="I4484">
        <f t="shared" ref="I4484:I4547" si="281">MONTH($A4484)</f>
        <v>3</v>
      </c>
      <c r="J4484" t="str">
        <f t="shared" ref="J4484:J4547" si="282">TEXT($A4484,"mmm")</f>
        <v>Mar</v>
      </c>
      <c r="K4484" t="str">
        <f t="shared" ref="K4484:K4547" si="283">TEXT($A4484,"ddd")</f>
        <v>Mon</v>
      </c>
    </row>
    <row r="4485" spans="1:11" x14ac:dyDescent="0.35">
      <c r="A4485" s="1">
        <v>42073</v>
      </c>
      <c r="B4485">
        <v>18.872499465942301</v>
      </c>
      <c r="C4485">
        <v>18.888500213623001</v>
      </c>
      <c r="D4485">
        <v>18.458999633788999</v>
      </c>
      <c r="E4485">
        <v>18.475500106811499</v>
      </c>
      <c r="F4485">
        <v>18.475500106811499</v>
      </c>
      <c r="G4485">
        <v>62420000</v>
      </c>
      <c r="H4485">
        <f t="shared" si="280"/>
        <v>2015</v>
      </c>
      <c r="I4485">
        <f t="shared" si="281"/>
        <v>3</v>
      </c>
      <c r="J4485" t="str">
        <f t="shared" si="282"/>
        <v>Mar</v>
      </c>
      <c r="K4485" t="str">
        <f t="shared" si="283"/>
        <v>Tue</v>
      </c>
    </row>
    <row r="4486" spans="1:11" x14ac:dyDescent="0.35">
      <c r="A4486" s="1">
        <v>42074</v>
      </c>
      <c r="B4486">
        <v>18.530500411987301</v>
      </c>
      <c r="C4486">
        <v>18.6674995422363</v>
      </c>
      <c r="D4486">
        <v>18.312999725341701</v>
      </c>
      <c r="E4486">
        <v>18.3185005187988</v>
      </c>
      <c r="F4486">
        <v>18.3185005187988</v>
      </c>
      <c r="G4486">
        <v>49902000</v>
      </c>
      <c r="H4486">
        <f t="shared" si="280"/>
        <v>2015</v>
      </c>
      <c r="I4486">
        <f t="shared" si="281"/>
        <v>3</v>
      </c>
      <c r="J4486" t="str">
        <f t="shared" si="282"/>
        <v>Mar</v>
      </c>
      <c r="K4486" t="str">
        <f t="shared" si="283"/>
        <v>Wed</v>
      </c>
    </row>
    <row r="4487" spans="1:11" x14ac:dyDescent="0.35">
      <c r="A4487" s="1">
        <v>42075</v>
      </c>
      <c r="B4487">
        <v>18.4409999847412</v>
      </c>
      <c r="C4487">
        <v>18.774999618530199</v>
      </c>
      <c r="D4487">
        <v>18.375999450683501</v>
      </c>
      <c r="E4487">
        <v>18.711999893188398</v>
      </c>
      <c r="F4487">
        <v>18.711999893188398</v>
      </c>
      <c r="G4487">
        <v>56200000</v>
      </c>
      <c r="H4487">
        <f t="shared" si="280"/>
        <v>2015</v>
      </c>
      <c r="I4487">
        <f t="shared" si="281"/>
        <v>3</v>
      </c>
      <c r="J4487" t="str">
        <f t="shared" si="282"/>
        <v>Mar</v>
      </c>
      <c r="K4487" t="str">
        <f t="shared" si="283"/>
        <v>Thu</v>
      </c>
    </row>
    <row r="4488" spans="1:11" x14ac:dyDescent="0.35">
      <c r="A4488" s="1">
        <v>42076</v>
      </c>
      <c r="B4488">
        <v>18.576000213623001</v>
      </c>
      <c r="C4488">
        <v>18.699499130248999</v>
      </c>
      <c r="D4488">
        <v>18.333999633788999</v>
      </c>
      <c r="E4488">
        <v>18.5289993286132</v>
      </c>
      <c r="F4488">
        <v>18.5289993286132</v>
      </c>
      <c r="G4488">
        <v>52234000</v>
      </c>
      <c r="H4488">
        <f t="shared" si="280"/>
        <v>2015</v>
      </c>
      <c r="I4488">
        <f t="shared" si="281"/>
        <v>3</v>
      </c>
      <c r="J4488" t="str">
        <f t="shared" si="282"/>
        <v>Mar</v>
      </c>
      <c r="K4488" t="str">
        <f t="shared" si="283"/>
        <v>Fri</v>
      </c>
    </row>
    <row r="4489" spans="1:11" x14ac:dyDescent="0.35">
      <c r="A4489" s="1">
        <v>42079</v>
      </c>
      <c r="B4489">
        <v>18.518999099731399</v>
      </c>
      <c r="C4489">
        <v>18.69700050354</v>
      </c>
      <c r="D4489">
        <v>18.336000442504801</v>
      </c>
      <c r="E4489">
        <v>18.6674995422363</v>
      </c>
      <c r="F4489">
        <v>18.6674995422363</v>
      </c>
      <c r="G4489">
        <v>47082000</v>
      </c>
      <c r="H4489">
        <f t="shared" si="280"/>
        <v>2015</v>
      </c>
      <c r="I4489">
        <f t="shared" si="281"/>
        <v>3</v>
      </c>
      <c r="J4489" t="str">
        <f t="shared" si="282"/>
        <v>Mar</v>
      </c>
      <c r="K4489" t="str">
        <f t="shared" si="283"/>
        <v>Mon</v>
      </c>
    </row>
    <row r="4490" spans="1:11" x14ac:dyDescent="0.35">
      <c r="A4490" s="1">
        <v>42080</v>
      </c>
      <c r="B4490">
        <v>18.5555000305175</v>
      </c>
      <c r="C4490">
        <v>18.725000381469702</v>
      </c>
      <c r="D4490">
        <v>18.482000350952099</v>
      </c>
      <c r="E4490">
        <v>18.596000671386701</v>
      </c>
      <c r="F4490">
        <v>18.596000671386701</v>
      </c>
      <c r="G4490">
        <v>40740000</v>
      </c>
      <c r="H4490">
        <f t="shared" si="280"/>
        <v>2015</v>
      </c>
      <c r="I4490">
        <f t="shared" si="281"/>
        <v>3</v>
      </c>
      <c r="J4490" t="str">
        <f t="shared" si="282"/>
        <v>Mar</v>
      </c>
      <c r="K4490" t="str">
        <f t="shared" si="283"/>
        <v>Tue</v>
      </c>
    </row>
    <row r="4491" spans="1:11" x14ac:dyDescent="0.35">
      <c r="A4491" s="1">
        <v>42081</v>
      </c>
      <c r="B4491">
        <v>18.498500823974599</v>
      </c>
      <c r="C4491">
        <v>18.7994995117187</v>
      </c>
      <c r="D4491">
        <v>18.334999084472599</v>
      </c>
      <c r="E4491">
        <v>18.756999969482401</v>
      </c>
      <c r="F4491">
        <v>18.756999969482401</v>
      </c>
      <c r="G4491">
        <v>53082000</v>
      </c>
      <c r="H4491">
        <f t="shared" si="280"/>
        <v>2015</v>
      </c>
      <c r="I4491">
        <f t="shared" si="281"/>
        <v>3</v>
      </c>
      <c r="J4491" t="str">
        <f t="shared" si="282"/>
        <v>Mar</v>
      </c>
      <c r="K4491" t="str">
        <f t="shared" si="283"/>
        <v>Wed</v>
      </c>
    </row>
    <row r="4492" spans="1:11" x14ac:dyDescent="0.35">
      <c r="A4492" s="1">
        <v>42082</v>
      </c>
      <c r="B4492">
        <v>18.6935005187988</v>
      </c>
      <c r="C4492">
        <v>18.8554992675781</v>
      </c>
      <c r="D4492">
        <v>18.609500885009702</v>
      </c>
      <c r="E4492">
        <v>18.662000656127901</v>
      </c>
      <c r="F4492">
        <v>18.662000656127901</v>
      </c>
      <c r="G4492">
        <v>38314000</v>
      </c>
      <c r="H4492">
        <f t="shared" si="280"/>
        <v>2015</v>
      </c>
      <c r="I4492">
        <f t="shared" si="281"/>
        <v>3</v>
      </c>
      <c r="J4492" t="str">
        <f t="shared" si="282"/>
        <v>Mar</v>
      </c>
      <c r="K4492" t="str">
        <f t="shared" si="283"/>
        <v>Thu</v>
      </c>
    </row>
    <row r="4493" spans="1:11" x14ac:dyDescent="0.35">
      <c r="A4493" s="1">
        <v>42083</v>
      </c>
      <c r="B4493">
        <v>18.814500808715799</v>
      </c>
      <c r="C4493">
        <v>18.968500137329102</v>
      </c>
      <c r="D4493">
        <v>18.7959995269775</v>
      </c>
      <c r="E4493">
        <v>18.9244995117187</v>
      </c>
      <c r="F4493">
        <v>18.9244995117187</v>
      </c>
      <c r="G4493">
        <v>75272000</v>
      </c>
      <c r="H4493">
        <f t="shared" si="280"/>
        <v>2015</v>
      </c>
      <c r="I4493">
        <f t="shared" si="281"/>
        <v>3</v>
      </c>
      <c r="J4493" t="str">
        <f t="shared" si="282"/>
        <v>Mar</v>
      </c>
      <c r="K4493" t="str">
        <f t="shared" si="283"/>
        <v>Fri</v>
      </c>
    </row>
    <row r="4494" spans="1:11" x14ac:dyDescent="0.35">
      <c r="A4494" s="1">
        <v>42086</v>
      </c>
      <c r="B4494">
        <v>18.903499603271399</v>
      </c>
      <c r="C4494">
        <v>19.0884990692138</v>
      </c>
      <c r="D4494">
        <v>18.746999740600501</v>
      </c>
      <c r="E4494">
        <v>18.755500793456999</v>
      </c>
      <c r="F4494">
        <v>18.755500793456999</v>
      </c>
      <c r="G4494">
        <v>44786000</v>
      </c>
      <c r="H4494">
        <f t="shared" si="280"/>
        <v>2015</v>
      </c>
      <c r="I4494">
        <f t="shared" si="281"/>
        <v>3</v>
      </c>
      <c r="J4494" t="str">
        <f t="shared" si="282"/>
        <v>Mar</v>
      </c>
      <c r="K4494" t="str">
        <f t="shared" si="283"/>
        <v>Mon</v>
      </c>
    </row>
    <row r="4495" spans="1:11" x14ac:dyDescent="0.35">
      <c r="A4495" s="1">
        <v>42087</v>
      </c>
      <c r="B4495">
        <v>18.699499130248999</v>
      </c>
      <c r="C4495">
        <v>18.761999130248999</v>
      </c>
      <c r="D4495">
        <v>18.613500595092699</v>
      </c>
      <c r="E4495">
        <v>18.704500198364201</v>
      </c>
      <c r="F4495">
        <v>18.704500198364201</v>
      </c>
      <c r="G4495">
        <v>44564000</v>
      </c>
      <c r="H4495">
        <f t="shared" si="280"/>
        <v>2015</v>
      </c>
      <c r="I4495">
        <f t="shared" si="281"/>
        <v>3</v>
      </c>
      <c r="J4495" t="str">
        <f t="shared" si="282"/>
        <v>Mar</v>
      </c>
      <c r="K4495" t="str">
        <f t="shared" si="283"/>
        <v>Tue</v>
      </c>
    </row>
    <row r="4496" spans="1:11" x14ac:dyDescent="0.35">
      <c r="A4496" s="1">
        <v>42088</v>
      </c>
      <c r="B4496">
        <v>18.758499145507798</v>
      </c>
      <c r="C4496">
        <v>19.024999618530199</v>
      </c>
      <c r="D4496">
        <v>18.514499664306602</v>
      </c>
      <c r="E4496">
        <v>18.548000335693299</v>
      </c>
      <c r="F4496">
        <v>18.548000335693299</v>
      </c>
      <c r="G4496">
        <v>68590000</v>
      </c>
      <c r="H4496">
        <f t="shared" si="280"/>
        <v>2015</v>
      </c>
      <c r="I4496">
        <f t="shared" si="281"/>
        <v>3</v>
      </c>
      <c r="J4496" t="str">
        <f t="shared" si="282"/>
        <v>Mar</v>
      </c>
      <c r="K4496" t="str">
        <f t="shared" si="283"/>
        <v>Wed</v>
      </c>
    </row>
    <row r="4497" spans="1:11" x14ac:dyDescent="0.35">
      <c r="A4497" s="1">
        <v>42089</v>
      </c>
      <c r="B4497">
        <v>18.479499816894499</v>
      </c>
      <c r="C4497">
        <v>18.569999694824201</v>
      </c>
      <c r="D4497">
        <v>18.2824993133544</v>
      </c>
      <c r="E4497">
        <v>18.3675003051757</v>
      </c>
      <c r="F4497">
        <v>18.3675003051757</v>
      </c>
      <c r="G4497">
        <v>58600000</v>
      </c>
      <c r="H4497">
        <f t="shared" si="280"/>
        <v>2015</v>
      </c>
      <c r="I4497">
        <f t="shared" si="281"/>
        <v>3</v>
      </c>
      <c r="J4497" t="str">
        <f t="shared" si="282"/>
        <v>Mar</v>
      </c>
      <c r="K4497" t="str">
        <f t="shared" si="283"/>
        <v>Thu</v>
      </c>
    </row>
    <row r="4498" spans="1:11" x14ac:dyDescent="0.35">
      <c r="A4498" s="1">
        <v>42090</v>
      </c>
      <c r="B4498">
        <v>18.3554992675781</v>
      </c>
      <c r="C4498">
        <v>18.658500671386701</v>
      </c>
      <c r="D4498">
        <v>18.3285007476806</v>
      </c>
      <c r="E4498">
        <v>18.527999877929599</v>
      </c>
      <c r="F4498">
        <v>18.527999877929599</v>
      </c>
      <c r="G4498">
        <v>52196000</v>
      </c>
      <c r="H4498">
        <f t="shared" si="280"/>
        <v>2015</v>
      </c>
      <c r="I4498">
        <f t="shared" si="281"/>
        <v>3</v>
      </c>
      <c r="J4498" t="str">
        <f t="shared" si="282"/>
        <v>Mar</v>
      </c>
      <c r="K4498" t="str">
        <f t="shared" si="283"/>
        <v>Fri</v>
      </c>
    </row>
    <row r="4499" spans="1:11" x14ac:dyDescent="0.35">
      <c r="A4499" s="1">
        <v>42093</v>
      </c>
      <c r="B4499">
        <v>18.593500137329102</v>
      </c>
      <c r="C4499">
        <v>18.8059997558593</v>
      </c>
      <c r="D4499">
        <v>18.577499389648398</v>
      </c>
      <c r="E4499">
        <v>18.729499816894499</v>
      </c>
      <c r="F4499">
        <v>18.729499816894499</v>
      </c>
      <c r="G4499">
        <v>36418000</v>
      </c>
      <c r="H4499">
        <f t="shared" si="280"/>
        <v>2015</v>
      </c>
      <c r="I4499">
        <f t="shared" si="281"/>
        <v>3</v>
      </c>
      <c r="J4499" t="str">
        <f t="shared" si="282"/>
        <v>Mar</v>
      </c>
      <c r="K4499" t="str">
        <f t="shared" si="283"/>
        <v>Mon</v>
      </c>
    </row>
    <row r="4500" spans="1:11" x14ac:dyDescent="0.35">
      <c r="A4500" s="1">
        <v>42094</v>
      </c>
      <c r="B4500">
        <v>18.662000656127901</v>
      </c>
      <c r="C4500">
        <v>18.8850002288818</v>
      </c>
      <c r="D4500">
        <v>18.5755004882812</v>
      </c>
      <c r="E4500">
        <v>18.6049995422363</v>
      </c>
      <c r="F4500">
        <v>18.6049995422363</v>
      </c>
      <c r="G4500">
        <v>50122000</v>
      </c>
      <c r="H4500">
        <f t="shared" si="280"/>
        <v>2015</v>
      </c>
      <c r="I4500">
        <f t="shared" si="281"/>
        <v>3</v>
      </c>
      <c r="J4500" t="str">
        <f t="shared" si="282"/>
        <v>Mar</v>
      </c>
      <c r="K4500" t="str">
        <f t="shared" si="283"/>
        <v>Tue</v>
      </c>
    </row>
    <row r="4501" spans="1:11" x14ac:dyDescent="0.35">
      <c r="A4501" s="1">
        <v>42095</v>
      </c>
      <c r="B4501">
        <v>18.6049995422363</v>
      </c>
      <c r="C4501">
        <v>18.658000946044901</v>
      </c>
      <c r="D4501">
        <v>18.416999816894499</v>
      </c>
      <c r="E4501">
        <v>18.5130004882812</v>
      </c>
      <c r="F4501">
        <v>18.5130004882812</v>
      </c>
      <c r="G4501">
        <v>49162000</v>
      </c>
      <c r="H4501">
        <f t="shared" si="280"/>
        <v>2015</v>
      </c>
      <c r="I4501">
        <f t="shared" si="281"/>
        <v>4</v>
      </c>
      <c r="J4501" t="str">
        <f t="shared" si="282"/>
        <v>Apr</v>
      </c>
      <c r="K4501" t="str">
        <f t="shared" si="283"/>
        <v>Wed</v>
      </c>
    </row>
    <row r="4502" spans="1:11" x14ac:dyDescent="0.35">
      <c r="A4502" s="1">
        <v>42096</v>
      </c>
      <c r="B4502">
        <v>18.524999618530199</v>
      </c>
      <c r="C4502">
        <v>18.663999557495099</v>
      </c>
      <c r="D4502">
        <v>18.4500007629394</v>
      </c>
      <c r="E4502">
        <v>18.612499237060501</v>
      </c>
      <c r="F4502">
        <v>18.612499237060501</v>
      </c>
      <c r="G4502">
        <v>37506000</v>
      </c>
      <c r="H4502">
        <f t="shared" si="280"/>
        <v>2015</v>
      </c>
      <c r="I4502">
        <f t="shared" si="281"/>
        <v>4</v>
      </c>
      <c r="J4502" t="str">
        <f t="shared" si="282"/>
        <v>Apr</v>
      </c>
      <c r="K4502" t="str">
        <f t="shared" si="283"/>
        <v>Thu</v>
      </c>
    </row>
    <row r="4503" spans="1:11" x14ac:dyDescent="0.35">
      <c r="A4503" s="1">
        <v>42100</v>
      </c>
      <c r="B4503">
        <v>18.504999160766602</v>
      </c>
      <c r="C4503">
        <v>19.0100002288818</v>
      </c>
      <c r="D4503">
        <v>18.468000411987301</v>
      </c>
      <c r="E4503">
        <v>18.8519992828369</v>
      </c>
      <c r="F4503">
        <v>18.8519992828369</v>
      </c>
      <c r="G4503">
        <v>61014000</v>
      </c>
      <c r="H4503">
        <f t="shared" si="280"/>
        <v>2015</v>
      </c>
      <c r="I4503">
        <f t="shared" si="281"/>
        <v>4</v>
      </c>
      <c r="J4503" t="str">
        <f t="shared" si="282"/>
        <v>Apr</v>
      </c>
      <c r="K4503" t="str">
        <f t="shared" si="283"/>
        <v>Mon</v>
      </c>
    </row>
    <row r="4504" spans="1:11" x14ac:dyDescent="0.35">
      <c r="A4504" s="1">
        <v>42101</v>
      </c>
      <c r="B4504">
        <v>18.807500839233398</v>
      </c>
      <c r="C4504">
        <v>18.965499877929599</v>
      </c>
      <c r="D4504">
        <v>18.701499938964801</v>
      </c>
      <c r="E4504">
        <v>18.720500946044901</v>
      </c>
      <c r="F4504">
        <v>18.720500946044901</v>
      </c>
      <c r="G4504">
        <v>39098000</v>
      </c>
      <c r="H4504">
        <f t="shared" si="280"/>
        <v>2015</v>
      </c>
      <c r="I4504">
        <f t="shared" si="281"/>
        <v>4</v>
      </c>
      <c r="J4504" t="str">
        <f t="shared" si="282"/>
        <v>Apr</v>
      </c>
      <c r="K4504" t="str">
        <f t="shared" si="283"/>
        <v>Tue</v>
      </c>
    </row>
    <row r="4505" spans="1:11" x14ac:dyDescent="0.35">
      <c r="A4505" s="1">
        <v>42102</v>
      </c>
      <c r="B4505">
        <v>18.7329998016357</v>
      </c>
      <c r="C4505">
        <v>19.079000473022401</v>
      </c>
      <c r="D4505">
        <v>18.732500076293899</v>
      </c>
      <c r="E4505">
        <v>19.059999465942301</v>
      </c>
      <c r="F4505">
        <v>19.059999465942301</v>
      </c>
      <c r="G4505">
        <v>52728000</v>
      </c>
      <c r="H4505">
        <f t="shared" si="280"/>
        <v>2015</v>
      </c>
      <c r="I4505">
        <f t="shared" si="281"/>
        <v>4</v>
      </c>
      <c r="J4505" t="str">
        <f t="shared" si="282"/>
        <v>Apr</v>
      </c>
      <c r="K4505" t="str">
        <f t="shared" si="283"/>
        <v>Wed</v>
      </c>
    </row>
    <row r="4506" spans="1:11" x14ac:dyDescent="0.35">
      <c r="A4506" s="1">
        <v>42103</v>
      </c>
      <c r="B4506">
        <v>19.033000946044901</v>
      </c>
      <c r="C4506">
        <v>19.221000671386701</v>
      </c>
      <c r="D4506">
        <v>18.940000534057599</v>
      </c>
      <c r="E4506">
        <v>19.1770000457763</v>
      </c>
      <c r="F4506">
        <v>19.1770000457763</v>
      </c>
      <c r="G4506">
        <v>47846000</v>
      </c>
      <c r="H4506">
        <f t="shared" si="280"/>
        <v>2015</v>
      </c>
      <c r="I4506">
        <f t="shared" si="281"/>
        <v>4</v>
      </c>
      <c r="J4506" t="str">
        <f t="shared" si="282"/>
        <v>Apr</v>
      </c>
      <c r="K4506" t="str">
        <f t="shared" si="283"/>
        <v>Thu</v>
      </c>
    </row>
    <row r="4507" spans="1:11" x14ac:dyDescent="0.35">
      <c r="A4507" s="1">
        <v>42104</v>
      </c>
      <c r="B4507">
        <v>19.215499877929599</v>
      </c>
      <c r="C4507">
        <v>19.356000900268501</v>
      </c>
      <c r="D4507">
        <v>19.0659999847412</v>
      </c>
      <c r="E4507">
        <v>19.132499694824201</v>
      </c>
      <c r="F4507">
        <v>19.132499694824201</v>
      </c>
      <c r="G4507">
        <v>51470000</v>
      </c>
      <c r="H4507">
        <f t="shared" si="280"/>
        <v>2015</v>
      </c>
      <c r="I4507">
        <f t="shared" si="281"/>
        <v>4</v>
      </c>
      <c r="J4507" t="str">
        <f t="shared" si="282"/>
        <v>Apr</v>
      </c>
      <c r="K4507" t="str">
        <f t="shared" si="283"/>
        <v>Fri</v>
      </c>
    </row>
    <row r="4508" spans="1:11" x14ac:dyDescent="0.35">
      <c r="A4508" s="1">
        <v>42107</v>
      </c>
      <c r="B4508">
        <v>19.176500320434499</v>
      </c>
      <c r="C4508">
        <v>19.263999938964801</v>
      </c>
      <c r="D4508">
        <v>19.006999969482401</v>
      </c>
      <c r="E4508">
        <v>19.1180000305175</v>
      </c>
      <c r="F4508">
        <v>19.1180000305175</v>
      </c>
      <c r="G4508">
        <v>37890000</v>
      </c>
      <c r="H4508">
        <f t="shared" si="280"/>
        <v>2015</v>
      </c>
      <c r="I4508">
        <f t="shared" si="281"/>
        <v>4</v>
      </c>
      <c r="J4508" t="str">
        <f t="shared" si="282"/>
        <v>Apr</v>
      </c>
      <c r="K4508" t="str">
        <f t="shared" si="283"/>
        <v>Mon</v>
      </c>
    </row>
    <row r="4509" spans="1:11" x14ac:dyDescent="0.35">
      <c r="A4509" s="1">
        <v>42108</v>
      </c>
      <c r="B4509">
        <v>19.175500869750898</v>
      </c>
      <c r="C4509">
        <v>19.390499114990199</v>
      </c>
      <c r="D4509">
        <v>19.060499191284102</v>
      </c>
      <c r="E4509">
        <v>19.255500793456999</v>
      </c>
      <c r="F4509">
        <v>19.255500793456999</v>
      </c>
      <c r="G4509">
        <v>51672000</v>
      </c>
      <c r="H4509">
        <f t="shared" si="280"/>
        <v>2015</v>
      </c>
      <c r="I4509">
        <f t="shared" si="281"/>
        <v>4</v>
      </c>
      <c r="J4509" t="str">
        <f t="shared" si="282"/>
        <v>Apr</v>
      </c>
      <c r="K4509" t="str">
        <f t="shared" si="283"/>
        <v>Tue</v>
      </c>
    </row>
    <row r="4510" spans="1:11" x14ac:dyDescent="0.35">
      <c r="A4510" s="1">
        <v>42109</v>
      </c>
      <c r="B4510">
        <v>19.232500076293899</v>
      </c>
      <c r="C4510">
        <v>19.288999557495099</v>
      </c>
      <c r="D4510">
        <v>19.0820007324218</v>
      </c>
      <c r="E4510">
        <v>19.172500610351499</v>
      </c>
      <c r="F4510">
        <v>19.172500610351499</v>
      </c>
      <c r="G4510">
        <v>38664000</v>
      </c>
      <c r="H4510">
        <f t="shared" si="280"/>
        <v>2015</v>
      </c>
      <c r="I4510">
        <f t="shared" si="281"/>
        <v>4</v>
      </c>
      <c r="J4510" t="str">
        <f t="shared" si="282"/>
        <v>Apr</v>
      </c>
      <c r="K4510" t="str">
        <f t="shared" si="283"/>
        <v>Wed</v>
      </c>
    </row>
    <row r="4511" spans="1:11" x14ac:dyDescent="0.35">
      <c r="A4511" s="1">
        <v>42110</v>
      </c>
      <c r="B4511">
        <v>19.184499740600501</v>
      </c>
      <c r="C4511">
        <v>19.372499465942301</v>
      </c>
      <c r="D4511">
        <v>19.1774997711181</v>
      </c>
      <c r="E4511">
        <v>19.3020000457763</v>
      </c>
      <c r="F4511">
        <v>19.3020000457763</v>
      </c>
      <c r="G4511">
        <v>41608000</v>
      </c>
      <c r="H4511">
        <f t="shared" si="280"/>
        <v>2015</v>
      </c>
      <c r="I4511">
        <f t="shared" si="281"/>
        <v>4</v>
      </c>
      <c r="J4511" t="str">
        <f t="shared" si="282"/>
        <v>Apr</v>
      </c>
      <c r="K4511" t="str">
        <f t="shared" si="283"/>
        <v>Thu</v>
      </c>
    </row>
    <row r="4512" spans="1:11" x14ac:dyDescent="0.35">
      <c r="A4512" s="1">
        <v>42111</v>
      </c>
      <c r="B4512">
        <v>19.1315002441406</v>
      </c>
      <c r="C4512">
        <v>19.177999496459901</v>
      </c>
      <c r="D4512">
        <v>18.7199993133544</v>
      </c>
      <c r="E4512">
        <v>18.777999877929599</v>
      </c>
      <c r="F4512">
        <v>18.777999877929599</v>
      </c>
      <c r="G4512">
        <v>76794000</v>
      </c>
      <c r="H4512">
        <f t="shared" si="280"/>
        <v>2015</v>
      </c>
      <c r="I4512">
        <f t="shared" si="281"/>
        <v>4</v>
      </c>
      <c r="J4512" t="str">
        <f t="shared" si="282"/>
        <v>Apr</v>
      </c>
      <c r="K4512" t="str">
        <f t="shared" si="283"/>
        <v>Fri</v>
      </c>
    </row>
    <row r="4513" spans="1:11" x14ac:dyDescent="0.35">
      <c r="A4513" s="1">
        <v>42114</v>
      </c>
      <c r="B4513">
        <v>18.9274997711181</v>
      </c>
      <c r="C4513">
        <v>19.597000122070298</v>
      </c>
      <c r="D4513">
        <v>18.850000381469702</v>
      </c>
      <c r="E4513">
        <v>19.475500106811499</v>
      </c>
      <c r="F4513">
        <v>19.475500106811499</v>
      </c>
      <c r="G4513">
        <v>100322000</v>
      </c>
      <c r="H4513">
        <f t="shared" si="280"/>
        <v>2015</v>
      </c>
      <c r="I4513">
        <f t="shared" si="281"/>
        <v>4</v>
      </c>
      <c r="J4513" t="str">
        <f t="shared" si="282"/>
        <v>Apr</v>
      </c>
      <c r="K4513" t="str">
        <f t="shared" si="283"/>
        <v>Mon</v>
      </c>
    </row>
    <row r="4514" spans="1:11" x14ac:dyDescent="0.35">
      <c r="A4514" s="1">
        <v>42115</v>
      </c>
      <c r="B4514">
        <v>19.5655002593994</v>
      </c>
      <c r="C4514">
        <v>19.7299995422363</v>
      </c>
      <c r="D4514">
        <v>19.340000152587798</v>
      </c>
      <c r="E4514">
        <v>19.5590000152587</v>
      </c>
      <c r="F4514">
        <v>19.5590000152587</v>
      </c>
      <c r="G4514">
        <v>92870000</v>
      </c>
      <c r="H4514">
        <f t="shared" si="280"/>
        <v>2015</v>
      </c>
      <c r="I4514">
        <f t="shared" si="281"/>
        <v>4</v>
      </c>
      <c r="J4514" t="str">
        <f t="shared" si="282"/>
        <v>Apr</v>
      </c>
      <c r="K4514" t="str">
        <f t="shared" si="283"/>
        <v>Tue</v>
      </c>
    </row>
    <row r="4515" spans="1:11" x14ac:dyDescent="0.35">
      <c r="A4515" s="1">
        <v>42116</v>
      </c>
      <c r="B4515">
        <v>19.595500946044901</v>
      </c>
      <c r="C4515">
        <v>19.714000701904201</v>
      </c>
      <c r="D4515">
        <v>19.399999618530199</v>
      </c>
      <c r="E4515">
        <v>19.4899997711181</v>
      </c>
      <c r="F4515">
        <v>19.4899997711181</v>
      </c>
      <c r="G4515">
        <v>69494000</v>
      </c>
      <c r="H4515">
        <f t="shared" si="280"/>
        <v>2015</v>
      </c>
      <c r="I4515">
        <f t="shared" si="281"/>
        <v>4</v>
      </c>
      <c r="J4515" t="str">
        <f t="shared" si="282"/>
        <v>Apr</v>
      </c>
      <c r="K4515" t="str">
        <f t="shared" si="283"/>
        <v>Wed</v>
      </c>
    </row>
    <row r="4516" spans="1:11" x14ac:dyDescent="0.35">
      <c r="A4516" s="1">
        <v>42117</v>
      </c>
      <c r="B4516">
        <v>19.510499954223601</v>
      </c>
      <c r="C4516">
        <v>19.593999862670898</v>
      </c>
      <c r="D4516">
        <v>19.307500839233398</v>
      </c>
      <c r="E4516">
        <v>19.4995002746582</v>
      </c>
      <c r="F4516">
        <v>19.4995002746582</v>
      </c>
      <c r="G4516">
        <v>159600000</v>
      </c>
      <c r="H4516">
        <f t="shared" si="280"/>
        <v>2015</v>
      </c>
      <c r="I4516">
        <f t="shared" si="281"/>
        <v>4</v>
      </c>
      <c r="J4516" t="str">
        <f t="shared" si="282"/>
        <v>Apr</v>
      </c>
      <c r="K4516" t="str">
        <f t="shared" si="283"/>
        <v>Thu</v>
      </c>
    </row>
    <row r="4517" spans="1:11" x14ac:dyDescent="0.35">
      <c r="A4517" s="1">
        <v>42118</v>
      </c>
      <c r="B4517">
        <v>21.9500007629394</v>
      </c>
      <c r="C4517">
        <v>22.632499694824201</v>
      </c>
      <c r="D4517">
        <v>21.9500007629394</v>
      </c>
      <c r="E4517">
        <v>22.254999160766602</v>
      </c>
      <c r="F4517">
        <v>22.254999160766602</v>
      </c>
      <c r="G4517">
        <v>343538000</v>
      </c>
      <c r="H4517">
        <f t="shared" si="280"/>
        <v>2015</v>
      </c>
      <c r="I4517">
        <f t="shared" si="281"/>
        <v>4</v>
      </c>
      <c r="J4517" t="str">
        <f t="shared" si="282"/>
        <v>Apr</v>
      </c>
      <c r="K4517" t="str">
        <f t="shared" si="283"/>
        <v>Fri</v>
      </c>
    </row>
    <row r="4518" spans="1:11" x14ac:dyDescent="0.35">
      <c r="A4518" s="1">
        <v>42121</v>
      </c>
      <c r="B4518">
        <v>22.193000793456999</v>
      </c>
      <c r="C4518">
        <v>22.349500656127901</v>
      </c>
      <c r="D4518">
        <v>21.870500564575099</v>
      </c>
      <c r="E4518">
        <v>21.927999496459901</v>
      </c>
      <c r="F4518">
        <v>21.927999496459901</v>
      </c>
      <c r="G4518">
        <v>108618000</v>
      </c>
      <c r="H4518">
        <f t="shared" si="280"/>
        <v>2015</v>
      </c>
      <c r="I4518">
        <f t="shared" si="281"/>
        <v>4</v>
      </c>
      <c r="J4518" t="str">
        <f t="shared" si="282"/>
        <v>Apr</v>
      </c>
      <c r="K4518" t="str">
        <f t="shared" si="283"/>
        <v>Mon</v>
      </c>
    </row>
    <row r="4519" spans="1:11" x14ac:dyDescent="0.35">
      <c r="A4519" s="1">
        <v>42122</v>
      </c>
      <c r="B4519">
        <v>21.925500869750898</v>
      </c>
      <c r="C4519">
        <v>21.9500007629394</v>
      </c>
      <c r="D4519">
        <v>21.402000427246001</v>
      </c>
      <c r="E4519">
        <v>21.465499877929599</v>
      </c>
      <c r="F4519">
        <v>21.465499877929599</v>
      </c>
      <c r="G4519">
        <v>82810000</v>
      </c>
      <c r="H4519">
        <f t="shared" si="280"/>
        <v>2015</v>
      </c>
      <c r="I4519">
        <f t="shared" si="281"/>
        <v>4</v>
      </c>
      <c r="J4519" t="str">
        <f t="shared" si="282"/>
        <v>Apr</v>
      </c>
      <c r="K4519" t="str">
        <f t="shared" si="283"/>
        <v>Tue</v>
      </c>
    </row>
    <row r="4520" spans="1:11" x14ac:dyDescent="0.35">
      <c r="A4520" s="1">
        <v>42123</v>
      </c>
      <c r="B4520">
        <v>21.337499618530199</v>
      </c>
      <c r="C4520">
        <v>21.711999893188398</v>
      </c>
      <c r="D4520">
        <v>21.301500320434499</v>
      </c>
      <c r="E4520">
        <v>21.468500137329102</v>
      </c>
      <c r="F4520">
        <v>21.468500137329102</v>
      </c>
      <c r="G4520">
        <v>72434000</v>
      </c>
      <c r="H4520">
        <f t="shared" si="280"/>
        <v>2015</v>
      </c>
      <c r="I4520">
        <f t="shared" si="281"/>
        <v>4</v>
      </c>
      <c r="J4520" t="str">
        <f t="shared" si="282"/>
        <v>Apr</v>
      </c>
      <c r="K4520" t="str">
        <f t="shared" si="283"/>
        <v>Wed</v>
      </c>
    </row>
    <row r="4521" spans="1:11" x14ac:dyDescent="0.35">
      <c r="A4521" s="1">
        <v>42124</v>
      </c>
      <c r="B4521">
        <v>21.3554992675781</v>
      </c>
      <c r="C4521">
        <v>21.587499618530199</v>
      </c>
      <c r="D4521">
        <v>20.961999893188398</v>
      </c>
      <c r="E4521">
        <v>21.089000701904201</v>
      </c>
      <c r="F4521">
        <v>21.089000701904201</v>
      </c>
      <c r="G4521">
        <v>72958000</v>
      </c>
      <c r="H4521">
        <f t="shared" si="280"/>
        <v>2015</v>
      </c>
      <c r="I4521">
        <f t="shared" si="281"/>
        <v>4</v>
      </c>
      <c r="J4521" t="str">
        <f t="shared" si="282"/>
        <v>Apr</v>
      </c>
      <c r="K4521" t="str">
        <f t="shared" si="283"/>
        <v>Thu</v>
      </c>
    </row>
    <row r="4522" spans="1:11" x14ac:dyDescent="0.35">
      <c r="A4522" s="1">
        <v>42125</v>
      </c>
      <c r="B4522">
        <v>21.1909999847412</v>
      </c>
      <c r="C4522">
        <v>21.281999588012599</v>
      </c>
      <c r="D4522">
        <v>20.799999237060501</v>
      </c>
      <c r="E4522">
        <v>21.143499374389599</v>
      </c>
      <c r="F4522">
        <v>21.143499374389599</v>
      </c>
      <c r="G4522">
        <v>71316000</v>
      </c>
      <c r="H4522">
        <f t="shared" si="280"/>
        <v>2015</v>
      </c>
      <c r="I4522">
        <f t="shared" si="281"/>
        <v>5</v>
      </c>
      <c r="J4522" t="str">
        <f t="shared" si="282"/>
        <v>May</v>
      </c>
      <c r="K4522" t="str">
        <f t="shared" si="283"/>
        <v>Fri</v>
      </c>
    </row>
    <row r="4523" spans="1:11" x14ac:dyDescent="0.35">
      <c r="A4523" s="1">
        <v>42128</v>
      </c>
      <c r="B4523">
        <v>21.2399997711181</v>
      </c>
      <c r="C4523">
        <v>21.488500595092699</v>
      </c>
      <c r="D4523">
        <v>21.1210002899169</v>
      </c>
      <c r="E4523">
        <v>21.152000427246001</v>
      </c>
      <c r="F4523">
        <v>21.152000427246001</v>
      </c>
      <c r="G4523">
        <v>45408000</v>
      </c>
      <c r="H4523">
        <f t="shared" si="280"/>
        <v>2015</v>
      </c>
      <c r="I4523">
        <f t="shared" si="281"/>
        <v>5</v>
      </c>
      <c r="J4523" t="str">
        <f t="shared" si="282"/>
        <v>May</v>
      </c>
      <c r="K4523" t="str">
        <f t="shared" si="283"/>
        <v>Mon</v>
      </c>
    </row>
    <row r="4524" spans="1:11" x14ac:dyDescent="0.35">
      <c r="A4524" s="1">
        <v>42129</v>
      </c>
      <c r="B4524">
        <v>21.142499923706001</v>
      </c>
      <c r="C4524">
        <v>21.375499725341701</v>
      </c>
      <c r="D4524">
        <v>21.051000595092699</v>
      </c>
      <c r="E4524">
        <v>21.059499740600501</v>
      </c>
      <c r="F4524">
        <v>21.059499740600501</v>
      </c>
      <c r="G4524">
        <v>57128000</v>
      </c>
      <c r="H4524">
        <f t="shared" si="280"/>
        <v>2015</v>
      </c>
      <c r="I4524">
        <f t="shared" si="281"/>
        <v>5</v>
      </c>
      <c r="J4524" t="str">
        <f t="shared" si="282"/>
        <v>May</v>
      </c>
      <c r="K4524" t="str">
        <f t="shared" si="283"/>
        <v>Tue</v>
      </c>
    </row>
    <row r="4525" spans="1:11" x14ac:dyDescent="0.35">
      <c r="A4525" s="1">
        <v>42130</v>
      </c>
      <c r="B4525">
        <v>21.0715007781982</v>
      </c>
      <c r="C4525">
        <v>21.135999679565401</v>
      </c>
      <c r="D4525">
        <v>20.727500915527301</v>
      </c>
      <c r="E4525">
        <v>20.954999923706001</v>
      </c>
      <c r="F4525">
        <v>20.954999923706001</v>
      </c>
      <c r="G4525">
        <v>51050000</v>
      </c>
      <c r="H4525">
        <f t="shared" si="280"/>
        <v>2015</v>
      </c>
      <c r="I4525">
        <f t="shared" si="281"/>
        <v>5</v>
      </c>
      <c r="J4525" t="str">
        <f t="shared" si="282"/>
        <v>May</v>
      </c>
      <c r="K4525" t="str">
        <f t="shared" si="283"/>
        <v>Wed</v>
      </c>
    </row>
    <row r="4526" spans="1:11" x14ac:dyDescent="0.35">
      <c r="A4526" s="1">
        <v>42131</v>
      </c>
      <c r="B4526">
        <v>21.207500457763601</v>
      </c>
      <c r="C4526">
        <v>21.424999237060501</v>
      </c>
      <c r="D4526">
        <v>21.142499923706001</v>
      </c>
      <c r="E4526">
        <v>21.343999862670898</v>
      </c>
      <c r="F4526">
        <v>21.343999862670898</v>
      </c>
      <c r="G4526">
        <v>55322000</v>
      </c>
      <c r="H4526">
        <f t="shared" si="280"/>
        <v>2015</v>
      </c>
      <c r="I4526">
        <f t="shared" si="281"/>
        <v>5</v>
      </c>
      <c r="J4526" t="str">
        <f t="shared" si="282"/>
        <v>May</v>
      </c>
      <c r="K4526" t="str">
        <f t="shared" si="283"/>
        <v>Thu</v>
      </c>
    </row>
    <row r="4527" spans="1:11" x14ac:dyDescent="0.35">
      <c r="A4527" s="1">
        <v>42132</v>
      </c>
      <c r="B4527">
        <v>21.537500381469702</v>
      </c>
      <c r="C4527">
        <v>21.7600002288818</v>
      </c>
      <c r="D4527">
        <v>21.508499145507798</v>
      </c>
      <c r="E4527">
        <v>21.684499740600501</v>
      </c>
      <c r="F4527">
        <v>21.684499740600501</v>
      </c>
      <c r="G4527">
        <v>58176000</v>
      </c>
      <c r="H4527">
        <f t="shared" si="280"/>
        <v>2015</v>
      </c>
      <c r="I4527">
        <f t="shared" si="281"/>
        <v>5</v>
      </c>
      <c r="J4527" t="str">
        <f t="shared" si="282"/>
        <v>May</v>
      </c>
      <c r="K4527" t="str">
        <f t="shared" si="283"/>
        <v>Fri</v>
      </c>
    </row>
    <row r="4528" spans="1:11" x14ac:dyDescent="0.35">
      <c r="A4528" s="1">
        <v>42135</v>
      </c>
      <c r="B4528">
        <v>21.625499725341701</v>
      </c>
      <c r="C4528">
        <v>21.9500007629394</v>
      </c>
      <c r="D4528">
        <v>21.5685005187988</v>
      </c>
      <c r="E4528">
        <v>21.642499923706001</v>
      </c>
      <c r="F4528">
        <v>21.642499923706001</v>
      </c>
      <c r="G4528">
        <v>47874000</v>
      </c>
      <c r="H4528">
        <f t="shared" si="280"/>
        <v>2015</v>
      </c>
      <c r="I4528">
        <f t="shared" si="281"/>
        <v>5</v>
      </c>
      <c r="J4528" t="str">
        <f t="shared" si="282"/>
        <v>May</v>
      </c>
      <c r="K4528" t="str">
        <f t="shared" si="283"/>
        <v>Mon</v>
      </c>
    </row>
    <row r="4529" spans="1:11" x14ac:dyDescent="0.35">
      <c r="A4529" s="1">
        <v>42136</v>
      </c>
      <c r="B4529">
        <v>21.554000854492099</v>
      </c>
      <c r="C4529">
        <v>21.662500381469702</v>
      </c>
      <c r="D4529">
        <v>21.335500717163001</v>
      </c>
      <c r="E4529">
        <v>21.551000595092699</v>
      </c>
      <c r="F4529">
        <v>21.551000595092699</v>
      </c>
      <c r="G4529">
        <v>38956000</v>
      </c>
      <c r="H4529">
        <f t="shared" si="280"/>
        <v>2015</v>
      </c>
      <c r="I4529">
        <f t="shared" si="281"/>
        <v>5</v>
      </c>
      <c r="J4529" t="str">
        <f t="shared" si="282"/>
        <v>May</v>
      </c>
      <c r="K4529" t="str">
        <f t="shared" si="283"/>
        <v>Tue</v>
      </c>
    </row>
    <row r="4530" spans="1:11" x14ac:dyDescent="0.35">
      <c r="A4530" s="1">
        <v>42137</v>
      </c>
      <c r="B4530">
        <v>21.499000549316399</v>
      </c>
      <c r="C4530">
        <v>21.676500320434499</v>
      </c>
      <c r="D4530">
        <v>21.290000915527301</v>
      </c>
      <c r="E4530">
        <v>21.343500137329102</v>
      </c>
      <c r="F4530">
        <v>21.343500137329102</v>
      </c>
      <c r="G4530">
        <v>39926000</v>
      </c>
      <c r="H4530">
        <f t="shared" si="280"/>
        <v>2015</v>
      </c>
      <c r="I4530">
        <f t="shared" si="281"/>
        <v>5</v>
      </c>
      <c r="J4530" t="str">
        <f t="shared" si="282"/>
        <v>May</v>
      </c>
      <c r="K4530" t="str">
        <f t="shared" si="283"/>
        <v>Wed</v>
      </c>
    </row>
    <row r="4531" spans="1:11" x14ac:dyDescent="0.35">
      <c r="A4531" s="1">
        <v>42138</v>
      </c>
      <c r="B4531">
        <v>21.472499847412099</v>
      </c>
      <c r="C4531">
        <v>21.649999618530199</v>
      </c>
      <c r="D4531">
        <v>21.350500106811499</v>
      </c>
      <c r="E4531">
        <v>21.614000320434499</v>
      </c>
      <c r="F4531">
        <v>21.614000320434499</v>
      </c>
      <c r="G4531">
        <v>37770000</v>
      </c>
      <c r="H4531">
        <f t="shared" si="280"/>
        <v>2015</v>
      </c>
      <c r="I4531">
        <f t="shared" si="281"/>
        <v>5</v>
      </c>
      <c r="J4531" t="str">
        <f t="shared" si="282"/>
        <v>May</v>
      </c>
      <c r="K4531" t="str">
        <f t="shared" si="283"/>
        <v>Thu</v>
      </c>
    </row>
    <row r="4532" spans="1:11" x14ac:dyDescent="0.35">
      <c r="A4532" s="1">
        <v>42139</v>
      </c>
      <c r="B4532">
        <v>21.399999618530199</v>
      </c>
      <c r="C4532">
        <v>21.520000457763601</v>
      </c>
      <c r="D4532">
        <v>21.215000152587798</v>
      </c>
      <c r="E4532">
        <v>21.299999237060501</v>
      </c>
      <c r="F4532">
        <v>21.299999237060501</v>
      </c>
      <c r="G4532">
        <v>84806000</v>
      </c>
      <c r="H4532">
        <f t="shared" si="280"/>
        <v>2015</v>
      </c>
      <c r="I4532">
        <f t="shared" si="281"/>
        <v>5</v>
      </c>
      <c r="J4532" t="str">
        <f t="shared" si="282"/>
        <v>May</v>
      </c>
      <c r="K4532" t="str">
        <f t="shared" si="283"/>
        <v>Fri</v>
      </c>
    </row>
    <row r="4533" spans="1:11" x14ac:dyDescent="0.35">
      <c r="A4533" s="1">
        <v>42142</v>
      </c>
      <c r="B4533">
        <v>21.299999237060501</v>
      </c>
      <c r="C4533">
        <v>21.363500595092699</v>
      </c>
      <c r="D4533">
        <v>21.072999954223601</v>
      </c>
      <c r="E4533">
        <v>21.261999130248999</v>
      </c>
      <c r="F4533">
        <v>21.261999130248999</v>
      </c>
      <c r="G4533">
        <v>47804000</v>
      </c>
      <c r="H4533">
        <f t="shared" si="280"/>
        <v>2015</v>
      </c>
      <c r="I4533">
        <f t="shared" si="281"/>
        <v>5</v>
      </c>
      <c r="J4533" t="str">
        <f t="shared" si="282"/>
        <v>May</v>
      </c>
      <c r="K4533" t="str">
        <f t="shared" si="283"/>
        <v>Mon</v>
      </c>
    </row>
    <row r="4534" spans="1:11" x14ac:dyDescent="0.35">
      <c r="A4534" s="1">
        <v>42143</v>
      </c>
      <c r="B4534">
        <v>21.2434997558593</v>
      </c>
      <c r="C4534">
        <v>21.412000656127901</v>
      </c>
      <c r="D4534">
        <v>21.031499862670898</v>
      </c>
      <c r="E4534">
        <v>21.085500717163001</v>
      </c>
      <c r="F4534">
        <v>21.085500717163001</v>
      </c>
      <c r="G4534">
        <v>49284000</v>
      </c>
      <c r="H4534">
        <f t="shared" si="280"/>
        <v>2015</v>
      </c>
      <c r="I4534">
        <f t="shared" si="281"/>
        <v>5</v>
      </c>
      <c r="J4534" t="str">
        <f t="shared" si="282"/>
        <v>May</v>
      </c>
      <c r="K4534" t="str">
        <f t="shared" si="283"/>
        <v>Tue</v>
      </c>
    </row>
    <row r="4535" spans="1:11" x14ac:dyDescent="0.35">
      <c r="A4535" s="1">
        <v>42144</v>
      </c>
      <c r="B4535">
        <v>21.030000686645501</v>
      </c>
      <c r="C4535">
        <v>21.3549995422363</v>
      </c>
      <c r="D4535">
        <v>20.9179992675781</v>
      </c>
      <c r="E4535">
        <v>21.193000793456999</v>
      </c>
      <c r="F4535">
        <v>21.193000793456999</v>
      </c>
      <c r="G4535">
        <v>43924000</v>
      </c>
      <c r="H4535">
        <f t="shared" si="280"/>
        <v>2015</v>
      </c>
      <c r="I4535">
        <f t="shared" si="281"/>
        <v>5</v>
      </c>
      <c r="J4535" t="str">
        <f t="shared" si="282"/>
        <v>May</v>
      </c>
      <c r="K4535" t="str">
        <f t="shared" si="283"/>
        <v>Wed</v>
      </c>
    </row>
    <row r="4536" spans="1:11" x14ac:dyDescent="0.35">
      <c r="A4536" s="1">
        <v>42145</v>
      </c>
      <c r="B4536">
        <v>21.399999618530199</v>
      </c>
      <c r="C4536">
        <v>21.8449993133544</v>
      </c>
      <c r="D4536">
        <v>21.399999618530199</v>
      </c>
      <c r="E4536">
        <v>21.581499099731399</v>
      </c>
      <c r="F4536">
        <v>21.581499099731399</v>
      </c>
      <c r="G4536">
        <v>82428000</v>
      </c>
      <c r="H4536">
        <f t="shared" si="280"/>
        <v>2015</v>
      </c>
      <c r="I4536">
        <f t="shared" si="281"/>
        <v>5</v>
      </c>
      <c r="J4536" t="str">
        <f t="shared" si="282"/>
        <v>May</v>
      </c>
      <c r="K4536" t="str">
        <f t="shared" si="283"/>
        <v>Thu</v>
      </c>
    </row>
    <row r="4537" spans="1:11" x14ac:dyDescent="0.35">
      <c r="A4537" s="1">
        <v>42146</v>
      </c>
      <c r="B4537">
        <v>21.577499389648398</v>
      </c>
      <c r="C4537">
        <v>21.621999740600501</v>
      </c>
      <c r="D4537">
        <v>21.380500793456999</v>
      </c>
      <c r="E4537">
        <v>21.3815002441406</v>
      </c>
      <c r="F4537">
        <v>21.3815002441406</v>
      </c>
      <c r="G4537">
        <v>40412000</v>
      </c>
      <c r="H4537">
        <f t="shared" si="280"/>
        <v>2015</v>
      </c>
      <c r="I4537">
        <f t="shared" si="281"/>
        <v>5</v>
      </c>
      <c r="J4537" t="str">
        <f t="shared" si="282"/>
        <v>May</v>
      </c>
      <c r="K4537" t="str">
        <f t="shared" si="283"/>
        <v>Fri</v>
      </c>
    </row>
    <row r="4538" spans="1:11" x14ac:dyDescent="0.35">
      <c r="A4538" s="1">
        <v>42150</v>
      </c>
      <c r="B4538">
        <v>21.309999465942301</v>
      </c>
      <c r="C4538">
        <v>21.350000381469702</v>
      </c>
      <c r="D4538">
        <v>21.100000381469702</v>
      </c>
      <c r="E4538">
        <v>21.273500442504801</v>
      </c>
      <c r="F4538">
        <v>21.273500442504801</v>
      </c>
      <c r="G4538">
        <v>44884000</v>
      </c>
      <c r="H4538">
        <f t="shared" si="280"/>
        <v>2015</v>
      </c>
      <c r="I4538">
        <f t="shared" si="281"/>
        <v>5</v>
      </c>
      <c r="J4538" t="str">
        <f t="shared" si="282"/>
        <v>May</v>
      </c>
      <c r="K4538" t="str">
        <f t="shared" si="283"/>
        <v>Tue</v>
      </c>
    </row>
    <row r="4539" spans="1:11" x14ac:dyDescent="0.35">
      <c r="A4539" s="1">
        <v>42151</v>
      </c>
      <c r="B4539">
        <v>21.372499465942301</v>
      </c>
      <c r="C4539">
        <v>21.592500686645501</v>
      </c>
      <c r="D4539">
        <v>21.250499725341701</v>
      </c>
      <c r="E4539">
        <v>21.570999145507798</v>
      </c>
      <c r="F4539">
        <v>21.570999145507798</v>
      </c>
      <c r="G4539">
        <v>44622000</v>
      </c>
      <c r="H4539">
        <f t="shared" si="280"/>
        <v>2015</v>
      </c>
      <c r="I4539">
        <f t="shared" si="281"/>
        <v>5</v>
      </c>
      <c r="J4539" t="str">
        <f t="shared" si="282"/>
        <v>May</v>
      </c>
      <c r="K4539" t="str">
        <f t="shared" si="283"/>
        <v>Wed</v>
      </c>
    </row>
    <row r="4540" spans="1:11" x14ac:dyDescent="0.35">
      <c r="A4540" s="1">
        <v>42152</v>
      </c>
      <c r="B4540">
        <v>21.485500335693299</v>
      </c>
      <c r="C4540">
        <v>21.567499160766602</v>
      </c>
      <c r="D4540">
        <v>21.273500442504801</v>
      </c>
      <c r="E4540">
        <v>21.3285007476806</v>
      </c>
      <c r="F4540">
        <v>21.3285007476806</v>
      </c>
      <c r="G4540">
        <v>38248000</v>
      </c>
      <c r="H4540">
        <f t="shared" si="280"/>
        <v>2015</v>
      </c>
      <c r="I4540">
        <f t="shared" si="281"/>
        <v>5</v>
      </c>
      <c r="J4540" t="str">
        <f t="shared" si="282"/>
        <v>May</v>
      </c>
      <c r="K4540" t="str">
        <f t="shared" si="283"/>
        <v>Thu</v>
      </c>
    </row>
    <row r="4541" spans="1:11" x14ac:dyDescent="0.35">
      <c r="A4541" s="1">
        <v>42153</v>
      </c>
      <c r="B4541">
        <v>21.3614997863769</v>
      </c>
      <c r="C4541">
        <v>21.625</v>
      </c>
      <c r="D4541">
        <v>21.3614997863769</v>
      </c>
      <c r="E4541">
        <v>21.461500167846602</v>
      </c>
      <c r="F4541">
        <v>21.461500167846602</v>
      </c>
      <c r="G4541">
        <v>60322000</v>
      </c>
      <c r="H4541">
        <f t="shared" si="280"/>
        <v>2015</v>
      </c>
      <c r="I4541">
        <f t="shared" si="281"/>
        <v>5</v>
      </c>
      <c r="J4541" t="str">
        <f t="shared" si="282"/>
        <v>May</v>
      </c>
      <c r="K4541" t="str">
        <f t="shared" si="283"/>
        <v>Fri</v>
      </c>
    </row>
    <row r="4542" spans="1:11" x14ac:dyDescent="0.35">
      <c r="A4542" s="1">
        <v>42156</v>
      </c>
      <c r="B4542">
        <v>21.520000457763601</v>
      </c>
      <c r="C4542">
        <v>21.658000946044901</v>
      </c>
      <c r="D4542">
        <v>21.309999465942301</v>
      </c>
      <c r="E4542">
        <v>21.5459995269775</v>
      </c>
      <c r="F4542">
        <v>21.5459995269775</v>
      </c>
      <c r="G4542">
        <v>45066000</v>
      </c>
      <c r="H4542">
        <f t="shared" si="280"/>
        <v>2015</v>
      </c>
      <c r="I4542">
        <f t="shared" si="281"/>
        <v>6</v>
      </c>
      <c r="J4542" t="str">
        <f t="shared" si="282"/>
        <v>Jun</v>
      </c>
      <c r="K4542" t="str">
        <f t="shared" si="283"/>
        <v>Mon</v>
      </c>
    </row>
    <row r="4543" spans="1:11" x14ac:dyDescent="0.35">
      <c r="A4543" s="1">
        <v>42157</v>
      </c>
      <c r="B4543">
        <v>21.5034999847412</v>
      </c>
      <c r="C4543">
        <v>21.661500930786101</v>
      </c>
      <c r="D4543">
        <v>21.3125</v>
      </c>
      <c r="E4543">
        <v>21.5494995117187</v>
      </c>
      <c r="F4543">
        <v>21.5494995117187</v>
      </c>
      <c r="G4543">
        <v>33378000</v>
      </c>
      <c r="H4543">
        <f t="shared" si="280"/>
        <v>2015</v>
      </c>
      <c r="I4543">
        <f t="shared" si="281"/>
        <v>6</v>
      </c>
      <c r="J4543" t="str">
        <f t="shared" si="282"/>
        <v>Jun</v>
      </c>
      <c r="K4543" t="str">
        <f t="shared" si="283"/>
        <v>Tue</v>
      </c>
    </row>
    <row r="4544" spans="1:11" x14ac:dyDescent="0.35">
      <c r="A4544" s="1">
        <v>42158</v>
      </c>
      <c r="B4544">
        <v>21.7199993133544</v>
      </c>
      <c r="C4544">
        <v>21.919500350952099</v>
      </c>
      <c r="D4544">
        <v>21.6375007629394</v>
      </c>
      <c r="E4544">
        <v>21.829500198364201</v>
      </c>
      <c r="F4544">
        <v>21.829500198364201</v>
      </c>
      <c r="G4544">
        <v>54558000</v>
      </c>
      <c r="H4544">
        <f t="shared" si="280"/>
        <v>2015</v>
      </c>
      <c r="I4544">
        <f t="shared" si="281"/>
        <v>6</v>
      </c>
      <c r="J4544" t="str">
        <f t="shared" si="282"/>
        <v>Jun</v>
      </c>
      <c r="K4544" t="str">
        <f t="shared" si="283"/>
        <v>Wed</v>
      </c>
    </row>
    <row r="4545" spans="1:11" x14ac:dyDescent="0.35">
      <c r="A4545" s="1">
        <v>42159</v>
      </c>
      <c r="B4545">
        <v>21.7199993133544</v>
      </c>
      <c r="C4545">
        <v>21.837999343871999</v>
      </c>
      <c r="D4545">
        <v>21.462999343871999</v>
      </c>
      <c r="E4545">
        <v>21.538999557495099</v>
      </c>
      <c r="F4545">
        <v>21.538999557495099</v>
      </c>
      <c r="G4545">
        <v>50216000</v>
      </c>
      <c r="H4545">
        <f t="shared" si="280"/>
        <v>2015</v>
      </c>
      <c r="I4545">
        <f t="shared" si="281"/>
        <v>6</v>
      </c>
      <c r="J4545" t="str">
        <f t="shared" si="282"/>
        <v>Jun</v>
      </c>
      <c r="K4545" t="str">
        <f t="shared" si="283"/>
        <v>Thu</v>
      </c>
    </row>
    <row r="4546" spans="1:11" x14ac:dyDescent="0.35">
      <c r="A4546" s="1">
        <v>42160</v>
      </c>
      <c r="B4546">
        <v>21.4829998016357</v>
      </c>
      <c r="C4546">
        <v>21.540000915527301</v>
      </c>
      <c r="D4546">
        <v>21.3250007629394</v>
      </c>
      <c r="E4546">
        <v>21.347499847412099</v>
      </c>
      <c r="F4546">
        <v>21.347499847412099</v>
      </c>
      <c r="G4546">
        <v>38158000</v>
      </c>
      <c r="H4546">
        <f t="shared" si="280"/>
        <v>2015</v>
      </c>
      <c r="I4546">
        <f t="shared" si="281"/>
        <v>6</v>
      </c>
      <c r="J4546" t="str">
        <f t="shared" si="282"/>
        <v>Jun</v>
      </c>
      <c r="K4546" t="str">
        <f t="shared" si="283"/>
        <v>Fri</v>
      </c>
    </row>
    <row r="4547" spans="1:11" x14ac:dyDescent="0.35">
      <c r="A4547" s="1">
        <v>42163</v>
      </c>
      <c r="B4547">
        <v>21.281000137329102</v>
      </c>
      <c r="C4547">
        <v>21.340000152587798</v>
      </c>
      <c r="D4547">
        <v>21.0715007781982</v>
      </c>
      <c r="E4547">
        <v>21.174999237060501</v>
      </c>
      <c r="F4547">
        <v>21.174999237060501</v>
      </c>
      <c r="G4547">
        <v>43450000</v>
      </c>
      <c r="H4547">
        <f t="shared" si="280"/>
        <v>2015</v>
      </c>
      <c r="I4547">
        <f t="shared" si="281"/>
        <v>6</v>
      </c>
      <c r="J4547" t="str">
        <f t="shared" si="282"/>
        <v>Jun</v>
      </c>
      <c r="K4547" t="str">
        <f t="shared" si="283"/>
        <v>Mon</v>
      </c>
    </row>
    <row r="4548" spans="1:11" x14ac:dyDescent="0.35">
      <c r="A4548" s="1">
        <v>42164</v>
      </c>
      <c r="B4548">
        <v>21.148000717163001</v>
      </c>
      <c r="C4548">
        <v>21.3745002746582</v>
      </c>
      <c r="D4548">
        <v>20.9570007324218</v>
      </c>
      <c r="E4548">
        <v>21.274000167846602</v>
      </c>
      <c r="F4548">
        <v>21.274000167846602</v>
      </c>
      <c r="G4548">
        <v>45774000</v>
      </c>
      <c r="H4548">
        <f t="shared" ref="H4548:H4611" si="284">YEAR($A4548)</f>
        <v>2015</v>
      </c>
      <c r="I4548">
        <f t="shared" ref="I4548:I4611" si="285">MONTH($A4548)</f>
        <v>6</v>
      </c>
      <c r="J4548" t="str">
        <f t="shared" ref="J4548:J4611" si="286">TEXT($A4548,"mmm")</f>
        <v>Jun</v>
      </c>
      <c r="K4548" t="str">
        <f t="shared" ref="K4548:K4611" si="287">TEXT($A4548,"ddd")</f>
        <v>Tue</v>
      </c>
    </row>
    <row r="4549" spans="1:11" x14ac:dyDescent="0.35">
      <c r="A4549" s="1">
        <v>42165</v>
      </c>
      <c r="B4549">
        <v>21.322999954223601</v>
      </c>
      <c r="C4549">
        <v>21.610000610351499</v>
      </c>
      <c r="D4549">
        <v>21.283000946044901</v>
      </c>
      <c r="E4549">
        <v>21.538499832153299</v>
      </c>
      <c r="F4549">
        <v>21.538499832153299</v>
      </c>
      <c r="G4549">
        <v>43446000</v>
      </c>
      <c r="H4549">
        <f t="shared" si="284"/>
        <v>2015</v>
      </c>
      <c r="I4549">
        <f t="shared" si="285"/>
        <v>6</v>
      </c>
      <c r="J4549" t="str">
        <f t="shared" si="286"/>
        <v>Jun</v>
      </c>
      <c r="K4549" t="str">
        <f t="shared" si="287"/>
        <v>Wed</v>
      </c>
    </row>
    <row r="4550" spans="1:11" x14ac:dyDescent="0.35">
      <c r="A4550" s="1">
        <v>42166</v>
      </c>
      <c r="B4550">
        <v>21.6145000457763</v>
      </c>
      <c r="C4550">
        <v>21.944499969482401</v>
      </c>
      <c r="D4550">
        <v>21.573499679565401</v>
      </c>
      <c r="E4550">
        <v>21.648500442504801</v>
      </c>
      <c r="F4550">
        <v>21.648500442504801</v>
      </c>
      <c r="G4550">
        <v>58450000</v>
      </c>
      <c r="H4550">
        <f t="shared" si="284"/>
        <v>2015</v>
      </c>
      <c r="I4550">
        <f t="shared" si="285"/>
        <v>6</v>
      </c>
      <c r="J4550" t="str">
        <f t="shared" si="286"/>
        <v>Jun</v>
      </c>
      <c r="K4550" t="str">
        <f t="shared" si="287"/>
        <v>Thu</v>
      </c>
    </row>
    <row r="4551" spans="1:11" x14ac:dyDescent="0.35">
      <c r="A4551" s="1">
        <v>42167</v>
      </c>
      <c r="B4551">
        <v>21.5625</v>
      </c>
      <c r="C4551">
        <v>21.6180000305175</v>
      </c>
      <c r="D4551">
        <v>21.413000106811499</v>
      </c>
      <c r="E4551">
        <v>21.4960002899169</v>
      </c>
      <c r="F4551">
        <v>21.4960002899169</v>
      </c>
      <c r="G4551">
        <v>41088000</v>
      </c>
      <c r="H4551">
        <f t="shared" si="284"/>
        <v>2015</v>
      </c>
      <c r="I4551">
        <f t="shared" si="285"/>
        <v>6</v>
      </c>
      <c r="J4551" t="str">
        <f t="shared" si="286"/>
        <v>Jun</v>
      </c>
      <c r="K4551" t="str">
        <f t="shared" si="287"/>
        <v>Fri</v>
      </c>
    </row>
    <row r="4552" spans="1:11" x14ac:dyDescent="0.35">
      <c r="A4552" s="1">
        <v>42170</v>
      </c>
      <c r="B4552">
        <v>21.382999420166001</v>
      </c>
      <c r="C4552">
        <v>21.402500152587798</v>
      </c>
      <c r="D4552">
        <v>21.131999969482401</v>
      </c>
      <c r="E4552">
        <v>21.1835002899169</v>
      </c>
      <c r="F4552">
        <v>21.1835002899169</v>
      </c>
      <c r="G4552">
        <v>41020000</v>
      </c>
      <c r="H4552">
        <f t="shared" si="284"/>
        <v>2015</v>
      </c>
      <c r="I4552">
        <f t="shared" si="285"/>
        <v>6</v>
      </c>
      <c r="J4552" t="str">
        <f t="shared" si="286"/>
        <v>Jun</v>
      </c>
      <c r="K4552" t="str">
        <f t="shared" si="287"/>
        <v>Mon</v>
      </c>
    </row>
    <row r="4553" spans="1:11" x14ac:dyDescent="0.35">
      <c r="A4553" s="1">
        <v>42171</v>
      </c>
      <c r="B4553">
        <v>21.207500457763601</v>
      </c>
      <c r="C4553">
        <v>21.398500442504801</v>
      </c>
      <c r="D4553">
        <v>21.133499145507798</v>
      </c>
      <c r="E4553">
        <v>21.363000869750898</v>
      </c>
      <c r="F4553">
        <v>21.363000869750898</v>
      </c>
      <c r="G4553">
        <v>45928000</v>
      </c>
      <c r="H4553">
        <f t="shared" si="284"/>
        <v>2015</v>
      </c>
      <c r="I4553">
        <f t="shared" si="285"/>
        <v>6</v>
      </c>
      <c r="J4553" t="str">
        <f t="shared" si="286"/>
        <v>Jun</v>
      </c>
      <c r="K4553" t="str">
        <f t="shared" si="287"/>
        <v>Tue</v>
      </c>
    </row>
    <row r="4554" spans="1:11" x14ac:dyDescent="0.35">
      <c r="A4554" s="1">
        <v>42172</v>
      </c>
      <c r="B4554">
        <v>21.4179992675781</v>
      </c>
      <c r="C4554">
        <v>21.567499160766602</v>
      </c>
      <c r="D4554">
        <v>21.237499237060501</v>
      </c>
      <c r="E4554">
        <v>21.390499114990199</v>
      </c>
      <c r="F4554">
        <v>21.390499114990199</v>
      </c>
      <c r="G4554">
        <v>43718000</v>
      </c>
      <c r="H4554">
        <f t="shared" si="284"/>
        <v>2015</v>
      </c>
      <c r="I4554">
        <f t="shared" si="285"/>
        <v>6</v>
      </c>
      <c r="J4554" t="str">
        <f t="shared" si="286"/>
        <v>Jun</v>
      </c>
      <c r="K4554" t="str">
        <f t="shared" si="287"/>
        <v>Wed</v>
      </c>
    </row>
    <row r="4555" spans="1:11" x14ac:dyDescent="0.35">
      <c r="A4555" s="1">
        <v>42173</v>
      </c>
      <c r="B4555">
        <v>21.514999389648398</v>
      </c>
      <c r="C4555">
        <v>21.9864997863769</v>
      </c>
      <c r="D4555">
        <v>21.470500946044901</v>
      </c>
      <c r="E4555">
        <v>21.969499588012599</v>
      </c>
      <c r="F4555">
        <v>21.969499588012599</v>
      </c>
      <c r="G4555">
        <v>67568000</v>
      </c>
      <c r="H4555">
        <f t="shared" si="284"/>
        <v>2015</v>
      </c>
      <c r="I4555">
        <f t="shared" si="285"/>
        <v>6</v>
      </c>
      <c r="J4555" t="str">
        <f t="shared" si="286"/>
        <v>Jun</v>
      </c>
      <c r="K4555" t="str">
        <f t="shared" si="287"/>
        <v>Thu</v>
      </c>
    </row>
    <row r="4556" spans="1:11" x14ac:dyDescent="0.35">
      <c r="A4556" s="1">
        <v>42174</v>
      </c>
      <c r="B4556">
        <v>22.0130004882812</v>
      </c>
      <c r="C4556">
        <v>22.2495002746582</v>
      </c>
      <c r="D4556">
        <v>21.662000656127901</v>
      </c>
      <c r="E4556">
        <v>21.7460002899169</v>
      </c>
      <c r="F4556">
        <v>21.7460002899169</v>
      </c>
      <c r="G4556">
        <v>89902000</v>
      </c>
      <c r="H4556">
        <f t="shared" si="284"/>
        <v>2015</v>
      </c>
      <c r="I4556">
        <f t="shared" si="285"/>
        <v>6</v>
      </c>
      <c r="J4556" t="str">
        <f t="shared" si="286"/>
        <v>Jun</v>
      </c>
      <c r="K4556" t="str">
        <f t="shared" si="287"/>
        <v>Fri</v>
      </c>
    </row>
    <row r="4557" spans="1:11" x14ac:dyDescent="0.35">
      <c r="A4557" s="1">
        <v>42177</v>
      </c>
      <c r="B4557">
        <v>21.850000381469702</v>
      </c>
      <c r="C4557">
        <v>21.961999893188398</v>
      </c>
      <c r="D4557">
        <v>21.708999633788999</v>
      </c>
      <c r="E4557">
        <v>21.814500808715799</v>
      </c>
      <c r="F4557">
        <v>21.814500808715799</v>
      </c>
      <c r="G4557">
        <v>36472000</v>
      </c>
      <c r="H4557">
        <f t="shared" si="284"/>
        <v>2015</v>
      </c>
      <c r="I4557">
        <f t="shared" si="285"/>
        <v>6</v>
      </c>
      <c r="J4557" t="str">
        <f t="shared" si="286"/>
        <v>Jun</v>
      </c>
      <c r="K4557" t="str">
        <f t="shared" si="287"/>
        <v>Mon</v>
      </c>
    </row>
    <row r="4558" spans="1:11" x14ac:dyDescent="0.35">
      <c r="A4558" s="1">
        <v>42178</v>
      </c>
      <c r="B4558">
        <v>21.779499053955</v>
      </c>
      <c r="C4558">
        <v>22.3519992828369</v>
      </c>
      <c r="D4558">
        <v>21.684499740600501</v>
      </c>
      <c r="E4558">
        <v>22.2994995117187</v>
      </c>
      <c r="F4558">
        <v>22.2994995117187</v>
      </c>
      <c r="G4558">
        <v>64900000</v>
      </c>
      <c r="H4558">
        <f t="shared" si="284"/>
        <v>2015</v>
      </c>
      <c r="I4558">
        <f t="shared" si="285"/>
        <v>6</v>
      </c>
      <c r="J4558" t="str">
        <f t="shared" si="286"/>
        <v>Jun</v>
      </c>
      <c r="K4558" t="str">
        <f t="shared" si="287"/>
        <v>Tue</v>
      </c>
    </row>
    <row r="4559" spans="1:11" x14ac:dyDescent="0.35">
      <c r="A4559" s="1">
        <v>42179</v>
      </c>
      <c r="B4559">
        <v>22.248500823974599</v>
      </c>
      <c r="C4559">
        <v>22.323499679565401</v>
      </c>
      <c r="D4559">
        <v>22.011499404907202</v>
      </c>
      <c r="E4559">
        <v>22.041999816894499</v>
      </c>
      <c r="F4559">
        <v>22.041999816894499</v>
      </c>
      <c r="G4559">
        <v>52416000</v>
      </c>
      <c r="H4559">
        <f t="shared" si="284"/>
        <v>2015</v>
      </c>
      <c r="I4559">
        <f t="shared" si="285"/>
        <v>6</v>
      </c>
      <c r="J4559" t="str">
        <f t="shared" si="286"/>
        <v>Jun</v>
      </c>
      <c r="K4559" t="str">
        <f t="shared" si="287"/>
        <v>Wed</v>
      </c>
    </row>
    <row r="4560" spans="1:11" x14ac:dyDescent="0.35">
      <c r="A4560" s="1">
        <v>42180</v>
      </c>
      <c r="B4560">
        <v>21.903499603271399</v>
      </c>
      <c r="C4560">
        <v>22.173500061035099</v>
      </c>
      <c r="D4560">
        <v>21.819499969482401</v>
      </c>
      <c r="E4560">
        <v>22.004999160766602</v>
      </c>
      <c r="F4560">
        <v>22.004999160766602</v>
      </c>
      <c r="G4560">
        <v>44750000</v>
      </c>
      <c r="H4560">
        <f t="shared" si="284"/>
        <v>2015</v>
      </c>
      <c r="I4560">
        <f t="shared" si="285"/>
        <v>6</v>
      </c>
      <c r="J4560" t="str">
        <f t="shared" si="286"/>
        <v>Jun</v>
      </c>
      <c r="K4560" t="str">
        <f t="shared" si="287"/>
        <v>Thu</v>
      </c>
    </row>
    <row r="4561" spans="1:11" x14ac:dyDescent="0.35">
      <c r="A4561" s="1">
        <v>42181</v>
      </c>
      <c r="B4561">
        <v>22.087999343871999</v>
      </c>
      <c r="C4561">
        <v>22.1744995117187</v>
      </c>
      <c r="D4561">
        <v>21.7530002593994</v>
      </c>
      <c r="E4561">
        <v>21.905000686645501</v>
      </c>
      <c r="F4561">
        <v>21.905000686645501</v>
      </c>
      <c r="G4561">
        <v>52490000</v>
      </c>
      <c r="H4561">
        <f t="shared" si="284"/>
        <v>2015</v>
      </c>
      <c r="I4561">
        <f t="shared" si="285"/>
        <v>6</v>
      </c>
      <c r="J4561" t="str">
        <f t="shared" si="286"/>
        <v>Jun</v>
      </c>
      <c r="K4561" t="str">
        <f t="shared" si="287"/>
        <v>Fri</v>
      </c>
    </row>
    <row r="4562" spans="1:11" x14ac:dyDescent="0.35">
      <c r="A4562" s="1">
        <v>42184</v>
      </c>
      <c r="B4562">
        <v>21.749000549316399</v>
      </c>
      <c r="C4562">
        <v>21.850000381469702</v>
      </c>
      <c r="D4562">
        <v>21.4500007629394</v>
      </c>
      <c r="E4562">
        <v>21.4930000305175</v>
      </c>
      <c r="F4562">
        <v>21.4930000305175</v>
      </c>
      <c r="G4562">
        <v>55064000</v>
      </c>
      <c r="H4562">
        <f t="shared" si="284"/>
        <v>2015</v>
      </c>
      <c r="I4562">
        <f t="shared" si="285"/>
        <v>6</v>
      </c>
      <c r="J4562" t="str">
        <f t="shared" si="286"/>
        <v>Jun</v>
      </c>
      <c r="K4562" t="str">
        <f t="shared" si="287"/>
        <v>Mon</v>
      </c>
    </row>
    <row r="4563" spans="1:11" x14ac:dyDescent="0.35">
      <c r="A4563" s="1">
        <v>42185</v>
      </c>
      <c r="B4563">
        <v>21.709999084472599</v>
      </c>
      <c r="C4563">
        <v>21.778499603271399</v>
      </c>
      <c r="D4563">
        <v>21.523000717163001</v>
      </c>
      <c r="E4563">
        <v>21.704500198364201</v>
      </c>
      <c r="F4563">
        <v>21.704500198364201</v>
      </c>
      <c r="G4563">
        <v>51938000</v>
      </c>
      <c r="H4563">
        <f t="shared" si="284"/>
        <v>2015</v>
      </c>
      <c r="I4563">
        <f t="shared" si="285"/>
        <v>6</v>
      </c>
      <c r="J4563" t="str">
        <f t="shared" si="286"/>
        <v>Jun</v>
      </c>
      <c r="K4563" t="str">
        <f t="shared" si="287"/>
        <v>Tue</v>
      </c>
    </row>
    <row r="4564" spans="1:11" x14ac:dyDescent="0.35">
      <c r="A4564" s="1">
        <v>42186</v>
      </c>
      <c r="B4564">
        <v>21.967500686645501</v>
      </c>
      <c r="C4564">
        <v>22</v>
      </c>
      <c r="D4564">
        <v>21.7789993286132</v>
      </c>
      <c r="E4564">
        <v>21.869499206542901</v>
      </c>
      <c r="F4564">
        <v>21.869499206542901</v>
      </c>
      <c r="G4564">
        <v>39742000</v>
      </c>
      <c r="H4564">
        <f t="shared" si="284"/>
        <v>2015</v>
      </c>
      <c r="I4564">
        <f t="shared" si="285"/>
        <v>7</v>
      </c>
      <c r="J4564" t="str">
        <f t="shared" si="286"/>
        <v>Jul</v>
      </c>
      <c r="K4564" t="str">
        <f t="shared" si="287"/>
        <v>Wed</v>
      </c>
    </row>
    <row r="4565" spans="1:11" x14ac:dyDescent="0.35">
      <c r="A4565" s="1">
        <v>42187</v>
      </c>
      <c r="B4565">
        <v>21.850000381469702</v>
      </c>
      <c r="C4565">
        <v>21.909999847412099</v>
      </c>
      <c r="D4565">
        <v>21.6739997863769</v>
      </c>
      <c r="E4565">
        <v>21.885499954223601</v>
      </c>
      <c r="F4565">
        <v>21.885499954223601</v>
      </c>
      <c r="G4565">
        <v>26868000</v>
      </c>
      <c r="H4565">
        <f t="shared" si="284"/>
        <v>2015</v>
      </c>
      <c r="I4565">
        <f t="shared" si="285"/>
        <v>7</v>
      </c>
      <c r="J4565" t="str">
        <f t="shared" si="286"/>
        <v>Jul</v>
      </c>
      <c r="K4565" t="str">
        <f t="shared" si="287"/>
        <v>Thu</v>
      </c>
    </row>
    <row r="4566" spans="1:11" x14ac:dyDescent="0.35">
      <c r="A4566" s="1">
        <v>42191</v>
      </c>
      <c r="B4566">
        <v>21.761499404907202</v>
      </c>
      <c r="C4566">
        <v>21.9864997863769</v>
      </c>
      <c r="D4566">
        <v>21.676000595092699</v>
      </c>
      <c r="E4566">
        <v>21.8020000457763</v>
      </c>
      <c r="F4566">
        <v>21.8020000457763</v>
      </c>
      <c r="G4566">
        <v>38064000</v>
      </c>
      <c r="H4566">
        <f t="shared" si="284"/>
        <v>2015</v>
      </c>
      <c r="I4566">
        <f t="shared" si="285"/>
        <v>7</v>
      </c>
      <c r="J4566" t="str">
        <f t="shared" si="286"/>
        <v>Jul</v>
      </c>
      <c r="K4566" t="str">
        <f t="shared" si="287"/>
        <v>Mon</v>
      </c>
    </row>
    <row r="4567" spans="1:11" x14ac:dyDescent="0.35">
      <c r="A4567" s="1">
        <v>42192</v>
      </c>
      <c r="B4567">
        <v>21.784000396728501</v>
      </c>
      <c r="C4567">
        <v>21.886499404907202</v>
      </c>
      <c r="D4567">
        <v>21.278499603271399</v>
      </c>
      <c r="E4567">
        <v>21.836000442504801</v>
      </c>
      <c r="F4567">
        <v>21.836000442504801</v>
      </c>
      <c r="G4567">
        <v>69084000</v>
      </c>
      <c r="H4567">
        <f t="shared" si="284"/>
        <v>2015</v>
      </c>
      <c r="I4567">
        <f t="shared" si="285"/>
        <v>7</v>
      </c>
      <c r="J4567" t="str">
        <f t="shared" si="286"/>
        <v>Jul</v>
      </c>
      <c r="K4567" t="str">
        <f t="shared" si="287"/>
        <v>Tue</v>
      </c>
    </row>
    <row r="4568" spans="1:11" x14ac:dyDescent="0.35">
      <c r="A4568" s="1">
        <v>42193</v>
      </c>
      <c r="B4568">
        <v>21.717500686645501</v>
      </c>
      <c r="C4568">
        <v>21.7994995117187</v>
      </c>
      <c r="D4568">
        <v>21.441499710083001</v>
      </c>
      <c r="E4568">
        <v>21.485000610351499</v>
      </c>
      <c r="F4568">
        <v>21.485000610351499</v>
      </c>
      <c r="G4568">
        <v>47662000</v>
      </c>
      <c r="H4568">
        <f t="shared" si="284"/>
        <v>2015</v>
      </c>
      <c r="I4568">
        <f t="shared" si="285"/>
        <v>7</v>
      </c>
      <c r="J4568" t="str">
        <f t="shared" si="286"/>
        <v>Jul</v>
      </c>
      <c r="K4568" t="str">
        <f t="shared" si="287"/>
        <v>Wed</v>
      </c>
    </row>
    <row r="4569" spans="1:11" x14ac:dyDescent="0.35">
      <c r="A4569" s="1">
        <v>42194</v>
      </c>
      <c r="B4569">
        <v>21.745000839233398</v>
      </c>
      <c r="C4569">
        <v>21.936000823974599</v>
      </c>
      <c r="D4569">
        <v>21.707500457763601</v>
      </c>
      <c r="E4569">
        <v>21.719499588012599</v>
      </c>
      <c r="F4569">
        <v>21.719499588012599</v>
      </c>
      <c r="G4569">
        <v>45428000</v>
      </c>
      <c r="H4569">
        <f t="shared" si="284"/>
        <v>2015</v>
      </c>
      <c r="I4569">
        <f t="shared" si="285"/>
        <v>7</v>
      </c>
      <c r="J4569" t="str">
        <f t="shared" si="286"/>
        <v>Jul</v>
      </c>
      <c r="K4569" t="str">
        <f t="shared" si="287"/>
        <v>Thu</v>
      </c>
    </row>
    <row r="4570" spans="1:11" x14ac:dyDescent="0.35">
      <c r="A4570" s="1">
        <v>42195</v>
      </c>
      <c r="B4570">
        <v>22.024499893188398</v>
      </c>
      <c r="C4570">
        <v>22.236000061035099</v>
      </c>
      <c r="D4570">
        <v>21.9500007629394</v>
      </c>
      <c r="E4570">
        <v>22.175500869750898</v>
      </c>
      <c r="F4570">
        <v>22.175500869750898</v>
      </c>
      <c r="G4570">
        <v>48020000</v>
      </c>
      <c r="H4570">
        <f t="shared" si="284"/>
        <v>2015</v>
      </c>
      <c r="I4570">
        <f t="shared" si="285"/>
        <v>7</v>
      </c>
      <c r="J4570" t="str">
        <f t="shared" si="286"/>
        <v>Jul</v>
      </c>
      <c r="K4570" t="str">
        <f t="shared" si="287"/>
        <v>Fri</v>
      </c>
    </row>
    <row r="4571" spans="1:11" x14ac:dyDescent="0.35">
      <c r="A4571" s="1">
        <v>42198</v>
      </c>
      <c r="B4571">
        <v>22.4144992828369</v>
      </c>
      <c r="C4571">
        <v>22.893499374389599</v>
      </c>
      <c r="D4571">
        <v>22.377000808715799</v>
      </c>
      <c r="E4571">
        <v>22.778499603271399</v>
      </c>
      <c r="F4571">
        <v>22.778499603271399</v>
      </c>
      <c r="G4571">
        <v>79136000</v>
      </c>
      <c r="H4571">
        <f t="shared" si="284"/>
        <v>2015</v>
      </c>
      <c r="I4571">
        <f t="shared" si="285"/>
        <v>7</v>
      </c>
      <c r="J4571" t="str">
        <f t="shared" si="286"/>
        <v>Jul</v>
      </c>
      <c r="K4571" t="str">
        <f t="shared" si="287"/>
        <v>Mon</v>
      </c>
    </row>
    <row r="4572" spans="1:11" x14ac:dyDescent="0.35">
      <c r="A4572" s="1">
        <v>42199</v>
      </c>
      <c r="B4572">
        <v>23.115999221801701</v>
      </c>
      <c r="C4572">
        <v>23.4799995422363</v>
      </c>
      <c r="D4572">
        <v>22.908000946044901</v>
      </c>
      <c r="E4572">
        <v>23.278499603271399</v>
      </c>
      <c r="F4572">
        <v>23.278499603271399</v>
      </c>
      <c r="G4572">
        <v>94724000</v>
      </c>
      <c r="H4572">
        <f t="shared" si="284"/>
        <v>2015</v>
      </c>
      <c r="I4572">
        <f t="shared" si="285"/>
        <v>7</v>
      </c>
      <c r="J4572" t="str">
        <f t="shared" si="286"/>
        <v>Jul</v>
      </c>
      <c r="K4572" t="str">
        <f t="shared" si="287"/>
        <v>Tue</v>
      </c>
    </row>
    <row r="4573" spans="1:11" x14ac:dyDescent="0.35">
      <c r="A4573" s="1">
        <v>42200</v>
      </c>
      <c r="B4573">
        <v>23.152000427246001</v>
      </c>
      <c r="C4573">
        <v>23.235000610351499</v>
      </c>
      <c r="D4573">
        <v>23.0100002288818</v>
      </c>
      <c r="E4573">
        <v>23.059499740600501</v>
      </c>
      <c r="F4573">
        <v>23.059499740600501</v>
      </c>
      <c r="G4573">
        <v>59748000</v>
      </c>
      <c r="H4573">
        <f t="shared" si="284"/>
        <v>2015</v>
      </c>
      <c r="I4573">
        <f t="shared" si="285"/>
        <v>7</v>
      </c>
      <c r="J4573" t="str">
        <f t="shared" si="286"/>
        <v>Jul</v>
      </c>
      <c r="K4573" t="str">
        <f t="shared" si="287"/>
        <v>Wed</v>
      </c>
    </row>
    <row r="4574" spans="1:11" x14ac:dyDescent="0.35">
      <c r="A4574" s="1">
        <v>42201</v>
      </c>
      <c r="B4574">
        <v>23.274999618530199</v>
      </c>
      <c r="C4574">
        <v>23.794000625610298</v>
      </c>
      <c r="D4574">
        <v>23.2399997711181</v>
      </c>
      <c r="E4574">
        <v>23.774000167846602</v>
      </c>
      <c r="F4574">
        <v>23.774000167846602</v>
      </c>
      <c r="G4574">
        <v>81912000</v>
      </c>
      <c r="H4574">
        <f t="shared" si="284"/>
        <v>2015</v>
      </c>
      <c r="I4574">
        <f t="shared" si="285"/>
        <v>7</v>
      </c>
      <c r="J4574" t="str">
        <f t="shared" si="286"/>
        <v>Jul</v>
      </c>
      <c r="K4574" t="str">
        <f t="shared" si="287"/>
        <v>Thu</v>
      </c>
    </row>
    <row r="4575" spans="1:11" x14ac:dyDescent="0.35">
      <c r="A4575" s="1">
        <v>42202</v>
      </c>
      <c r="B4575">
        <v>23.8850002288818</v>
      </c>
      <c r="C4575">
        <v>24.270999908447202</v>
      </c>
      <c r="D4575">
        <v>23.862499237060501</v>
      </c>
      <c r="E4575">
        <v>24.150499343871999</v>
      </c>
      <c r="F4575">
        <v>24.150499343871999</v>
      </c>
      <c r="G4575">
        <v>98644000</v>
      </c>
      <c r="H4575">
        <f t="shared" si="284"/>
        <v>2015</v>
      </c>
      <c r="I4575">
        <f t="shared" si="285"/>
        <v>7</v>
      </c>
      <c r="J4575" t="str">
        <f t="shared" si="286"/>
        <v>Jul</v>
      </c>
      <c r="K4575" t="str">
        <f t="shared" si="287"/>
        <v>Fri</v>
      </c>
    </row>
    <row r="4576" spans="1:11" x14ac:dyDescent="0.35">
      <c r="A4576" s="1">
        <v>42205</v>
      </c>
      <c r="B4576">
        <v>24.6284999847412</v>
      </c>
      <c r="C4576">
        <v>24.659999847412099</v>
      </c>
      <c r="D4576">
        <v>24.270000457763601</v>
      </c>
      <c r="E4576">
        <v>24.405000686645501</v>
      </c>
      <c r="F4576">
        <v>24.405000686645501</v>
      </c>
      <c r="G4576">
        <v>95050000</v>
      </c>
      <c r="H4576">
        <f t="shared" si="284"/>
        <v>2015</v>
      </c>
      <c r="I4576">
        <f t="shared" si="285"/>
        <v>7</v>
      </c>
      <c r="J4576" t="str">
        <f t="shared" si="286"/>
        <v>Jul</v>
      </c>
      <c r="K4576" t="str">
        <f t="shared" si="287"/>
        <v>Mon</v>
      </c>
    </row>
    <row r="4577" spans="1:11" x14ac:dyDescent="0.35">
      <c r="A4577" s="1">
        <v>42206</v>
      </c>
      <c r="B4577">
        <v>24.395000457763601</v>
      </c>
      <c r="C4577">
        <v>24.4440002441406</v>
      </c>
      <c r="D4577">
        <v>24.127500534057599</v>
      </c>
      <c r="E4577">
        <v>24.399999618530199</v>
      </c>
      <c r="F4577">
        <v>24.399999618530199</v>
      </c>
      <c r="G4577">
        <v>63636000</v>
      </c>
      <c r="H4577">
        <f t="shared" si="284"/>
        <v>2015</v>
      </c>
      <c r="I4577">
        <f t="shared" si="285"/>
        <v>7</v>
      </c>
      <c r="J4577" t="str">
        <f t="shared" si="286"/>
        <v>Jul</v>
      </c>
      <c r="K4577" t="str">
        <f t="shared" si="287"/>
        <v>Tue</v>
      </c>
    </row>
    <row r="4578" spans="1:11" x14ac:dyDescent="0.35">
      <c r="A4578" s="1">
        <v>42207</v>
      </c>
      <c r="B4578">
        <v>24.2994995117187</v>
      </c>
      <c r="C4578">
        <v>24.625</v>
      </c>
      <c r="D4578">
        <v>24.245000839233398</v>
      </c>
      <c r="E4578">
        <v>24.413499832153299</v>
      </c>
      <c r="F4578">
        <v>24.413499832153299</v>
      </c>
      <c r="G4578">
        <v>62298000</v>
      </c>
      <c r="H4578">
        <f t="shared" si="284"/>
        <v>2015</v>
      </c>
      <c r="I4578">
        <f t="shared" si="285"/>
        <v>7</v>
      </c>
      <c r="J4578" t="str">
        <f t="shared" si="286"/>
        <v>Jul</v>
      </c>
      <c r="K4578" t="str">
        <f t="shared" si="287"/>
        <v>Wed</v>
      </c>
    </row>
    <row r="4579" spans="1:11" x14ac:dyDescent="0.35">
      <c r="A4579" s="1">
        <v>42208</v>
      </c>
      <c r="B4579">
        <v>24.583000183105401</v>
      </c>
      <c r="C4579">
        <v>24.583000183105401</v>
      </c>
      <c r="D4579">
        <v>23.784999847412099</v>
      </c>
      <c r="E4579">
        <v>24.1089992523193</v>
      </c>
      <c r="F4579">
        <v>24.1089992523193</v>
      </c>
      <c r="G4579">
        <v>187488000</v>
      </c>
      <c r="H4579">
        <f t="shared" si="284"/>
        <v>2015</v>
      </c>
      <c r="I4579">
        <f t="shared" si="285"/>
        <v>7</v>
      </c>
      <c r="J4579" t="str">
        <f t="shared" si="286"/>
        <v>Jul</v>
      </c>
      <c r="K4579" t="str">
        <f t="shared" si="287"/>
        <v>Thu</v>
      </c>
    </row>
    <row r="4580" spans="1:11" x14ac:dyDescent="0.35">
      <c r="A4580" s="1">
        <v>42209</v>
      </c>
      <c r="B4580">
        <v>28.949499130248999</v>
      </c>
      <c r="C4580">
        <v>29.028499603271399</v>
      </c>
      <c r="D4580">
        <v>26.467500686645501</v>
      </c>
      <c r="E4580">
        <v>26.471000671386701</v>
      </c>
      <c r="F4580">
        <v>26.471000671386701</v>
      </c>
      <c r="G4580">
        <v>438188000</v>
      </c>
      <c r="H4580">
        <f t="shared" si="284"/>
        <v>2015</v>
      </c>
      <c r="I4580">
        <f t="shared" si="285"/>
        <v>7</v>
      </c>
      <c r="J4580" t="str">
        <f t="shared" si="286"/>
        <v>Jul</v>
      </c>
      <c r="K4580" t="str">
        <f t="shared" si="287"/>
        <v>Fri</v>
      </c>
    </row>
    <row r="4581" spans="1:11" x14ac:dyDescent="0.35">
      <c r="A4581" s="1">
        <v>42212</v>
      </c>
      <c r="B4581">
        <v>26.3875007629394</v>
      </c>
      <c r="C4581">
        <v>27.247499465942301</v>
      </c>
      <c r="D4581">
        <v>26.329999923706001</v>
      </c>
      <c r="E4581">
        <v>26.570499420166001</v>
      </c>
      <c r="F4581">
        <v>26.570499420166001</v>
      </c>
      <c r="G4581">
        <v>149820000</v>
      </c>
      <c r="H4581">
        <f t="shared" si="284"/>
        <v>2015</v>
      </c>
      <c r="I4581">
        <f t="shared" si="285"/>
        <v>7</v>
      </c>
      <c r="J4581" t="str">
        <f t="shared" si="286"/>
        <v>Jul</v>
      </c>
      <c r="K4581" t="str">
        <f t="shared" si="287"/>
        <v>Mon</v>
      </c>
    </row>
    <row r="4582" spans="1:11" x14ac:dyDescent="0.35">
      <c r="A4582" s="1">
        <v>42213</v>
      </c>
      <c r="B4582">
        <v>26.799999237060501</v>
      </c>
      <c r="C4582">
        <v>26.819499969482401</v>
      </c>
      <c r="D4582">
        <v>26.156000137329102</v>
      </c>
      <c r="E4582">
        <v>26.301500320434499</v>
      </c>
      <c r="F4582">
        <v>26.301500320434499</v>
      </c>
      <c r="G4582">
        <v>105462000</v>
      </c>
      <c r="H4582">
        <f t="shared" si="284"/>
        <v>2015</v>
      </c>
      <c r="I4582">
        <f t="shared" si="285"/>
        <v>7</v>
      </c>
      <c r="J4582" t="str">
        <f t="shared" si="286"/>
        <v>Jul</v>
      </c>
      <c r="K4582" t="str">
        <f t="shared" si="287"/>
        <v>Tue</v>
      </c>
    </row>
    <row r="4583" spans="1:11" x14ac:dyDescent="0.35">
      <c r="A4583" s="1">
        <v>42214</v>
      </c>
      <c r="B4583">
        <v>26.5459995269775</v>
      </c>
      <c r="C4583">
        <v>26.648500442504801</v>
      </c>
      <c r="D4583">
        <v>26.250999450683501</v>
      </c>
      <c r="E4583">
        <v>26.4500007629394</v>
      </c>
      <c r="F4583">
        <v>26.4500007629394</v>
      </c>
      <c r="G4583">
        <v>75052000</v>
      </c>
      <c r="H4583">
        <f t="shared" si="284"/>
        <v>2015</v>
      </c>
      <c r="I4583">
        <f t="shared" si="285"/>
        <v>7</v>
      </c>
      <c r="J4583" t="str">
        <f t="shared" si="286"/>
        <v>Jul</v>
      </c>
      <c r="K4583" t="str">
        <f t="shared" si="287"/>
        <v>Wed</v>
      </c>
    </row>
    <row r="4584" spans="1:11" x14ac:dyDescent="0.35">
      <c r="A4584" s="1">
        <v>42215</v>
      </c>
      <c r="B4584">
        <v>26.382499694824201</v>
      </c>
      <c r="C4584">
        <v>26.959999084472599</v>
      </c>
      <c r="D4584">
        <v>26.214500427246001</v>
      </c>
      <c r="E4584">
        <v>26.837999343871999</v>
      </c>
      <c r="F4584">
        <v>26.837999343871999</v>
      </c>
      <c r="G4584">
        <v>74862000</v>
      </c>
      <c r="H4584">
        <f t="shared" si="284"/>
        <v>2015</v>
      </c>
      <c r="I4584">
        <f t="shared" si="285"/>
        <v>7</v>
      </c>
      <c r="J4584" t="str">
        <f t="shared" si="286"/>
        <v>Jul</v>
      </c>
      <c r="K4584" t="str">
        <f t="shared" si="287"/>
        <v>Thu</v>
      </c>
    </row>
    <row r="4585" spans="1:11" x14ac:dyDescent="0.35">
      <c r="A4585" s="1">
        <v>42216</v>
      </c>
      <c r="B4585">
        <v>26.954500198364201</v>
      </c>
      <c r="C4585">
        <v>27.142000198364201</v>
      </c>
      <c r="D4585">
        <v>26.725999832153299</v>
      </c>
      <c r="E4585">
        <v>26.807500839233398</v>
      </c>
      <c r="F4585">
        <v>26.807500839233398</v>
      </c>
      <c r="G4585">
        <v>60512000</v>
      </c>
      <c r="H4585">
        <f t="shared" si="284"/>
        <v>2015</v>
      </c>
      <c r="I4585">
        <f t="shared" si="285"/>
        <v>7</v>
      </c>
      <c r="J4585" t="str">
        <f t="shared" si="286"/>
        <v>Jul</v>
      </c>
      <c r="K4585" t="str">
        <f t="shared" si="287"/>
        <v>Fri</v>
      </c>
    </row>
    <row r="4586" spans="1:11" x14ac:dyDescent="0.35">
      <c r="A4586" s="1">
        <v>42219</v>
      </c>
      <c r="B4586">
        <v>26.872499465942301</v>
      </c>
      <c r="C4586">
        <v>27.021999359130799</v>
      </c>
      <c r="D4586">
        <v>26.468000411987301</v>
      </c>
      <c r="E4586">
        <v>26.751499176025298</v>
      </c>
      <c r="F4586">
        <v>26.751499176025298</v>
      </c>
      <c r="G4586">
        <v>60284000</v>
      </c>
      <c r="H4586">
        <f t="shared" si="284"/>
        <v>2015</v>
      </c>
      <c r="I4586">
        <f t="shared" si="285"/>
        <v>8</v>
      </c>
      <c r="J4586" t="str">
        <f t="shared" si="286"/>
        <v>Aug</v>
      </c>
      <c r="K4586" t="str">
        <f t="shared" si="287"/>
        <v>Mon</v>
      </c>
    </row>
    <row r="4587" spans="1:11" x14ac:dyDescent="0.35">
      <c r="A4587" s="1">
        <v>42220</v>
      </c>
      <c r="B4587">
        <v>26.484500885009702</v>
      </c>
      <c r="C4587">
        <v>26.847499847412099</v>
      </c>
      <c r="D4587">
        <v>26.458000183105401</v>
      </c>
      <c r="E4587">
        <v>26.5949993133544</v>
      </c>
      <c r="F4587">
        <v>26.5949993133544</v>
      </c>
      <c r="G4587">
        <v>58692000</v>
      </c>
      <c r="H4587">
        <f t="shared" si="284"/>
        <v>2015</v>
      </c>
      <c r="I4587">
        <f t="shared" si="285"/>
        <v>8</v>
      </c>
      <c r="J4587" t="str">
        <f t="shared" si="286"/>
        <v>Aug</v>
      </c>
      <c r="K4587" t="str">
        <f t="shared" si="287"/>
        <v>Tue</v>
      </c>
    </row>
    <row r="4588" spans="1:11" x14ac:dyDescent="0.35">
      <c r="A4588" s="1">
        <v>42221</v>
      </c>
      <c r="B4588">
        <v>26.940000534057599</v>
      </c>
      <c r="C4588">
        <v>26.9570007324218</v>
      </c>
      <c r="D4588">
        <v>26.705999374389599</v>
      </c>
      <c r="E4588">
        <v>26.850500106811499</v>
      </c>
      <c r="F4588">
        <v>26.850500106811499</v>
      </c>
      <c r="G4588">
        <v>57788000</v>
      </c>
      <c r="H4588">
        <f t="shared" si="284"/>
        <v>2015</v>
      </c>
      <c r="I4588">
        <f t="shared" si="285"/>
        <v>8</v>
      </c>
      <c r="J4588" t="str">
        <f t="shared" si="286"/>
        <v>Aug</v>
      </c>
      <c r="K4588" t="str">
        <f t="shared" si="287"/>
        <v>Wed</v>
      </c>
    </row>
    <row r="4589" spans="1:11" x14ac:dyDescent="0.35">
      <c r="A4589" s="1">
        <v>42222</v>
      </c>
      <c r="B4589">
        <v>26.965000152587798</v>
      </c>
      <c r="C4589">
        <v>27.136999130248999</v>
      </c>
      <c r="D4589">
        <v>26.375999450683501</v>
      </c>
      <c r="E4589">
        <v>26.472999572753899</v>
      </c>
      <c r="F4589">
        <v>26.472999572753899</v>
      </c>
      <c r="G4589">
        <v>76410000</v>
      </c>
      <c r="H4589">
        <f t="shared" si="284"/>
        <v>2015</v>
      </c>
      <c r="I4589">
        <f t="shared" si="285"/>
        <v>8</v>
      </c>
      <c r="J4589" t="str">
        <f t="shared" si="286"/>
        <v>Aug</v>
      </c>
      <c r="K4589" t="str">
        <f t="shared" si="287"/>
        <v>Thu</v>
      </c>
    </row>
    <row r="4590" spans="1:11" x14ac:dyDescent="0.35">
      <c r="A4590" s="1">
        <v>42223</v>
      </c>
      <c r="B4590">
        <v>26.458000183105401</v>
      </c>
      <c r="C4590">
        <v>26.472999572753899</v>
      </c>
      <c r="D4590">
        <v>25.910499572753899</v>
      </c>
      <c r="E4590">
        <v>26.1310005187988</v>
      </c>
      <c r="F4590">
        <v>26.1310005187988</v>
      </c>
      <c r="G4590">
        <v>79384000</v>
      </c>
      <c r="H4590">
        <f t="shared" si="284"/>
        <v>2015</v>
      </c>
      <c r="I4590">
        <f t="shared" si="285"/>
        <v>8</v>
      </c>
      <c r="J4590" t="str">
        <f t="shared" si="286"/>
        <v>Aug</v>
      </c>
      <c r="K4590" t="str">
        <f t="shared" si="287"/>
        <v>Fri</v>
      </c>
    </row>
    <row r="4591" spans="1:11" x14ac:dyDescent="0.35">
      <c r="A4591" s="1">
        <v>42226</v>
      </c>
      <c r="B4591">
        <v>26.426000595092699</v>
      </c>
      <c r="C4591">
        <v>26.614000320434499</v>
      </c>
      <c r="D4591">
        <v>26.149999618530199</v>
      </c>
      <c r="E4591">
        <v>26.2000007629394</v>
      </c>
      <c r="F4591">
        <v>26.2000007629394</v>
      </c>
      <c r="G4591">
        <v>52318000</v>
      </c>
      <c r="H4591">
        <f t="shared" si="284"/>
        <v>2015</v>
      </c>
      <c r="I4591">
        <f t="shared" si="285"/>
        <v>8</v>
      </c>
      <c r="J4591" t="str">
        <f t="shared" si="286"/>
        <v>Aug</v>
      </c>
      <c r="K4591" t="str">
        <f t="shared" si="287"/>
        <v>Mon</v>
      </c>
    </row>
    <row r="4592" spans="1:11" x14ac:dyDescent="0.35">
      <c r="A4592" s="1">
        <v>42227</v>
      </c>
      <c r="B4592">
        <v>26.182500839233398</v>
      </c>
      <c r="C4592">
        <v>26.448999404907202</v>
      </c>
      <c r="D4592">
        <v>26.100000381469702</v>
      </c>
      <c r="E4592">
        <v>26.372999191284102</v>
      </c>
      <c r="F4592">
        <v>26.372999191284102</v>
      </c>
      <c r="G4592">
        <v>53532000</v>
      </c>
      <c r="H4592">
        <f t="shared" si="284"/>
        <v>2015</v>
      </c>
      <c r="I4592">
        <f t="shared" si="285"/>
        <v>8</v>
      </c>
      <c r="J4592" t="str">
        <f t="shared" si="286"/>
        <v>Aug</v>
      </c>
      <c r="K4592" t="str">
        <f t="shared" si="287"/>
        <v>Tue</v>
      </c>
    </row>
    <row r="4593" spans="1:11" x14ac:dyDescent="0.35">
      <c r="A4593" s="1">
        <v>42228</v>
      </c>
      <c r="B4593">
        <v>26.1875</v>
      </c>
      <c r="C4593">
        <v>26.375</v>
      </c>
      <c r="D4593">
        <v>25.652999877929599</v>
      </c>
      <c r="E4593">
        <v>26.2954998016357</v>
      </c>
      <c r="F4593">
        <v>26.2954998016357</v>
      </c>
      <c r="G4593">
        <v>79246000</v>
      </c>
      <c r="H4593">
        <f t="shared" si="284"/>
        <v>2015</v>
      </c>
      <c r="I4593">
        <f t="shared" si="285"/>
        <v>8</v>
      </c>
      <c r="J4593" t="str">
        <f t="shared" si="286"/>
        <v>Aug</v>
      </c>
      <c r="K4593" t="str">
        <f t="shared" si="287"/>
        <v>Wed</v>
      </c>
    </row>
    <row r="4594" spans="1:11" x14ac:dyDescent="0.35">
      <c r="A4594" s="1">
        <v>42229</v>
      </c>
      <c r="B4594">
        <v>26.3684997558593</v>
      </c>
      <c r="C4594">
        <v>26.7329998016357</v>
      </c>
      <c r="D4594">
        <v>26.274499893188398</v>
      </c>
      <c r="E4594">
        <v>26.4829998016357</v>
      </c>
      <c r="F4594">
        <v>26.4829998016357</v>
      </c>
      <c r="G4594">
        <v>57904000</v>
      </c>
      <c r="H4594">
        <f t="shared" si="284"/>
        <v>2015</v>
      </c>
      <c r="I4594">
        <f t="shared" si="285"/>
        <v>8</v>
      </c>
      <c r="J4594" t="str">
        <f t="shared" si="286"/>
        <v>Aug</v>
      </c>
      <c r="K4594" t="str">
        <f t="shared" si="287"/>
        <v>Thu</v>
      </c>
    </row>
    <row r="4595" spans="1:11" x14ac:dyDescent="0.35">
      <c r="A4595" s="1">
        <v>42230</v>
      </c>
      <c r="B4595">
        <v>26.412500381469702</v>
      </c>
      <c r="C4595">
        <v>26.705499649047798</v>
      </c>
      <c r="D4595">
        <v>26.412500381469702</v>
      </c>
      <c r="E4595">
        <v>26.576000213623001</v>
      </c>
      <c r="F4595">
        <v>26.576000213623001</v>
      </c>
      <c r="G4595">
        <v>39896000</v>
      </c>
      <c r="H4595">
        <f t="shared" si="284"/>
        <v>2015</v>
      </c>
      <c r="I4595">
        <f t="shared" si="285"/>
        <v>8</v>
      </c>
      <c r="J4595" t="str">
        <f t="shared" si="286"/>
        <v>Aug</v>
      </c>
      <c r="K4595" t="str">
        <f t="shared" si="287"/>
        <v>Fri</v>
      </c>
    </row>
    <row r="4596" spans="1:11" x14ac:dyDescent="0.35">
      <c r="A4596" s="1">
        <v>42233</v>
      </c>
      <c r="B4596">
        <v>26.564500808715799</v>
      </c>
      <c r="C4596">
        <v>26.9370002746582</v>
      </c>
      <c r="D4596">
        <v>26.356000900268501</v>
      </c>
      <c r="E4596">
        <v>26.760999679565401</v>
      </c>
      <c r="F4596">
        <v>26.760999679565401</v>
      </c>
      <c r="G4596">
        <v>51634000</v>
      </c>
      <c r="H4596">
        <f t="shared" si="284"/>
        <v>2015</v>
      </c>
      <c r="I4596">
        <f t="shared" si="285"/>
        <v>8</v>
      </c>
      <c r="J4596" t="str">
        <f t="shared" si="286"/>
        <v>Aug</v>
      </c>
      <c r="K4596" t="str">
        <f t="shared" si="287"/>
        <v>Mon</v>
      </c>
    </row>
    <row r="4597" spans="1:11" x14ac:dyDescent="0.35">
      <c r="A4597" s="1">
        <v>42234</v>
      </c>
      <c r="B4597">
        <v>26.752000808715799</v>
      </c>
      <c r="C4597">
        <v>26.974500656127901</v>
      </c>
      <c r="D4597">
        <v>26.649999618530199</v>
      </c>
      <c r="E4597">
        <v>26.750999450683501</v>
      </c>
      <c r="F4597">
        <v>26.750999450683501</v>
      </c>
      <c r="G4597">
        <v>41426000</v>
      </c>
      <c r="H4597">
        <f t="shared" si="284"/>
        <v>2015</v>
      </c>
      <c r="I4597">
        <f t="shared" si="285"/>
        <v>8</v>
      </c>
      <c r="J4597" t="str">
        <f t="shared" si="286"/>
        <v>Aug</v>
      </c>
      <c r="K4597" t="str">
        <f t="shared" si="287"/>
        <v>Tue</v>
      </c>
    </row>
    <row r="4598" spans="1:11" x14ac:dyDescent="0.35">
      <c r="A4598" s="1">
        <v>42235</v>
      </c>
      <c r="B4598">
        <v>26.6870002746582</v>
      </c>
      <c r="C4598">
        <v>26.862499237060501</v>
      </c>
      <c r="D4598">
        <v>26.4500007629394</v>
      </c>
      <c r="E4598">
        <v>26.645999908447202</v>
      </c>
      <c r="F4598">
        <v>26.645999908447202</v>
      </c>
      <c r="G4598">
        <v>46480000</v>
      </c>
      <c r="H4598">
        <f t="shared" si="284"/>
        <v>2015</v>
      </c>
      <c r="I4598">
        <f t="shared" si="285"/>
        <v>8</v>
      </c>
      <c r="J4598" t="str">
        <f t="shared" si="286"/>
        <v>Aug</v>
      </c>
      <c r="K4598" t="str">
        <f t="shared" si="287"/>
        <v>Wed</v>
      </c>
    </row>
    <row r="4599" spans="1:11" x14ac:dyDescent="0.35">
      <c r="A4599" s="1">
        <v>42236</v>
      </c>
      <c r="B4599">
        <v>26.5195007324218</v>
      </c>
      <c r="C4599">
        <v>26.662500381469702</v>
      </c>
      <c r="D4599">
        <v>25.788499832153299</v>
      </c>
      <c r="E4599">
        <v>25.788999557495099</v>
      </c>
      <c r="F4599">
        <v>25.788999557495099</v>
      </c>
      <c r="G4599">
        <v>88160000</v>
      </c>
      <c r="H4599">
        <f t="shared" si="284"/>
        <v>2015</v>
      </c>
      <c r="I4599">
        <f t="shared" si="285"/>
        <v>8</v>
      </c>
      <c r="J4599" t="str">
        <f t="shared" si="286"/>
        <v>Aug</v>
      </c>
      <c r="K4599" t="str">
        <f t="shared" si="287"/>
        <v>Thu</v>
      </c>
    </row>
    <row r="4600" spans="1:11" x14ac:dyDescent="0.35">
      <c r="A4600" s="1">
        <v>42237</v>
      </c>
      <c r="B4600">
        <v>25.3680000305175</v>
      </c>
      <c r="C4600">
        <v>25.616500854492099</v>
      </c>
      <c r="D4600">
        <v>24.7234992980957</v>
      </c>
      <c r="E4600">
        <v>24.7234992980957</v>
      </c>
      <c r="F4600">
        <v>24.7234992980957</v>
      </c>
      <c r="G4600">
        <v>134130000</v>
      </c>
      <c r="H4600">
        <f t="shared" si="284"/>
        <v>2015</v>
      </c>
      <c r="I4600">
        <f t="shared" si="285"/>
        <v>8</v>
      </c>
      <c r="J4600" t="str">
        <f t="shared" si="286"/>
        <v>Aug</v>
      </c>
      <c r="K4600" t="str">
        <f t="shared" si="287"/>
        <v>Fri</v>
      </c>
    </row>
    <row r="4601" spans="1:11" x14ac:dyDescent="0.35">
      <c r="A4601" s="1">
        <v>42240</v>
      </c>
      <c r="B4601">
        <v>23.179000854492099</v>
      </c>
      <c r="C4601">
        <v>23.829000473022401</v>
      </c>
      <c r="D4601">
        <v>22.549999237060501</v>
      </c>
      <c r="E4601">
        <v>23.168500900268501</v>
      </c>
      <c r="F4601">
        <v>23.168500900268501</v>
      </c>
      <c r="G4601">
        <v>201952000</v>
      </c>
      <c r="H4601">
        <f t="shared" si="284"/>
        <v>2015</v>
      </c>
      <c r="I4601">
        <f t="shared" si="285"/>
        <v>8</v>
      </c>
      <c r="J4601" t="str">
        <f t="shared" si="286"/>
        <v>Aug</v>
      </c>
      <c r="K4601" t="str">
        <f t="shared" si="287"/>
        <v>Mon</v>
      </c>
    </row>
    <row r="4602" spans="1:11" x14ac:dyDescent="0.35">
      <c r="A4602" s="1">
        <v>42241</v>
      </c>
      <c r="B4602">
        <v>24.3745002746582</v>
      </c>
      <c r="C4602">
        <v>24.472000122070298</v>
      </c>
      <c r="D4602">
        <v>23.3125</v>
      </c>
      <c r="E4602">
        <v>23.3185005187988</v>
      </c>
      <c r="F4602">
        <v>23.3185005187988</v>
      </c>
      <c r="G4602">
        <v>113586000</v>
      </c>
      <c r="H4602">
        <f t="shared" si="284"/>
        <v>2015</v>
      </c>
      <c r="I4602">
        <f t="shared" si="285"/>
        <v>8</v>
      </c>
      <c r="J4602" t="str">
        <f t="shared" si="286"/>
        <v>Aug</v>
      </c>
      <c r="K4602" t="str">
        <f t="shared" si="287"/>
        <v>Tue</v>
      </c>
    </row>
    <row r="4603" spans="1:11" x14ac:dyDescent="0.35">
      <c r="A4603" s="1">
        <v>42242</v>
      </c>
      <c r="B4603">
        <v>24.201000213623001</v>
      </c>
      <c r="C4603">
        <v>25.186000823974599</v>
      </c>
      <c r="D4603">
        <v>23.937999725341701</v>
      </c>
      <c r="E4603">
        <v>25.038499832153299</v>
      </c>
      <c r="F4603">
        <v>25.038499832153299</v>
      </c>
      <c r="G4603">
        <v>127172000</v>
      </c>
      <c r="H4603">
        <f t="shared" si="284"/>
        <v>2015</v>
      </c>
      <c r="I4603">
        <f t="shared" si="285"/>
        <v>8</v>
      </c>
      <c r="J4603" t="str">
        <f t="shared" si="286"/>
        <v>Aug</v>
      </c>
      <c r="K4603" t="str">
        <f t="shared" si="287"/>
        <v>Wed</v>
      </c>
    </row>
    <row r="4604" spans="1:11" x14ac:dyDescent="0.35">
      <c r="A4604" s="1">
        <v>42243</v>
      </c>
      <c r="B4604">
        <v>25.685499191284102</v>
      </c>
      <c r="C4604">
        <v>26.13450050354</v>
      </c>
      <c r="D4604">
        <v>25.363000869750898</v>
      </c>
      <c r="E4604">
        <v>25.918500900268501</v>
      </c>
      <c r="F4604">
        <v>25.918500900268501</v>
      </c>
      <c r="G4604">
        <v>122290000</v>
      </c>
      <c r="H4604">
        <f t="shared" si="284"/>
        <v>2015</v>
      </c>
      <c r="I4604">
        <f t="shared" si="285"/>
        <v>8</v>
      </c>
      <c r="J4604" t="str">
        <f t="shared" si="286"/>
        <v>Aug</v>
      </c>
      <c r="K4604" t="str">
        <f t="shared" si="287"/>
        <v>Thu</v>
      </c>
    </row>
    <row r="4605" spans="1:11" x14ac:dyDescent="0.35">
      <c r="A4605" s="1">
        <v>42244</v>
      </c>
      <c r="B4605">
        <v>25.875</v>
      </c>
      <c r="C4605">
        <v>26.0750007629394</v>
      </c>
      <c r="D4605">
        <v>25.652000427246001</v>
      </c>
      <c r="E4605">
        <v>25.900499343871999</v>
      </c>
      <c r="F4605">
        <v>25.900499343871999</v>
      </c>
      <c r="G4605">
        <v>54934000</v>
      </c>
      <c r="H4605">
        <f t="shared" si="284"/>
        <v>2015</v>
      </c>
      <c r="I4605">
        <f t="shared" si="285"/>
        <v>8</v>
      </c>
      <c r="J4605" t="str">
        <f t="shared" si="286"/>
        <v>Aug</v>
      </c>
      <c r="K4605" t="str">
        <f t="shared" si="287"/>
        <v>Fri</v>
      </c>
    </row>
    <row r="4606" spans="1:11" x14ac:dyDescent="0.35">
      <c r="A4606" s="1">
        <v>42247</v>
      </c>
      <c r="B4606">
        <v>25.82200050354</v>
      </c>
      <c r="C4606">
        <v>25.970500946044901</v>
      </c>
      <c r="D4606">
        <v>25.4535007476806</v>
      </c>
      <c r="E4606">
        <v>25.6445007324218</v>
      </c>
      <c r="F4606">
        <v>25.6445007324218</v>
      </c>
      <c r="G4606">
        <v>60046000</v>
      </c>
      <c r="H4606">
        <f t="shared" si="284"/>
        <v>2015</v>
      </c>
      <c r="I4606">
        <f t="shared" si="285"/>
        <v>8</v>
      </c>
      <c r="J4606" t="str">
        <f t="shared" si="286"/>
        <v>Aug</v>
      </c>
      <c r="K4606" t="str">
        <f t="shared" si="287"/>
        <v>Mon</v>
      </c>
    </row>
    <row r="4607" spans="1:11" x14ac:dyDescent="0.35">
      <c r="A4607" s="1">
        <v>42248</v>
      </c>
      <c r="B4607">
        <v>24.9570007324218</v>
      </c>
      <c r="C4607">
        <v>25.5</v>
      </c>
      <c r="D4607">
        <v>24.6714992523193</v>
      </c>
      <c r="E4607">
        <v>24.826999664306602</v>
      </c>
      <c r="F4607">
        <v>24.826999664306602</v>
      </c>
      <c r="G4607">
        <v>77290000</v>
      </c>
      <c r="H4607">
        <f t="shared" si="284"/>
        <v>2015</v>
      </c>
      <c r="I4607">
        <f t="shared" si="285"/>
        <v>9</v>
      </c>
      <c r="J4607" t="str">
        <f t="shared" si="286"/>
        <v>Sep</v>
      </c>
      <c r="K4607" t="str">
        <f t="shared" si="287"/>
        <v>Tue</v>
      </c>
    </row>
    <row r="4608" spans="1:11" x14ac:dyDescent="0.35">
      <c r="A4608" s="1">
        <v>42249</v>
      </c>
      <c r="B4608">
        <v>25.254499435424801</v>
      </c>
      <c r="C4608">
        <v>25.5429992675781</v>
      </c>
      <c r="D4608">
        <v>24.885999679565401</v>
      </c>
      <c r="E4608">
        <v>25.527500152587798</v>
      </c>
      <c r="F4608">
        <v>25.527500152587798</v>
      </c>
      <c r="G4608">
        <v>74142000</v>
      </c>
      <c r="H4608">
        <f t="shared" si="284"/>
        <v>2015</v>
      </c>
      <c r="I4608">
        <f t="shared" si="285"/>
        <v>9</v>
      </c>
      <c r="J4608" t="str">
        <f t="shared" si="286"/>
        <v>Sep</v>
      </c>
      <c r="K4608" t="str">
        <f t="shared" si="287"/>
        <v>Wed</v>
      </c>
    </row>
    <row r="4609" spans="1:11" x14ac:dyDescent="0.35">
      <c r="A4609" s="1">
        <v>42250</v>
      </c>
      <c r="B4609">
        <v>25.725000381469702</v>
      </c>
      <c r="C4609">
        <v>25.791999816894499</v>
      </c>
      <c r="D4609">
        <v>25.1284999847412</v>
      </c>
      <c r="E4609">
        <v>25.236000061035099</v>
      </c>
      <c r="F4609">
        <v>25.236000061035099</v>
      </c>
      <c r="G4609">
        <v>62994000</v>
      </c>
      <c r="H4609">
        <f t="shared" si="284"/>
        <v>2015</v>
      </c>
      <c r="I4609">
        <f t="shared" si="285"/>
        <v>9</v>
      </c>
      <c r="J4609" t="str">
        <f t="shared" si="286"/>
        <v>Sep</v>
      </c>
      <c r="K4609" t="str">
        <f t="shared" si="287"/>
        <v>Thu</v>
      </c>
    </row>
    <row r="4610" spans="1:11" x14ac:dyDescent="0.35">
      <c r="A4610" s="1">
        <v>42251</v>
      </c>
      <c r="B4610">
        <v>24.882499694824201</v>
      </c>
      <c r="C4610">
        <v>25.142499923706001</v>
      </c>
      <c r="D4610">
        <v>24.781999588012599</v>
      </c>
      <c r="E4610">
        <v>24.9500007629394</v>
      </c>
      <c r="F4610">
        <v>24.9500007629394</v>
      </c>
      <c r="G4610">
        <v>53850000</v>
      </c>
      <c r="H4610">
        <f t="shared" si="284"/>
        <v>2015</v>
      </c>
      <c r="I4610">
        <f t="shared" si="285"/>
        <v>9</v>
      </c>
      <c r="J4610" t="str">
        <f t="shared" si="286"/>
        <v>Sep</v>
      </c>
      <c r="K4610" t="str">
        <f t="shared" si="287"/>
        <v>Fri</v>
      </c>
    </row>
    <row r="4611" spans="1:11" x14ac:dyDescent="0.35">
      <c r="A4611" s="1">
        <v>42255</v>
      </c>
      <c r="B4611">
        <v>25.434499740600501</v>
      </c>
      <c r="C4611">
        <v>25.9174995422363</v>
      </c>
      <c r="D4611">
        <v>25.425500869750898</v>
      </c>
      <c r="E4611">
        <v>25.877000808715799</v>
      </c>
      <c r="F4611">
        <v>25.877000808715799</v>
      </c>
      <c r="G4611">
        <v>76214000</v>
      </c>
      <c r="H4611">
        <f t="shared" si="284"/>
        <v>2015</v>
      </c>
      <c r="I4611">
        <f t="shared" si="285"/>
        <v>9</v>
      </c>
      <c r="J4611" t="str">
        <f t="shared" si="286"/>
        <v>Sep</v>
      </c>
      <c r="K4611" t="str">
        <f t="shared" si="287"/>
        <v>Tue</v>
      </c>
    </row>
    <row r="4612" spans="1:11" x14ac:dyDescent="0.35">
      <c r="A4612" s="1">
        <v>42256</v>
      </c>
      <c r="B4612">
        <v>26.2000007629394</v>
      </c>
      <c r="C4612">
        <v>26.497499465942301</v>
      </c>
      <c r="D4612">
        <v>25.7530002593994</v>
      </c>
      <c r="E4612">
        <v>25.844499588012599</v>
      </c>
      <c r="F4612">
        <v>25.844499588012599</v>
      </c>
      <c r="G4612">
        <v>87414000</v>
      </c>
      <c r="H4612">
        <f t="shared" ref="H4612:H4675" si="288">YEAR($A4612)</f>
        <v>2015</v>
      </c>
      <c r="I4612">
        <f t="shared" ref="I4612:I4675" si="289">MONTH($A4612)</f>
        <v>9</v>
      </c>
      <c r="J4612" t="str">
        <f t="shared" ref="J4612:J4675" si="290">TEXT($A4612,"mmm")</f>
        <v>Sep</v>
      </c>
      <c r="K4612" t="str">
        <f t="shared" ref="K4612:K4675" si="291">TEXT($A4612,"ddd")</f>
        <v>Wed</v>
      </c>
    </row>
    <row r="4613" spans="1:11" x14ac:dyDescent="0.35">
      <c r="A4613" s="1">
        <v>42257</v>
      </c>
      <c r="B4613">
        <v>25.757499694824201</v>
      </c>
      <c r="C4613">
        <v>26.306499481201101</v>
      </c>
      <c r="D4613">
        <v>25.739000320434499</v>
      </c>
      <c r="E4613">
        <v>26.1119995117187</v>
      </c>
      <c r="F4613">
        <v>26.1119995117187</v>
      </c>
      <c r="G4613">
        <v>51520000</v>
      </c>
      <c r="H4613">
        <f t="shared" si="288"/>
        <v>2015</v>
      </c>
      <c r="I4613">
        <f t="shared" si="289"/>
        <v>9</v>
      </c>
      <c r="J4613" t="str">
        <f t="shared" si="290"/>
        <v>Sep</v>
      </c>
      <c r="K4613" t="str">
        <f t="shared" si="291"/>
        <v>Thu</v>
      </c>
    </row>
    <row r="4614" spans="1:11" x14ac:dyDescent="0.35">
      <c r="A4614" s="1">
        <v>42258</v>
      </c>
      <c r="B4614">
        <v>26.053499221801701</v>
      </c>
      <c r="C4614">
        <v>26.472000122070298</v>
      </c>
      <c r="D4614">
        <v>26.030500411987301</v>
      </c>
      <c r="E4614">
        <v>26.472000122070298</v>
      </c>
      <c r="F4614">
        <v>26.472000122070298</v>
      </c>
      <c r="G4614">
        <v>64558000</v>
      </c>
      <c r="H4614">
        <f t="shared" si="288"/>
        <v>2015</v>
      </c>
      <c r="I4614">
        <f t="shared" si="289"/>
        <v>9</v>
      </c>
      <c r="J4614" t="str">
        <f t="shared" si="290"/>
        <v>Sep</v>
      </c>
      <c r="K4614" t="str">
        <f t="shared" si="291"/>
        <v>Fri</v>
      </c>
    </row>
    <row r="4615" spans="1:11" x14ac:dyDescent="0.35">
      <c r="A4615" s="1">
        <v>42261</v>
      </c>
      <c r="B4615">
        <v>26.472000122070298</v>
      </c>
      <c r="C4615">
        <v>26.622499465942301</v>
      </c>
      <c r="D4615">
        <v>25.929000854492099</v>
      </c>
      <c r="E4615">
        <v>26.0690002441406</v>
      </c>
      <c r="F4615">
        <v>26.0690002441406</v>
      </c>
      <c r="G4615">
        <v>62604000</v>
      </c>
      <c r="H4615">
        <f t="shared" si="288"/>
        <v>2015</v>
      </c>
      <c r="I4615">
        <f t="shared" si="289"/>
        <v>9</v>
      </c>
      <c r="J4615" t="str">
        <f t="shared" si="290"/>
        <v>Sep</v>
      </c>
      <c r="K4615" t="str">
        <f t="shared" si="291"/>
        <v>Mon</v>
      </c>
    </row>
    <row r="4616" spans="1:11" x14ac:dyDescent="0.35">
      <c r="A4616" s="1">
        <v>42262</v>
      </c>
      <c r="B4616">
        <v>26.162500381469702</v>
      </c>
      <c r="C4616">
        <v>26.395999908447202</v>
      </c>
      <c r="D4616">
        <v>25.860000610351499</v>
      </c>
      <c r="E4616">
        <v>26.1184997558593</v>
      </c>
      <c r="F4616">
        <v>26.1184997558593</v>
      </c>
      <c r="G4616">
        <v>57318000</v>
      </c>
      <c r="H4616">
        <f t="shared" si="288"/>
        <v>2015</v>
      </c>
      <c r="I4616">
        <f t="shared" si="289"/>
        <v>9</v>
      </c>
      <c r="J4616" t="str">
        <f t="shared" si="290"/>
        <v>Sep</v>
      </c>
      <c r="K4616" t="str">
        <f t="shared" si="291"/>
        <v>Tue</v>
      </c>
    </row>
    <row r="4617" spans="1:11" x14ac:dyDescent="0.35">
      <c r="A4617" s="1">
        <v>42263</v>
      </c>
      <c r="B4617">
        <v>26.099000930786101</v>
      </c>
      <c r="C4617">
        <v>26.415000915527301</v>
      </c>
      <c r="D4617">
        <v>25.926000595092699</v>
      </c>
      <c r="E4617">
        <v>26.369499206542901</v>
      </c>
      <c r="F4617">
        <v>26.369499206542901</v>
      </c>
      <c r="G4617">
        <v>45056000</v>
      </c>
      <c r="H4617">
        <f t="shared" si="288"/>
        <v>2015</v>
      </c>
      <c r="I4617">
        <f t="shared" si="289"/>
        <v>9</v>
      </c>
      <c r="J4617" t="str">
        <f t="shared" si="290"/>
        <v>Sep</v>
      </c>
      <c r="K4617" t="str">
        <f t="shared" si="291"/>
        <v>Wed</v>
      </c>
    </row>
    <row r="4618" spans="1:11" x14ac:dyDescent="0.35">
      <c r="A4618" s="1">
        <v>42264</v>
      </c>
      <c r="B4618">
        <v>26.349000930786101</v>
      </c>
      <c r="C4618">
        <v>27.3484992980957</v>
      </c>
      <c r="D4618">
        <v>26.3285007476806</v>
      </c>
      <c r="E4618">
        <v>26.9435005187988</v>
      </c>
      <c r="F4618">
        <v>26.9435005187988</v>
      </c>
      <c r="G4618">
        <v>83390000</v>
      </c>
      <c r="H4618">
        <f t="shared" si="288"/>
        <v>2015</v>
      </c>
      <c r="I4618">
        <f t="shared" si="289"/>
        <v>9</v>
      </c>
      <c r="J4618" t="str">
        <f t="shared" si="290"/>
        <v>Sep</v>
      </c>
      <c r="K4618" t="str">
        <f t="shared" si="291"/>
        <v>Thu</v>
      </c>
    </row>
    <row r="4619" spans="1:11" x14ac:dyDescent="0.35">
      <c r="A4619" s="1">
        <v>42265</v>
      </c>
      <c r="B4619">
        <v>26.731000900268501</v>
      </c>
      <c r="C4619">
        <v>27.3120002746582</v>
      </c>
      <c r="D4619">
        <v>26.567499160766602</v>
      </c>
      <c r="E4619">
        <v>27.0130004882812</v>
      </c>
      <c r="F4619">
        <v>27.0130004882812</v>
      </c>
      <c r="G4619">
        <v>123202000</v>
      </c>
      <c r="H4619">
        <f t="shared" si="288"/>
        <v>2015</v>
      </c>
      <c r="I4619">
        <f t="shared" si="289"/>
        <v>9</v>
      </c>
      <c r="J4619" t="str">
        <f t="shared" si="290"/>
        <v>Sep</v>
      </c>
      <c r="K4619" t="str">
        <f t="shared" si="291"/>
        <v>Fri</v>
      </c>
    </row>
    <row r="4620" spans="1:11" x14ac:dyDescent="0.35">
      <c r="A4620" s="1">
        <v>42268</v>
      </c>
      <c r="B4620">
        <v>27.2164993286132</v>
      </c>
      <c r="C4620">
        <v>27.489000320434499</v>
      </c>
      <c r="D4620">
        <v>26.979499816894499</v>
      </c>
      <c r="E4620">
        <v>27.419500350952099</v>
      </c>
      <c r="F4620">
        <v>27.419500350952099</v>
      </c>
      <c r="G4620">
        <v>65666000</v>
      </c>
      <c r="H4620">
        <f t="shared" si="288"/>
        <v>2015</v>
      </c>
      <c r="I4620">
        <f t="shared" si="289"/>
        <v>9</v>
      </c>
      <c r="J4620" t="str">
        <f t="shared" si="290"/>
        <v>Sep</v>
      </c>
      <c r="K4620" t="str">
        <f t="shared" si="291"/>
        <v>Mon</v>
      </c>
    </row>
    <row r="4621" spans="1:11" x14ac:dyDescent="0.35">
      <c r="A4621" s="1">
        <v>42269</v>
      </c>
      <c r="B4621">
        <v>26.985500335693299</v>
      </c>
      <c r="C4621">
        <v>27.1774997711181</v>
      </c>
      <c r="D4621">
        <v>26.632999420166001</v>
      </c>
      <c r="E4621">
        <v>26.920000076293899</v>
      </c>
      <c r="F4621">
        <v>26.920000076293899</v>
      </c>
      <c r="G4621">
        <v>76834000</v>
      </c>
      <c r="H4621">
        <f t="shared" si="288"/>
        <v>2015</v>
      </c>
      <c r="I4621">
        <f t="shared" si="289"/>
        <v>9</v>
      </c>
      <c r="J4621" t="str">
        <f t="shared" si="290"/>
        <v>Sep</v>
      </c>
      <c r="K4621" t="str">
        <f t="shared" si="291"/>
        <v>Tue</v>
      </c>
    </row>
    <row r="4622" spans="1:11" x14ac:dyDescent="0.35">
      <c r="A4622" s="1">
        <v>42270</v>
      </c>
      <c r="B4622">
        <v>26.915000915527301</v>
      </c>
      <c r="C4622">
        <v>27.060499191284102</v>
      </c>
      <c r="D4622">
        <v>26.7000007629394</v>
      </c>
      <c r="E4622">
        <v>26.803499221801701</v>
      </c>
      <c r="F4622">
        <v>26.803499221801701</v>
      </c>
      <c r="G4622">
        <v>44752000</v>
      </c>
      <c r="H4622">
        <f t="shared" si="288"/>
        <v>2015</v>
      </c>
      <c r="I4622">
        <f t="shared" si="289"/>
        <v>9</v>
      </c>
      <c r="J4622" t="str">
        <f t="shared" si="290"/>
        <v>Sep</v>
      </c>
      <c r="K4622" t="str">
        <f t="shared" si="291"/>
        <v>Wed</v>
      </c>
    </row>
    <row r="4623" spans="1:11" x14ac:dyDescent="0.35">
      <c r="A4623" s="1">
        <v>42271</v>
      </c>
      <c r="B4623">
        <v>26.527500152587798</v>
      </c>
      <c r="C4623">
        <v>26.728000640869102</v>
      </c>
      <c r="D4623">
        <v>26.143499374389599</v>
      </c>
      <c r="E4623">
        <v>26.6875</v>
      </c>
      <c r="F4623">
        <v>26.6875</v>
      </c>
      <c r="G4623">
        <v>70020000</v>
      </c>
      <c r="H4623">
        <f t="shared" si="288"/>
        <v>2015</v>
      </c>
      <c r="I4623">
        <f t="shared" si="289"/>
        <v>9</v>
      </c>
      <c r="J4623" t="str">
        <f t="shared" si="290"/>
        <v>Sep</v>
      </c>
      <c r="K4623" t="str">
        <f t="shared" si="291"/>
        <v>Thu</v>
      </c>
    </row>
    <row r="4624" spans="1:11" x14ac:dyDescent="0.35">
      <c r="A4624" s="1">
        <v>42272</v>
      </c>
      <c r="B4624">
        <v>27.1284999847412</v>
      </c>
      <c r="C4624">
        <v>27.139999389648398</v>
      </c>
      <c r="D4624">
        <v>26.069999694824201</v>
      </c>
      <c r="E4624">
        <v>26.212499618530199</v>
      </c>
      <c r="F4624">
        <v>26.212499618530199</v>
      </c>
      <c r="G4624">
        <v>80620000</v>
      </c>
      <c r="H4624">
        <f t="shared" si="288"/>
        <v>2015</v>
      </c>
      <c r="I4624">
        <f t="shared" si="289"/>
        <v>9</v>
      </c>
      <c r="J4624" t="str">
        <f t="shared" si="290"/>
        <v>Sep</v>
      </c>
      <c r="K4624" t="str">
        <f t="shared" si="291"/>
        <v>Fri</v>
      </c>
    </row>
    <row r="4625" spans="1:11" x14ac:dyDescent="0.35">
      <c r="A4625" s="1">
        <v>42275</v>
      </c>
      <c r="B4625">
        <v>26.000999450683501</v>
      </c>
      <c r="C4625">
        <v>26.013999938964801</v>
      </c>
      <c r="D4625">
        <v>24.7164993286132</v>
      </c>
      <c r="E4625">
        <v>25.202999114990199</v>
      </c>
      <c r="F4625">
        <v>25.202999114990199</v>
      </c>
      <c r="G4625">
        <v>108690000</v>
      </c>
      <c r="H4625">
        <f t="shared" si="288"/>
        <v>2015</v>
      </c>
      <c r="I4625">
        <f t="shared" si="289"/>
        <v>9</v>
      </c>
      <c r="J4625" t="str">
        <f t="shared" si="290"/>
        <v>Sep</v>
      </c>
      <c r="K4625" t="str">
        <f t="shared" si="291"/>
        <v>Mon</v>
      </c>
    </row>
    <row r="4626" spans="1:11" x14ac:dyDescent="0.35">
      <c r="A4626" s="1">
        <v>42276</v>
      </c>
      <c r="B4626">
        <v>25.299999237060501</v>
      </c>
      <c r="C4626">
        <v>25.573999404907202</v>
      </c>
      <c r="D4626">
        <v>24.524999618530199</v>
      </c>
      <c r="E4626">
        <v>24.803499221801701</v>
      </c>
      <c r="F4626">
        <v>24.803499221801701</v>
      </c>
      <c r="G4626">
        <v>89150000</v>
      </c>
      <c r="H4626">
        <f t="shared" si="288"/>
        <v>2015</v>
      </c>
      <c r="I4626">
        <f t="shared" si="289"/>
        <v>9</v>
      </c>
      <c r="J4626" t="str">
        <f t="shared" si="290"/>
        <v>Sep</v>
      </c>
      <c r="K4626" t="str">
        <f t="shared" si="291"/>
        <v>Tue</v>
      </c>
    </row>
    <row r="4627" spans="1:11" x14ac:dyDescent="0.35">
      <c r="A4627" s="1">
        <v>42277</v>
      </c>
      <c r="B4627">
        <v>25.271999359130799</v>
      </c>
      <c r="C4627">
        <v>25.639999389648398</v>
      </c>
      <c r="D4627">
        <v>25.083499908447202</v>
      </c>
      <c r="E4627">
        <v>25.594499588012599</v>
      </c>
      <c r="F4627">
        <v>25.594499588012599</v>
      </c>
      <c r="G4627">
        <v>80094000</v>
      </c>
      <c r="H4627">
        <f t="shared" si="288"/>
        <v>2015</v>
      </c>
      <c r="I4627">
        <f t="shared" si="289"/>
        <v>9</v>
      </c>
      <c r="J4627" t="str">
        <f t="shared" si="290"/>
        <v>Sep</v>
      </c>
      <c r="K4627" t="str">
        <f t="shared" si="291"/>
        <v>Wed</v>
      </c>
    </row>
    <row r="4628" spans="1:11" x14ac:dyDescent="0.35">
      <c r="A4628" s="1">
        <v>42278</v>
      </c>
      <c r="B4628">
        <v>25.549999237060501</v>
      </c>
      <c r="C4628">
        <v>26.040000915527301</v>
      </c>
      <c r="D4628">
        <v>25.299999237060501</v>
      </c>
      <c r="E4628">
        <v>26.0359992980957</v>
      </c>
      <c r="F4628">
        <v>26.0359992980957</v>
      </c>
      <c r="G4628">
        <v>75370000</v>
      </c>
      <c r="H4628">
        <f t="shared" si="288"/>
        <v>2015</v>
      </c>
      <c r="I4628">
        <f t="shared" si="289"/>
        <v>10</v>
      </c>
      <c r="J4628" t="str">
        <f t="shared" si="290"/>
        <v>Oct</v>
      </c>
      <c r="K4628" t="str">
        <f t="shared" si="291"/>
        <v>Thu</v>
      </c>
    </row>
    <row r="4629" spans="1:11" x14ac:dyDescent="0.35">
      <c r="A4629" s="1">
        <v>42279</v>
      </c>
      <c r="B4629">
        <v>25.649499893188398</v>
      </c>
      <c r="C4629">
        <v>26.629999160766602</v>
      </c>
      <c r="D4629">
        <v>25.405000686645501</v>
      </c>
      <c r="E4629">
        <v>26.627000808715799</v>
      </c>
      <c r="F4629">
        <v>26.627000808715799</v>
      </c>
      <c r="G4629">
        <v>91956000</v>
      </c>
      <c r="H4629">
        <f t="shared" si="288"/>
        <v>2015</v>
      </c>
      <c r="I4629">
        <f t="shared" si="289"/>
        <v>10</v>
      </c>
      <c r="J4629" t="str">
        <f t="shared" si="290"/>
        <v>Oct</v>
      </c>
      <c r="K4629" t="str">
        <f t="shared" si="291"/>
        <v>Fri</v>
      </c>
    </row>
    <row r="4630" spans="1:11" x14ac:dyDescent="0.35">
      <c r="A4630" s="1">
        <v>42282</v>
      </c>
      <c r="B4630">
        <v>26.849500656127901</v>
      </c>
      <c r="C4630">
        <v>27.2954998016357</v>
      </c>
      <c r="D4630">
        <v>26.799999237060501</v>
      </c>
      <c r="E4630">
        <v>27.1840000152587</v>
      </c>
      <c r="F4630">
        <v>27.1840000152587</v>
      </c>
      <c r="G4630">
        <v>67828000</v>
      </c>
      <c r="H4630">
        <f t="shared" si="288"/>
        <v>2015</v>
      </c>
      <c r="I4630">
        <f t="shared" si="289"/>
        <v>10</v>
      </c>
      <c r="J4630" t="str">
        <f t="shared" si="290"/>
        <v>Oct</v>
      </c>
      <c r="K4630" t="str">
        <f t="shared" si="291"/>
        <v>Mon</v>
      </c>
    </row>
    <row r="4631" spans="1:11" x14ac:dyDescent="0.35">
      <c r="A4631" s="1">
        <v>42283</v>
      </c>
      <c r="B4631">
        <v>27.274999618530199</v>
      </c>
      <c r="C4631">
        <v>27.5750007629394</v>
      </c>
      <c r="D4631">
        <v>26.666500091552699</v>
      </c>
      <c r="E4631">
        <v>26.874000549316399</v>
      </c>
      <c r="F4631">
        <v>26.874000549316399</v>
      </c>
      <c r="G4631">
        <v>90056000</v>
      </c>
      <c r="H4631">
        <f t="shared" si="288"/>
        <v>2015</v>
      </c>
      <c r="I4631">
        <f t="shared" si="289"/>
        <v>10</v>
      </c>
      <c r="J4631" t="str">
        <f t="shared" si="290"/>
        <v>Oct</v>
      </c>
      <c r="K4631" t="str">
        <f t="shared" si="291"/>
        <v>Tue</v>
      </c>
    </row>
    <row r="4632" spans="1:11" x14ac:dyDescent="0.35">
      <c r="A4632" s="1">
        <v>42284</v>
      </c>
      <c r="B4632">
        <v>27.089500427246001</v>
      </c>
      <c r="C4632">
        <v>27.100000381469702</v>
      </c>
      <c r="D4632">
        <v>26.4500007629394</v>
      </c>
      <c r="E4632">
        <v>27.097000122070298</v>
      </c>
      <c r="F4632">
        <v>27.097000122070298</v>
      </c>
      <c r="G4632">
        <v>76242000</v>
      </c>
      <c r="H4632">
        <f t="shared" si="288"/>
        <v>2015</v>
      </c>
      <c r="I4632">
        <f t="shared" si="289"/>
        <v>10</v>
      </c>
      <c r="J4632" t="str">
        <f t="shared" si="290"/>
        <v>Oct</v>
      </c>
      <c r="K4632" t="str">
        <f t="shared" si="291"/>
        <v>Wed</v>
      </c>
    </row>
    <row r="4633" spans="1:11" x14ac:dyDescent="0.35">
      <c r="A4633" s="1">
        <v>42285</v>
      </c>
      <c r="B4633">
        <v>26.835500717163001</v>
      </c>
      <c r="C4633">
        <v>26.969499588012599</v>
      </c>
      <c r="D4633">
        <v>25.994499206542901</v>
      </c>
      <c r="E4633">
        <v>26.658000946044901</v>
      </c>
      <c r="F4633">
        <v>26.658000946044901</v>
      </c>
      <c r="G4633">
        <v>93528000</v>
      </c>
      <c r="H4633">
        <f t="shared" si="288"/>
        <v>2015</v>
      </c>
      <c r="I4633">
        <f t="shared" si="289"/>
        <v>10</v>
      </c>
      <c r="J4633" t="str">
        <f t="shared" si="290"/>
        <v>Oct</v>
      </c>
      <c r="K4633" t="str">
        <f t="shared" si="291"/>
        <v>Thu</v>
      </c>
    </row>
    <row r="4634" spans="1:11" x14ac:dyDescent="0.35">
      <c r="A4634" s="1">
        <v>42286</v>
      </c>
      <c r="B4634">
        <v>26.724000930786101</v>
      </c>
      <c r="C4634">
        <v>27.089500427246001</v>
      </c>
      <c r="D4634">
        <v>26.513500213623001</v>
      </c>
      <c r="E4634">
        <v>26.9899997711181</v>
      </c>
      <c r="F4634">
        <v>26.9899997711181</v>
      </c>
      <c r="G4634">
        <v>70748000</v>
      </c>
      <c r="H4634">
        <f t="shared" si="288"/>
        <v>2015</v>
      </c>
      <c r="I4634">
        <f t="shared" si="289"/>
        <v>10</v>
      </c>
      <c r="J4634" t="str">
        <f t="shared" si="290"/>
        <v>Oct</v>
      </c>
      <c r="K4634" t="str">
        <f t="shared" si="291"/>
        <v>Fri</v>
      </c>
    </row>
    <row r="4635" spans="1:11" x14ac:dyDescent="0.35">
      <c r="A4635" s="1">
        <v>42289</v>
      </c>
      <c r="B4635">
        <v>26.997999191284102</v>
      </c>
      <c r="C4635">
        <v>27.541000366210898</v>
      </c>
      <c r="D4635">
        <v>26.9899997711181</v>
      </c>
      <c r="E4635">
        <v>27.50950050354</v>
      </c>
      <c r="F4635">
        <v>27.50950050354</v>
      </c>
      <c r="G4635">
        <v>55522000</v>
      </c>
      <c r="H4635">
        <f t="shared" si="288"/>
        <v>2015</v>
      </c>
      <c r="I4635">
        <f t="shared" si="289"/>
        <v>10</v>
      </c>
      <c r="J4635" t="str">
        <f t="shared" si="290"/>
        <v>Oct</v>
      </c>
      <c r="K4635" t="str">
        <f t="shared" si="291"/>
        <v>Mon</v>
      </c>
    </row>
    <row r="4636" spans="1:11" x14ac:dyDescent="0.35">
      <c r="A4636" s="1">
        <v>42290</v>
      </c>
      <c r="B4636">
        <v>27.312999725341701</v>
      </c>
      <c r="C4636">
        <v>27.659999847412099</v>
      </c>
      <c r="D4636">
        <v>27.155000686645501</v>
      </c>
      <c r="E4636">
        <v>27.444999694824201</v>
      </c>
      <c r="F4636">
        <v>27.444999694824201</v>
      </c>
      <c r="G4636">
        <v>58760000</v>
      </c>
      <c r="H4636">
        <f t="shared" si="288"/>
        <v>2015</v>
      </c>
      <c r="I4636">
        <f t="shared" si="289"/>
        <v>10</v>
      </c>
      <c r="J4636" t="str">
        <f t="shared" si="290"/>
        <v>Oct</v>
      </c>
      <c r="K4636" t="str">
        <f t="shared" si="291"/>
        <v>Tue</v>
      </c>
    </row>
    <row r="4637" spans="1:11" x14ac:dyDescent="0.35">
      <c r="A4637" s="1">
        <v>42291</v>
      </c>
      <c r="B4637">
        <v>27.566999435424801</v>
      </c>
      <c r="C4637">
        <v>27.612499237060501</v>
      </c>
      <c r="D4637">
        <v>26.9839992523193</v>
      </c>
      <c r="E4637">
        <v>27.241500854492099</v>
      </c>
      <c r="F4637">
        <v>27.241500854492099</v>
      </c>
      <c r="G4637">
        <v>71642000</v>
      </c>
      <c r="H4637">
        <f t="shared" si="288"/>
        <v>2015</v>
      </c>
      <c r="I4637">
        <f t="shared" si="289"/>
        <v>10</v>
      </c>
      <c r="J4637" t="str">
        <f t="shared" si="290"/>
        <v>Oct</v>
      </c>
      <c r="K4637" t="str">
        <f t="shared" si="291"/>
        <v>Wed</v>
      </c>
    </row>
    <row r="4638" spans="1:11" x14ac:dyDescent="0.35">
      <c r="A4638" s="1">
        <v>42292</v>
      </c>
      <c r="B4638">
        <v>27.3875007629394</v>
      </c>
      <c r="C4638">
        <v>28.149999618530199</v>
      </c>
      <c r="D4638">
        <v>27.350000381469702</v>
      </c>
      <c r="E4638">
        <v>28.121999740600501</v>
      </c>
      <c r="F4638">
        <v>28.121999740600501</v>
      </c>
      <c r="G4638">
        <v>98740000</v>
      </c>
      <c r="H4638">
        <f t="shared" si="288"/>
        <v>2015</v>
      </c>
      <c r="I4638">
        <f t="shared" si="289"/>
        <v>10</v>
      </c>
      <c r="J4638" t="str">
        <f t="shared" si="290"/>
        <v>Oct</v>
      </c>
      <c r="K4638" t="str">
        <f t="shared" si="291"/>
        <v>Thu</v>
      </c>
    </row>
    <row r="4639" spans="1:11" x14ac:dyDescent="0.35">
      <c r="A4639" s="1">
        <v>42293</v>
      </c>
      <c r="B4639">
        <v>28.263500213623001</v>
      </c>
      <c r="C4639">
        <v>28.547000885009702</v>
      </c>
      <c r="D4639">
        <v>28.015499114990199</v>
      </c>
      <c r="E4639">
        <v>28.538000106811499</v>
      </c>
      <c r="F4639">
        <v>28.538000106811499</v>
      </c>
      <c r="G4639">
        <v>86316000</v>
      </c>
      <c r="H4639">
        <f t="shared" si="288"/>
        <v>2015</v>
      </c>
      <c r="I4639">
        <f t="shared" si="289"/>
        <v>10</v>
      </c>
      <c r="J4639" t="str">
        <f t="shared" si="290"/>
        <v>Oct</v>
      </c>
      <c r="K4639" t="str">
        <f t="shared" si="291"/>
        <v>Fri</v>
      </c>
    </row>
    <row r="4640" spans="1:11" x14ac:dyDescent="0.35">
      <c r="A4640" s="1">
        <v>42296</v>
      </c>
      <c r="B4640">
        <v>28.538000106811499</v>
      </c>
      <c r="C4640">
        <v>28.9500007629394</v>
      </c>
      <c r="D4640">
        <v>28.368999481201101</v>
      </c>
      <c r="E4640">
        <v>28.6574993133544</v>
      </c>
      <c r="F4640">
        <v>28.6574993133544</v>
      </c>
      <c r="G4640">
        <v>87508000</v>
      </c>
      <c r="H4640">
        <f t="shared" si="288"/>
        <v>2015</v>
      </c>
      <c r="I4640">
        <f t="shared" si="289"/>
        <v>10</v>
      </c>
      <c r="J4640" t="str">
        <f t="shared" si="290"/>
        <v>Oct</v>
      </c>
      <c r="K4640" t="str">
        <f t="shared" si="291"/>
        <v>Mon</v>
      </c>
    </row>
    <row r="4641" spans="1:11" x14ac:dyDescent="0.35">
      <c r="A4641" s="1">
        <v>42297</v>
      </c>
      <c r="B4641">
        <v>28.600000381469702</v>
      </c>
      <c r="C4641">
        <v>28.649999618530199</v>
      </c>
      <c r="D4641">
        <v>27.763999938964801</v>
      </c>
      <c r="E4641">
        <v>28.044000625610298</v>
      </c>
      <c r="F4641">
        <v>28.044000625610298</v>
      </c>
      <c r="G4641">
        <v>86924000</v>
      </c>
      <c r="H4641">
        <f t="shared" si="288"/>
        <v>2015</v>
      </c>
      <c r="I4641">
        <f t="shared" si="289"/>
        <v>10</v>
      </c>
      <c r="J4641" t="str">
        <f t="shared" si="290"/>
        <v>Oct</v>
      </c>
      <c r="K4641" t="str">
        <f t="shared" si="291"/>
        <v>Tue</v>
      </c>
    </row>
    <row r="4642" spans="1:11" x14ac:dyDescent="0.35">
      <c r="A4642" s="1">
        <v>42298</v>
      </c>
      <c r="B4642">
        <v>28.1935005187988</v>
      </c>
      <c r="C4642">
        <v>28.2625007629394</v>
      </c>
      <c r="D4642">
        <v>27.625999450683501</v>
      </c>
      <c r="E4642">
        <v>27.788499832153299</v>
      </c>
      <c r="F4642">
        <v>27.788499832153299</v>
      </c>
      <c r="G4642">
        <v>66872000</v>
      </c>
      <c r="H4642">
        <f t="shared" si="288"/>
        <v>2015</v>
      </c>
      <c r="I4642">
        <f t="shared" si="289"/>
        <v>10</v>
      </c>
      <c r="J4642" t="str">
        <f t="shared" si="290"/>
        <v>Oct</v>
      </c>
      <c r="K4642" t="str">
        <f t="shared" si="291"/>
        <v>Wed</v>
      </c>
    </row>
    <row r="4643" spans="1:11" x14ac:dyDescent="0.35">
      <c r="A4643" s="1">
        <v>42299</v>
      </c>
      <c r="B4643">
        <v>28.1350002288818</v>
      </c>
      <c r="C4643">
        <v>28.457500457763601</v>
      </c>
      <c r="D4643">
        <v>27.833499908447202</v>
      </c>
      <c r="E4643">
        <v>28.195499420166001</v>
      </c>
      <c r="F4643">
        <v>28.195499420166001</v>
      </c>
      <c r="G4643">
        <v>155588000</v>
      </c>
      <c r="H4643">
        <f t="shared" si="288"/>
        <v>2015</v>
      </c>
      <c r="I4643">
        <f t="shared" si="289"/>
        <v>10</v>
      </c>
      <c r="J4643" t="str">
        <f t="shared" si="290"/>
        <v>Oct</v>
      </c>
      <c r="K4643" t="str">
        <f t="shared" si="291"/>
        <v>Thu</v>
      </c>
    </row>
    <row r="4644" spans="1:11" x14ac:dyDescent="0.35">
      <c r="A4644" s="1">
        <v>42300</v>
      </c>
      <c r="B4644">
        <v>30.8840007781982</v>
      </c>
      <c r="C4644">
        <v>30.972499847412099</v>
      </c>
      <c r="D4644">
        <v>29.767999649047798</v>
      </c>
      <c r="E4644">
        <v>29.951499938964801</v>
      </c>
      <c r="F4644">
        <v>29.951499938964801</v>
      </c>
      <c r="G4644">
        <v>213854000</v>
      </c>
      <c r="H4644">
        <f t="shared" si="288"/>
        <v>2015</v>
      </c>
      <c r="I4644">
        <f t="shared" si="289"/>
        <v>10</v>
      </c>
      <c r="J4644" t="str">
        <f t="shared" si="290"/>
        <v>Oct</v>
      </c>
      <c r="K4644" t="str">
        <f t="shared" si="291"/>
        <v>Fri</v>
      </c>
    </row>
    <row r="4645" spans="1:11" x14ac:dyDescent="0.35">
      <c r="A4645" s="1">
        <v>42303</v>
      </c>
      <c r="B4645">
        <v>30.1149997711181</v>
      </c>
      <c r="C4645">
        <v>30.4925003051757</v>
      </c>
      <c r="D4645">
        <v>29.814500808715799</v>
      </c>
      <c r="E4645">
        <v>30.4305000305175</v>
      </c>
      <c r="F4645">
        <v>30.4305000305175</v>
      </c>
      <c r="G4645">
        <v>85394000</v>
      </c>
      <c r="H4645">
        <f t="shared" si="288"/>
        <v>2015</v>
      </c>
      <c r="I4645">
        <f t="shared" si="289"/>
        <v>10</v>
      </c>
      <c r="J4645" t="str">
        <f t="shared" si="290"/>
        <v>Oct</v>
      </c>
      <c r="K4645" t="str">
        <f t="shared" si="291"/>
        <v>Mon</v>
      </c>
    </row>
    <row r="4646" spans="1:11" x14ac:dyDescent="0.35">
      <c r="A4646" s="1">
        <v>42304</v>
      </c>
      <c r="B4646">
        <v>30.4300003051757</v>
      </c>
      <c r="C4646">
        <v>30.735500335693299</v>
      </c>
      <c r="D4646">
        <v>30.276500701904201</v>
      </c>
      <c r="E4646">
        <v>30.550500869750898</v>
      </c>
      <c r="F4646">
        <v>30.550500869750898</v>
      </c>
      <c r="G4646">
        <v>75742000</v>
      </c>
      <c r="H4646">
        <f t="shared" si="288"/>
        <v>2015</v>
      </c>
      <c r="I4646">
        <f t="shared" si="289"/>
        <v>10</v>
      </c>
      <c r="J4646" t="str">
        <f t="shared" si="290"/>
        <v>Oct</v>
      </c>
      <c r="K4646" t="str">
        <f t="shared" si="291"/>
        <v>Tue</v>
      </c>
    </row>
    <row r="4647" spans="1:11" x14ac:dyDescent="0.35">
      <c r="A4647" s="1">
        <v>42305</v>
      </c>
      <c r="B4647">
        <v>30.6149997711181</v>
      </c>
      <c r="C4647">
        <v>30.8614997863769</v>
      </c>
      <c r="D4647">
        <v>30.475000381469702</v>
      </c>
      <c r="E4647">
        <v>30.8549995422363</v>
      </c>
      <c r="F4647">
        <v>30.8549995422363</v>
      </c>
      <c r="G4647">
        <v>78524000</v>
      </c>
      <c r="H4647">
        <f t="shared" si="288"/>
        <v>2015</v>
      </c>
      <c r="I4647">
        <f t="shared" si="289"/>
        <v>10</v>
      </c>
      <c r="J4647" t="str">
        <f t="shared" si="290"/>
        <v>Oct</v>
      </c>
      <c r="K4647" t="str">
        <f t="shared" si="291"/>
        <v>Wed</v>
      </c>
    </row>
    <row r="4648" spans="1:11" x14ac:dyDescent="0.35">
      <c r="A4648" s="1">
        <v>42306</v>
      </c>
      <c r="B4648">
        <v>30.8850002288818</v>
      </c>
      <c r="C4648">
        <v>31.377000808715799</v>
      </c>
      <c r="D4648">
        <v>30.7695007324218</v>
      </c>
      <c r="E4648">
        <v>31.327499389648398</v>
      </c>
      <c r="F4648">
        <v>31.327499389648398</v>
      </c>
      <c r="G4648">
        <v>77920000</v>
      </c>
      <c r="H4648">
        <f t="shared" si="288"/>
        <v>2015</v>
      </c>
      <c r="I4648">
        <f t="shared" si="289"/>
        <v>10</v>
      </c>
      <c r="J4648" t="str">
        <f t="shared" si="290"/>
        <v>Oct</v>
      </c>
      <c r="K4648" t="str">
        <f t="shared" si="291"/>
        <v>Thu</v>
      </c>
    </row>
    <row r="4649" spans="1:11" x14ac:dyDescent="0.35">
      <c r="A4649" s="1">
        <v>42307</v>
      </c>
      <c r="B4649">
        <v>31.300500869750898</v>
      </c>
      <c r="C4649">
        <v>31.5359992980957</v>
      </c>
      <c r="D4649">
        <v>31.263999938964801</v>
      </c>
      <c r="E4649">
        <v>31.295000076293899</v>
      </c>
      <c r="F4649">
        <v>31.295000076293899</v>
      </c>
      <c r="G4649">
        <v>77488000</v>
      </c>
      <c r="H4649">
        <f t="shared" si="288"/>
        <v>2015</v>
      </c>
      <c r="I4649">
        <f t="shared" si="289"/>
        <v>10</v>
      </c>
      <c r="J4649" t="str">
        <f t="shared" si="290"/>
        <v>Oct</v>
      </c>
      <c r="K4649" t="str">
        <f t="shared" si="291"/>
        <v>Fri</v>
      </c>
    </row>
    <row r="4650" spans="1:11" x14ac:dyDescent="0.35">
      <c r="A4650" s="1">
        <v>42310</v>
      </c>
      <c r="B4650">
        <v>31.356500625610298</v>
      </c>
      <c r="C4650">
        <v>31.431499481201101</v>
      </c>
      <c r="D4650">
        <v>31.020500183105401</v>
      </c>
      <c r="E4650">
        <v>31.4174995422363</v>
      </c>
      <c r="F4650">
        <v>31.4174995422363</v>
      </c>
      <c r="G4650">
        <v>56330000</v>
      </c>
      <c r="H4650">
        <f t="shared" si="288"/>
        <v>2015</v>
      </c>
      <c r="I4650">
        <f t="shared" si="289"/>
        <v>11</v>
      </c>
      <c r="J4650" t="str">
        <f t="shared" si="290"/>
        <v>Nov</v>
      </c>
      <c r="K4650" t="str">
        <f t="shared" si="291"/>
        <v>Mon</v>
      </c>
    </row>
    <row r="4651" spans="1:11" x14ac:dyDescent="0.35">
      <c r="A4651" s="1">
        <v>42311</v>
      </c>
      <c r="B4651">
        <v>31.476499557495099</v>
      </c>
      <c r="C4651">
        <v>31.494499206542901</v>
      </c>
      <c r="D4651">
        <v>31.100000381469702</v>
      </c>
      <c r="E4651">
        <v>31.265499114990199</v>
      </c>
      <c r="F4651">
        <v>31.265499114990199</v>
      </c>
      <c r="G4651">
        <v>64938000</v>
      </c>
      <c r="H4651">
        <f t="shared" si="288"/>
        <v>2015</v>
      </c>
      <c r="I4651">
        <f t="shared" si="289"/>
        <v>11</v>
      </c>
      <c r="J4651" t="str">
        <f t="shared" si="290"/>
        <v>Nov</v>
      </c>
      <c r="K4651" t="str">
        <f t="shared" si="291"/>
        <v>Tue</v>
      </c>
    </row>
    <row r="4652" spans="1:11" x14ac:dyDescent="0.35">
      <c r="A4652" s="1">
        <v>42312</v>
      </c>
      <c r="B4652">
        <v>31.3880004882812</v>
      </c>
      <c r="C4652">
        <v>32.296501159667898</v>
      </c>
      <c r="D4652">
        <v>31.3675003051757</v>
      </c>
      <c r="E4652">
        <v>32.047500610351499</v>
      </c>
      <c r="F4652">
        <v>32.047500610351499</v>
      </c>
      <c r="G4652">
        <v>96810000</v>
      </c>
      <c r="H4652">
        <f t="shared" si="288"/>
        <v>2015</v>
      </c>
      <c r="I4652">
        <f t="shared" si="289"/>
        <v>11</v>
      </c>
      <c r="J4652" t="str">
        <f t="shared" si="290"/>
        <v>Nov</v>
      </c>
      <c r="K4652" t="str">
        <f t="shared" si="291"/>
        <v>Wed</v>
      </c>
    </row>
    <row r="4653" spans="1:11" x14ac:dyDescent="0.35">
      <c r="A4653" s="1">
        <v>42313</v>
      </c>
      <c r="B4653">
        <v>32.3549995422363</v>
      </c>
      <c r="C4653">
        <v>32.849998474121001</v>
      </c>
      <c r="D4653">
        <v>32.154499053955</v>
      </c>
      <c r="E4653">
        <v>32.782501220703097</v>
      </c>
      <c r="F4653">
        <v>32.782501220703097</v>
      </c>
      <c r="G4653">
        <v>94476000</v>
      </c>
      <c r="H4653">
        <f t="shared" si="288"/>
        <v>2015</v>
      </c>
      <c r="I4653">
        <f t="shared" si="289"/>
        <v>11</v>
      </c>
      <c r="J4653" t="str">
        <f t="shared" si="290"/>
        <v>Nov</v>
      </c>
      <c r="K4653" t="str">
        <f t="shared" si="291"/>
        <v>Thu</v>
      </c>
    </row>
    <row r="4654" spans="1:11" x14ac:dyDescent="0.35">
      <c r="A4654" s="1">
        <v>42314</v>
      </c>
      <c r="B4654">
        <v>32.75</v>
      </c>
      <c r="C4654">
        <v>33.112998962402301</v>
      </c>
      <c r="D4654">
        <v>32.599998474121001</v>
      </c>
      <c r="E4654">
        <v>32.968498229980398</v>
      </c>
      <c r="F4654">
        <v>32.968498229980398</v>
      </c>
      <c r="G4654">
        <v>81844000</v>
      </c>
      <c r="H4654">
        <f t="shared" si="288"/>
        <v>2015</v>
      </c>
      <c r="I4654">
        <f t="shared" si="289"/>
        <v>11</v>
      </c>
      <c r="J4654" t="str">
        <f t="shared" si="290"/>
        <v>Nov</v>
      </c>
      <c r="K4654" t="str">
        <f t="shared" si="291"/>
        <v>Fri</v>
      </c>
    </row>
    <row r="4655" spans="1:11" x14ac:dyDescent="0.35">
      <c r="A4655" s="1">
        <v>42317</v>
      </c>
      <c r="B4655">
        <v>32.932498931884702</v>
      </c>
      <c r="C4655">
        <v>33.097999572753899</v>
      </c>
      <c r="D4655">
        <v>32.392501831054602</v>
      </c>
      <c r="E4655">
        <v>32.774501800537102</v>
      </c>
      <c r="F4655">
        <v>32.774501800537102</v>
      </c>
      <c r="G4655">
        <v>80976000</v>
      </c>
      <c r="H4655">
        <f t="shared" si="288"/>
        <v>2015</v>
      </c>
      <c r="I4655">
        <f t="shared" si="289"/>
        <v>11</v>
      </c>
      <c r="J4655" t="str">
        <f t="shared" si="290"/>
        <v>Nov</v>
      </c>
      <c r="K4655" t="str">
        <f t="shared" si="291"/>
        <v>Mon</v>
      </c>
    </row>
    <row r="4656" spans="1:11" x14ac:dyDescent="0.35">
      <c r="A4656" s="1">
        <v>42318</v>
      </c>
      <c r="B4656">
        <v>32.550498962402301</v>
      </c>
      <c r="C4656">
        <v>33</v>
      </c>
      <c r="D4656">
        <v>32.362998962402301</v>
      </c>
      <c r="E4656">
        <v>32.984001159667898</v>
      </c>
      <c r="F4656">
        <v>32.984001159667898</v>
      </c>
      <c r="G4656">
        <v>69790000</v>
      </c>
      <c r="H4656">
        <f t="shared" si="288"/>
        <v>2015</v>
      </c>
      <c r="I4656">
        <f t="shared" si="289"/>
        <v>11</v>
      </c>
      <c r="J4656" t="str">
        <f t="shared" si="290"/>
        <v>Nov</v>
      </c>
      <c r="K4656" t="str">
        <f t="shared" si="291"/>
        <v>Tue</v>
      </c>
    </row>
    <row r="4657" spans="1:11" x14ac:dyDescent="0.35">
      <c r="A4657" s="1">
        <v>42319</v>
      </c>
      <c r="B4657">
        <v>33.162498474121001</v>
      </c>
      <c r="C4657">
        <v>33.798000335693303</v>
      </c>
      <c r="D4657">
        <v>33.162498474121001</v>
      </c>
      <c r="E4657">
        <v>33.662498474121001</v>
      </c>
      <c r="F4657">
        <v>33.662498474121001</v>
      </c>
      <c r="G4657">
        <v>107746000</v>
      </c>
      <c r="H4657">
        <f t="shared" si="288"/>
        <v>2015</v>
      </c>
      <c r="I4657">
        <f t="shared" si="289"/>
        <v>11</v>
      </c>
      <c r="J4657" t="str">
        <f t="shared" si="290"/>
        <v>Nov</v>
      </c>
      <c r="K4657" t="str">
        <f t="shared" si="291"/>
        <v>Wed</v>
      </c>
    </row>
    <row r="4658" spans="1:11" x14ac:dyDescent="0.35">
      <c r="A4658" s="1">
        <v>42320</v>
      </c>
      <c r="B4658">
        <v>33.650001525878899</v>
      </c>
      <c r="C4658">
        <v>33.7820014953613</v>
      </c>
      <c r="D4658">
        <v>33.2109985351562</v>
      </c>
      <c r="E4658">
        <v>33.279998779296797</v>
      </c>
      <c r="F4658">
        <v>33.279998779296797</v>
      </c>
      <c r="G4658">
        <v>85694000</v>
      </c>
      <c r="H4658">
        <f t="shared" si="288"/>
        <v>2015</v>
      </c>
      <c r="I4658">
        <f t="shared" si="289"/>
        <v>11</v>
      </c>
      <c r="J4658" t="str">
        <f t="shared" si="290"/>
        <v>Nov</v>
      </c>
      <c r="K4658" t="str">
        <f t="shared" si="291"/>
        <v>Thu</v>
      </c>
    </row>
    <row r="4659" spans="1:11" x14ac:dyDescent="0.35">
      <c r="A4659" s="1">
        <v>42321</v>
      </c>
      <c r="B4659">
        <v>33.178501129150298</v>
      </c>
      <c r="C4659">
        <v>33.349998474121001</v>
      </c>
      <c r="D4659">
        <v>32.022499084472599</v>
      </c>
      <c r="E4659">
        <v>32.117500305175703</v>
      </c>
      <c r="F4659">
        <v>32.117500305175703</v>
      </c>
      <c r="G4659">
        <v>125222000</v>
      </c>
      <c r="H4659">
        <f t="shared" si="288"/>
        <v>2015</v>
      </c>
      <c r="I4659">
        <f t="shared" si="289"/>
        <v>11</v>
      </c>
      <c r="J4659" t="str">
        <f t="shared" si="290"/>
        <v>Nov</v>
      </c>
      <c r="K4659" t="str">
        <f t="shared" si="291"/>
        <v>Fri</v>
      </c>
    </row>
    <row r="4660" spans="1:11" x14ac:dyDescent="0.35">
      <c r="A4660" s="1">
        <v>42324</v>
      </c>
      <c r="B4660">
        <v>32.046001434326101</v>
      </c>
      <c r="C4660">
        <v>32.499500274658203</v>
      </c>
      <c r="D4660">
        <v>31.1145000457763</v>
      </c>
      <c r="E4660">
        <v>32.390499114990199</v>
      </c>
      <c r="F4660">
        <v>32.390499114990199</v>
      </c>
      <c r="G4660">
        <v>148718000</v>
      </c>
      <c r="H4660">
        <f t="shared" si="288"/>
        <v>2015</v>
      </c>
      <c r="I4660">
        <f t="shared" si="289"/>
        <v>11</v>
      </c>
      <c r="J4660" t="str">
        <f t="shared" si="290"/>
        <v>Nov</v>
      </c>
      <c r="K4660" t="str">
        <f t="shared" si="291"/>
        <v>Mon</v>
      </c>
    </row>
    <row r="4661" spans="1:11" x14ac:dyDescent="0.35">
      <c r="A4661" s="1">
        <v>42325</v>
      </c>
      <c r="B4661">
        <v>32.532501220703097</v>
      </c>
      <c r="C4661">
        <v>32.662498474121001</v>
      </c>
      <c r="D4661">
        <v>32.049999237060497</v>
      </c>
      <c r="E4661">
        <v>32.165000915527301</v>
      </c>
      <c r="F4661">
        <v>32.165000915527301</v>
      </c>
      <c r="G4661">
        <v>86404000</v>
      </c>
      <c r="H4661">
        <f t="shared" si="288"/>
        <v>2015</v>
      </c>
      <c r="I4661">
        <f t="shared" si="289"/>
        <v>11</v>
      </c>
      <c r="J4661" t="str">
        <f t="shared" si="290"/>
        <v>Nov</v>
      </c>
      <c r="K4661" t="str">
        <f t="shared" si="291"/>
        <v>Tue</v>
      </c>
    </row>
    <row r="4662" spans="1:11" x14ac:dyDescent="0.35">
      <c r="A4662" s="1">
        <v>42326</v>
      </c>
      <c r="B4662">
        <v>32.3255004882812</v>
      </c>
      <c r="C4662">
        <v>33.243999481201101</v>
      </c>
      <c r="D4662">
        <v>32.3185005187988</v>
      </c>
      <c r="E4662">
        <v>33.176998138427699</v>
      </c>
      <c r="F4662">
        <v>33.176998138427699</v>
      </c>
      <c r="G4662">
        <v>89396000</v>
      </c>
      <c r="H4662">
        <f t="shared" si="288"/>
        <v>2015</v>
      </c>
      <c r="I4662">
        <f t="shared" si="289"/>
        <v>11</v>
      </c>
      <c r="J4662" t="str">
        <f t="shared" si="290"/>
        <v>Nov</v>
      </c>
      <c r="K4662" t="str">
        <f t="shared" si="291"/>
        <v>Wed</v>
      </c>
    </row>
    <row r="4663" spans="1:11" x14ac:dyDescent="0.35">
      <c r="A4663" s="1">
        <v>42327</v>
      </c>
      <c r="B4663">
        <v>33.249500274658203</v>
      </c>
      <c r="C4663">
        <v>33.643001556396399</v>
      </c>
      <c r="D4663">
        <v>32.950000762939403</v>
      </c>
      <c r="E4663">
        <v>33.063499450683501</v>
      </c>
      <c r="F4663">
        <v>33.063499450683501</v>
      </c>
      <c r="G4663">
        <v>94104000</v>
      </c>
      <c r="H4663">
        <f t="shared" si="288"/>
        <v>2015</v>
      </c>
      <c r="I4663">
        <f t="shared" si="289"/>
        <v>11</v>
      </c>
      <c r="J4663" t="str">
        <f t="shared" si="290"/>
        <v>Nov</v>
      </c>
      <c r="K4663" t="str">
        <f t="shared" si="291"/>
        <v>Thu</v>
      </c>
    </row>
    <row r="4664" spans="1:11" x14ac:dyDescent="0.35">
      <c r="A4664" s="1">
        <v>42328</v>
      </c>
      <c r="B4664">
        <v>33.396999359130803</v>
      </c>
      <c r="C4664">
        <v>33.4435005187988</v>
      </c>
      <c r="D4664">
        <v>32.878501892089801</v>
      </c>
      <c r="E4664">
        <v>33.422500610351499</v>
      </c>
      <c r="F4664">
        <v>33.422500610351499</v>
      </c>
      <c r="G4664">
        <v>77922000</v>
      </c>
      <c r="H4664">
        <f t="shared" si="288"/>
        <v>2015</v>
      </c>
      <c r="I4664">
        <f t="shared" si="289"/>
        <v>11</v>
      </c>
      <c r="J4664" t="str">
        <f t="shared" si="290"/>
        <v>Nov</v>
      </c>
      <c r="K4664" t="str">
        <f t="shared" si="291"/>
        <v>Fri</v>
      </c>
    </row>
    <row r="4665" spans="1:11" x14ac:dyDescent="0.35">
      <c r="A4665" s="1">
        <v>42331</v>
      </c>
      <c r="B4665">
        <v>33.575000762939403</v>
      </c>
      <c r="C4665">
        <v>34.138500213622997</v>
      </c>
      <c r="D4665">
        <v>33.5060005187988</v>
      </c>
      <c r="E4665">
        <v>33.949501037597599</v>
      </c>
      <c r="F4665">
        <v>33.949501037597599</v>
      </c>
      <c r="G4665">
        <v>87702000</v>
      </c>
      <c r="H4665">
        <f t="shared" si="288"/>
        <v>2015</v>
      </c>
      <c r="I4665">
        <f t="shared" si="289"/>
        <v>11</v>
      </c>
      <c r="J4665" t="str">
        <f t="shared" si="290"/>
        <v>Nov</v>
      </c>
      <c r="K4665" t="str">
        <f t="shared" si="291"/>
        <v>Mon</v>
      </c>
    </row>
    <row r="4666" spans="1:11" x14ac:dyDescent="0.35">
      <c r="A4666" s="1">
        <v>42332</v>
      </c>
      <c r="B4666">
        <v>33.707000732421797</v>
      </c>
      <c r="C4666">
        <v>33.790000915527301</v>
      </c>
      <c r="D4666">
        <v>33.060501098632798</v>
      </c>
      <c r="E4666">
        <v>33.557498931884702</v>
      </c>
      <c r="F4666">
        <v>33.557498931884702</v>
      </c>
      <c r="G4666">
        <v>90868000</v>
      </c>
      <c r="H4666">
        <f t="shared" si="288"/>
        <v>2015</v>
      </c>
      <c r="I4666">
        <f t="shared" si="289"/>
        <v>11</v>
      </c>
      <c r="J4666" t="str">
        <f t="shared" si="290"/>
        <v>Nov</v>
      </c>
      <c r="K4666" t="str">
        <f t="shared" si="291"/>
        <v>Tue</v>
      </c>
    </row>
    <row r="4667" spans="1:11" x14ac:dyDescent="0.35">
      <c r="A4667" s="1">
        <v>42333</v>
      </c>
      <c r="B4667">
        <v>33.75</v>
      </c>
      <c r="C4667">
        <v>33.985000610351499</v>
      </c>
      <c r="D4667">
        <v>33.562000274658203</v>
      </c>
      <c r="E4667">
        <v>33.766998291015597</v>
      </c>
      <c r="F4667">
        <v>33.766998291015597</v>
      </c>
      <c r="G4667">
        <v>53958000</v>
      </c>
      <c r="H4667">
        <f t="shared" si="288"/>
        <v>2015</v>
      </c>
      <c r="I4667">
        <f t="shared" si="289"/>
        <v>11</v>
      </c>
      <c r="J4667" t="str">
        <f t="shared" si="290"/>
        <v>Nov</v>
      </c>
      <c r="K4667" t="str">
        <f t="shared" si="291"/>
        <v>Wed</v>
      </c>
    </row>
    <row r="4668" spans="1:11" x14ac:dyDescent="0.35">
      <c r="A4668" s="1">
        <v>42335</v>
      </c>
      <c r="B4668">
        <v>34.040000915527301</v>
      </c>
      <c r="C4668">
        <v>34.0494995117187</v>
      </c>
      <c r="D4668">
        <v>33.6049995422363</v>
      </c>
      <c r="E4668">
        <v>33.662998199462798</v>
      </c>
      <c r="F4668">
        <v>33.662998199462798</v>
      </c>
      <c r="G4668">
        <v>39336000</v>
      </c>
      <c r="H4668">
        <f t="shared" si="288"/>
        <v>2015</v>
      </c>
      <c r="I4668">
        <f t="shared" si="289"/>
        <v>11</v>
      </c>
      <c r="J4668" t="str">
        <f t="shared" si="290"/>
        <v>Nov</v>
      </c>
      <c r="K4668" t="str">
        <f t="shared" si="291"/>
        <v>Fri</v>
      </c>
    </row>
    <row r="4669" spans="1:11" x14ac:dyDescent="0.35">
      <c r="A4669" s="1">
        <v>42338</v>
      </c>
      <c r="B4669">
        <v>33.794998168945298</v>
      </c>
      <c r="C4669">
        <v>34.064498901367102</v>
      </c>
      <c r="D4669">
        <v>33.2299995422363</v>
      </c>
      <c r="E4669">
        <v>33.240001678466797</v>
      </c>
      <c r="F4669">
        <v>33.240001678466797</v>
      </c>
      <c r="G4669">
        <v>113864000</v>
      </c>
      <c r="H4669">
        <f t="shared" si="288"/>
        <v>2015</v>
      </c>
      <c r="I4669">
        <f t="shared" si="289"/>
        <v>11</v>
      </c>
      <c r="J4669" t="str">
        <f t="shared" si="290"/>
        <v>Nov</v>
      </c>
      <c r="K4669" t="str">
        <f t="shared" si="291"/>
        <v>Mon</v>
      </c>
    </row>
    <row r="4670" spans="1:11" x14ac:dyDescent="0.35">
      <c r="A4670" s="1">
        <v>42339</v>
      </c>
      <c r="B4670">
        <v>33.6875</v>
      </c>
      <c r="C4670">
        <v>34.049999237060497</v>
      </c>
      <c r="D4670">
        <v>33.393001556396399</v>
      </c>
      <c r="E4670">
        <v>33.952999114990199</v>
      </c>
      <c r="F4670">
        <v>33.952999114990199</v>
      </c>
      <c r="G4670">
        <v>95024000</v>
      </c>
      <c r="H4670">
        <f t="shared" si="288"/>
        <v>2015</v>
      </c>
      <c r="I4670">
        <f t="shared" si="289"/>
        <v>12</v>
      </c>
      <c r="J4670" t="str">
        <f t="shared" si="290"/>
        <v>Dec</v>
      </c>
      <c r="K4670" t="str">
        <f t="shared" si="291"/>
        <v>Tue</v>
      </c>
    </row>
    <row r="4671" spans="1:11" x14ac:dyDescent="0.35">
      <c r="A4671" s="1">
        <v>42340</v>
      </c>
      <c r="B4671">
        <v>34.049999237060497</v>
      </c>
      <c r="C4671">
        <v>34.241001129150298</v>
      </c>
      <c r="D4671">
        <v>33.712501525878899</v>
      </c>
      <c r="E4671">
        <v>33.800498962402301</v>
      </c>
      <c r="F4671">
        <v>33.800498962402301</v>
      </c>
      <c r="G4671">
        <v>85470000</v>
      </c>
      <c r="H4671">
        <f t="shared" si="288"/>
        <v>2015</v>
      </c>
      <c r="I4671">
        <f t="shared" si="289"/>
        <v>12</v>
      </c>
      <c r="J4671" t="str">
        <f t="shared" si="290"/>
        <v>Dec</v>
      </c>
      <c r="K4671" t="str">
        <f t="shared" si="291"/>
        <v>Wed</v>
      </c>
    </row>
    <row r="4672" spans="1:11" x14ac:dyDescent="0.35">
      <c r="A4672" s="1">
        <v>42341</v>
      </c>
      <c r="B4672">
        <v>33.972000122070298</v>
      </c>
      <c r="C4672">
        <v>34.139499664306598</v>
      </c>
      <c r="D4672">
        <v>33.074001312255803</v>
      </c>
      <c r="E4672">
        <v>33.3125</v>
      </c>
      <c r="F4672">
        <v>33.3125</v>
      </c>
      <c r="G4672">
        <v>101294000</v>
      </c>
      <c r="H4672">
        <f t="shared" si="288"/>
        <v>2015</v>
      </c>
      <c r="I4672">
        <f t="shared" si="289"/>
        <v>12</v>
      </c>
      <c r="J4672" t="str">
        <f t="shared" si="290"/>
        <v>Dec</v>
      </c>
      <c r="K4672" t="str">
        <f t="shared" si="291"/>
        <v>Thu</v>
      </c>
    </row>
    <row r="4673" spans="1:11" x14ac:dyDescent="0.35">
      <c r="A4673" s="1">
        <v>42342</v>
      </c>
      <c r="B4673">
        <v>33.299999237060497</v>
      </c>
      <c r="C4673">
        <v>33.738998413085902</v>
      </c>
      <c r="D4673">
        <v>33.069999694824197</v>
      </c>
      <c r="E4673">
        <v>33.631999969482401</v>
      </c>
      <c r="F4673">
        <v>33.631999969482401</v>
      </c>
      <c r="G4673">
        <v>90696000</v>
      </c>
      <c r="H4673">
        <f t="shared" si="288"/>
        <v>2015</v>
      </c>
      <c r="I4673">
        <f t="shared" si="289"/>
        <v>12</v>
      </c>
      <c r="J4673" t="str">
        <f t="shared" si="290"/>
        <v>Dec</v>
      </c>
      <c r="K4673" t="str">
        <f t="shared" si="291"/>
        <v>Fri</v>
      </c>
    </row>
    <row r="4674" spans="1:11" x14ac:dyDescent="0.35">
      <c r="A4674" s="1">
        <v>42345</v>
      </c>
      <c r="B4674">
        <v>33.7369995117187</v>
      </c>
      <c r="C4674">
        <v>33.772998809814403</v>
      </c>
      <c r="D4674">
        <v>33.025001525878899</v>
      </c>
      <c r="E4674">
        <v>33.491500854492102</v>
      </c>
      <c r="F4674">
        <v>33.491500854492102</v>
      </c>
      <c r="G4674">
        <v>74656000</v>
      </c>
      <c r="H4674">
        <f t="shared" si="288"/>
        <v>2015</v>
      </c>
      <c r="I4674">
        <f t="shared" si="289"/>
        <v>12</v>
      </c>
      <c r="J4674" t="str">
        <f t="shared" si="290"/>
        <v>Dec</v>
      </c>
      <c r="K4674" t="str">
        <f t="shared" si="291"/>
        <v>Mon</v>
      </c>
    </row>
    <row r="4675" spans="1:11" x14ac:dyDescent="0.35">
      <c r="A4675" s="1">
        <v>42346</v>
      </c>
      <c r="B4675">
        <v>33.156501770019503</v>
      </c>
      <c r="C4675">
        <v>33.999500274658203</v>
      </c>
      <c r="D4675">
        <v>32.989498138427699</v>
      </c>
      <c r="E4675">
        <v>33.866500854492102</v>
      </c>
      <c r="F4675">
        <v>33.866500854492102</v>
      </c>
      <c r="G4675">
        <v>73038000</v>
      </c>
      <c r="H4675">
        <f t="shared" si="288"/>
        <v>2015</v>
      </c>
      <c r="I4675">
        <f t="shared" si="289"/>
        <v>12</v>
      </c>
      <c r="J4675" t="str">
        <f t="shared" si="290"/>
        <v>Dec</v>
      </c>
      <c r="K4675" t="str">
        <f t="shared" si="291"/>
        <v>Tue</v>
      </c>
    </row>
    <row r="4676" spans="1:11" x14ac:dyDescent="0.35">
      <c r="A4676" s="1">
        <v>42347</v>
      </c>
      <c r="B4676">
        <v>33.900001525878899</v>
      </c>
      <c r="C4676">
        <v>33.950000762939403</v>
      </c>
      <c r="D4676">
        <v>32.784000396728501</v>
      </c>
      <c r="E4676">
        <v>33.239498138427699</v>
      </c>
      <c r="F4676">
        <v>33.239498138427699</v>
      </c>
      <c r="G4676">
        <v>103164000</v>
      </c>
      <c r="H4676">
        <f t="shared" ref="H4676:H4739" si="292">YEAR($A4676)</f>
        <v>2015</v>
      </c>
      <c r="I4676">
        <f t="shared" ref="I4676:I4739" si="293">MONTH($A4676)</f>
        <v>12</v>
      </c>
      <c r="J4676" t="str">
        <f t="shared" ref="J4676:J4739" si="294">TEXT($A4676,"mmm")</f>
        <v>Dec</v>
      </c>
      <c r="K4676" t="str">
        <f t="shared" ref="K4676:K4739" si="295">TEXT($A4676,"ddd")</f>
        <v>Wed</v>
      </c>
    </row>
    <row r="4677" spans="1:11" x14ac:dyDescent="0.35">
      <c r="A4677" s="1">
        <v>42348</v>
      </c>
      <c r="B4677">
        <v>33.279499053955</v>
      </c>
      <c r="C4677">
        <v>33.426498413085902</v>
      </c>
      <c r="D4677">
        <v>32.978000640869098</v>
      </c>
      <c r="E4677">
        <v>33.116001129150298</v>
      </c>
      <c r="F4677">
        <v>33.116001129150298</v>
      </c>
      <c r="G4677">
        <v>69110000</v>
      </c>
      <c r="H4677">
        <f t="shared" si="292"/>
        <v>2015</v>
      </c>
      <c r="I4677">
        <f t="shared" si="293"/>
        <v>12</v>
      </c>
      <c r="J4677" t="str">
        <f t="shared" si="294"/>
        <v>Dec</v>
      </c>
      <c r="K4677" t="str">
        <f t="shared" si="295"/>
        <v>Thu</v>
      </c>
    </row>
    <row r="4678" spans="1:11" x14ac:dyDescent="0.35">
      <c r="A4678" s="1">
        <v>42349</v>
      </c>
      <c r="B4678">
        <v>32.561500549316399</v>
      </c>
      <c r="C4678">
        <v>32.89400100708</v>
      </c>
      <c r="D4678">
        <v>31.981000900268501</v>
      </c>
      <c r="E4678">
        <v>32.007499694824197</v>
      </c>
      <c r="F4678">
        <v>32.007499694824197</v>
      </c>
      <c r="G4678">
        <v>109488000</v>
      </c>
      <c r="H4678">
        <f t="shared" si="292"/>
        <v>2015</v>
      </c>
      <c r="I4678">
        <f t="shared" si="293"/>
        <v>12</v>
      </c>
      <c r="J4678" t="str">
        <f t="shared" si="294"/>
        <v>Dec</v>
      </c>
      <c r="K4678" t="str">
        <f t="shared" si="295"/>
        <v>Fri</v>
      </c>
    </row>
    <row r="4679" spans="1:11" x14ac:dyDescent="0.35">
      <c r="A4679" s="1">
        <v>42352</v>
      </c>
      <c r="B4679">
        <v>32.087501525878899</v>
      </c>
      <c r="C4679">
        <v>32.929500579833899</v>
      </c>
      <c r="D4679">
        <v>31.763500213623001</v>
      </c>
      <c r="E4679">
        <v>32.895500183105398</v>
      </c>
      <c r="F4679">
        <v>32.895500183105398</v>
      </c>
      <c r="G4679">
        <v>86594000</v>
      </c>
      <c r="H4679">
        <f t="shared" si="292"/>
        <v>2015</v>
      </c>
      <c r="I4679">
        <f t="shared" si="293"/>
        <v>12</v>
      </c>
      <c r="J4679" t="str">
        <f t="shared" si="294"/>
        <v>Dec</v>
      </c>
      <c r="K4679" t="str">
        <f t="shared" si="295"/>
        <v>Mon</v>
      </c>
    </row>
    <row r="4680" spans="1:11" x14ac:dyDescent="0.35">
      <c r="A4680" s="1">
        <v>42353</v>
      </c>
      <c r="B4680">
        <v>33.251499176025298</v>
      </c>
      <c r="C4680">
        <v>33.575000762939403</v>
      </c>
      <c r="D4680">
        <v>32.867500305175703</v>
      </c>
      <c r="E4680">
        <v>32.931999206542898</v>
      </c>
      <c r="F4680">
        <v>32.931999206542898</v>
      </c>
      <c r="G4680">
        <v>95068000</v>
      </c>
      <c r="H4680">
        <f t="shared" si="292"/>
        <v>2015</v>
      </c>
      <c r="I4680">
        <f t="shared" si="293"/>
        <v>12</v>
      </c>
      <c r="J4680" t="str">
        <f t="shared" si="294"/>
        <v>Dec</v>
      </c>
      <c r="K4680" t="str">
        <f t="shared" si="295"/>
        <v>Tue</v>
      </c>
    </row>
    <row r="4681" spans="1:11" x14ac:dyDescent="0.35">
      <c r="A4681" s="1">
        <v>42354</v>
      </c>
      <c r="B4681">
        <v>33.178001403808501</v>
      </c>
      <c r="C4681">
        <v>33.867500305175703</v>
      </c>
      <c r="D4681">
        <v>32.965999603271399</v>
      </c>
      <c r="E4681">
        <v>33.788501739501903</v>
      </c>
      <c r="F4681">
        <v>33.788501739501903</v>
      </c>
      <c r="G4681">
        <v>79290000</v>
      </c>
      <c r="H4681">
        <f t="shared" si="292"/>
        <v>2015</v>
      </c>
      <c r="I4681">
        <f t="shared" si="293"/>
        <v>12</v>
      </c>
      <c r="J4681" t="str">
        <f t="shared" si="294"/>
        <v>Dec</v>
      </c>
      <c r="K4681" t="str">
        <f t="shared" si="295"/>
        <v>Wed</v>
      </c>
    </row>
    <row r="4682" spans="1:11" x14ac:dyDescent="0.35">
      <c r="A4682" s="1">
        <v>42355</v>
      </c>
      <c r="B4682">
        <v>34</v>
      </c>
      <c r="C4682">
        <v>34.125</v>
      </c>
      <c r="D4682">
        <v>33.532501220703097</v>
      </c>
      <c r="E4682">
        <v>33.532501220703097</v>
      </c>
      <c r="F4682">
        <v>33.532501220703097</v>
      </c>
      <c r="G4682">
        <v>73632000</v>
      </c>
      <c r="H4682">
        <f t="shared" si="292"/>
        <v>2015</v>
      </c>
      <c r="I4682">
        <f t="shared" si="293"/>
        <v>12</v>
      </c>
      <c r="J4682" t="str">
        <f t="shared" si="294"/>
        <v>Dec</v>
      </c>
      <c r="K4682" t="str">
        <f t="shared" si="295"/>
        <v>Thu</v>
      </c>
    </row>
    <row r="4683" spans="1:11" x14ac:dyDescent="0.35">
      <c r="A4683" s="1">
        <v>42356</v>
      </c>
      <c r="B4683">
        <v>33.432498931884702</v>
      </c>
      <c r="C4683">
        <v>33.841999053955</v>
      </c>
      <c r="D4683">
        <v>33.20650100708</v>
      </c>
      <c r="E4683">
        <v>33.207000732421797</v>
      </c>
      <c r="F4683">
        <v>33.207000732421797</v>
      </c>
      <c r="G4683">
        <v>136826000</v>
      </c>
      <c r="H4683">
        <f t="shared" si="292"/>
        <v>2015</v>
      </c>
      <c r="I4683">
        <f t="shared" si="293"/>
        <v>12</v>
      </c>
      <c r="J4683" t="str">
        <f t="shared" si="294"/>
        <v>Dec</v>
      </c>
      <c r="K4683" t="str">
        <f t="shared" si="295"/>
        <v>Fri</v>
      </c>
    </row>
    <row r="4684" spans="1:11" x14ac:dyDescent="0.35">
      <c r="A4684" s="1">
        <v>42359</v>
      </c>
      <c r="B4684">
        <v>33.424999237060497</v>
      </c>
      <c r="C4684">
        <v>33.494998931884702</v>
      </c>
      <c r="D4684">
        <v>32.946498870849602</v>
      </c>
      <c r="E4684">
        <v>33.225498199462798</v>
      </c>
      <c r="F4684">
        <v>33.225498199462798</v>
      </c>
      <c r="G4684">
        <v>65018000</v>
      </c>
      <c r="H4684">
        <f t="shared" si="292"/>
        <v>2015</v>
      </c>
      <c r="I4684">
        <f t="shared" si="293"/>
        <v>12</v>
      </c>
      <c r="J4684" t="str">
        <f t="shared" si="294"/>
        <v>Dec</v>
      </c>
      <c r="K4684" t="str">
        <f t="shared" si="295"/>
        <v>Mon</v>
      </c>
    </row>
    <row r="4685" spans="1:11" x14ac:dyDescent="0.35">
      <c r="A4685" s="1">
        <v>42360</v>
      </c>
      <c r="B4685">
        <v>33.341499328613203</v>
      </c>
      <c r="C4685">
        <v>33.4244995117187</v>
      </c>
      <c r="D4685">
        <v>32.963001251220703</v>
      </c>
      <c r="E4685">
        <v>33.157501220703097</v>
      </c>
      <c r="F4685">
        <v>33.157501220703097</v>
      </c>
      <c r="G4685">
        <v>53356000</v>
      </c>
      <c r="H4685">
        <f t="shared" si="292"/>
        <v>2015</v>
      </c>
      <c r="I4685">
        <f t="shared" si="293"/>
        <v>12</v>
      </c>
      <c r="J4685" t="str">
        <f t="shared" si="294"/>
        <v>Dec</v>
      </c>
      <c r="K4685" t="str">
        <f t="shared" si="295"/>
        <v>Tue</v>
      </c>
    </row>
    <row r="4686" spans="1:11" x14ac:dyDescent="0.35">
      <c r="A4686" s="1">
        <v>42361</v>
      </c>
      <c r="B4686">
        <v>33.325000762939403</v>
      </c>
      <c r="C4686">
        <v>33.330001831054602</v>
      </c>
      <c r="D4686">
        <v>32.83150100708</v>
      </c>
      <c r="E4686">
        <v>33.185001373291001</v>
      </c>
      <c r="F4686">
        <v>33.185001373291001</v>
      </c>
      <c r="G4686">
        <v>54458000</v>
      </c>
      <c r="H4686">
        <f t="shared" si="292"/>
        <v>2015</v>
      </c>
      <c r="I4686">
        <f t="shared" si="293"/>
        <v>12</v>
      </c>
      <c r="J4686" t="str">
        <f t="shared" si="294"/>
        <v>Dec</v>
      </c>
      <c r="K4686" t="str">
        <f t="shared" si="295"/>
        <v>Wed</v>
      </c>
    </row>
    <row r="4687" spans="1:11" x14ac:dyDescent="0.35">
      <c r="A4687" s="1">
        <v>42362</v>
      </c>
      <c r="B4687">
        <v>33.1674995422363</v>
      </c>
      <c r="C4687">
        <v>33.234001159667898</v>
      </c>
      <c r="D4687">
        <v>33.029998779296797</v>
      </c>
      <c r="E4687">
        <v>33.139499664306598</v>
      </c>
      <c r="F4687">
        <v>33.139499664306598</v>
      </c>
      <c r="G4687">
        <v>21824000</v>
      </c>
      <c r="H4687">
        <f t="shared" si="292"/>
        <v>2015</v>
      </c>
      <c r="I4687">
        <f t="shared" si="293"/>
        <v>12</v>
      </c>
      <c r="J4687" t="str">
        <f t="shared" si="294"/>
        <v>Dec</v>
      </c>
      <c r="K4687" t="str">
        <f t="shared" si="295"/>
        <v>Thu</v>
      </c>
    </row>
    <row r="4688" spans="1:11" x14ac:dyDescent="0.35">
      <c r="A4688" s="1">
        <v>42366</v>
      </c>
      <c r="B4688">
        <v>33.277999877929602</v>
      </c>
      <c r="C4688">
        <v>33.775001525878899</v>
      </c>
      <c r="D4688">
        <v>33.275001525878899</v>
      </c>
      <c r="E4688">
        <v>33.759998321533203</v>
      </c>
      <c r="F4688">
        <v>33.759998321533203</v>
      </c>
      <c r="G4688">
        <v>75672000</v>
      </c>
      <c r="H4688">
        <f t="shared" si="292"/>
        <v>2015</v>
      </c>
      <c r="I4688">
        <f t="shared" si="293"/>
        <v>12</v>
      </c>
      <c r="J4688" t="str">
        <f t="shared" si="294"/>
        <v>Dec</v>
      </c>
      <c r="K4688" t="str">
        <f t="shared" si="295"/>
        <v>Mon</v>
      </c>
    </row>
    <row r="4689" spans="1:11" x14ac:dyDescent="0.35">
      <c r="A4689" s="1">
        <v>42367</v>
      </c>
      <c r="B4689">
        <v>33.898998260497997</v>
      </c>
      <c r="C4689">
        <v>34.821998596191399</v>
      </c>
      <c r="D4689">
        <v>33.894500732421797</v>
      </c>
      <c r="E4689">
        <v>34.698501586913999</v>
      </c>
      <c r="F4689">
        <v>34.698501586913999</v>
      </c>
      <c r="G4689">
        <v>114700000</v>
      </c>
      <c r="H4689">
        <f t="shared" si="292"/>
        <v>2015</v>
      </c>
      <c r="I4689">
        <f t="shared" si="293"/>
        <v>12</v>
      </c>
      <c r="J4689" t="str">
        <f t="shared" si="294"/>
        <v>Dec</v>
      </c>
      <c r="K4689" t="str">
        <f t="shared" si="295"/>
        <v>Tue</v>
      </c>
    </row>
    <row r="4690" spans="1:11" x14ac:dyDescent="0.35">
      <c r="A4690" s="1">
        <v>42368</v>
      </c>
      <c r="B4690">
        <v>34.5945014953613</v>
      </c>
      <c r="C4690">
        <v>34.774501800537102</v>
      </c>
      <c r="D4690">
        <v>34.319000244140597</v>
      </c>
      <c r="E4690">
        <v>34.453498840332003</v>
      </c>
      <c r="F4690">
        <v>34.453498840332003</v>
      </c>
      <c r="G4690">
        <v>70380000</v>
      </c>
      <c r="H4690">
        <f t="shared" si="292"/>
        <v>2015</v>
      </c>
      <c r="I4690">
        <f t="shared" si="293"/>
        <v>12</v>
      </c>
      <c r="J4690" t="str">
        <f t="shared" si="294"/>
        <v>Dec</v>
      </c>
      <c r="K4690" t="str">
        <f t="shared" si="295"/>
        <v>Wed</v>
      </c>
    </row>
    <row r="4691" spans="1:11" x14ac:dyDescent="0.35">
      <c r="A4691" s="1">
        <v>42369</v>
      </c>
      <c r="B4691">
        <v>34.304000854492102</v>
      </c>
      <c r="C4691">
        <v>34.387500762939403</v>
      </c>
      <c r="D4691">
        <v>33.794498443603501</v>
      </c>
      <c r="E4691">
        <v>33.794498443603501</v>
      </c>
      <c r="F4691">
        <v>33.794498443603501</v>
      </c>
      <c r="G4691">
        <v>74992000</v>
      </c>
      <c r="H4691">
        <f t="shared" si="292"/>
        <v>2015</v>
      </c>
      <c r="I4691">
        <f t="shared" si="293"/>
        <v>12</v>
      </c>
      <c r="J4691" t="str">
        <f t="shared" si="294"/>
        <v>Dec</v>
      </c>
      <c r="K4691" t="str">
        <f t="shared" si="295"/>
        <v>Thu</v>
      </c>
    </row>
    <row r="4692" spans="1:11" x14ac:dyDescent="0.35">
      <c r="A4692" s="1">
        <v>42373</v>
      </c>
      <c r="B4692">
        <v>32.814498901367102</v>
      </c>
      <c r="C4692">
        <v>32.886001586913999</v>
      </c>
      <c r="D4692">
        <v>31.375499725341701</v>
      </c>
      <c r="E4692">
        <v>31.849500656127901</v>
      </c>
      <c r="F4692">
        <v>31.849500656127901</v>
      </c>
      <c r="G4692">
        <v>186290000</v>
      </c>
      <c r="H4692">
        <f t="shared" si="292"/>
        <v>2016</v>
      </c>
      <c r="I4692">
        <f t="shared" si="293"/>
        <v>1</v>
      </c>
      <c r="J4692" t="str">
        <f t="shared" si="294"/>
        <v>Jan</v>
      </c>
      <c r="K4692" t="str">
        <f t="shared" si="295"/>
        <v>Mon</v>
      </c>
    </row>
    <row r="4693" spans="1:11" x14ac:dyDescent="0.35">
      <c r="A4693" s="1">
        <v>42374</v>
      </c>
      <c r="B4693">
        <v>32.342998504638601</v>
      </c>
      <c r="C4693">
        <v>32.345500946044901</v>
      </c>
      <c r="D4693">
        <v>31.382499694824201</v>
      </c>
      <c r="E4693">
        <v>31.689500808715799</v>
      </c>
      <c r="F4693">
        <v>31.689500808715799</v>
      </c>
      <c r="G4693">
        <v>116452000</v>
      </c>
      <c r="H4693">
        <f t="shared" si="292"/>
        <v>2016</v>
      </c>
      <c r="I4693">
        <f t="shared" si="293"/>
        <v>1</v>
      </c>
      <c r="J4693" t="str">
        <f t="shared" si="294"/>
        <v>Jan</v>
      </c>
      <c r="K4693" t="str">
        <f t="shared" si="295"/>
        <v>Tue</v>
      </c>
    </row>
    <row r="4694" spans="1:11" x14ac:dyDescent="0.35">
      <c r="A4694" s="1">
        <v>42375</v>
      </c>
      <c r="B4694">
        <v>31.100000381469702</v>
      </c>
      <c r="C4694">
        <v>31.9895000457763</v>
      </c>
      <c r="D4694">
        <v>31.015499114990199</v>
      </c>
      <c r="E4694">
        <v>31.632499694824201</v>
      </c>
      <c r="F4694">
        <v>31.632499694824201</v>
      </c>
      <c r="G4694">
        <v>106584000</v>
      </c>
      <c r="H4694">
        <f t="shared" si="292"/>
        <v>2016</v>
      </c>
      <c r="I4694">
        <f t="shared" si="293"/>
        <v>1</v>
      </c>
      <c r="J4694" t="str">
        <f t="shared" si="294"/>
        <v>Jan</v>
      </c>
      <c r="K4694" t="str">
        <f t="shared" si="295"/>
        <v>Wed</v>
      </c>
    </row>
    <row r="4695" spans="1:11" x14ac:dyDescent="0.35">
      <c r="A4695" s="1">
        <v>42376</v>
      </c>
      <c r="B4695">
        <v>31.090000152587798</v>
      </c>
      <c r="C4695">
        <v>31.5</v>
      </c>
      <c r="D4695">
        <v>30.260499954223601</v>
      </c>
      <c r="E4695">
        <v>30.396999359130799</v>
      </c>
      <c r="F4695">
        <v>30.396999359130799</v>
      </c>
      <c r="G4695">
        <v>141498000</v>
      </c>
      <c r="H4695">
        <f t="shared" si="292"/>
        <v>2016</v>
      </c>
      <c r="I4695">
        <f t="shared" si="293"/>
        <v>1</v>
      </c>
      <c r="J4695" t="str">
        <f t="shared" si="294"/>
        <v>Jan</v>
      </c>
      <c r="K4695" t="str">
        <f t="shared" si="295"/>
        <v>Thu</v>
      </c>
    </row>
    <row r="4696" spans="1:11" x14ac:dyDescent="0.35">
      <c r="A4696" s="1">
        <v>42377</v>
      </c>
      <c r="B4696">
        <v>30.9829998016357</v>
      </c>
      <c r="C4696">
        <v>31.2070007324218</v>
      </c>
      <c r="D4696">
        <v>30.299999237060501</v>
      </c>
      <c r="E4696">
        <v>30.352500915527301</v>
      </c>
      <c r="F4696">
        <v>30.352500915527301</v>
      </c>
      <c r="G4696">
        <v>110258000</v>
      </c>
      <c r="H4696">
        <f t="shared" si="292"/>
        <v>2016</v>
      </c>
      <c r="I4696">
        <f t="shared" si="293"/>
        <v>1</v>
      </c>
      <c r="J4696" t="str">
        <f t="shared" si="294"/>
        <v>Jan</v>
      </c>
      <c r="K4696" t="str">
        <f t="shared" si="295"/>
        <v>Fri</v>
      </c>
    </row>
    <row r="4697" spans="1:11" x14ac:dyDescent="0.35">
      <c r="A4697" s="1">
        <v>42380</v>
      </c>
      <c r="B4697">
        <v>30.624000549316399</v>
      </c>
      <c r="C4697">
        <v>30.9925003051757</v>
      </c>
      <c r="D4697">
        <v>29.928499221801701</v>
      </c>
      <c r="E4697">
        <v>30.886999130248999</v>
      </c>
      <c r="F4697">
        <v>30.886999130248999</v>
      </c>
      <c r="G4697">
        <v>97832000</v>
      </c>
      <c r="H4697">
        <f t="shared" si="292"/>
        <v>2016</v>
      </c>
      <c r="I4697">
        <f t="shared" si="293"/>
        <v>1</v>
      </c>
      <c r="J4697" t="str">
        <f t="shared" si="294"/>
        <v>Jan</v>
      </c>
      <c r="K4697" t="str">
        <f t="shared" si="295"/>
        <v>Mon</v>
      </c>
    </row>
    <row r="4698" spans="1:11" x14ac:dyDescent="0.35">
      <c r="A4698" s="1">
        <v>42381</v>
      </c>
      <c r="B4698">
        <v>31.2625007629394</v>
      </c>
      <c r="C4698">
        <v>31.2994995117187</v>
      </c>
      <c r="D4698">
        <v>30.6119995117187</v>
      </c>
      <c r="E4698">
        <v>30.8945007324218</v>
      </c>
      <c r="F4698">
        <v>30.8945007324218</v>
      </c>
      <c r="G4698">
        <v>94482000</v>
      </c>
      <c r="H4698">
        <f t="shared" si="292"/>
        <v>2016</v>
      </c>
      <c r="I4698">
        <f t="shared" si="293"/>
        <v>1</v>
      </c>
      <c r="J4698" t="str">
        <f t="shared" si="294"/>
        <v>Jan</v>
      </c>
      <c r="K4698" t="str">
        <f t="shared" si="295"/>
        <v>Tue</v>
      </c>
    </row>
    <row r="4699" spans="1:11" x14ac:dyDescent="0.35">
      <c r="A4699" s="1">
        <v>42382</v>
      </c>
      <c r="B4699">
        <v>31.044000625610298</v>
      </c>
      <c r="C4699">
        <v>31.044000625610298</v>
      </c>
      <c r="D4699">
        <v>28.958000183105401</v>
      </c>
      <c r="E4699">
        <v>29.090499877929599</v>
      </c>
      <c r="F4699">
        <v>29.090499877929599</v>
      </c>
      <c r="G4699">
        <v>153104000</v>
      </c>
      <c r="H4699">
        <f t="shared" si="292"/>
        <v>2016</v>
      </c>
      <c r="I4699">
        <f t="shared" si="293"/>
        <v>1</v>
      </c>
      <c r="J4699" t="str">
        <f t="shared" si="294"/>
        <v>Jan</v>
      </c>
      <c r="K4699" t="str">
        <f t="shared" si="295"/>
        <v>Wed</v>
      </c>
    </row>
    <row r="4700" spans="1:11" x14ac:dyDescent="0.35">
      <c r="A4700" s="1">
        <v>42383</v>
      </c>
      <c r="B4700">
        <v>29.0125007629394</v>
      </c>
      <c r="C4700">
        <v>30.112499237060501</v>
      </c>
      <c r="D4700">
        <v>28.493999481201101</v>
      </c>
      <c r="E4700">
        <v>29.649999618530199</v>
      </c>
      <c r="F4700">
        <v>29.649999618530199</v>
      </c>
      <c r="G4700">
        <v>144760000</v>
      </c>
      <c r="H4700">
        <f t="shared" si="292"/>
        <v>2016</v>
      </c>
      <c r="I4700">
        <f t="shared" si="293"/>
        <v>1</v>
      </c>
      <c r="J4700" t="str">
        <f t="shared" si="294"/>
        <v>Jan</v>
      </c>
      <c r="K4700" t="str">
        <f t="shared" si="295"/>
        <v>Thu</v>
      </c>
    </row>
    <row r="4701" spans="1:11" x14ac:dyDescent="0.35">
      <c r="A4701" s="1">
        <v>42384</v>
      </c>
      <c r="B4701">
        <v>28.6119995117187</v>
      </c>
      <c r="C4701">
        <v>29.231000900268501</v>
      </c>
      <c r="D4701">
        <v>28.264999389648398</v>
      </c>
      <c r="E4701">
        <v>28.5090007781982</v>
      </c>
      <c r="F4701">
        <v>28.5090007781982</v>
      </c>
      <c r="G4701">
        <v>155690000</v>
      </c>
      <c r="H4701">
        <f t="shared" si="292"/>
        <v>2016</v>
      </c>
      <c r="I4701">
        <f t="shared" si="293"/>
        <v>1</v>
      </c>
      <c r="J4701" t="str">
        <f t="shared" si="294"/>
        <v>Jan</v>
      </c>
      <c r="K4701" t="str">
        <f t="shared" si="295"/>
        <v>Fri</v>
      </c>
    </row>
    <row r="4702" spans="1:11" x14ac:dyDescent="0.35">
      <c r="A4702" s="1">
        <v>42388</v>
      </c>
      <c r="B4702">
        <v>28.854499816894499</v>
      </c>
      <c r="C4702">
        <v>29.2000007629394</v>
      </c>
      <c r="D4702">
        <v>28.3225002288818</v>
      </c>
      <c r="E4702">
        <v>28.724000930786101</v>
      </c>
      <c r="F4702">
        <v>28.724000930786101</v>
      </c>
      <c r="G4702">
        <v>96144000</v>
      </c>
      <c r="H4702">
        <f t="shared" si="292"/>
        <v>2016</v>
      </c>
      <c r="I4702">
        <f t="shared" si="293"/>
        <v>1</v>
      </c>
      <c r="J4702" t="str">
        <f t="shared" si="294"/>
        <v>Jan</v>
      </c>
      <c r="K4702" t="str">
        <f t="shared" si="295"/>
        <v>Tue</v>
      </c>
    </row>
    <row r="4703" spans="1:11" x14ac:dyDescent="0.35">
      <c r="A4703" s="1">
        <v>42389</v>
      </c>
      <c r="B4703">
        <v>28.218000411987301</v>
      </c>
      <c r="C4703">
        <v>28.922500610351499</v>
      </c>
      <c r="D4703">
        <v>27.3589992523193</v>
      </c>
      <c r="E4703">
        <v>28.5884990692138</v>
      </c>
      <c r="F4703">
        <v>28.5884990692138</v>
      </c>
      <c r="G4703">
        <v>159328000</v>
      </c>
      <c r="H4703">
        <f t="shared" si="292"/>
        <v>2016</v>
      </c>
      <c r="I4703">
        <f t="shared" si="293"/>
        <v>1</v>
      </c>
      <c r="J4703" t="str">
        <f t="shared" si="294"/>
        <v>Jan</v>
      </c>
      <c r="K4703" t="str">
        <f t="shared" si="295"/>
        <v>Wed</v>
      </c>
    </row>
    <row r="4704" spans="1:11" x14ac:dyDescent="0.35">
      <c r="A4704" s="1">
        <v>42390</v>
      </c>
      <c r="B4704">
        <v>28.679000854492099</v>
      </c>
      <c r="C4704">
        <v>29.4405002593994</v>
      </c>
      <c r="D4704">
        <v>28.4109992980957</v>
      </c>
      <c r="E4704">
        <v>28.750999450683501</v>
      </c>
      <c r="F4704">
        <v>28.750999450683501</v>
      </c>
      <c r="G4704">
        <v>99044000</v>
      </c>
      <c r="H4704">
        <f t="shared" si="292"/>
        <v>2016</v>
      </c>
      <c r="I4704">
        <f t="shared" si="293"/>
        <v>1</v>
      </c>
      <c r="J4704" t="str">
        <f t="shared" si="294"/>
        <v>Jan</v>
      </c>
      <c r="K4704" t="str">
        <f t="shared" si="295"/>
        <v>Thu</v>
      </c>
    </row>
    <row r="4705" spans="1:11" x14ac:dyDescent="0.35">
      <c r="A4705" s="1">
        <v>42391</v>
      </c>
      <c r="B4705">
        <v>29.436500549316399</v>
      </c>
      <c r="C4705">
        <v>30.004999160766602</v>
      </c>
      <c r="D4705">
        <v>29.205499649047798</v>
      </c>
      <c r="E4705">
        <v>29.8190002441406</v>
      </c>
      <c r="F4705">
        <v>29.8190002441406</v>
      </c>
      <c r="G4705">
        <v>102402000</v>
      </c>
      <c r="H4705">
        <f t="shared" si="292"/>
        <v>2016</v>
      </c>
      <c r="I4705">
        <f t="shared" si="293"/>
        <v>1</v>
      </c>
      <c r="J4705" t="str">
        <f t="shared" si="294"/>
        <v>Jan</v>
      </c>
      <c r="K4705" t="str">
        <f t="shared" si="295"/>
        <v>Fri</v>
      </c>
    </row>
    <row r="4706" spans="1:11" x14ac:dyDescent="0.35">
      <c r="A4706" s="1">
        <v>42394</v>
      </c>
      <c r="B4706">
        <v>29.899499893188398</v>
      </c>
      <c r="C4706">
        <v>30.424999237060501</v>
      </c>
      <c r="D4706">
        <v>29.728000640869102</v>
      </c>
      <c r="E4706">
        <v>29.826499938964801</v>
      </c>
      <c r="F4706">
        <v>29.826499938964801</v>
      </c>
      <c r="G4706">
        <v>87922000</v>
      </c>
      <c r="H4706">
        <f t="shared" si="292"/>
        <v>2016</v>
      </c>
      <c r="I4706">
        <f t="shared" si="293"/>
        <v>1</v>
      </c>
      <c r="J4706" t="str">
        <f t="shared" si="294"/>
        <v>Jan</v>
      </c>
      <c r="K4706" t="str">
        <f t="shared" si="295"/>
        <v>Mon</v>
      </c>
    </row>
    <row r="4707" spans="1:11" x14ac:dyDescent="0.35">
      <c r="A4707" s="1">
        <v>42395</v>
      </c>
      <c r="B4707">
        <v>30.172500610351499</v>
      </c>
      <c r="C4707">
        <v>30.225000381469702</v>
      </c>
      <c r="D4707">
        <v>29.518999099731399</v>
      </c>
      <c r="E4707">
        <v>30.0625</v>
      </c>
      <c r="F4707">
        <v>30.0625</v>
      </c>
      <c r="G4707">
        <v>75314000</v>
      </c>
      <c r="H4707">
        <f t="shared" si="292"/>
        <v>2016</v>
      </c>
      <c r="I4707">
        <f t="shared" si="293"/>
        <v>1</v>
      </c>
      <c r="J4707" t="str">
        <f t="shared" si="294"/>
        <v>Jan</v>
      </c>
      <c r="K4707" t="str">
        <f t="shared" si="295"/>
        <v>Tue</v>
      </c>
    </row>
    <row r="4708" spans="1:11" x14ac:dyDescent="0.35">
      <c r="A4708" s="1">
        <v>42396</v>
      </c>
      <c r="B4708">
        <v>30.099500656127901</v>
      </c>
      <c r="C4708">
        <v>30.169500350952099</v>
      </c>
      <c r="D4708">
        <v>28.938999176025298</v>
      </c>
      <c r="E4708">
        <v>29.1674995422363</v>
      </c>
      <c r="F4708">
        <v>29.1674995422363</v>
      </c>
      <c r="G4708">
        <v>103058000</v>
      </c>
      <c r="H4708">
        <f t="shared" si="292"/>
        <v>2016</v>
      </c>
      <c r="I4708">
        <f t="shared" si="293"/>
        <v>1</v>
      </c>
      <c r="J4708" t="str">
        <f t="shared" si="294"/>
        <v>Jan</v>
      </c>
      <c r="K4708" t="str">
        <f t="shared" si="295"/>
        <v>Wed</v>
      </c>
    </row>
    <row r="4709" spans="1:11" x14ac:dyDescent="0.35">
      <c r="A4709" s="1">
        <v>42397</v>
      </c>
      <c r="B4709">
        <v>30.418500900268501</v>
      </c>
      <c r="C4709">
        <v>31.902999877929599</v>
      </c>
      <c r="D4709">
        <v>29.877500534057599</v>
      </c>
      <c r="E4709">
        <v>31.767499923706001</v>
      </c>
      <c r="F4709">
        <v>31.767499923706001</v>
      </c>
      <c r="G4709">
        <v>280304000</v>
      </c>
      <c r="H4709">
        <f t="shared" si="292"/>
        <v>2016</v>
      </c>
      <c r="I4709">
        <f t="shared" si="293"/>
        <v>1</v>
      </c>
      <c r="J4709" t="str">
        <f t="shared" si="294"/>
        <v>Jan</v>
      </c>
      <c r="K4709" t="str">
        <f t="shared" si="295"/>
        <v>Thu</v>
      </c>
    </row>
    <row r="4710" spans="1:11" x14ac:dyDescent="0.35">
      <c r="A4710" s="1">
        <v>42398</v>
      </c>
      <c r="B4710">
        <v>28.599000930786101</v>
      </c>
      <c r="C4710">
        <v>29.649999618530199</v>
      </c>
      <c r="D4710">
        <v>28.5</v>
      </c>
      <c r="E4710">
        <v>29.350000381469702</v>
      </c>
      <c r="F4710">
        <v>29.350000381469702</v>
      </c>
      <c r="G4710">
        <v>293552000</v>
      </c>
      <c r="H4710">
        <f t="shared" si="292"/>
        <v>2016</v>
      </c>
      <c r="I4710">
        <f t="shared" si="293"/>
        <v>1</v>
      </c>
      <c r="J4710" t="str">
        <f t="shared" si="294"/>
        <v>Jan</v>
      </c>
      <c r="K4710" t="str">
        <f t="shared" si="295"/>
        <v>Fri</v>
      </c>
    </row>
    <row r="4711" spans="1:11" x14ac:dyDescent="0.35">
      <c r="A4711" s="1">
        <v>42401</v>
      </c>
      <c r="B4711">
        <v>28.9074993133544</v>
      </c>
      <c r="C4711">
        <v>29.090000152587798</v>
      </c>
      <c r="D4711">
        <v>28.515499114990199</v>
      </c>
      <c r="E4711">
        <v>28.740499496459901</v>
      </c>
      <c r="F4711">
        <v>28.740499496459901</v>
      </c>
      <c r="G4711">
        <v>127102000</v>
      </c>
      <c r="H4711">
        <f t="shared" si="292"/>
        <v>2016</v>
      </c>
      <c r="I4711">
        <f t="shared" si="293"/>
        <v>2</v>
      </c>
      <c r="J4711" t="str">
        <f t="shared" si="294"/>
        <v>Feb</v>
      </c>
      <c r="K4711" t="str">
        <f t="shared" si="295"/>
        <v>Mon</v>
      </c>
    </row>
    <row r="4712" spans="1:11" x14ac:dyDescent="0.35">
      <c r="A4712" s="1">
        <v>42402</v>
      </c>
      <c r="B4712">
        <v>28.5</v>
      </c>
      <c r="C4712">
        <v>28.577999114990199</v>
      </c>
      <c r="D4712">
        <v>27.504499435424801</v>
      </c>
      <c r="E4712">
        <v>27.6049995422363</v>
      </c>
      <c r="F4712">
        <v>27.6049995422363</v>
      </c>
      <c r="G4712">
        <v>126240000</v>
      </c>
      <c r="H4712">
        <f t="shared" si="292"/>
        <v>2016</v>
      </c>
      <c r="I4712">
        <f t="shared" si="293"/>
        <v>2</v>
      </c>
      <c r="J4712" t="str">
        <f t="shared" si="294"/>
        <v>Feb</v>
      </c>
      <c r="K4712" t="str">
        <f t="shared" si="295"/>
        <v>Tue</v>
      </c>
    </row>
    <row r="4713" spans="1:11" x14ac:dyDescent="0.35">
      <c r="A4713" s="1">
        <v>42403</v>
      </c>
      <c r="B4713">
        <v>27.674999237060501</v>
      </c>
      <c r="C4713">
        <v>27.799999237060501</v>
      </c>
      <c r="D4713">
        <v>26.0949993133544</v>
      </c>
      <c r="E4713">
        <v>26.553499221801701</v>
      </c>
      <c r="F4713">
        <v>26.553499221801701</v>
      </c>
      <c r="G4713">
        <v>200974000</v>
      </c>
      <c r="H4713">
        <f t="shared" si="292"/>
        <v>2016</v>
      </c>
      <c r="I4713">
        <f t="shared" si="293"/>
        <v>2</v>
      </c>
      <c r="J4713" t="str">
        <f t="shared" si="294"/>
        <v>Feb</v>
      </c>
      <c r="K4713" t="str">
        <f t="shared" si="295"/>
        <v>Wed</v>
      </c>
    </row>
    <row r="4714" spans="1:11" x14ac:dyDescent="0.35">
      <c r="A4714" s="1">
        <v>42404</v>
      </c>
      <c r="B4714">
        <v>26.25</v>
      </c>
      <c r="C4714">
        <v>26.949499130248999</v>
      </c>
      <c r="D4714">
        <v>25.961000442504801</v>
      </c>
      <c r="E4714">
        <v>26.812999725341701</v>
      </c>
      <c r="F4714">
        <v>26.812999725341701</v>
      </c>
      <c r="G4714">
        <v>123982000</v>
      </c>
      <c r="H4714">
        <f t="shared" si="292"/>
        <v>2016</v>
      </c>
      <c r="I4714">
        <f t="shared" si="293"/>
        <v>2</v>
      </c>
      <c r="J4714" t="str">
        <f t="shared" si="294"/>
        <v>Feb</v>
      </c>
      <c r="K4714" t="str">
        <f t="shared" si="295"/>
        <v>Thu</v>
      </c>
    </row>
    <row r="4715" spans="1:11" x14ac:dyDescent="0.35">
      <c r="A4715" s="1">
        <v>42405</v>
      </c>
      <c r="B4715">
        <v>26.464000701904201</v>
      </c>
      <c r="C4715">
        <v>26.472499847412099</v>
      </c>
      <c r="D4715">
        <v>24.959499359130799</v>
      </c>
      <c r="E4715">
        <v>25.106500625610298</v>
      </c>
      <c r="F4715">
        <v>25.106500625610298</v>
      </c>
      <c r="G4715">
        <v>194178000</v>
      </c>
      <c r="H4715">
        <f t="shared" si="292"/>
        <v>2016</v>
      </c>
      <c r="I4715">
        <f t="shared" si="293"/>
        <v>2</v>
      </c>
      <c r="J4715" t="str">
        <f t="shared" si="294"/>
        <v>Feb</v>
      </c>
      <c r="K4715" t="str">
        <f t="shared" si="295"/>
        <v>Fri</v>
      </c>
    </row>
    <row r="4716" spans="1:11" x14ac:dyDescent="0.35">
      <c r="A4716" s="1">
        <v>42408</v>
      </c>
      <c r="B4716">
        <v>24.323499679565401</v>
      </c>
      <c r="C4716">
        <v>24.674999237060501</v>
      </c>
      <c r="D4716">
        <v>23.760499954223601</v>
      </c>
      <c r="E4716">
        <v>24.405000686645501</v>
      </c>
      <c r="F4716">
        <v>24.405000686645501</v>
      </c>
      <c r="G4716">
        <v>196510000</v>
      </c>
      <c r="H4716">
        <f t="shared" si="292"/>
        <v>2016</v>
      </c>
      <c r="I4716">
        <f t="shared" si="293"/>
        <v>2</v>
      </c>
      <c r="J4716" t="str">
        <f t="shared" si="294"/>
        <v>Feb</v>
      </c>
      <c r="K4716" t="str">
        <f t="shared" si="295"/>
        <v>Mon</v>
      </c>
    </row>
    <row r="4717" spans="1:11" x14ac:dyDescent="0.35">
      <c r="A4717" s="1">
        <v>42409</v>
      </c>
      <c r="B4717">
        <v>23.900499343871999</v>
      </c>
      <c r="C4717">
        <v>24.919000625610298</v>
      </c>
      <c r="D4717">
        <v>23.7000007629394</v>
      </c>
      <c r="E4717">
        <v>24.103500366210898</v>
      </c>
      <c r="F4717">
        <v>24.103500366210898</v>
      </c>
      <c r="G4717">
        <v>141558000</v>
      </c>
      <c r="H4717">
        <f t="shared" si="292"/>
        <v>2016</v>
      </c>
      <c r="I4717">
        <f t="shared" si="293"/>
        <v>2</v>
      </c>
      <c r="J4717" t="str">
        <f t="shared" si="294"/>
        <v>Feb</v>
      </c>
      <c r="K4717" t="str">
        <f t="shared" si="295"/>
        <v>Tue</v>
      </c>
    </row>
    <row r="4718" spans="1:11" x14ac:dyDescent="0.35">
      <c r="A4718" s="1">
        <v>42410</v>
      </c>
      <c r="B4718">
        <v>24.587999343871999</v>
      </c>
      <c r="C4718">
        <v>25.2329998016357</v>
      </c>
      <c r="D4718">
        <v>24.299999237060501</v>
      </c>
      <c r="E4718">
        <v>24.524000167846602</v>
      </c>
      <c r="F4718">
        <v>24.524000167846602</v>
      </c>
      <c r="G4718">
        <v>135724000</v>
      </c>
      <c r="H4718">
        <f t="shared" si="292"/>
        <v>2016</v>
      </c>
      <c r="I4718">
        <f t="shared" si="293"/>
        <v>2</v>
      </c>
      <c r="J4718" t="str">
        <f t="shared" si="294"/>
        <v>Feb</v>
      </c>
      <c r="K4718" t="str">
        <f t="shared" si="295"/>
        <v>Wed</v>
      </c>
    </row>
    <row r="4719" spans="1:11" x14ac:dyDescent="0.35">
      <c r="A4719" s="1">
        <v>42411</v>
      </c>
      <c r="B4719">
        <v>24.5585002899169</v>
      </c>
      <c r="C4719">
        <v>25.465000152587798</v>
      </c>
      <c r="D4719">
        <v>24.2000007629394</v>
      </c>
      <c r="E4719">
        <v>25.1909999847412</v>
      </c>
      <c r="F4719">
        <v>25.1909999847412</v>
      </c>
      <c r="G4719">
        <v>147948000</v>
      </c>
      <c r="H4719">
        <f t="shared" si="292"/>
        <v>2016</v>
      </c>
      <c r="I4719">
        <f t="shared" si="293"/>
        <v>2</v>
      </c>
      <c r="J4719" t="str">
        <f t="shared" si="294"/>
        <v>Feb</v>
      </c>
      <c r="K4719" t="str">
        <f t="shared" si="295"/>
        <v>Thu</v>
      </c>
    </row>
    <row r="4720" spans="1:11" x14ac:dyDescent="0.35">
      <c r="A4720" s="1">
        <v>42412</v>
      </c>
      <c r="B4720">
        <v>25.534999847412099</v>
      </c>
      <c r="C4720">
        <v>25.837499618530199</v>
      </c>
      <c r="D4720">
        <v>25.074499130248999</v>
      </c>
      <c r="E4720">
        <v>25.354000091552699</v>
      </c>
      <c r="F4720">
        <v>25.354000091552699</v>
      </c>
      <c r="G4720">
        <v>107696000</v>
      </c>
      <c r="H4720">
        <f t="shared" si="292"/>
        <v>2016</v>
      </c>
      <c r="I4720">
        <f t="shared" si="293"/>
        <v>2</v>
      </c>
      <c r="J4720" t="str">
        <f t="shared" si="294"/>
        <v>Feb</v>
      </c>
      <c r="K4720" t="str">
        <f t="shared" si="295"/>
        <v>Fri</v>
      </c>
    </row>
    <row r="4721" spans="1:11" x14ac:dyDescent="0.35">
      <c r="A4721" s="1">
        <v>42416</v>
      </c>
      <c r="B4721">
        <v>25.974000930786101</v>
      </c>
      <c r="C4721">
        <v>26.222499847412099</v>
      </c>
      <c r="D4721">
        <v>25.583000183105401</v>
      </c>
      <c r="E4721">
        <v>26.0550003051757</v>
      </c>
      <c r="F4721">
        <v>26.0550003051757</v>
      </c>
      <c r="G4721">
        <v>102370000</v>
      </c>
      <c r="H4721">
        <f t="shared" si="292"/>
        <v>2016</v>
      </c>
      <c r="I4721">
        <f t="shared" si="293"/>
        <v>2</v>
      </c>
      <c r="J4721" t="str">
        <f t="shared" si="294"/>
        <v>Feb</v>
      </c>
      <c r="K4721" t="str">
        <f t="shared" si="295"/>
        <v>Tue</v>
      </c>
    </row>
    <row r="4722" spans="1:11" x14ac:dyDescent="0.35">
      <c r="A4722" s="1">
        <v>42417</v>
      </c>
      <c r="B4722">
        <v>26.4370002746582</v>
      </c>
      <c r="C4722">
        <v>26.874000549316399</v>
      </c>
      <c r="D4722">
        <v>25.969499588012599</v>
      </c>
      <c r="E4722">
        <v>26.704999923706001</v>
      </c>
      <c r="F4722">
        <v>26.704999923706001</v>
      </c>
      <c r="G4722">
        <v>96480000</v>
      </c>
      <c r="H4722">
        <f t="shared" si="292"/>
        <v>2016</v>
      </c>
      <c r="I4722">
        <f t="shared" si="293"/>
        <v>2</v>
      </c>
      <c r="J4722" t="str">
        <f t="shared" si="294"/>
        <v>Feb</v>
      </c>
      <c r="K4722" t="str">
        <f t="shared" si="295"/>
        <v>Wed</v>
      </c>
    </row>
    <row r="4723" spans="1:11" x14ac:dyDescent="0.35">
      <c r="A4723" s="1">
        <v>42418</v>
      </c>
      <c r="B4723">
        <v>27.059499740600501</v>
      </c>
      <c r="C4723">
        <v>27.059999465942301</v>
      </c>
      <c r="D4723">
        <v>26.186500549316399</v>
      </c>
      <c r="E4723">
        <v>26.25</v>
      </c>
      <c r="F4723">
        <v>26.25</v>
      </c>
      <c r="G4723">
        <v>94700000</v>
      </c>
      <c r="H4723">
        <f t="shared" si="292"/>
        <v>2016</v>
      </c>
      <c r="I4723">
        <f t="shared" si="293"/>
        <v>2</v>
      </c>
      <c r="J4723" t="str">
        <f t="shared" si="294"/>
        <v>Feb</v>
      </c>
      <c r="K4723" t="str">
        <f t="shared" si="295"/>
        <v>Thu</v>
      </c>
    </row>
    <row r="4724" spans="1:11" x14ac:dyDescent="0.35">
      <c r="A4724" s="1">
        <v>42419</v>
      </c>
      <c r="B4724">
        <v>26.035499572753899</v>
      </c>
      <c r="C4724">
        <v>26.797500610351499</v>
      </c>
      <c r="D4724">
        <v>25.767499923706001</v>
      </c>
      <c r="E4724">
        <v>26.745000839233398</v>
      </c>
      <c r="F4724">
        <v>26.745000839233398</v>
      </c>
      <c r="G4724">
        <v>99494000</v>
      </c>
      <c r="H4724">
        <f t="shared" si="292"/>
        <v>2016</v>
      </c>
      <c r="I4724">
        <f t="shared" si="293"/>
        <v>2</v>
      </c>
      <c r="J4724" t="str">
        <f t="shared" si="294"/>
        <v>Feb</v>
      </c>
      <c r="K4724" t="str">
        <f t="shared" si="295"/>
        <v>Fri</v>
      </c>
    </row>
    <row r="4725" spans="1:11" x14ac:dyDescent="0.35">
      <c r="A4725" s="1">
        <v>42422</v>
      </c>
      <c r="B4725">
        <v>27.110000610351499</v>
      </c>
      <c r="C4725">
        <v>28.0324993133544</v>
      </c>
      <c r="D4725">
        <v>27.054000854492099</v>
      </c>
      <c r="E4725">
        <v>27.975000381469702</v>
      </c>
      <c r="F4725">
        <v>27.975000381469702</v>
      </c>
      <c r="G4725">
        <v>111332000</v>
      </c>
      <c r="H4725">
        <f t="shared" si="292"/>
        <v>2016</v>
      </c>
      <c r="I4725">
        <f t="shared" si="293"/>
        <v>2</v>
      </c>
      <c r="J4725" t="str">
        <f t="shared" si="294"/>
        <v>Feb</v>
      </c>
      <c r="K4725" t="str">
        <f t="shared" si="295"/>
        <v>Mon</v>
      </c>
    </row>
    <row r="4726" spans="1:11" x14ac:dyDescent="0.35">
      <c r="A4726" s="1">
        <v>42423</v>
      </c>
      <c r="B4726">
        <v>27.777500152587798</v>
      </c>
      <c r="C4726">
        <v>27.845500946044901</v>
      </c>
      <c r="D4726">
        <v>27.266500473022401</v>
      </c>
      <c r="E4726">
        <v>27.646999359130799</v>
      </c>
      <c r="F4726">
        <v>27.646999359130799</v>
      </c>
      <c r="G4726">
        <v>81016000</v>
      </c>
      <c r="H4726">
        <f t="shared" si="292"/>
        <v>2016</v>
      </c>
      <c r="I4726">
        <f t="shared" si="293"/>
        <v>2</v>
      </c>
      <c r="J4726" t="str">
        <f t="shared" si="294"/>
        <v>Feb</v>
      </c>
      <c r="K4726" t="str">
        <f t="shared" si="295"/>
        <v>Tue</v>
      </c>
    </row>
    <row r="4727" spans="1:11" x14ac:dyDescent="0.35">
      <c r="A4727" s="1">
        <v>42424</v>
      </c>
      <c r="B4727">
        <v>27.287500381469702</v>
      </c>
      <c r="C4727">
        <v>27.7134990692138</v>
      </c>
      <c r="D4727">
        <v>26.6574993133544</v>
      </c>
      <c r="E4727">
        <v>27.701999664306602</v>
      </c>
      <c r="F4727">
        <v>27.701999664306602</v>
      </c>
      <c r="G4727">
        <v>124634000</v>
      </c>
      <c r="H4727">
        <f t="shared" si="292"/>
        <v>2016</v>
      </c>
      <c r="I4727">
        <f t="shared" si="293"/>
        <v>2</v>
      </c>
      <c r="J4727" t="str">
        <f t="shared" si="294"/>
        <v>Feb</v>
      </c>
      <c r="K4727" t="str">
        <f t="shared" si="295"/>
        <v>Wed</v>
      </c>
    </row>
    <row r="4728" spans="1:11" x14ac:dyDescent="0.35">
      <c r="A4728" s="1">
        <v>42425</v>
      </c>
      <c r="B4728">
        <v>27.7759990692138</v>
      </c>
      <c r="C4728">
        <v>27.969499588012599</v>
      </c>
      <c r="D4728">
        <v>27.264499664306602</v>
      </c>
      <c r="E4728">
        <v>27.757499694824201</v>
      </c>
      <c r="F4728">
        <v>27.757499694824201</v>
      </c>
      <c r="G4728">
        <v>90510000</v>
      </c>
      <c r="H4728">
        <f t="shared" si="292"/>
        <v>2016</v>
      </c>
      <c r="I4728">
        <f t="shared" si="293"/>
        <v>2</v>
      </c>
      <c r="J4728" t="str">
        <f t="shared" si="294"/>
        <v>Feb</v>
      </c>
      <c r="K4728" t="str">
        <f t="shared" si="295"/>
        <v>Thu</v>
      </c>
    </row>
    <row r="4729" spans="1:11" x14ac:dyDescent="0.35">
      <c r="A4729" s="1">
        <v>42426</v>
      </c>
      <c r="B4729">
        <v>28.0060005187988</v>
      </c>
      <c r="C4729">
        <v>28.125</v>
      </c>
      <c r="D4729">
        <v>27.658500671386701</v>
      </c>
      <c r="E4729">
        <v>27.761499404907202</v>
      </c>
      <c r="F4729">
        <v>27.761499404907202</v>
      </c>
      <c r="G4729">
        <v>97540000</v>
      </c>
      <c r="H4729">
        <f t="shared" si="292"/>
        <v>2016</v>
      </c>
      <c r="I4729">
        <f t="shared" si="293"/>
        <v>2</v>
      </c>
      <c r="J4729" t="str">
        <f t="shared" si="294"/>
        <v>Feb</v>
      </c>
      <c r="K4729" t="str">
        <f t="shared" si="295"/>
        <v>Fri</v>
      </c>
    </row>
    <row r="4730" spans="1:11" x14ac:dyDescent="0.35">
      <c r="A4730" s="1">
        <v>42429</v>
      </c>
      <c r="B4730">
        <v>27.7000007629394</v>
      </c>
      <c r="C4730">
        <v>28.240499496459901</v>
      </c>
      <c r="D4730">
        <v>27.625499725341701</v>
      </c>
      <c r="E4730">
        <v>27.625999450683501</v>
      </c>
      <c r="F4730">
        <v>27.625999450683501</v>
      </c>
      <c r="G4730">
        <v>82908000</v>
      </c>
      <c r="H4730">
        <f t="shared" si="292"/>
        <v>2016</v>
      </c>
      <c r="I4730">
        <f t="shared" si="293"/>
        <v>2</v>
      </c>
      <c r="J4730" t="str">
        <f t="shared" si="294"/>
        <v>Feb</v>
      </c>
      <c r="K4730" t="str">
        <f t="shared" si="295"/>
        <v>Mon</v>
      </c>
    </row>
    <row r="4731" spans="1:11" x14ac:dyDescent="0.35">
      <c r="A4731" s="1">
        <v>42430</v>
      </c>
      <c r="B4731">
        <v>27.814500808715799</v>
      </c>
      <c r="C4731">
        <v>28.962499618530199</v>
      </c>
      <c r="D4731">
        <v>27.799999237060501</v>
      </c>
      <c r="E4731">
        <v>28.951999664306602</v>
      </c>
      <c r="F4731">
        <v>28.951999664306602</v>
      </c>
      <c r="G4731">
        <v>100770000</v>
      </c>
      <c r="H4731">
        <f t="shared" si="292"/>
        <v>2016</v>
      </c>
      <c r="I4731">
        <f t="shared" si="293"/>
        <v>3</v>
      </c>
      <c r="J4731" t="str">
        <f t="shared" si="294"/>
        <v>Mar</v>
      </c>
      <c r="K4731" t="str">
        <f t="shared" si="295"/>
        <v>Tue</v>
      </c>
    </row>
    <row r="4732" spans="1:11" x14ac:dyDescent="0.35">
      <c r="A4732" s="1">
        <v>42431</v>
      </c>
      <c r="B4732">
        <v>29.087499618530199</v>
      </c>
      <c r="C4732">
        <v>29.25</v>
      </c>
      <c r="D4732">
        <v>28.684999465942301</v>
      </c>
      <c r="E4732">
        <v>29.010499954223601</v>
      </c>
      <c r="F4732">
        <v>29.010499954223601</v>
      </c>
      <c r="G4732">
        <v>91644000</v>
      </c>
      <c r="H4732">
        <f t="shared" si="292"/>
        <v>2016</v>
      </c>
      <c r="I4732">
        <f t="shared" si="293"/>
        <v>3</v>
      </c>
      <c r="J4732" t="str">
        <f t="shared" si="294"/>
        <v>Mar</v>
      </c>
      <c r="K4732" t="str">
        <f t="shared" si="295"/>
        <v>Wed</v>
      </c>
    </row>
    <row r="4733" spans="1:11" x14ac:dyDescent="0.35">
      <c r="A4733" s="1">
        <v>42432</v>
      </c>
      <c r="B4733">
        <v>28.898000717163001</v>
      </c>
      <c r="C4733">
        <v>28.9934997558593</v>
      </c>
      <c r="D4733">
        <v>28.655500411987301</v>
      </c>
      <c r="E4733">
        <v>28.8745002746582</v>
      </c>
      <c r="F4733">
        <v>28.8745002746582</v>
      </c>
      <c r="G4733">
        <v>54826000</v>
      </c>
      <c r="H4733">
        <f t="shared" si="292"/>
        <v>2016</v>
      </c>
      <c r="I4733">
        <f t="shared" si="293"/>
        <v>3</v>
      </c>
      <c r="J4733" t="str">
        <f t="shared" si="294"/>
        <v>Mar</v>
      </c>
      <c r="K4733" t="str">
        <f t="shared" si="295"/>
        <v>Thu</v>
      </c>
    </row>
    <row r="4734" spans="1:11" x14ac:dyDescent="0.35">
      <c r="A4734" s="1">
        <v>42433</v>
      </c>
      <c r="B4734">
        <v>29.053499221801701</v>
      </c>
      <c r="C4734">
        <v>29.069999694824201</v>
      </c>
      <c r="D4734">
        <v>28.553499221801701</v>
      </c>
      <c r="E4734">
        <v>28.756999969482401</v>
      </c>
      <c r="F4734">
        <v>28.756999969482401</v>
      </c>
      <c r="G4734">
        <v>68330000</v>
      </c>
      <c r="H4734">
        <f t="shared" si="292"/>
        <v>2016</v>
      </c>
      <c r="I4734">
        <f t="shared" si="293"/>
        <v>3</v>
      </c>
      <c r="J4734" t="str">
        <f t="shared" si="294"/>
        <v>Mar</v>
      </c>
      <c r="K4734" t="str">
        <f t="shared" si="295"/>
        <v>Fri</v>
      </c>
    </row>
    <row r="4735" spans="1:11" x14ac:dyDescent="0.35">
      <c r="A4735" s="1">
        <v>42436</v>
      </c>
      <c r="B4735">
        <v>28.6770000457763</v>
      </c>
      <c r="C4735">
        <v>28.681499481201101</v>
      </c>
      <c r="D4735">
        <v>27.777500152587798</v>
      </c>
      <c r="E4735">
        <v>28.139999389648398</v>
      </c>
      <c r="F4735">
        <v>28.139999389648398</v>
      </c>
      <c r="G4735">
        <v>98538000</v>
      </c>
      <c r="H4735">
        <f t="shared" si="292"/>
        <v>2016</v>
      </c>
      <c r="I4735">
        <f t="shared" si="293"/>
        <v>3</v>
      </c>
      <c r="J4735" t="str">
        <f t="shared" si="294"/>
        <v>Mar</v>
      </c>
      <c r="K4735" t="str">
        <f t="shared" si="295"/>
        <v>Mon</v>
      </c>
    </row>
    <row r="4736" spans="1:11" x14ac:dyDescent="0.35">
      <c r="A4736" s="1">
        <v>42437</v>
      </c>
      <c r="B4736">
        <v>27.893499374389599</v>
      </c>
      <c r="C4736">
        <v>28.567499160766602</v>
      </c>
      <c r="D4736">
        <v>27.7369995117187</v>
      </c>
      <c r="E4736">
        <v>28.0130004882812</v>
      </c>
      <c r="F4736">
        <v>28.0130004882812</v>
      </c>
      <c r="G4736">
        <v>94600000</v>
      </c>
      <c r="H4736">
        <f t="shared" si="292"/>
        <v>2016</v>
      </c>
      <c r="I4736">
        <f t="shared" si="293"/>
        <v>3</v>
      </c>
      <c r="J4736" t="str">
        <f t="shared" si="294"/>
        <v>Mar</v>
      </c>
      <c r="K4736" t="str">
        <f t="shared" si="295"/>
        <v>Tue</v>
      </c>
    </row>
    <row r="4737" spans="1:11" x14ac:dyDescent="0.35">
      <c r="A4737" s="1">
        <v>42438</v>
      </c>
      <c r="B4737">
        <v>27.978000640869102</v>
      </c>
      <c r="C4737">
        <v>28.017499923706001</v>
      </c>
      <c r="D4737">
        <v>27.5065002441406</v>
      </c>
      <c r="E4737">
        <v>27.9734992980957</v>
      </c>
      <c r="F4737">
        <v>27.9734992980957</v>
      </c>
      <c r="G4737">
        <v>87546000</v>
      </c>
      <c r="H4737">
        <f t="shared" si="292"/>
        <v>2016</v>
      </c>
      <c r="I4737">
        <f t="shared" si="293"/>
        <v>3</v>
      </c>
      <c r="J4737" t="str">
        <f t="shared" si="294"/>
        <v>Mar</v>
      </c>
      <c r="K4737" t="str">
        <f t="shared" si="295"/>
        <v>Wed</v>
      </c>
    </row>
    <row r="4738" spans="1:11" x14ac:dyDescent="0.35">
      <c r="A4738" s="1">
        <v>42439</v>
      </c>
      <c r="B4738">
        <v>28.336999893188398</v>
      </c>
      <c r="C4738">
        <v>28.350000381469702</v>
      </c>
      <c r="D4738">
        <v>27.395000457763601</v>
      </c>
      <c r="E4738">
        <v>27.9465007781982</v>
      </c>
      <c r="F4738">
        <v>27.9465007781982</v>
      </c>
      <c r="G4738">
        <v>78398000</v>
      </c>
      <c r="H4738">
        <f t="shared" si="292"/>
        <v>2016</v>
      </c>
      <c r="I4738">
        <f t="shared" si="293"/>
        <v>3</v>
      </c>
      <c r="J4738" t="str">
        <f t="shared" si="294"/>
        <v>Mar</v>
      </c>
      <c r="K4738" t="str">
        <f t="shared" si="295"/>
        <v>Thu</v>
      </c>
    </row>
    <row r="4739" spans="1:11" x14ac:dyDescent="0.35">
      <c r="A4739" s="1">
        <v>42440</v>
      </c>
      <c r="B4739">
        <v>28.347499847412099</v>
      </c>
      <c r="C4739">
        <v>28.5030002593994</v>
      </c>
      <c r="D4739">
        <v>28.136499404907202</v>
      </c>
      <c r="E4739">
        <v>28.4804992675781</v>
      </c>
      <c r="F4739">
        <v>28.4804992675781</v>
      </c>
      <c r="G4739">
        <v>75426000</v>
      </c>
      <c r="H4739">
        <f t="shared" si="292"/>
        <v>2016</v>
      </c>
      <c r="I4739">
        <f t="shared" si="293"/>
        <v>3</v>
      </c>
      <c r="J4739" t="str">
        <f t="shared" si="294"/>
        <v>Mar</v>
      </c>
      <c r="K4739" t="str">
        <f t="shared" si="295"/>
        <v>Fri</v>
      </c>
    </row>
    <row r="4740" spans="1:11" x14ac:dyDescent="0.35">
      <c r="A4740" s="1">
        <v>42443</v>
      </c>
      <c r="B4740">
        <v>28.350000381469702</v>
      </c>
      <c r="C4740">
        <v>28.844499588012599</v>
      </c>
      <c r="D4740">
        <v>28.152500152587798</v>
      </c>
      <c r="E4740">
        <v>28.668500900268501</v>
      </c>
      <c r="F4740">
        <v>28.668500900268501</v>
      </c>
      <c r="G4740">
        <v>69084000</v>
      </c>
      <c r="H4740">
        <f t="shared" ref="H4740:H4803" si="296">YEAR($A4740)</f>
        <v>2016</v>
      </c>
      <c r="I4740">
        <f t="shared" ref="I4740:I4803" si="297">MONTH($A4740)</f>
        <v>3</v>
      </c>
      <c r="J4740" t="str">
        <f t="shared" ref="J4740:J4803" si="298">TEXT($A4740,"mmm")</f>
        <v>Mar</v>
      </c>
      <c r="K4740" t="str">
        <f t="shared" ref="K4740:K4803" si="299">TEXT($A4740,"ddd")</f>
        <v>Mon</v>
      </c>
    </row>
    <row r="4741" spans="1:11" x14ac:dyDescent="0.35">
      <c r="A4741" s="1">
        <v>42444</v>
      </c>
      <c r="B4741">
        <v>28.549999237060501</v>
      </c>
      <c r="C4741">
        <v>29.076000213623001</v>
      </c>
      <c r="D4741">
        <v>28.350000381469702</v>
      </c>
      <c r="E4741">
        <v>28.850999832153299</v>
      </c>
      <c r="F4741">
        <v>28.850999832153299</v>
      </c>
      <c r="G4741">
        <v>77536000</v>
      </c>
      <c r="H4741">
        <f t="shared" si="296"/>
        <v>2016</v>
      </c>
      <c r="I4741">
        <f t="shared" si="297"/>
        <v>3</v>
      </c>
      <c r="J4741" t="str">
        <f t="shared" si="298"/>
        <v>Mar</v>
      </c>
      <c r="K4741" t="str">
        <f t="shared" si="299"/>
        <v>Tue</v>
      </c>
    </row>
    <row r="4742" spans="1:11" x14ac:dyDescent="0.35">
      <c r="A4742" s="1">
        <v>42445</v>
      </c>
      <c r="B4742">
        <v>28.8320007324218</v>
      </c>
      <c r="C4742">
        <v>29.0659999847412</v>
      </c>
      <c r="D4742">
        <v>28.556999206542901</v>
      </c>
      <c r="E4742">
        <v>28.7134990692138</v>
      </c>
      <c r="F4742">
        <v>28.7134990692138</v>
      </c>
      <c r="G4742">
        <v>70754000</v>
      </c>
      <c r="H4742">
        <f t="shared" si="296"/>
        <v>2016</v>
      </c>
      <c r="I4742">
        <f t="shared" si="297"/>
        <v>3</v>
      </c>
      <c r="J4742" t="str">
        <f t="shared" si="298"/>
        <v>Mar</v>
      </c>
      <c r="K4742" t="str">
        <f t="shared" si="299"/>
        <v>Wed</v>
      </c>
    </row>
    <row r="4743" spans="1:11" x14ac:dyDescent="0.35">
      <c r="A4743" s="1">
        <v>42446</v>
      </c>
      <c r="B4743">
        <v>28.475500106811499</v>
      </c>
      <c r="C4743">
        <v>28.569999694824201</v>
      </c>
      <c r="D4743">
        <v>27.750499725341701</v>
      </c>
      <c r="E4743">
        <v>27.972000122070298</v>
      </c>
      <c r="F4743">
        <v>27.972000122070298</v>
      </c>
      <c r="G4743">
        <v>118562000</v>
      </c>
      <c r="H4743">
        <f t="shared" si="296"/>
        <v>2016</v>
      </c>
      <c r="I4743">
        <f t="shared" si="297"/>
        <v>3</v>
      </c>
      <c r="J4743" t="str">
        <f t="shared" si="298"/>
        <v>Mar</v>
      </c>
      <c r="K4743" t="str">
        <f t="shared" si="299"/>
        <v>Thu</v>
      </c>
    </row>
    <row r="4744" spans="1:11" x14ac:dyDescent="0.35">
      <c r="A4744" s="1">
        <v>42447</v>
      </c>
      <c r="B4744">
        <v>28.047000885009702</v>
      </c>
      <c r="C4744">
        <v>28.116500854492099</v>
      </c>
      <c r="D4744">
        <v>27.304500579833899</v>
      </c>
      <c r="E4744">
        <v>27.604000091552699</v>
      </c>
      <c r="F4744">
        <v>27.604000091552699</v>
      </c>
      <c r="G4744">
        <v>145938000</v>
      </c>
      <c r="H4744">
        <f t="shared" si="296"/>
        <v>2016</v>
      </c>
      <c r="I4744">
        <f t="shared" si="297"/>
        <v>3</v>
      </c>
      <c r="J4744" t="str">
        <f t="shared" si="298"/>
        <v>Mar</v>
      </c>
      <c r="K4744" t="str">
        <f t="shared" si="299"/>
        <v>Fri</v>
      </c>
    </row>
    <row r="4745" spans="1:11" x14ac:dyDescent="0.35">
      <c r="A4745" s="1">
        <v>42450</v>
      </c>
      <c r="B4745">
        <v>27.445499420166001</v>
      </c>
      <c r="C4745">
        <v>27.761999130248999</v>
      </c>
      <c r="D4745">
        <v>26.929000854492099</v>
      </c>
      <c r="E4745">
        <v>27.698999404907202</v>
      </c>
      <c r="F4745">
        <v>27.698999404907202</v>
      </c>
      <c r="G4745">
        <v>103114000</v>
      </c>
      <c r="H4745">
        <f t="shared" si="296"/>
        <v>2016</v>
      </c>
      <c r="I4745">
        <f t="shared" si="297"/>
        <v>3</v>
      </c>
      <c r="J4745" t="str">
        <f t="shared" si="298"/>
        <v>Mar</v>
      </c>
      <c r="K4745" t="str">
        <f t="shared" si="299"/>
        <v>Mon</v>
      </c>
    </row>
    <row r="4746" spans="1:11" x14ac:dyDescent="0.35">
      <c r="A4746" s="1">
        <v>42451</v>
      </c>
      <c r="B4746">
        <v>27.255500793456999</v>
      </c>
      <c r="C4746">
        <v>28.1380004882812</v>
      </c>
      <c r="D4746">
        <v>27.252500534057599</v>
      </c>
      <c r="E4746">
        <v>28.024000167846602</v>
      </c>
      <c r="F4746">
        <v>28.024000167846602</v>
      </c>
      <c r="G4746">
        <v>80012000</v>
      </c>
      <c r="H4746">
        <f t="shared" si="296"/>
        <v>2016</v>
      </c>
      <c r="I4746">
        <f t="shared" si="297"/>
        <v>3</v>
      </c>
      <c r="J4746" t="str">
        <f t="shared" si="298"/>
        <v>Mar</v>
      </c>
      <c r="K4746" t="str">
        <f t="shared" si="299"/>
        <v>Tue</v>
      </c>
    </row>
    <row r="4747" spans="1:11" x14ac:dyDescent="0.35">
      <c r="A4747" s="1">
        <v>42452</v>
      </c>
      <c r="B4747">
        <v>28.049999237060501</v>
      </c>
      <c r="C4747">
        <v>28.624000549316399</v>
      </c>
      <c r="D4747">
        <v>27.905000686645501</v>
      </c>
      <c r="E4747">
        <v>28.481500625610298</v>
      </c>
      <c r="F4747">
        <v>28.481500625610298</v>
      </c>
      <c r="G4747">
        <v>79674000</v>
      </c>
      <c r="H4747">
        <f t="shared" si="296"/>
        <v>2016</v>
      </c>
      <c r="I4747">
        <f t="shared" si="297"/>
        <v>3</v>
      </c>
      <c r="J4747" t="str">
        <f t="shared" si="298"/>
        <v>Mar</v>
      </c>
      <c r="K4747" t="str">
        <f t="shared" si="299"/>
        <v>Wed</v>
      </c>
    </row>
    <row r="4748" spans="1:11" x14ac:dyDescent="0.35">
      <c r="A4748" s="1">
        <v>42453</v>
      </c>
      <c r="B4748">
        <v>28.3554992675781</v>
      </c>
      <c r="C4748">
        <v>29.1774997711181</v>
      </c>
      <c r="D4748">
        <v>28.354000091552699</v>
      </c>
      <c r="E4748">
        <v>29.147499084472599</v>
      </c>
      <c r="F4748">
        <v>29.147499084472599</v>
      </c>
      <c r="G4748">
        <v>103710000</v>
      </c>
      <c r="H4748">
        <f t="shared" si="296"/>
        <v>2016</v>
      </c>
      <c r="I4748">
        <f t="shared" si="297"/>
        <v>3</v>
      </c>
      <c r="J4748" t="str">
        <f t="shared" si="298"/>
        <v>Mar</v>
      </c>
      <c r="K4748" t="str">
        <f t="shared" si="299"/>
        <v>Thu</v>
      </c>
    </row>
    <row r="4749" spans="1:11" x14ac:dyDescent="0.35">
      <c r="A4749" s="1">
        <v>42457</v>
      </c>
      <c r="B4749">
        <v>29.2199993133544</v>
      </c>
      <c r="C4749">
        <v>29.237499237060501</v>
      </c>
      <c r="D4749">
        <v>28.777999877929599</v>
      </c>
      <c r="E4749">
        <v>28.9934997558593</v>
      </c>
      <c r="F4749">
        <v>28.9934997558593</v>
      </c>
      <c r="G4749">
        <v>62430000</v>
      </c>
      <c r="H4749">
        <f t="shared" si="296"/>
        <v>2016</v>
      </c>
      <c r="I4749">
        <f t="shared" si="297"/>
        <v>3</v>
      </c>
      <c r="J4749" t="str">
        <f t="shared" si="298"/>
        <v>Mar</v>
      </c>
      <c r="K4749" t="str">
        <f t="shared" si="299"/>
        <v>Mon</v>
      </c>
    </row>
    <row r="4750" spans="1:11" x14ac:dyDescent="0.35">
      <c r="A4750" s="1">
        <v>42458</v>
      </c>
      <c r="B4750">
        <v>29.007499694824201</v>
      </c>
      <c r="C4750">
        <v>29.7924995422363</v>
      </c>
      <c r="D4750">
        <v>28.8250007629394</v>
      </c>
      <c r="E4750">
        <v>29.693000793456999</v>
      </c>
      <c r="F4750">
        <v>29.693000793456999</v>
      </c>
      <c r="G4750">
        <v>87852000</v>
      </c>
      <c r="H4750">
        <f t="shared" si="296"/>
        <v>2016</v>
      </c>
      <c r="I4750">
        <f t="shared" si="297"/>
        <v>3</v>
      </c>
      <c r="J4750" t="str">
        <f t="shared" si="298"/>
        <v>Mar</v>
      </c>
      <c r="K4750" t="str">
        <f t="shared" si="299"/>
        <v>Tue</v>
      </c>
    </row>
    <row r="4751" spans="1:11" x14ac:dyDescent="0.35">
      <c r="A4751" s="1">
        <v>42459</v>
      </c>
      <c r="B4751">
        <v>29.835500717163001</v>
      </c>
      <c r="C4751">
        <v>30.162000656127901</v>
      </c>
      <c r="D4751">
        <v>29.75</v>
      </c>
      <c r="E4751">
        <v>29.934499740600501</v>
      </c>
      <c r="F4751">
        <v>29.934499740600501</v>
      </c>
      <c r="G4751">
        <v>77810000</v>
      </c>
      <c r="H4751">
        <f t="shared" si="296"/>
        <v>2016</v>
      </c>
      <c r="I4751">
        <f t="shared" si="297"/>
        <v>3</v>
      </c>
      <c r="J4751" t="str">
        <f t="shared" si="298"/>
        <v>Mar</v>
      </c>
      <c r="K4751" t="str">
        <f t="shared" si="299"/>
        <v>Wed</v>
      </c>
    </row>
    <row r="4752" spans="1:11" x14ac:dyDescent="0.35">
      <c r="A4752" s="1">
        <v>42460</v>
      </c>
      <c r="B4752">
        <v>29.964000701904201</v>
      </c>
      <c r="C4752">
        <v>30.037500381469702</v>
      </c>
      <c r="D4752">
        <v>29.610500335693299</v>
      </c>
      <c r="E4752">
        <v>29.681999206542901</v>
      </c>
      <c r="F4752">
        <v>29.681999206542901</v>
      </c>
      <c r="G4752">
        <v>53636000</v>
      </c>
      <c r="H4752">
        <f t="shared" si="296"/>
        <v>2016</v>
      </c>
      <c r="I4752">
        <f t="shared" si="297"/>
        <v>3</v>
      </c>
      <c r="J4752" t="str">
        <f t="shared" si="298"/>
        <v>Mar</v>
      </c>
      <c r="K4752" t="str">
        <f t="shared" si="299"/>
        <v>Thu</v>
      </c>
    </row>
    <row r="4753" spans="1:11" x14ac:dyDescent="0.35">
      <c r="A4753" s="1">
        <v>42461</v>
      </c>
      <c r="B4753">
        <v>29.524499893188398</v>
      </c>
      <c r="C4753">
        <v>29.951499938964801</v>
      </c>
      <c r="D4753">
        <v>29.415000915527301</v>
      </c>
      <c r="E4753">
        <v>29.924999237060501</v>
      </c>
      <c r="F4753">
        <v>29.924999237060501</v>
      </c>
      <c r="G4753">
        <v>58348000</v>
      </c>
      <c r="H4753">
        <f t="shared" si="296"/>
        <v>2016</v>
      </c>
      <c r="I4753">
        <f t="shared" si="297"/>
        <v>4</v>
      </c>
      <c r="J4753" t="str">
        <f t="shared" si="298"/>
        <v>Apr</v>
      </c>
      <c r="K4753" t="str">
        <f t="shared" si="299"/>
        <v>Fri</v>
      </c>
    </row>
    <row r="4754" spans="1:11" x14ac:dyDescent="0.35">
      <c r="A4754" s="1">
        <v>42464</v>
      </c>
      <c r="B4754">
        <v>29.9500007629394</v>
      </c>
      <c r="C4754">
        <v>29.975000381469702</v>
      </c>
      <c r="D4754">
        <v>29.527500152587798</v>
      </c>
      <c r="E4754">
        <v>29.659500122070298</v>
      </c>
      <c r="F4754">
        <v>29.659500122070298</v>
      </c>
      <c r="G4754">
        <v>49416000</v>
      </c>
      <c r="H4754">
        <f t="shared" si="296"/>
        <v>2016</v>
      </c>
      <c r="I4754">
        <f t="shared" si="297"/>
        <v>4</v>
      </c>
      <c r="J4754" t="str">
        <f t="shared" si="298"/>
        <v>Apr</v>
      </c>
      <c r="K4754" t="str">
        <f t="shared" si="299"/>
        <v>Mon</v>
      </c>
    </row>
    <row r="4755" spans="1:11" x14ac:dyDescent="0.35">
      <c r="A4755" s="1">
        <v>42465</v>
      </c>
      <c r="B4755">
        <v>29.538499832153299</v>
      </c>
      <c r="C4755">
        <v>29.673500061035099</v>
      </c>
      <c r="D4755">
        <v>29.2625007629394</v>
      </c>
      <c r="E4755">
        <v>29.306999206542901</v>
      </c>
      <c r="F4755">
        <v>29.306999206542901</v>
      </c>
      <c r="G4755">
        <v>46178000</v>
      </c>
      <c r="H4755">
        <f t="shared" si="296"/>
        <v>2016</v>
      </c>
      <c r="I4755">
        <f t="shared" si="297"/>
        <v>4</v>
      </c>
      <c r="J4755" t="str">
        <f t="shared" si="298"/>
        <v>Apr</v>
      </c>
      <c r="K4755" t="str">
        <f t="shared" si="299"/>
        <v>Tue</v>
      </c>
    </row>
    <row r="4756" spans="1:11" x14ac:dyDescent="0.35">
      <c r="A4756" s="1">
        <v>42466</v>
      </c>
      <c r="B4756">
        <v>29.375999450683501</v>
      </c>
      <c r="C4756">
        <v>30.119499206542901</v>
      </c>
      <c r="D4756">
        <v>29.375</v>
      </c>
      <c r="E4756">
        <v>30.104000091552699</v>
      </c>
      <c r="F4756">
        <v>30.104000091552699</v>
      </c>
      <c r="G4756">
        <v>56998000</v>
      </c>
      <c r="H4756">
        <f t="shared" si="296"/>
        <v>2016</v>
      </c>
      <c r="I4756">
        <f t="shared" si="297"/>
        <v>4</v>
      </c>
      <c r="J4756" t="str">
        <f t="shared" si="298"/>
        <v>Apr</v>
      </c>
      <c r="K4756" t="str">
        <f t="shared" si="299"/>
        <v>Wed</v>
      </c>
    </row>
    <row r="4757" spans="1:11" x14ac:dyDescent="0.35">
      <c r="A4757" s="1">
        <v>42467</v>
      </c>
      <c r="B4757">
        <v>29.937999725341701</v>
      </c>
      <c r="C4757">
        <v>29.9799995422363</v>
      </c>
      <c r="D4757">
        <v>29.454000473022401</v>
      </c>
      <c r="E4757">
        <v>29.5715007781982</v>
      </c>
      <c r="F4757">
        <v>29.5715007781982</v>
      </c>
      <c r="G4757">
        <v>63780000</v>
      </c>
      <c r="H4757">
        <f t="shared" si="296"/>
        <v>2016</v>
      </c>
      <c r="I4757">
        <f t="shared" si="297"/>
        <v>4</v>
      </c>
      <c r="J4757" t="str">
        <f t="shared" si="298"/>
        <v>Apr</v>
      </c>
      <c r="K4757" t="str">
        <f t="shared" si="299"/>
        <v>Thu</v>
      </c>
    </row>
    <row r="4758" spans="1:11" x14ac:dyDescent="0.35">
      <c r="A4758" s="1">
        <v>42468</v>
      </c>
      <c r="B4758">
        <v>29.715999603271399</v>
      </c>
      <c r="C4758">
        <v>29.892999649047798</v>
      </c>
      <c r="D4758">
        <v>29.4500007629394</v>
      </c>
      <c r="E4758">
        <v>29.7299995422363</v>
      </c>
      <c r="F4758">
        <v>29.7299995422363</v>
      </c>
      <c r="G4758">
        <v>51838000</v>
      </c>
      <c r="H4758">
        <f t="shared" si="296"/>
        <v>2016</v>
      </c>
      <c r="I4758">
        <f t="shared" si="297"/>
        <v>4</v>
      </c>
      <c r="J4758" t="str">
        <f t="shared" si="298"/>
        <v>Apr</v>
      </c>
      <c r="K4758" t="str">
        <f t="shared" si="299"/>
        <v>Fri</v>
      </c>
    </row>
    <row r="4759" spans="1:11" x14ac:dyDescent="0.35">
      <c r="A4759" s="1">
        <v>42471</v>
      </c>
      <c r="B4759">
        <v>29.806999206542901</v>
      </c>
      <c r="C4759">
        <v>30.2000007629394</v>
      </c>
      <c r="D4759">
        <v>29.745500564575099</v>
      </c>
      <c r="E4759">
        <v>29.7964992523193</v>
      </c>
      <c r="F4759">
        <v>29.7964992523193</v>
      </c>
      <c r="G4759">
        <v>54086000</v>
      </c>
      <c r="H4759">
        <f t="shared" si="296"/>
        <v>2016</v>
      </c>
      <c r="I4759">
        <f t="shared" si="297"/>
        <v>4</v>
      </c>
      <c r="J4759" t="str">
        <f t="shared" si="298"/>
        <v>Apr</v>
      </c>
      <c r="K4759" t="str">
        <f t="shared" si="299"/>
        <v>Mon</v>
      </c>
    </row>
    <row r="4760" spans="1:11" x14ac:dyDescent="0.35">
      <c r="A4760" s="1">
        <v>42472</v>
      </c>
      <c r="B4760">
        <v>29.920000076293899</v>
      </c>
      <c r="C4760">
        <v>30.202999114990199</v>
      </c>
      <c r="D4760">
        <v>29.615499496459901</v>
      </c>
      <c r="E4760">
        <v>30.158500671386701</v>
      </c>
      <c r="F4760">
        <v>30.158500671386701</v>
      </c>
      <c r="G4760">
        <v>52822000</v>
      </c>
      <c r="H4760">
        <f t="shared" si="296"/>
        <v>2016</v>
      </c>
      <c r="I4760">
        <f t="shared" si="297"/>
        <v>4</v>
      </c>
      <c r="J4760" t="str">
        <f t="shared" si="298"/>
        <v>Apr</v>
      </c>
      <c r="K4760" t="str">
        <f t="shared" si="299"/>
        <v>Tue</v>
      </c>
    </row>
    <row r="4761" spans="1:11" x14ac:dyDescent="0.35">
      <c r="A4761" s="1">
        <v>42473</v>
      </c>
      <c r="B4761">
        <v>30.3840007781982</v>
      </c>
      <c r="C4761">
        <v>30.840499877929599</v>
      </c>
      <c r="D4761">
        <v>30.264499664306602</v>
      </c>
      <c r="E4761">
        <v>30.740999221801701</v>
      </c>
      <c r="F4761">
        <v>30.740999221801701</v>
      </c>
      <c r="G4761">
        <v>84566000</v>
      </c>
      <c r="H4761">
        <f t="shared" si="296"/>
        <v>2016</v>
      </c>
      <c r="I4761">
        <f t="shared" si="297"/>
        <v>4</v>
      </c>
      <c r="J4761" t="str">
        <f t="shared" si="298"/>
        <v>Apr</v>
      </c>
      <c r="K4761" t="str">
        <f t="shared" si="299"/>
        <v>Wed</v>
      </c>
    </row>
    <row r="4762" spans="1:11" x14ac:dyDescent="0.35">
      <c r="A4762" s="1">
        <v>42474</v>
      </c>
      <c r="B4762">
        <v>30.7534999847412</v>
      </c>
      <c r="C4762">
        <v>31.218999862670898</v>
      </c>
      <c r="D4762">
        <v>30.7534999847412</v>
      </c>
      <c r="E4762">
        <v>31.037500381469702</v>
      </c>
      <c r="F4762">
        <v>31.037500381469702</v>
      </c>
      <c r="G4762">
        <v>70242000</v>
      </c>
      <c r="H4762">
        <f t="shared" si="296"/>
        <v>2016</v>
      </c>
      <c r="I4762">
        <f t="shared" si="297"/>
        <v>4</v>
      </c>
      <c r="J4762" t="str">
        <f t="shared" si="298"/>
        <v>Apr</v>
      </c>
      <c r="K4762" t="str">
        <f t="shared" si="299"/>
        <v>Thu</v>
      </c>
    </row>
    <row r="4763" spans="1:11" x14ac:dyDescent="0.35">
      <c r="A4763" s="1">
        <v>42475</v>
      </c>
      <c r="B4763">
        <v>31.096000671386701</v>
      </c>
      <c r="C4763">
        <v>31.3384990692138</v>
      </c>
      <c r="D4763">
        <v>30.905500411987301</v>
      </c>
      <c r="E4763">
        <v>31.294500350952099</v>
      </c>
      <c r="F4763">
        <v>31.294500350952099</v>
      </c>
      <c r="G4763">
        <v>57754000</v>
      </c>
      <c r="H4763">
        <f t="shared" si="296"/>
        <v>2016</v>
      </c>
      <c r="I4763">
        <f t="shared" si="297"/>
        <v>4</v>
      </c>
      <c r="J4763" t="str">
        <f t="shared" si="298"/>
        <v>Apr</v>
      </c>
      <c r="K4763" t="str">
        <f t="shared" si="299"/>
        <v>Fri</v>
      </c>
    </row>
    <row r="4764" spans="1:11" x14ac:dyDescent="0.35">
      <c r="A4764" s="1">
        <v>42478</v>
      </c>
      <c r="B4764">
        <v>31.267499923706001</v>
      </c>
      <c r="C4764">
        <v>31.881999969482401</v>
      </c>
      <c r="D4764">
        <v>31.247999191284102</v>
      </c>
      <c r="E4764">
        <v>31.767499923706001</v>
      </c>
      <c r="F4764">
        <v>31.767499923706001</v>
      </c>
      <c r="G4764">
        <v>87218000</v>
      </c>
      <c r="H4764">
        <f t="shared" si="296"/>
        <v>2016</v>
      </c>
      <c r="I4764">
        <f t="shared" si="297"/>
        <v>4</v>
      </c>
      <c r="J4764" t="str">
        <f t="shared" si="298"/>
        <v>Apr</v>
      </c>
      <c r="K4764" t="str">
        <f t="shared" si="299"/>
        <v>Mon</v>
      </c>
    </row>
    <row r="4765" spans="1:11" x14ac:dyDescent="0.35">
      <c r="A4765" s="1">
        <v>42479</v>
      </c>
      <c r="B4765">
        <v>31.857000350952099</v>
      </c>
      <c r="C4765">
        <v>31.900499343871999</v>
      </c>
      <c r="D4765">
        <v>31.040000915527301</v>
      </c>
      <c r="E4765">
        <v>31.395000457763601</v>
      </c>
      <c r="F4765">
        <v>31.395000457763601</v>
      </c>
      <c r="G4765">
        <v>81118000</v>
      </c>
      <c r="H4765">
        <f t="shared" si="296"/>
        <v>2016</v>
      </c>
      <c r="I4765">
        <f t="shared" si="297"/>
        <v>4</v>
      </c>
      <c r="J4765" t="str">
        <f t="shared" si="298"/>
        <v>Apr</v>
      </c>
      <c r="K4765" t="str">
        <f t="shared" si="299"/>
        <v>Tue</v>
      </c>
    </row>
    <row r="4766" spans="1:11" x14ac:dyDescent="0.35">
      <c r="A4766" s="1">
        <v>42480</v>
      </c>
      <c r="B4766">
        <v>31.5</v>
      </c>
      <c r="C4766">
        <v>31.827499389648398</v>
      </c>
      <c r="D4766">
        <v>31.149999618530199</v>
      </c>
      <c r="E4766">
        <v>31.649499893188398</v>
      </c>
      <c r="F4766">
        <v>31.649499893188398</v>
      </c>
      <c r="G4766">
        <v>52188000</v>
      </c>
      <c r="H4766">
        <f t="shared" si="296"/>
        <v>2016</v>
      </c>
      <c r="I4766">
        <f t="shared" si="297"/>
        <v>4</v>
      </c>
      <c r="J4766" t="str">
        <f t="shared" si="298"/>
        <v>Apr</v>
      </c>
      <c r="K4766" t="str">
        <f t="shared" si="299"/>
        <v>Wed</v>
      </c>
    </row>
    <row r="4767" spans="1:11" x14ac:dyDescent="0.35">
      <c r="A4767" s="1">
        <v>42481</v>
      </c>
      <c r="B4767">
        <v>31.549999237060501</v>
      </c>
      <c r="C4767">
        <v>31.8910007476806</v>
      </c>
      <c r="D4767">
        <v>31.424999237060501</v>
      </c>
      <c r="E4767">
        <v>31.549999237060501</v>
      </c>
      <c r="F4767">
        <v>31.549999237060501</v>
      </c>
      <c r="G4767">
        <v>51926000</v>
      </c>
      <c r="H4767">
        <f t="shared" si="296"/>
        <v>2016</v>
      </c>
      <c r="I4767">
        <f t="shared" si="297"/>
        <v>4</v>
      </c>
      <c r="J4767" t="str">
        <f t="shared" si="298"/>
        <v>Apr</v>
      </c>
      <c r="K4767" t="str">
        <f t="shared" si="299"/>
        <v>Thu</v>
      </c>
    </row>
    <row r="4768" spans="1:11" x14ac:dyDescent="0.35">
      <c r="A4768" s="1">
        <v>42482</v>
      </c>
      <c r="B4768">
        <v>31.2234992980957</v>
      </c>
      <c r="C4768">
        <v>31.412500381469702</v>
      </c>
      <c r="D4768">
        <v>30.577999114990199</v>
      </c>
      <c r="E4768">
        <v>31.024999618530199</v>
      </c>
      <c r="F4768">
        <v>31.024999618530199</v>
      </c>
      <c r="G4768">
        <v>101678000</v>
      </c>
      <c r="H4768">
        <f t="shared" si="296"/>
        <v>2016</v>
      </c>
      <c r="I4768">
        <f t="shared" si="297"/>
        <v>4</v>
      </c>
      <c r="J4768" t="str">
        <f t="shared" si="298"/>
        <v>Apr</v>
      </c>
      <c r="K4768" t="str">
        <f t="shared" si="299"/>
        <v>Fri</v>
      </c>
    </row>
    <row r="4769" spans="1:11" x14ac:dyDescent="0.35">
      <c r="A4769" s="1">
        <v>42485</v>
      </c>
      <c r="B4769">
        <v>30.830499649047798</v>
      </c>
      <c r="C4769">
        <v>31.349000930786101</v>
      </c>
      <c r="D4769">
        <v>30.8125</v>
      </c>
      <c r="E4769">
        <v>31.309999465942301</v>
      </c>
      <c r="F4769">
        <v>31.309999465942301</v>
      </c>
      <c r="G4769">
        <v>53658000</v>
      </c>
      <c r="H4769">
        <f t="shared" si="296"/>
        <v>2016</v>
      </c>
      <c r="I4769">
        <f t="shared" si="297"/>
        <v>4</v>
      </c>
      <c r="J4769" t="str">
        <f t="shared" si="298"/>
        <v>Apr</v>
      </c>
      <c r="K4769" t="str">
        <f t="shared" si="299"/>
        <v>Mon</v>
      </c>
    </row>
    <row r="4770" spans="1:11" x14ac:dyDescent="0.35">
      <c r="A4770" s="1">
        <v>42486</v>
      </c>
      <c r="B4770">
        <v>31.3085002899169</v>
      </c>
      <c r="C4770">
        <v>31.337499618530199</v>
      </c>
      <c r="D4770">
        <v>30.743999481201101</v>
      </c>
      <c r="E4770">
        <v>30.843999862670898</v>
      </c>
      <c r="F4770">
        <v>30.843999862670898</v>
      </c>
      <c r="G4770">
        <v>50428000</v>
      </c>
      <c r="H4770">
        <f t="shared" si="296"/>
        <v>2016</v>
      </c>
      <c r="I4770">
        <f t="shared" si="297"/>
        <v>4</v>
      </c>
      <c r="J4770" t="str">
        <f t="shared" si="298"/>
        <v>Apr</v>
      </c>
      <c r="K4770" t="str">
        <f t="shared" si="299"/>
        <v>Tue</v>
      </c>
    </row>
    <row r="4771" spans="1:11" x14ac:dyDescent="0.35">
      <c r="A4771" s="1">
        <v>42487</v>
      </c>
      <c r="B4771">
        <v>30.590000152587798</v>
      </c>
      <c r="C4771">
        <v>30.797500610351499</v>
      </c>
      <c r="D4771">
        <v>30.063999176025298</v>
      </c>
      <c r="E4771">
        <v>30.3285007476806</v>
      </c>
      <c r="F4771">
        <v>30.3285007476806</v>
      </c>
      <c r="G4771">
        <v>81376000</v>
      </c>
      <c r="H4771">
        <f t="shared" si="296"/>
        <v>2016</v>
      </c>
      <c r="I4771">
        <f t="shared" si="297"/>
        <v>4</v>
      </c>
      <c r="J4771" t="str">
        <f t="shared" si="298"/>
        <v>Apr</v>
      </c>
      <c r="K4771" t="str">
        <f t="shared" si="299"/>
        <v>Wed</v>
      </c>
    </row>
    <row r="4772" spans="1:11" x14ac:dyDescent="0.35">
      <c r="A4772" s="1">
        <v>42488</v>
      </c>
      <c r="B4772">
        <v>30.777000427246001</v>
      </c>
      <c r="C4772">
        <v>31.340000152587798</v>
      </c>
      <c r="D4772">
        <v>29.959999084472599</v>
      </c>
      <c r="E4772">
        <v>30.100000381469702</v>
      </c>
      <c r="F4772">
        <v>30.100000381469702</v>
      </c>
      <c r="G4772">
        <v>157452000</v>
      </c>
      <c r="H4772">
        <f t="shared" si="296"/>
        <v>2016</v>
      </c>
      <c r="I4772">
        <f t="shared" si="297"/>
        <v>4</v>
      </c>
      <c r="J4772" t="str">
        <f t="shared" si="298"/>
        <v>Apr</v>
      </c>
      <c r="K4772" t="str">
        <f t="shared" si="299"/>
        <v>Thu</v>
      </c>
    </row>
    <row r="4773" spans="1:11" x14ac:dyDescent="0.35">
      <c r="A4773" s="1">
        <v>42489</v>
      </c>
      <c r="B4773">
        <v>33.299999237060497</v>
      </c>
      <c r="C4773">
        <v>33.499000549316399</v>
      </c>
      <c r="D4773">
        <v>32.700000762939403</v>
      </c>
      <c r="E4773">
        <v>32.979499816894503</v>
      </c>
      <c r="F4773">
        <v>32.979499816894503</v>
      </c>
      <c r="G4773">
        <v>206214000</v>
      </c>
      <c r="H4773">
        <f t="shared" si="296"/>
        <v>2016</v>
      </c>
      <c r="I4773">
        <f t="shared" si="297"/>
        <v>4</v>
      </c>
      <c r="J4773" t="str">
        <f t="shared" si="298"/>
        <v>Apr</v>
      </c>
      <c r="K4773" t="str">
        <f t="shared" si="299"/>
        <v>Fri</v>
      </c>
    </row>
    <row r="4774" spans="1:11" x14ac:dyDescent="0.35">
      <c r="A4774" s="1">
        <v>42492</v>
      </c>
      <c r="B4774">
        <v>33.195999145507798</v>
      </c>
      <c r="C4774">
        <v>34.275001525878899</v>
      </c>
      <c r="D4774">
        <v>33.1015014648437</v>
      </c>
      <c r="E4774">
        <v>34.192501068115199</v>
      </c>
      <c r="F4774">
        <v>34.192501068115199</v>
      </c>
      <c r="G4774">
        <v>131570000</v>
      </c>
      <c r="H4774">
        <f t="shared" si="296"/>
        <v>2016</v>
      </c>
      <c r="I4774">
        <f t="shared" si="297"/>
        <v>5</v>
      </c>
      <c r="J4774" t="str">
        <f t="shared" si="298"/>
        <v>May</v>
      </c>
      <c r="K4774" t="str">
        <f t="shared" si="299"/>
        <v>Mon</v>
      </c>
    </row>
    <row r="4775" spans="1:11" x14ac:dyDescent="0.35">
      <c r="A4775" s="1">
        <v>42493</v>
      </c>
      <c r="B4775">
        <v>33.8680000305175</v>
      </c>
      <c r="C4775">
        <v>34.014999389648402</v>
      </c>
      <c r="D4775">
        <v>33.521499633788999</v>
      </c>
      <c r="E4775">
        <v>33.566001892089801</v>
      </c>
      <c r="F4775">
        <v>33.566001892089801</v>
      </c>
      <c r="G4775">
        <v>98468000</v>
      </c>
      <c r="H4775">
        <f t="shared" si="296"/>
        <v>2016</v>
      </c>
      <c r="I4775">
        <f t="shared" si="297"/>
        <v>5</v>
      </c>
      <c r="J4775" t="str">
        <f t="shared" si="298"/>
        <v>May</v>
      </c>
      <c r="K4775" t="str">
        <f t="shared" si="299"/>
        <v>Tue</v>
      </c>
    </row>
    <row r="4776" spans="1:11" x14ac:dyDescent="0.35">
      <c r="A4776" s="1">
        <v>42494</v>
      </c>
      <c r="B4776">
        <v>33.129501342773402</v>
      </c>
      <c r="C4776">
        <v>33.700000762939403</v>
      </c>
      <c r="D4776">
        <v>33.106998443603501</v>
      </c>
      <c r="E4776">
        <v>33.544998168945298</v>
      </c>
      <c r="F4776">
        <v>33.544998168945298</v>
      </c>
      <c r="G4776">
        <v>92710000</v>
      </c>
      <c r="H4776">
        <f t="shared" si="296"/>
        <v>2016</v>
      </c>
      <c r="I4776">
        <f t="shared" si="297"/>
        <v>5</v>
      </c>
      <c r="J4776" t="str">
        <f t="shared" si="298"/>
        <v>May</v>
      </c>
      <c r="K4776" t="str">
        <f t="shared" si="299"/>
        <v>Wed</v>
      </c>
    </row>
    <row r="4777" spans="1:11" x14ac:dyDescent="0.35">
      <c r="A4777" s="1">
        <v>42495</v>
      </c>
      <c r="B4777">
        <v>33.665500640869098</v>
      </c>
      <c r="C4777">
        <v>33.824501037597599</v>
      </c>
      <c r="D4777">
        <v>32.799999237060497</v>
      </c>
      <c r="E4777">
        <v>32.954498291015597</v>
      </c>
      <c r="F4777">
        <v>32.954498291015597</v>
      </c>
      <c r="G4777">
        <v>97682000</v>
      </c>
      <c r="H4777">
        <f t="shared" si="296"/>
        <v>2016</v>
      </c>
      <c r="I4777">
        <f t="shared" si="297"/>
        <v>5</v>
      </c>
      <c r="J4777" t="str">
        <f t="shared" si="298"/>
        <v>May</v>
      </c>
      <c r="K4777" t="str">
        <f t="shared" si="299"/>
        <v>Thu</v>
      </c>
    </row>
    <row r="4778" spans="1:11" x14ac:dyDescent="0.35">
      <c r="A4778" s="1">
        <v>42496</v>
      </c>
      <c r="B4778">
        <v>32.802501678466797</v>
      </c>
      <c r="C4778">
        <v>33.847499847412102</v>
      </c>
      <c r="D4778">
        <v>32.800498962402301</v>
      </c>
      <c r="E4778">
        <v>33.697498321533203</v>
      </c>
      <c r="F4778">
        <v>33.697498321533203</v>
      </c>
      <c r="G4778">
        <v>87306000</v>
      </c>
      <c r="H4778">
        <f t="shared" si="296"/>
        <v>2016</v>
      </c>
      <c r="I4778">
        <f t="shared" si="297"/>
        <v>5</v>
      </c>
      <c r="J4778" t="str">
        <f t="shared" si="298"/>
        <v>May</v>
      </c>
      <c r="K4778" t="str">
        <f t="shared" si="299"/>
        <v>Fri</v>
      </c>
    </row>
    <row r="4779" spans="1:11" x14ac:dyDescent="0.35">
      <c r="A4779" s="1">
        <v>42499</v>
      </c>
      <c r="B4779">
        <v>33.697498321533203</v>
      </c>
      <c r="C4779">
        <v>34.3489990234375</v>
      </c>
      <c r="D4779">
        <v>33.570499420166001</v>
      </c>
      <c r="E4779">
        <v>33.987499237060497</v>
      </c>
      <c r="F4779">
        <v>33.987499237060497</v>
      </c>
      <c r="G4779">
        <v>79644000</v>
      </c>
      <c r="H4779">
        <f t="shared" si="296"/>
        <v>2016</v>
      </c>
      <c r="I4779">
        <f t="shared" si="297"/>
        <v>5</v>
      </c>
      <c r="J4779" t="str">
        <f t="shared" si="298"/>
        <v>May</v>
      </c>
      <c r="K4779" t="str">
        <f t="shared" si="299"/>
        <v>Mon</v>
      </c>
    </row>
    <row r="4780" spans="1:11" x14ac:dyDescent="0.35">
      <c r="A4780" s="1">
        <v>42500</v>
      </c>
      <c r="B4780">
        <v>34.700000762939403</v>
      </c>
      <c r="C4780">
        <v>35.227500915527301</v>
      </c>
      <c r="D4780">
        <v>34.674999237060497</v>
      </c>
      <c r="E4780">
        <v>35.153499603271399</v>
      </c>
      <c r="F4780">
        <v>35.153499603271399</v>
      </c>
      <c r="G4780">
        <v>122112000</v>
      </c>
      <c r="H4780">
        <f t="shared" si="296"/>
        <v>2016</v>
      </c>
      <c r="I4780">
        <f t="shared" si="297"/>
        <v>5</v>
      </c>
      <c r="J4780" t="str">
        <f t="shared" si="298"/>
        <v>May</v>
      </c>
      <c r="K4780" t="str">
        <f t="shared" si="299"/>
        <v>Tue</v>
      </c>
    </row>
    <row r="4781" spans="1:11" x14ac:dyDescent="0.35">
      <c r="A4781" s="1">
        <v>42501</v>
      </c>
      <c r="B4781">
        <v>35.289501190185497</v>
      </c>
      <c r="C4781">
        <v>35.950000762939403</v>
      </c>
      <c r="D4781">
        <v>35.082500457763601</v>
      </c>
      <c r="E4781">
        <v>35.6614990234375</v>
      </c>
      <c r="F4781">
        <v>35.6614990234375</v>
      </c>
      <c r="G4781">
        <v>146764000</v>
      </c>
      <c r="H4781">
        <f t="shared" si="296"/>
        <v>2016</v>
      </c>
      <c r="I4781">
        <f t="shared" si="297"/>
        <v>5</v>
      </c>
      <c r="J4781" t="str">
        <f t="shared" si="298"/>
        <v>May</v>
      </c>
      <c r="K4781" t="str">
        <f t="shared" si="299"/>
        <v>Wed</v>
      </c>
    </row>
    <row r="4782" spans="1:11" x14ac:dyDescent="0.35">
      <c r="A4782" s="1">
        <v>42502</v>
      </c>
      <c r="B4782">
        <v>35.868999481201101</v>
      </c>
      <c r="C4782">
        <v>36.122501373291001</v>
      </c>
      <c r="D4782">
        <v>35.5755004882812</v>
      </c>
      <c r="E4782">
        <v>35.896499633788999</v>
      </c>
      <c r="F4782">
        <v>35.896499633788999</v>
      </c>
      <c r="G4782">
        <v>100964000</v>
      </c>
      <c r="H4782">
        <f t="shared" si="296"/>
        <v>2016</v>
      </c>
      <c r="I4782">
        <f t="shared" si="297"/>
        <v>5</v>
      </c>
      <c r="J4782" t="str">
        <f t="shared" si="298"/>
        <v>May</v>
      </c>
      <c r="K4782" t="str">
        <f t="shared" si="299"/>
        <v>Thu</v>
      </c>
    </row>
    <row r="4783" spans="1:11" x14ac:dyDescent="0.35">
      <c r="A4783" s="1">
        <v>42503</v>
      </c>
      <c r="B4783">
        <v>35.731998443603501</v>
      </c>
      <c r="C4783">
        <v>35.962501525878899</v>
      </c>
      <c r="D4783">
        <v>35.3255004882812</v>
      </c>
      <c r="E4783">
        <v>35.495998382568303</v>
      </c>
      <c r="F4783">
        <v>35.495998382568303</v>
      </c>
      <c r="G4783">
        <v>95268000</v>
      </c>
      <c r="H4783">
        <f t="shared" si="296"/>
        <v>2016</v>
      </c>
      <c r="I4783">
        <f t="shared" si="297"/>
        <v>5</v>
      </c>
      <c r="J4783" t="str">
        <f t="shared" si="298"/>
        <v>May</v>
      </c>
      <c r="K4783" t="str">
        <f t="shared" si="299"/>
        <v>Fri</v>
      </c>
    </row>
    <row r="4784" spans="1:11" x14ac:dyDescent="0.35">
      <c r="A4784" s="1">
        <v>42506</v>
      </c>
      <c r="B4784">
        <v>35.506500244140597</v>
      </c>
      <c r="C4784">
        <v>35.662498474121001</v>
      </c>
      <c r="D4784">
        <v>35.013999938964801</v>
      </c>
      <c r="E4784">
        <v>35.533000946044901</v>
      </c>
      <c r="F4784">
        <v>35.533000946044901</v>
      </c>
      <c r="G4784">
        <v>108658000</v>
      </c>
      <c r="H4784">
        <f t="shared" si="296"/>
        <v>2016</v>
      </c>
      <c r="I4784">
        <f t="shared" si="297"/>
        <v>5</v>
      </c>
      <c r="J4784" t="str">
        <f t="shared" si="298"/>
        <v>May</v>
      </c>
      <c r="K4784" t="str">
        <f t="shared" si="299"/>
        <v>Mon</v>
      </c>
    </row>
    <row r="4785" spans="1:11" x14ac:dyDescent="0.35">
      <c r="A4785" s="1">
        <v>42507</v>
      </c>
      <c r="B4785">
        <v>35.494998931884702</v>
      </c>
      <c r="C4785">
        <v>35.723499298095703</v>
      </c>
      <c r="D4785">
        <v>34.695499420166001</v>
      </c>
      <c r="E4785">
        <v>34.763500213622997</v>
      </c>
      <c r="F4785">
        <v>34.763500213622997</v>
      </c>
      <c r="G4785">
        <v>102428000</v>
      </c>
      <c r="H4785">
        <f t="shared" si="296"/>
        <v>2016</v>
      </c>
      <c r="I4785">
        <f t="shared" si="297"/>
        <v>5</v>
      </c>
      <c r="J4785" t="str">
        <f t="shared" si="298"/>
        <v>May</v>
      </c>
      <c r="K4785" t="str">
        <f t="shared" si="299"/>
        <v>Tue</v>
      </c>
    </row>
    <row r="4786" spans="1:11" x14ac:dyDescent="0.35">
      <c r="A4786" s="1">
        <v>42508</v>
      </c>
      <c r="B4786">
        <v>34.478000640869098</v>
      </c>
      <c r="C4786">
        <v>35.126998901367102</v>
      </c>
      <c r="D4786">
        <v>34.437999725341797</v>
      </c>
      <c r="E4786">
        <v>34.872501373291001</v>
      </c>
      <c r="F4786">
        <v>34.872501373291001</v>
      </c>
      <c r="G4786">
        <v>85664000</v>
      </c>
      <c r="H4786">
        <f t="shared" si="296"/>
        <v>2016</v>
      </c>
      <c r="I4786">
        <f t="shared" si="297"/>
        <v>5</v>
      </c>
      <c r="J4786" t="str">
        <f t="shared" si="298"/>
        <v>May</v>
      </c>
      <c r="K4786" t="str">
        <f t="shared" si="299"/>
        <v>Wed</v>
      </c>
    </row>
    <row r="4787" spans="1:11" x14ac:dyDescent="0.35">
      <c r="A4787" s="1">
        <v>42509</v>
      </c>
      <c r="B4787">
        <v>34.594001770019503</v>
      </c>
      <c r="C4787">
        <v>34.970001220703097</v>
      </c>
      <c r="D4787">
        <v>34.478000640869098</v>
      </c>
      <c r="E4787">
        <v>34.925998687744098</v>
      </c>
      <c r="F4787">
        <v>34.925998687744098</v>
      </c>
      <c r="G4787">
        <v>60512000</v>
      </c>
      <c r="H4787">
        <f t="shared" si="296"/>
        <v>2016</v>
      </c>
      <c r="I4787">
        <f t="shared" si="297"/>
        <v>5</v>
      </c>
      <c r="J4787" t="str">
        <f t="shared" si="298"/>
        <v>May</v>
      </c>
      <c r="K4787" t="str">
        <f t="shared" si="299"/>
        <v>Thu</v>
      </c>
    </row>
    <row r="4788" spans="1:11" x14ac:dyDescent="0.35">
      <c r="A4788" s="1">
        <v>42510</v>
      </c>
      <c r="B4788">
        <v>35.052501678466797</v>
      </c>
      <c r="C4788">
        <v>35.3619995117187</v>
      </c>
      <c r="D4788">
        <v>35</v>
      </c>
      <c r="E4788">
        <v>35.139999389648402</v>
      </c>
      <c r="F4788">
        <v>35.139999389648402</v>
      </c>
      <c r="G4788">
        <v>58324000</v>
      </c>
      <c r="H4788">
        <f t="shared" si="296"/>
        <v>2016</v>
      </c>
      <c r="I4788">
        <f t="shared" si="297"/>
        <v>5</v>
      </c>
      <c r="J4788" t="str">
        <f t="shared" si="298"/>
        <v>May</v>
      </c>
      <c r="K4788" t="str">
        <f t="shared" si="299"/>
        <v>Fri</v>
      </c>
    </row>
    <row r="4789" spans="1:11" x14ac:dyDescent="0.35">
      <c r="A4789" s="1">
        <v>42513</v>
      </c>
      <c r="B4789">
        <v>35.212501525878899</v>
      </c>
      <c r="C4789">
        <v>35.299999237060497</v>
      </c>
      <c r="D4789">
        <v>34.820999145507798</v>
      </c>
      <c r="E4789">
        <v>34.837501525878899</v>
      </c>
      <c r="F4789">
        <v>34.837501525878899</v>
      </c>
      <c r="G4789">
        <v>51902000</v>
      </c>
      <c r="H4789">
        <f t="shared" si="296"/>
        <v>2016</v>
      </c>
      <c r="I4789">
        <f t="shared" si="297"/>
        <v>5</v>
      </c>
      <c r="J4789" t="str">
        <f t="shared" si="298"/>
        <v>May</v>
      </c>
      <c r="K4789" t="str">
        <f t="shared" si="299"/>
        <v>Mon</v>
      </c>
    </row>
    <row r="4790" spans="1:11" x14ac:dyDescent="0.35">
      <c r="A4790" s="1">
        <v>42514</v>
      </c>
      <c r="B4790">
        <v>34.900501251220703</v>
      </c>
      <c r="C4790">
        <v>35.375</v>
      </c>
      <c r="D4790">
        <v>34.900001525878899</v>
      </c>
      <c r="E4790">
        <v>35.209999084472599</v>
      </c>
      <c r="F4790">
        <v>35.209999084472599</v>
      </c>
      <c r="G4790">
        <v>60676000</v>
      </c>
      <c r="H4790">
        <f t="shared" si="296"/>
        <v>2016</v>
      </c>
      <c r="I4790">
        <f t="shared" si="297"/>
        <v>5</v>
      </c>
      <c r="J4790" t="str">
        <f t="shared" si="298"/>
        <v>May</v>
      </c>
      <c r="K4790" t="str">
        <f t="shared" si="299"/>
        <v>Tue</v>
      </c>
    </row>
    <row r="4791" spans="1:11" x14ac:dyDescent="0.35">
      <c r="A4791" s="1">
        <v>42515</v>
      </c>
      <c r="B4791">
        <v>35.400001525878899</v>
      </c>
      <c r="C4791">
        <v>35.542999267578097</v>
      </c>
      <c r="D4791">
        <v>35.2760009765625</v>
      </c>
      <c r="E4791">
        <v>35.4174995422363</v>
      </c>
      <c r="F4791">
        <v>35.4174995422363</v>
      </c>
      <c r="G4791">
        <v>65354000</v>
      </c>
      <c r="H4791">
        <f t="shared" si="296"/>
        <v>2016</v>
      </c>
      <c r="I4791">
        <f t="shared" si="297"/>
        <v>5</v>
      </c>
      <c r="J4791" t="str">
        <f t="shared" si="298"/>
        <v>May</v>
      </c>
      <c r="K4791" t="str">
        <f t="shared" si="299"/>
        <v>Wed</v>
      </c>
    </row>
    <row r="4792" spans="1:11" x14ac:dyDescent="0.35">
      <c r="A4792" s="1">
        <v>42516</v>
      </c>
      <c r="B4792">
        <v>35.416500091552699</v>
      </c>
      <c r="C4792">
        <v>35.75</v>
      </c>
      <c r="D4792">
        <v>35.364498138427699</v>
      </c>
      <c r="E4792">
        <v>35.745498657226499</v>
      </c>
      <c r="F4792">
        <v>35.745498657226499</v>
      </c>
      <c r="G4792">
        <v>48934000</v>
      </c>
      <c r="H4792">
        <f t="shared" si="296"/>
        <v>2016</v>
      </c>
      <c r="I4792">
        <f t="shared" si="297"/>
        <v>5</v>
      </c>
      <c r="J4792" t="str">
        <f t="shared" si="298"/>
        <v>May</v>
      </c>
      <c r="K4792" t="str">
        <f t="shared" si="299"/>
        <v>Thu</v>
      </c>
    </row>
    <row r="4793" spans="1:11" x14ac:dyDescent="0.35">
      <c r="A4793" s="1">
        <v>42517</v>
      </c>
      <c r="B4793">
        <v>35.75</v>
      </c>
      <c r="C4793">
        <v>35.830001831054602</v>
      </c>
      <c r="D4793">
        <v>35.555000305175703</v>
      </c>
      <c r="E4793">
        <v>35.6119995117187</v>
      </c>
      <c r="F4793">
        <v>35.6119995117187</v>
      </c>
      <c r="G4793">
        <v>44984000</v>
      </c>
      <c r="H4793">
        <f t="shared" si="296"/>
        <v>2016</v>
      </c>
      <c r="I4793">
        <f t="shared" si="297"/>
        <v>5</v>
      </c>
      <c r="J4793" t="str">
        <f t="shared" si="298"/>
        <v>May</v>
      </c>
      <c r="K4793" t="str">
        <f t="shared" si="299"/>
        <v>Fri</v>
      </c>
    </row>
    <row r="4794" spans="1:11" x14ac:dyDescent="0.35">
      <c r="A4794" s="1">
        <v>42521</v>
      </c>
      <c r="B4794">
        <v>35.616500854492102</v>
      </c>
      <c r="C4794">
        <v>36.211498260497997</v>
      </c>
      <c r="D4794">
        <v>35.566001892089801</v>
      </c>
      <c r="E4794">
        <v>36.139499664306598</v>
      </c>
      <c r="F4794">
        <v>36.139499664306598</v>
      </c>
      <c r="G4794">
        <v>72366000</v>
      </c>
      <c r="H4794">
        <f t="shared" si="296"/>
        <v>2016</v>
      </c>
      <c r="I4794">
        <f t="shared" si="297"/>
        <v>5</v>
      </c>
      <c r="J4794" t="str">
        <f t="shared" si="298"/>
        <v>May</v>
      </c>
      <c r="K4794" t="str">
        <f t="shared" si="299"/>
        <v>Tue</v>
      </c>
    </row>
    <row r="4795" spans="1:11" x14ac:dyDescent="0.35">
      <c r="A4795" s="1">
        <v>42522</v>
      </c>
      <c r="B4795">
        <v>36.044998168945298</v>
      </c>
      <c r="C4795">
        <v>36.321498870849602</v>
      </c>
      <c r="D4795">
        <v>35.910999298095703</v>
      </c>
      <c r="E4795">
        <v>35.972000122070298</v>
      </c>
      <c r="F4795">
        <v>35.972000122070298</v>
      </c>
      <c r="G4795">
        <v>65262000</v>
      </c>
      <c r="H4795">
        <f t="shared" si="296"/>
        <v>2016</v>
      </c>
      <c r="I4795">
        <f t="shared" si="297"/>
        <v>6</v>
      </c>
      <c r="J4795" t="str">
        <f t="shared" si="298"/>
        <v>Jun</v>
      </c>
      <c r="K4795" t="str">
        <f t="shared" si="299"/>
        <v>Wed</v>
      </c>
    </row>
    <row r="4796" spans="1:11" x14ac:dyDescent="0.35">
      <c r="A4796" s="1">
        <v>42523</v>
      </c>
      <c r="B4796">
        <v>36.048500061035099</v>
      </c>
      <c r="C4796">
        <v>36.4140014648437</v>
      </c>
      <c r="D4796">
        <v>35.775001525878899</v>
      </c>
      <c r="E4796">
        <v>36.411998748779297</v>
      </c>
      <c r="F4796">
        <v>36.411998748779297</v>
      </c>
      <c r="G4796">
        <v>60532000</v>
      </c>
      <c r="H4796">
        <f t="shared" si="296"/>
        <v>2016</v>
      </c>
      <c r="I4796">
        <f t="shared" si="297"/>
        <v>6</v>
      </c>
      <c r="J4796" t="str">
        <f t="shared" si="298"/>
        <v>Jun</v>
      </c>
      <c r="K4796" t="str">
        <f t="shared" si="299"/>
        <v>Thu</v>
      </c>
    </row>
    <row r="4797" spans="1:11" x14ac:dyDescent="0.35">
      <c r="A4797" s="1">
        <v>42524</v>
      </c>
      <c r="B4797">
        <v>36.337001800537102</v>
      </c>
      <c r="C4797">
        <v>36.349998474121001</v>
      </c>
      <c r="D4797">
        <v>35.921501159667898</v>
      </c>
      <c r="E4797">
        <v>36.277000427246001</v>
      </c>
      <c r="F4797">
        <v>36.277000427246001</v>
      </c>
      <c r="G4797">
        <v>67346000</v>
      </c>
      <c r="H4797">
        <f t="shared" si="296"/>
        <v>2016</v>
      </c>
      <c r="I4797">
        <f t="shared" si="297"/>
        <v>6</v>
      </c>
      <c r="J4797" t="str">
        <f t="shared" si="298"/>
        <v>Jun</v>
      </c>
      <c r="K4797" t="str">
        <f t="shared" si="299"/>
        <v>Fri</v>
      </c>
    </row>
    <row r="4798" spans="1:11" x14ac:dyDescent="0.35">
      <c r="A4798" s="1">
        <v>42527</v>
      </c>
      <c r="B4798">
        <v>36.325000762939403</v>
      </c>
      <c r="C4798">
        <v>36.575000762939403</v>
      </c>
      <c r="D4798">
        <v>36.221000671386697</v>
      </c>
      <c r="E4798">
        <v>36.336498260497997</v>
      </c>
      <c r="F4798">
        <v>36.336498260497997</v>
      </c>
      <c r="G4798">
        <v>54096000</v>
      </c>
      <c r="H4798">
        <f t="shared" si="296"/>
        <v>2016</v>
      </c>
      <c r="I4798">
        <f t="shared" si="297"/>
        <v>6</v>
      </c>
      <c r="J4798" t="str">
        <f t="shared" si="298"/>
        <v>Jun</v>
      </c>
      <c r="K4798" t="str">
        <f t="shared" si="299"/>
        <v>Mon</v>
      </c>
    </row>
    <row r="4799" spans="1:11" x14ac:dyDescent="0.35">
      <c r="A4799" s="1">
        <v>42528</v>
      </c>
      <c r="B4799">
        <v>36.494499206542898</v>
      </c>
      <c r="C4799">
        <v>36.5</v>
      </c>
      <c r="D4799">
        <v>36.027500152587798</v>
      </c>
      <c r="E4799">
        <v>36.187000274658203</v>
      </c>
      <c r="F4799">
        <v>36.187000274658203</v>
      </c>
      <c r="G4799">
        <v>54650000</v>
      </c>
      <c r="H4799">
        <f t="shared" si="296"/>
        <v>2016</v>
      </c>
      <c r="I4799">
        <f t="shared" si="297"/>
        <v>6</v>
      </c>
      <c r="J4799" t="str">
        <f t="shared" si="298"/>
        <v>Jun</v>
      </c>
      <c r="K4799" t="str">
        <f t="shared" si="299"/>
        <v>Tue</v>
      </c>
    </row>
    <row r="4800" spans="1:11" x14ac:dyDescent="0.35">
      <c r="A4800" s="1">
        <v>42529</v>
      </c>
      <c r="B4800">
        <v>36.319999694824197</v>
      </c>
      <c r="C4800">
        <v>36.471000671386697</v>
      </c>
      <c r="D4800">
        <v>36.080001831054602</v>
      </c>
      <c r="E4800">
        <v>36.332000732421797</v>
      </c>
      <c r="F4800">
        <v>36.332000732421797</v>
      </c>
      <c r="G4800">
        <v>44468000</v>
      </c>
      <c r="H4800">
        <f t="shared" si="296"/>
        <v>2016</v>
      </c>
      <c r="I4800">
        <f t="shared" si="297"/>
        <v>6</v>
      </c>
      <c r="J4800" t="str">
        <f t="shared" si="298"/>
        <v>Jun</v>
      </c>
      <c r="K4800" t="str">
        <f t="shared" si="299"/>
        <v>Wed</v>
      </c>
    </row>
    <row r="4801" spans="1:11" x14ac:dyDescent="0.35">
      <c r="A4801" s="1">
        <v>42530</v>
      </c>
      <c r="B4801">
        <v>36.154998779296797</v>
      </c>
      <c r="C4801">
        <v>36.445499420166001</v>
      </c>
      <c r="D4801">
        <v>36.115001678466797</v>
      </c>
      <c r="E4801">
        <v>36.382499694824197</v>
      </c>
      <c r="F4801">
        <v>36.382499694824197</v>
      </c>
      <c r="G4801">
        <v>43406000</v>
      </c>
      <c r="H4801">
        <f t="shared" si="296"/>
        <v>2016</v>
      </c>
      <c r="I4801">
        <f t="shared" si="297"/>
        <v>6</v>
      </c>
      <c r="J4801" t="str">
        <f t="shared" si="298"/>
        <v>Jun</v>
      </c>
      <c r="K4801" t="str">
        <f t="shared" si="299"/>
        <v>Thu</v>
      </c>
    </row>
    <row r="4802" spans="1:11" x14ac:dyDescent="0.35">
      <c r="A4802" s="1">
        <v>42531</v>
      </c>
      <c r="B4802">
        <v>36.117500305175703</v>
      </c>
      <c r="C4802">
        <v>36.249000549316399</v>
      </c>
      <c r="D4802">
        <v>35.710498809814403</v>
      </c>
      <c r="E4802">
        <v>35.895500183105398</v>
      </c>
      <c r="F4802">
        <v>35.895500183105398</v>
      </c>
      <c r="G4802">
        <v>68514000</v>
      </c>
      <c r="H4802">
        <f t="shared" si="296"/>
        <v>2016</v>
      </c>
      <c r="I4802">
        <f t="shared" si="297"/>
        <v>6</v>
      </c>
      <c r="J4802" t="str">
        <f t="shared" si="298"/>
        <v>Jun</v>
      </c>
      <c r="K4802" t="str">
        <f t="shared" si="299"/>
        <v>Fri</v>
      </c>
    </row>
    <row r="4803" spans="1:11" x14ac:dyDescent="0.35">
      <c r="A4803" s="1">
        <v>42534</v>
      </c>
      <c r="B4803">
        <v>35.7005004882812</v>
      </c>
      <c r="C4803">
        <v>36.099498748779297</v>
      </c>
      <c r="D4803">
        <v>35.557998657226499</v>
      </c>
      <c r="E4803">
        <v>35.762001037597599</v>
      </c>
      <c r="F4803">
        <v>35.762001037597599</v>
      </c>
      <c r="G4803">
        <v>67044000</v>
      </c>
      <c r="H4803">
        <f t="shared" si="296"/>
        <v>2016</v>
      </c>
      <c r="I4803">
        <f t="shared" si="297"/>
        <v>6</v>
      </c>
      <c r="J4803" t="str">
        <f t="shared" si="298"/>
        <v>Jun</v>
      </c>
      <c r="K4803" t="str">
        <f t="shared" si="299"/>
        <v>Mon</v>
      </c>
    </row>
    <row r="4804" spans="1:11" x14ac:dyDescent="0.35">
      <c r="A4804" s="1">
        <v>42535</v>
      </c>
      <c r="B4804">
        <v>35.616500854492102</v>
      </c>
      <c r="C4804">
        <v>36.040500640869098</v>
      </c>
      <c r="D4804">
        <v>35.613498687744098</v>
      </c>
      <c r="E4804">
        <v>35.965000152587798</v>
      </c>
      <c r="F4804">
        <v>35.965000152587798</v>
      </c>
      <c r="G4804">
        <v>50138000</v>
      </c>
      <c r="H4804">
        <f t="shared" ref="H4804:H4867" si="300">YEAR($A4804)</f>
        <v>2016</v>
      </c>
      <c r="I4804">
        <f t="shared" ref="I4804:I4867" si="301">MONTH($A4804)</f>
        <v>6</v>
      </c>
      <c r="J4804" t="str">
        <f t="shared" ref="J4804:J4867" si="302">TEXT($A4804,"mmm")</f>
        <v>Jun</v>
      </c>
      <c r="K4804" t="str">
        <f t="shared" ref="K4804:K4867" si="303">TEXT($A4804,"ddd")</f>
        <v>Tue</v>
      </c>
    </row>
    <row r="4805" spans="1:11" x14ac:dyDescent="0.35">
      <c r="A4805" s="1">
        <v>42536</v>
      </c>
      <c r="B4805">
        <v>36.099998474121001</v>
      </c>
      <c r="C4805">
        <v>36.127998352050703</v>
      </c>
      <c r="D4805">
        <v>35.6674995422363</v>
      </c>
      <c r="E4805">
        <v>35.713001251220703</v>
      </c>
      <c r="F4805">
        <v>35.713001251220703</v>
      </c>
      <c r="G4805">
        <v>54188000</v>
      </c>
      <c r="H4805">
        <f t="shared" si="300"/>
        <v>2016</v>
      </c>
      <c r="I4805">
        <f t="shared" si="301"/>
        <v>6</v>
      </c>
      <c r="J4805" t="str">
        <f t="shared" si="302"/>
        <v>Jun</v>
      </c>
      <c r="K4805" t="str">
        <f t="shared" si="303"/>
        <v>Wed</v>
      </c>
    </row>
    <row r="4806" spans="1:11" x14ac:dyDescent="0.35">
      <c r="A4806" s="1">
        <v>42537</v>
      </c>
      <c r="B4806">
        <v>35.602500915527301</v>
      </c>
      <c r="C4806">
        <v>35.900001525878899</v>
      </c>
      <c r="D4806">
        <v>35.264999389648402</v>
      </c>
      <c r="E4806">
        <v>35.875499725341797</v>
      </c>
      <c r="F4806">
        <v>35.875499725341797</v>
      </c>
      <c r="G4806">
        <v>61960000</v>
      </c>
      <c r="H4806">
        <f t="shared" si="300"/>
        <v>2016</v>
      </c>
      <c r="I4806">
        <f t="shared" si="301"/>
        <v>6</v>
      </c>
      <c r="J4806" t="str">
        <f t="shared" si="302"/>
        <v>Jun</v>
      </c>
      <c r="K4806" t="str">
        <f t="shared" si="303"/>
        <v>Thu</v>
      </c>
    </row>
    <row r="4807" spans="1:11" x14ac:dyDescent="0.35">
      <c r="A4807" s="1">
        <v>42538</v>
      </c>
      <c r="B4807">
        <v>35.909500122070298</v>
      </c>
      <c r="C4807">
        <v>35.909999847412102</v>
      </c>
      <c r="D4807">
        <v>34.958999633788999</v>
      </c>
      <c r="E4807">
        <v>35.319499969482401</v>
      </c>
      <c r="F4807">
        <v>35.319499969482401</v>
      </c>
      <c r="G4807">
        <v>117956000</v>
      </c>
      <c r="H4807">
        <f t="shared" si="300"/>
        <v>2016</v>
      </c>
      <c r="I4807">
        <f t="shared" si="301"/>
        <v>6</v>
      </c>
      <c r="J4807" t="str">
        <f t="shared" si="302"/>
        <v>Jun</v>
      </c>
      <c r="K4807" t="str">
        <f t="shared" si="303"/>
        <v>Fri</v>
      </c>
    </row>
    <row r="4808" spans="1:11" x14ac:dyDescent="0.35">
      <c r="A4808" s="1">
        <v>42541</v>
      </c>
      <c r="B4808">
        <v>35.674999237060497</v>
      </c>
      <c r="C4808">
        <v>36.065498352050703</v>
      </c>
      <c r="D4808">
        <v>35.540500640869098</v>
      </c>
      <c r="E4808">
        <v>35.7005004882812</v>
      </c>
      <c r="F4808">
        <v>35.7005004882812</v>
      </c>
      <c r="G4808">
        <v>73544000</v>
      </c>
      <c r="H4808">
        <f t="shared" si="300"/>
        <v>2016</v>
      </c>
      <c r="I4808">
        <f t="shared" si="301"/>
        <v>6</v>
      </c>
      <c r="J4808" t="str">
        <f t="shared" si="302"/>
        <v>Jun</v>
      </c>
      <c r="K4808" t="str">
        <f t="shared" si="303"/>
        <v>Mon</v>
      </c>
    </row>
    <row r="4809" spans="1:11" x14ac:dyDescent="0.35">
      <c r="A4809" s="1">
        <v>42542</v>
      </c>
      <c r="B4809">
        <v>35.785999298095703</v>
      </c>
      <c r="C4809">
        <v>35.919998168945298</v>
      </c>
      <c r="D4809">
        <v>35.636001586913999</v>
      </c>
      <c r="E4809">
        <v>35.791000366210902</v>
      </c>
      <c r="F4809">
        <v>35.791000366210902</v>
      </c>
      <c r="G4809">
        <v>42750000</v>
      </c>
      <c r="H4809">
        <f t="shared" si="300"/>
        <v>2016</v>
      </c>
      <c r="I4809">
        <f t="shared" si="301"/>
        <v>6</v>
      </c>
      <c r="J4809" t="str">
        <f t="shared" si="302"/>
        <v>Jun</v>
      </c>
      <c r="K4809" t="str">
        <f t="shared" si="303"/>
        <v>Tue</v>
      </c>
    </row>
    <row r="4810" spans="1:11" x14ac:dyDescent="0.35">
      <c r="A4810" s="1">
        <v>42543</v>
      </c>
      <c r="B4810">
        <v>35.8289985656738</v>
      </c>
      <c r="C4810">
        <v>35.849998474121001</v>
      </c>
      <c r="D4810">
        <v>35.378501892089801</v>
      </c>
      <c r="E4810">
        <v>35.529998779296797</v>
      </c>
      <c r="F4810">
        <v>35.529998779296797</v>
      </c>
      <c r="G4810">
        <v>45210000</v>
      </c>
      <c r="H4810">
        <f t="shared" si="300"/>
        <v>2016</v>
      </c>
      <c r="I4810">
        <f t="shared" si="301"/>
        <v>6</v>
      </c>
      <c r="J4810" t="str">
        <f t="shared" si="302"/>
        <v>Jun</v>
      </c>
      <c r="K4810" t="str">
        <f t="shared" si="303"/>
        <v>Wed</v>
      </c>
    </row>
    <row r="4811" spans="1:11" x14ac:dyDescent="0.35">
      <c r="A4811" s="1">
        <v>42544</v>
      </c>
      <c r="B4811">
        <v>35.775001525878899</v>
      </c>
      <c r="C4811">
        <v>36.105998992919901</v>
      </c>
      <c r="D4811">
        <v>35.625</v>
      </c>
      <c r="E4811">
        <v>36.104000091552699</v>
      </c>
      <c r="F4811">
        <v>36.104000091552699</v>
      </c>
      <c r="G4811">
        <v>56500000</v>
      </c>
      <c r="H4811">
        <f t="shared" si="300"/>
        <v>2016</v>
      </c>
      <c r="I4811">
        <f t="shared" si="301"/>
        <v>6</v>
      </c>
      <c r="J4811" t="str">
        <f t="shared" si="302"/>
        <v>Jun</v>
      </c>
      <c r="K4811" t="str">
        <f t="shared" si="303"/>
        <v>Thu</v>
      </c>
    </row>
    <row r="4812" spans="1:11" x14ac:dyDescent="0.35">
      <c r="A4812" s="1">
        <v>42545</v>
      </c>
      <c r="B4812">
        <v>34.650001525878899</v>
      </c>
      <c r="C4812">
        <v>35.626499176025298</v>
      </c>
      <c r="D4812">
        <v>34.610000610351499</v>
      </c>
      <c r="E4812">
        <v>34.948001861572202</v>
      </c>
      <c r="F4812">
        <v>34.948001861572202</v>
      </c>
      <c r="G4812">
        <v>152650000</v>
      </c>
      <c r="H4812">
        <f t="shared" si="300"/>
        <v>2016</v>
      </c>
      <c r="I4812">
        <f t="shared" si="301"/>
        <v>6</v>
      </c>
      <c r="J4812" t="str">
        <f t="shared" si="302"/>
        <v>Jun</v>
      </c>
      <c r="K4812" t="str">
        <f t="shared" si="303"/>
        <v>Fri</v>
      </c>
    </row>
    <row r="4813" spans="1:11" x14ac:dyDescent="0.35">
      <c r="A4813" s="1">
        <v>42548</v>
      </c>
      <c r="B4813">
        <v>34.600498199462798</v>
      </c>
      <c r="C4813">
        <v>34.840999603271399</v>
      </c>
      <c r="D4813">
        <v>34.105998992919901</v>
      </c>
      <c r="E4813">
        <v>34.568000793457003</v>
      </c>
      <c r="F4813">
        <v>34.568000793457003</v>
      </c>
      <c r="G4813">
        <v>111360000</v>
      </c>
      <c r="H4813">
        <f t="shared" si="300"/>
        <v>2016</v>
      </c>
      <c r="I4813">
        <f t="shared" si="301"/>
        <v>6</v>
      </c>
      <c r="J4813" t="str">
        <f t="shared" si="302"/>
        <v>Jun</v>
      </c>
      <c r="K4813" t="str">
        <f t="shared" si="303"/>
        <v>Mon</v>
      </c>
    </row>
    <row r="4814" spans="1:11" x14ac:dyDescent="0.35">
      <c r="A4814" s="1">
        <v>42549</v>
      </c>
      <c r="B4814">
        <v>35</v>
      </c>
      <c r="C4814">
        <v>35.400001525878899</v>
      </c>
      <c r="D4814">
        <v>34.908500671386697</v>
      </c>
      <c r="E4814">
        <v>35.397499084472599</v>
      </c>
      <c r="F4814">
        <v>35.397499084472599</v>
      </c>
      <c r="G4814">
        <v>80740000</v>
      </c>
      <c r="H4814">
        <f t="shared" si="300"/>
        <v>2016</v>
      </c>
      <c r="I4814">
        <f t="shared" si="301"/>
        <v>6</v>
      </c>
      <c r="J4814" t="str">
        <f t="shared" si="302"/>
        <v>Jun</v>
      </c>
      <c r="K4814" t="str">
        <f t="shared" si="303"/>
        <v>Tue</v>
      </c>
    </row>
    <row r="4815" spans="1:11" x14ac:dyDescent="0.35">
      <c r="A4815" s="1">
        <v>42550</v>
      </c>
      <c r="B4815">
        <v>35.787498474121001</v>
      </c>
      <c r="C4815">
        <v>35.974998474121001</v>
      </c>
      <c r="D4815">
        <v>35.676998138427699</v>
      </c>
      <c r="E4815">
        <v>35.779998779296797</v>
      </c>
      <c r="F4815">
        <v>35.779998779296797</v>
      </c>
      <c r="G4815">
        <v>61402000</v>
      </c>
      <c r="H4815">
        <f t="shared" si="300"/>
        <v>2016</v>
      </c>
      <c r="I4815">
        <f t="shared" si="301"/>
        <v>6</v>
      </c>
      <c r="J4815" t="str">
        <f t="shared" si="302"/>
        <v>Jun</v>
      </c>
      <c r="K4815" t="str">
        <f t="shared" si="303"/>
        <v>Wed</v>
      </c>
    </row>
    <row r="4816" spans="1:11" x14ac:dyDescent="0.35">
      <c r="A4816" s="1">
        <v>42551</v>
      </c>
      <c r="B4816">
        <v>35.860000610351499</v>
      </c>
      <c r="C4816">
        <v>35.968498229980398</v>
      </c>
      <c r="D4816">
        <v>35.626998901367102</v>
      </c>
      <c r="E4816">
        <v>35.780998229980398</v>
      </c>
      <c r="F4816">
        <v>35.780998229980398</v>
      </c>
      <c r="G4816">
        <v>57102000</v>
      </c>
      <c r="H4816">
        <f t="shared" si="300"/>
        <v>2016</v>
      </c>
      <c r="I4816">
        <f t="shared" si="301"/>
        <v>6</v>
      </c>
      <c r="J4816" t="str">
        <f t="shared" si="302"/>
        <v>Jun</v>
      </c>
      <c r="K4816" t="str">
        <f t="shared" si="303"/>
        <v>Thu</v>
      </c>
    </row>
    <row r="4817" spans="1:11" x14ac:dyDescent="0.35">
      <c r="A4817" s="1">
        <v>42552</v>
      </c>
      <c r="B4817">
        <v>35.866001129150298</v>
      </c>
      <c r="C4817">
        <v>36.400001525878899</v>
      </c>
      <c r="D4817">
        <v>35.826999664306598</v>
      </c>
      <c r="E4817">
        <v>36.284000396728501</v>
      </c>
      <c r="F4817">
        <v>36.284000396728501</v>
      </c>
      <c r="G4817">
        <v>58408000</v>
      </c>
      <c r="H4817">
        <f t="shared" si="300"/>
        <v>2016</v>
      </c>
      <c r="I4817">
        <f t="shared" si="301"/>
        <v>7</v>
      </c>
      <c r="J4817" t="str">
        <f t="shared" si="302"/>
        <v>Jul</v>
      </c>
      <c r="K4817" t="str">
        <f t="shared" si="303"/>
        <v>Fri</v>
      </c>
    </row>
    <row r="4818" spans="1:11" x14ac:dyDescent="0.35">
      <c r="A4818" s="1">
        <v>42556</v>
      </c>
      <c r="B4818">
        <v>36.139999389648402</v>
      </c>
      <c r="C4818">
        <v>36.478000640869098</v>
      </c>
      <c r="D4818">
        <v>35.980499267578097</v>
      </c>
      <c r="E4818">
        <v>36.404998779296797</v>
      </c>
      <c r="F4818">
        <v>36.404998779296797</v>
      </c>
      <c r="G4818">
        <v>48628000</v>
      </c>
      <c r="H4818">
        <f t="shared" si="300"/>
        <v>2016</v>
      </c>
      <c r="I4818">
        <f t="shared" si="301"/>
        <v>7</v>
      </c>
      <c r="J4818" t="str">
        <f t="shared" si="302"/>
        <v>Jul</v>
      </c>
      <c r="K4818" t="str">
        <f t="shared" si="303"/>
        <v>Tue</v>
      </c>
    </row>
    <row r="4819" spans="1:11" x14ac:dyDescent="0.35">
      <c r="A4819" s="1">
        <v>42557</v>
      </c>
      <c r="B4819">
        <v>36.285499572753899</v>
      </c>
      <c r="C4819">
        <v>36.888500213622997</v>
      </c>
      <c r="D4819">
        <v>36.129001617431598</v>
      </c>
      <c r="E4819">
        <v>36.880500793457003</v>
      </c>
      <c r="F4819">
        <v>36.880500793457003</v>
      </c>
      <c r="G4819">
        <v>78764000</v>
      </c>
      <c r="H4819">
        <f t="shared" si="300"/>
        <v>2016</v>
      </c>
      <c r="I4819">
        <f t="shared" si="301"/>
        <v>7</v>
      </c>
      <c r="J4819" t="str">
        <f t="shared" si="302"/>
        <v>Jul</v>
      </c>
      <c r="K4819" t="str">
        <f t="shared" si="303"/>
        <v>Wed</v>
      </c>
    </row>
    <row r="4820" spans="1:11" x14ac:dyDescent="0.35">
      <c r="A4820" s="1">
        <v>42558</v>
      </c>
      <c r="B4820">
        <v>36.966499328613203</v>
      </c>
      <c r="C4820">
        <v>36.977500915527301</v>
      </c>
      <c r="D4820">
        <v>36.58150100708</v>
      </c>
      <c r="E4820">
        <v>36.828498840332003</v>
      </c>
      <c r="F4820">
        <v>36.828498840332003</v>
      </c>
      <c r="G4820">
        <v>58916000</v>
      </c>
      <c r="H4820">
        <f t="shared" si="300"/>
        <v>2016</v>
      </c>
      <c r="I4820">
        <f t="shared" si="301"/>
        <v>7</v>
      </c>
      <c r="J4820" t="str">
        <f t="shared" si="302"/>
        <v>Jul</v>
      </c>
      <c r="K4820" t="str">
        <f t="shared" si="303"/>
        <v>Thu</v>
      </c>
    </row>
    <row r="4821" spans="1:11" x14ac:dyDescent="0.35">
      <c r="A4821" s="1">
        <v>42559</v>
      </c>
      <c r="B4821">
        <v>37.006999969482401</v>
      </c>
      <c r="C4821">
        <v>37.305000305175703</v>
      </c>
      <c r="D4821">
        <v>36.900001525878899</v>
      </c>
      <c r="E4821">
        <v>37.290500640869098</v>
      </c>
      <c r="F4821">
        <v>37.290500640869098</v>
      </c>
      <c r="G4821">
        <v>68584000</v>
      </c>
      <c r="H4821">
        <f t="shared" si="300"/>
        <v>2016</v>
      </c>
      <c r="I4821">
        <f t="shared" si="301"/>
        <v>7</v>
      </c>
      <c r="J4821" t="str">
        <f t="shared" si="302"/>
        <v>Jul</v>
      </c>
      <c r="K4821" t="str">
        <f t="shared" si="303"/>
        <v>Fri</v>
      </c>
    </row>
    <row r="4822" spans="1:11" x14ac:dyDescent="0.35">
      <c r="A4822" s="1">
        <v>42562</v>
      </c>
      <c r="B4822">
        <v>37.5</v>
      </c>
      <c r="C4822">
        <v>37.794998168945298</v>
      </c>
      <c r="D4822">
        <v>37.349998474121001</v>
      </c>
      <c r="E4822">
        <v>37.688999176025298</v>
      </c>
      <c r="F4822">
        <v>37.688999176025298</v>
      </c>
      <c r="G4822">
        <v>63906000</v>
      </c>
      <c r="H4822">
        <f t="shared" si="300"/>
        <v>2016</v>
      </c>
      <c r="I4822">
        <f t="shared" si="301"/>
        <v>7</v>
      </c>
      <c r="J4822" t="str">
        <f t="shared" si="302"/>
        <v>Jul</v>
      </c>
      <c r="K4822" t="str">
        <f t="shared" si="303"/>
        <v>Mon</v>
      </c>
    </row>
    <row r="4823" spans="1:11" x14ac:dyDescent="0.35">
      <c r="A4823" s="1">
        <v>42563</v>
      </c>
      <c r="B4823">
        <v>37.842998504638601</v>
      </c>
      <c r="C4823">
        <v>37.867000579833899</v>
      </c>
      <c r="D4823">
        <v>37.0164985656738</v>
      </c>
      <c r="E4823">
        <v>37.410499572753899</v>
      </c>
      <c r="F4823">
        <v>37.410499572753899</v>
      </c>
      <c r="G4823">
        <v>112474000</v>
      </c>
      <c r="H4823">
        <f t="shared" si="300"/>
        <v>2016</v>
      </c>
      <c r="I4823">
        <f t="shared" si="301"/>
        <v>7</v>
      </c>
      <c r="J4823" t="str">
        <f t="shared" si="302"/>
        <v>Jul</v>
      </c>
      <c r="K4823" t="str">
        <f t="shared" si="303"/>
        <v>Tue</v>
      </c>
    </row>
    <row r="4824" spans="1:11" x14ac:dyDescent="0.35">
      <c r="A4824" s="1">
        <v>42564</v>
      </c>
      <c r="B4824">
        <v>37.338001251220703</v>
      </c>
      <c r="C4824">
        <v>37.843498229980398</v>
      </c>
      <c r="D4824">
        <v>37.0625</v>
      </c>
      <c r="E4824">
        <v>37.131500244140597</v>
      </c>
      <c r="F4824">
        <v>37.131500244140597</v>
      </c>
      <c r="G4824">
        <v>82846000</v>
      </c>
      <c r="H4824">
        <f t="shared" si="300"/>
        <v>2016</v>
      </c>
      <c r="I4824">
        <f t="shared" si="301"/>
        <v>7</v>
      </c>
      <c r="J4824" t="str">
        <f t="shared" si="302"/>
        <v>Jul</v>
      </c>
      <c r="K4824" t="str">
        <f t="shared" si="303"/>
        <v>Wed</v>
      </c>
    </row>
    <row r="4825" spans="1:11" x14ac:dyDescent="0.35">
      <c r="A4825" s="1">
        <v>42565</v>
      </c>
      <c r="B4825">
        <v>37.443000793457003</v>
      </c>
      <c r="C4825">
        <v>37.451999664306598</v>
      </c>
      <c r="D4825">
        <v>36.951000213622997</v>
      </c>
      <c r="E4825">
        <v>37.060001373291001</v>
      </c>
      <c r="F4825">
        <v>37.060001373291001</v>
      </c>
      <c r="G4825">
        <v>47810000</v>
      </c>
      <c r="H4825">
        <f t="shared" si="300"/>
        <v>2016</v>
      </c>
      <c r="I4825">
        <f t="shared" si="301"/>
        <v>7</v>
      </c>
      <c r="J4825" t="str">
        <f t="shared" si="302"/>
        <v>Jul</v>
      </c>
      <c r="K4825" t="str">
        <f t="shared" si="303"/>
        <v>Thu</v>
      </c>
    </row>
    <row r="4826" spans="1:11" x14ac:dyDescent="0.35">
      <c r="A4826" s="1">
        <v>42566</v>
      </c>
      <c r="B4826">
        <v>37.327499389648402</v>
      </c>
      <c r="C4826">
        <v>37.327499389648402</v>
      </c>
      <c r="D4826">
        <v>36.702499389648402</v>
      </c>
      <c r="E4826">
        <v>36.771999359130803</v>
      </c>
      <c r="F4826">
        <v>36.771999359130803</v>
      </c>
      <c r="G4826">
        <v>62428000</v>
      </c>
      <c r="H4826">
        <f t="shared" si="300"/>
        <v>2016</v>
      </c>
      <c r="I4826">
        <f t="shared" si="301"/>
        <v>7</v>
      </c>
      <c r="J4826" t="str">
        <f t="shared" si="302"/>
        <v>Jul</v>
      </c>
      <c r="K4826" t="str">
        <f t="shared" si="303"/>
        <v>Fri</v>
      </c>
    </row>
    <row r="4827" spans="1:11" x14ac:dyDescent="0.35">
      <c r="A4827" s="1">
        <v>42569</v>
      </c>
      <c r="B4827">
        <v>36.774501800537102</v>
      </c>
      <c r="C4827">
        <v>37.080001831054602</v>
      </c>
      <c r="D4827">
        <v>36.436000823974602</v>
      </c>
      <c r="E4827">
        <v>36.803501129150298</v>
      </c>
      <c r="F4827">
        <v>36.803501129150298</v>
      </c>
      <c r="G4827">
        <v>59098000</v>
      </c>
      <c r="H4827">
        <f t="shared" si="300"/>
        <v>2016</v>
      </c>
      <c r="I4827">
        <f t="shared" si="301"/>
        <v>7</v>
      </c>
      <c r="J4827" t="str">
        <f t="shared" si="302"/>
        <v>Jul</v>
      </c>
      <c r="K4827" t="str">
        <f t="shared" si="303"/>
        <v>Mon</v>
      </c>
    </row>
    <row r="4828" spans="1:11" x14ac:dyDescent="0.35">
      <c r="A4828" s="1">
        <v>42570</v>
      </c>
      <c r="B4828">
        <v>36.625</v>
      </c>
      <c r="C4828">
        <v>37.166500091552699</v>
      </c>
      <c r="D4828">
        <v>36.615501403808501</v>
      </c>
      <c r="E4828">
        <v>36.997501373291001</v>
      </c>
      <c r="F4828">
        <v>36.997501373291001</v>
      </c>
      <c r="G4828">
        <v>44336000</v>
      </c>
      <c r="H4828">
        <f t="shared" si="300"/>
        <v>2016</v>
      </c>
      <c r="I4828">
        <f t="shared" si="301"/>
        <v>7</v>
      </c>
      <c r="J4828" t="str">
        <f t="shared" si="302"/>
        <v>Jul</v>
      </c>
      <c r="K4828" t="str">
        <f t="shared" si="303"/>
        <v>Tue</v>
      </c>
    </row>
    <row r="4829" spans="1:11" x14ac:dyDescent="0.35">
      <c r="A4829" s="1">
        <v>42571</v>
      </c>
      <c r="B4829">
        <v>37.200000762939403</v>
      </c>
      <c r="C4829">
        <v>37.3125</v>
      </c>
      <c r="D4829">
        <v>37.034999847412102</v>
      </c>
      <c r="E4829">
        <v>37.285999298095703</v>
      </c>
      <c r="F4829">
        <v>37.285999298095703</v>
      </c>
      <c r="G4829">
        <v>44280000</v>
      </c>
      <c r="H4829">
        <f t="shared" si="300"/>
        <v>2016</v>
      </c>
      <c r="I4829">
        <f t="shared" si="301"/>
        <v>7</v>
      </c>
      <c r="J4829" t="str">
        <f t="shared" si="302"/>
        <v>Jul</v>
      </c>
      <c r="K4829" t="str">
        <f t="shared" si="303"/>
        <v>Wed</v>
      </c>
    </row>
    <row r="4830" spans="1:11" x14ac:dyDescent="0.35">
      <c r="A4830" s="1">
        <v>42572</v>
      </c>
      <c r="B4830">
        <v>37.375</v>
      </c>
      <c r="C4830">
        <v>37.467998504638601</v>
      </c>
      <c r="D4830">
        <v>37.139499664306598</v>
      </c>
      <c r="E4830">
        <v>37.221500396728501</v>
      </c>
      <c r="F4830">
        <v>37.221500396728501</v>
      </c>
      <c r="G4830">
        <v>46342000</v>
      </c>
      <c r="H4830">
        <f t="shared" si="300"/>
        <v>2016</v>
      </c>
      <c r="I4830">
        <f t="shared" si="301"/>
        <v>7</v>
      </c>
      <c r="J4830" t="str">
        <f t="shared" si="302"/>
        <v>Jul</v>
      </c>
      <c r="K4830" t="str">
        <f t="shared" si="303"/>
        <v>Thu</v>
      </c>
    </row>
    <row r="4831" spans="1:11" x14ac:dyDescent="0.35">
      <c r="A4831" s="1">
        <v>42573</v>
      </c>
      <c r="B4831">
        <v>37.389499664306598</v>
      </c>
      <c r="C4831">
        <v>37.563999176025298</v>
      </c>
      <c r="D4831">
        <v>37.176498413085902</v>
      </c>
      <c r="E4831">
        <v>37.2430000305175</v>
      </c>
      <c r="F4831">
        <v>37.2430000305175</v>
      </c>
      <c r="G4831">
        <v>45554000</v>
      </c>
      <c r="H4831">
        <f t="shared" si="300"/>
        <v>2016</v>
      </c>
      <c r="I4831">
        <f t="shared" si="301"/>
        <v>7</v>
      </c>
      <c r="J4831" t="str">
        <f t="shared" si="302"/>
        <v>Jul</v>
      </c>
      <c r="K4831" t="str">
        <f t="shared" si="303"/>
        <v>Fri</v>
      </c>
    </row>
    <row r="4832" spans="1:11" x14ac:dyDescent="0.35">
      <c r="A4832" s="1">
        <v>42576</v>
      </c>
      <c r="B4832">
        <v>37.327499389648402</v>
      </c>
      <c r="C4832">
        <v>37.424999237060497</v>
      </c>
      <c r="D4832">
        <v>36.767501831054602</v>
      </c>
      <c r="E4832">
        <v>36.980499267578097</v>
      </c>
      <c r="F4832">
        <v>36.980499267578097</v>
      </c>
      <c r="G4832">
        <v>53586000</v>
      </c>
      <c r="H4832">
        <f t="shared" si="300"/>
        <v>2016</v>
      </c>
      <c r="I4832">
        <f t="shared" si="301"/>
        <v>7</v>
      </c>
      <c r="J4832" t="str">
        <f t="shared" si="302"/>
        <v>Jul</v>
      </c>
      <c r="K4832" t="str">
        <f t="shared" si="303"/>
        <v>Mon</v>
      </c>
    </row>
    <row r="4833" spans="1:11" x14ac:dyDescent="0.35">
      <c r="A4833" s="1">
        <v>42577</v>
      </c>
      <c r="B4833">
        <v>37.135501861572202</v>
      </c>
      <c r="C4833">
        <v>37.156501770019503</v>
      </c>
      <c r="D4833">
        <v>36.637500762939403</v>
      </c>
      <c r="E4833">
        <v>36.779499053955</v>
      </c>
      <c r="F4833">
        <v>36.779499053955</v>
      </c>
      <c r="G4833">
        <v>50594000</v>
      </c>
      <c r="H4833">
        <f t="shared" si="300"/>
        <v>2016</v>
      </c>
      <c r="I4833">
        <f t="shared" si="301"/>
        <v>7</v>
      </c>
      <c r="J4833" t="str">
        <f t="shared" si="302"/>
        <v>Jul</v>
      </c>
      <c r="K4833" t="str">
        <f t="shared" si="303"/>
        <v>Tue</v>
      </c>
    </row>
    <row r="4834" spans="1:11" x14ac:dyDescent="0.35">
      <c r="A4834" s="1">
        <v>42578</v>
      </c>
      <c r="B4834">
        <v>36.8984985351562</v>
      </c>
      <c r="C4834">
        <v>37.047000885009702</v>
      </c>
      <c r="D4834">
        <v>36.693000793457003</v>
      </c>
      <c r="E4834">
        <v>36.833499908447202</v>
      </c>
      <c r="F4834">
        <v>36.833499908447202</v>
      </c>
      <c r="G4834">
        <v>58262000</v>
      </c>
      <c r="H4834">
        <f t="shared" si="300"/>
        <v>2016</v>
      </c>
      <c r="I4834">
        <f t="shared" si="301"/>
        <v>7</v>
      </c>
      <c r="J4834" t="str">
        <f t="shared" si="302"/>
        <v>Jul</v>
      </c>
      <c r="K4834" t="str">
        <f t="shared" si="303"/>
        <v>Wed</v>
      </c>
    </row>
    <row r="4835" spans="1:11" x14ac:dyDescent="0.35">
      <c r="A4835" s="1">
        <v>42579</v>
      </c>
      <c r="B4835">
        <v>37.298999786376903</v>
      </c>
      <c r="C4835">
        <v>37.667999267578097</v>
      </c>
      <c r="D4835">
        <v>36.985000610351499</v>
      </c>
      <c r="E4835">
        <v>37.630500793457003</v>
      </c>
      <c r="F4835">
        <v>37.630500793457003</v>
      </c>
      <c r="G4835">
        <v>152352000</v>
      </c>
      <c r="H4835">
        <f t="shared" si="300"/>
        <v>2016</v>
      </c>
      <c r="I4835">
        <f t="shared" si="301"/>
        <v>7</v>
      </c>
      <c r="J4835" t="str">
        <f t="shared" si="302"/>
        <v>Jul</v>
      </c>
      <c r="K4835" t="str">
        <f t="shared" si="303"/>
        <v>Thu</v>
      </c>
    </row>
    <row r="4836" spans="1:11" x14ac:dyDescent="0.35">
      <c r="A4836" s="1">
        <v>42580</v>
      </c>
      <c r="B4836">
        <v>38.25</v>
      </c>
      <c r="C4836">
        <v>38.299999237060497</v>
      </c>
      <c r="D4836">
        <v>37.75</v>
      </c>
      <c r="E4836">
        <v>37.940498352050703</v>
      </c>
      <c r="F4836">
        <v>37.940498352050703</v>
      </c>
      <c r="G4836">
        <v>135542000</v>
      </c>
      <c r="H4836">
        <f t="shared" si="300"/>
        <v>2016</v>
      </c>
      <c r="I4836">
        <f t="shared" si="301"/>
        <v>7</v>
      </c>
      <c r="J4836" t="str">
        <f t="shared" si="302"/>
        <v>Jul</v>
      </c>
      <c r="K4836" t="str">
        <f t="shared" si="303"/>
        <v>Fri</v>
      </c>
    </row>
    <row r="4837" spans="1:11" x14ac:dyDescent="0.35">
      <c r="A4837" s="1">
        <v>42583</v>
      </c>
      <c r="B4837">
        <v>37.993499755859297</v>
      </c>
      <c r="C4837">
        <v>38.525001525878899</v>
      </c>
      <c r="D4837">
        <v>37.853000640869098</v>
      </c>
      <c r="E4837">
        <v>38.387001037597599</v>
      </c>
      <c r="F4837">
        <v>38.387001037597599</v>
      </c>
      <c r="G4837">
        <v>71564000</v>
      </c>
      <c r="H4837">
        <f t="shared" si="300"/>
        <v>2016</v>
      </c>
      <c r="I4837">
        <f t="shared" si="301"/>
        <v>8</v>
      </c>
      <c r="J4837" t="str">
        <f t="shared" si="302"/>
        <v>Aug</v>
      </c>
      <c r="K4837" t="str">
        <f t="shared" si="303"/>
        <v>Mon</v>
      </c>
    </row>
    <row r="4838" spans="1:11" x14ac:dyDescent="0.35">
      <c r="A4838" s="1">
        <v>42584</v>
      </c>
      <c r="B4838">
        <v>38.190498352050703</v>
      </c>
      <c r="C4838">
        <v>38.250499725341797</v>
      </c>
      <c r="D4838">
        <v>37.851001739501903</v>
      </c>
      <c r="E4838">
        <v>38.028999328613203</v>
      </c>
      <c r="F4838">
        <v>38.028999328613203</v>
      </c>
      <c r="G4838">
        <v>72066000</v>
      </c>
      <c r="H4838">
        <f t="shared" si="300"/>
        <v>2016</v>
      </c>
      <c r="I4838">
        <f t="shared" si="301"/>
        <v>8</v>
      </c>
      <c r="J4838" t="str">
        <f t="shared" si="302"/>
        <v>Aug</v>
      </c>
      <c r="K4838" t="str">
        <f t="shared" si="303"/>
        <v>Tue</v>
      </c>
    </row>
    <row r="4839" spans="1:11" x14ac:dyDescent="0.35">
      <c r="A4839" s="1">
        <v>42585</v>
      </c>
      <c r="B4839">
        <v>37.853000640869098</v>
      </c>
      <c r="C4839">
        <v>37.944499969482401</v>
      </c>
      <c r="D4839">
        <v>37.612499237060497</v>
      </c>
      <c r="E4839">
        <v>37.731998443603501</v>
      </c>
      <c r="F4839">
        <v>37.731998443603501</v>
      </c>
      <c r="G4839">
        <v>71630000</v>
      </c>
      <c r="H4839">
        <f t="shared" si="300"/>
        <v>2016</v>
      </c>
      <c r="I4839">
        <f t="shared" si="301"/>
        <v>8</v>
      </c>
      <c r="J4839" t="str">
        <f t="shared" si="302"/>
        <v>Aug</v>
      </c>
      <c r="K4839" t="str">
        <f t="shared" si="303"/>
        <v>Wed</v>
      </c>
    </row>
    <row r="4840" spans="1:11" x14ac:dyDescent="0.35">
      <c r="A4840" s="1">
        <v>42586</v>
      </c>
      <c r="B4840">
        <v>37.685001373291001</v>
      </c>
      <c r="C4840">
        <v>38.25</v>
      </c>
      <c r="D4840">
        <v>37.517501831054602</v>
      </c>
      <c r="E4840">
        <v>38.038501739501903</v>
      </c>
      <c r="F4840">
        <v>38.038501739501903</v>
      </c>
      <c r="G4840">
        <v>63564000</v>
      </c>
      <c r="H4840">
        <f t="shared" si="300"/>
        <v>2016</v>
      </c>
      <c r="I4840">
        <f t="shared" si="301"/>
        <v>8</v>
      </c>
      <c r="J4840" t="str">
        <f t="shared" si="302"/>
        <v>Aug</v>
      </c>
      <c r="K4840" t="str">
        <f t="shared" si="303"/>
        <v>Thu</v>
      </c>
    </row>
    <row r="4841" spans="1:11" x14ac:dyDescent="0.35">
      <c r="A4841" s="1">
        <v>42587</v>
      </c>
      <c r="B4841">
        <v>38.240501403808501</v>
      </c>
      <c r="C4841">
        <v>38.423500061035099</v>
      </c>
      <c r="D4841">
        <v>38.154499053955</v>
      </c>
      <c r="E4841">
        <v>38.298999786376903</v>
      </c>
      <c r="F4841">
        <v>38.298999786376903</v>
      </c>
      <c r="G4841">
        <v>54088000</v>
      </c>
      <c r="H4841">
        <f t="shared" si="300"/>
        <v>2016</v>
      </c>
      <c r="I4841">
        <f t="shared" si="301"/>
        <v>8</v>
      </c>
      <c r="J4841" t="str">
        <f t="shared" si="302"/>
        <v>Aug</v>
      </c>
      <c r="K4841" t="str">
        <f t="shared" si="303"/>
        <v>Fri</v>
      </c>
    </row>
    <row r="4842" spans="1:11" x14ac:dyDescent="0.35">
      <c r="A4842" s="1">
        <v>42590</v>
      </c>
      <c r="B4842">
        <v>38.340499877929602</v>
      </c>
      <c r="C4842">
        <v>38.349998474121001</v>
      </c>
      <c r="D4842">
        <v>38.050998687744098</v>
      </c>
      <c r="E4842">
        <v>38.327999114990199</v>
      </c>
      <c r="F4842">
        <v>38.327999114990199</v>
      </c>
      <c r="G4842">
        <v>39726000</v>
      </c>
      <c r="H4842">
        <f t="shared" si="300"/>
        <v>2016</v>
      </c>
      <c r="I4842">
        <f t="shared" si="301"/>
        <v>8</v>
      </c>
      <c r="J4842" t="str">
        <f t="shared" si="302"/>
        <v>Aug</v>
      </c>
      <c r="K4842" t="str">
        <f t="shared" si="303"/>
        <v>Mon</v>
      </c>
    </row>
    <row r="4843" spans="1:11" x14ac:dyDescent="0.35">
      <c r="A4843" s="1">
        <v>42591</v>
      </c>
      <c r="B4843">
        <v>38.369499206542898</v>
      </c>
      <c r="C4843">
        <v>38.630001068115199</v>
      </c>
      <c r="D4843">
        <v>38.345001220703097</v>
      </c>
      <c r="E4843">
        <v>38.415500640869098</v>
      </c>
      <c r="F4843">
        <v>38.415500640869098</v>
      </c>
      <c r="G4843">
        <v>37522000</v>
      </c>
      <c r="H4843">
        <f t="shared" si="300"/>
        <v>2016</v>
      </c>
      <c r="I4843">
        <f t="shared" si="301"/>
        <v>8</v>
      </c>
      <c r="J4843" t="str">
        <f t="shared" si="302"/>
        <v>Aug</v>
      </c>
      <c r="K4843" t="str">
        <f t="shared" si="303"/>
        <v>Tue</v>
      </c>
    </row>
    <row r="4844" spans="1:11" x14ac:dyDescent="0.35">
      <c r="A4844" s="1">
        <v>42592</v>
      </c>
      <c r="B4844">
        <v>38.490001678466797</v>
      </c>
      <c r="C4844">
        <v>38.6049995422363</v>
      </c>
      <c r="D4844">
        <v>38.309501647949197</v>
      </c>
      <c r="E4844">
        <v>38.428001403808501</v>
      </c>
      <c r="F4844">
        <v>38.428001403808501</v>
      </c>
      <c r="G4844">
        <v>32086000</v>
      </c>
      <c r="H4844">
        <f t="shared" si="300"/>
        <v>2016</v>
      </c>
      <c r="I4844">
        <f t="shared" si="301"/>
        <v>8</v>
      </c>
      <c r="J4844" t="str">
        <f t="shared" si="302"/>
        <v>Aug</v>
      </c>
      <c r="K4844" t="str">
        <f t="shared" si="303"/>
        <v>Wed</v>
      </c>
    </row>
    <row r="4845" spans="1:11" x14ac:dyDescent="0.35">
      <c r="A4845" s="1">
        <v>42593</v>
      </c>
      <c r="B4845">
        <v>38.497001647949197</v>
      </c>
      <c r="C4845">
        <v>38.6875</v>
      </c>
      <c r="D4845">
        <v>38.456001281738203</v>
      </c>
      <c r="E4845">
        <v>38.562000274658203</v>
      </c>
      <c r="F4845">
        <v>38.562000274658203</v>
      </c>
      <c r="G4845">
        <v>40394000</v>
      </c>
      <c r="H4845">
        <f t="shared" si="300"/>
        <v>2016</v>
      </c>
      <c r="I4845">
        <f t="shared" si="301"/>
        <v>8</v>
      </c>
      <c r="J4845" t="str">
        <f t="shared" si="302"/>
        <v>Aug</v>
      </c>
      <c r="K4845" t="str">
        <f t="shared" si="303"/>
        <v>Thu</v>
      </c>
    </row>
    <row r="4846" spans="1:11" x14ac:dyDescent="0.35">
      <c r="A4846" s="1">
        <v>42594</v>
      </c>
      <c r="B4846">
        <v>38.423000335693303</v>
      </c>
      <c r="C4846">
        <v>38.657501220703097</v>
      </c>
      <c r="D4846">
        <v>38.421001434326101</v>
      </c>
      <c r="E4846">
        <v>38.627998352050703</v>
      </c>
      <c r="F4846">
        <v>38.627998352050703</v>
      </c>
      <c r="G4846">
        <v>31266000</v>
      </c>
      <c r="H4846">
        <f t="shared" si="300"/>
        <v>2016</v>
      </c>
      <c r="I4846">
        <f t="shared" si="301"/>
        <v>8</v>
      </c>
      <c r="J4846" t="str">
        <f t="shared" si="302"/>
        <v>Aug</v>
      </c>
      <c r="K4846" t="str">
        <f t="shared" si="303"/>
        <v>Fri</v>
      </c>
    </row>
    <row r="4847" spans="1:11" x14ac:dyDescent="0.35">
      <c r="A4847" s="1">
        <v>42597</v>
      </c>
      <c r="B4847">
        <v>38.595001220703097</v>
      </c>
      <c r="C4847">
        <v>38.602001190185497</v>
      </c>
      <c r="D4847">
        <v>38.385501861572202</v>
      </c>
      <c r="E4847">
        <v>38.4244995117187</v>
      </c>
      <c r="F4847">
        <v>38.4244995117187</v>
      </c>
      <c r="G4847">
        <v>42370000</v>
      </c>
      <c r="H4847">
        <f t="shared" si="300"/>
        <v>2016</v>
      </c>
      <c r="I4847">
        <f t="shared" si="301"/>
        <v>8</v>
      </c>
      <c r="J4847" t="str">
        <f t="shared" si="302"/>
        <v>Aug</v>
      </c>
      <c r="K4847" t="str">
        <f t="shared" si="303"/>
        <v>Mon</v>
      </c>
    </row>
    <row r="4848" spans="1:11" x14ac:dyDescent="0.35">
      <c r="A4848" s="1">
        <v>42598</v>
      </c>
      <c r="B4848">
        <v>38.430999755859297</v>
      </c>
      <c r="C4848">
        <v>38.436500549316399</v>
      </c>
      <c r="D4848">
        <v>38.191001892089801</v>
      </c>
      <c r="E4848">
        <v>38.201999664306598</v>
      </c>
      <c r="F4848">
        <v>38.201999664306598</v>
      </c>
      <c r="G4848">
        <v>32092000</v>
      </c>
      <c r="H4848">
        <f t="shared" si="300"/>
        <v>2016</v>
      </c>
      <c r="I4848">
        <f t="shared" si="301"/>
        <v>8</v>
      </c>
      <c r="J4848" t="str">
        <f t="shared" si="302"/>
        <v>Aug</v>
      </c>
      <c r="K4848" t="str">
        <f t="shared" si="303"/>
        <v>Tue</v>
      </c>
    </row>
    <row r="4849" spans="1:11" x14ac:dyDescent="0.35">
      <c r="A4849" s="1">
        <v>42599</v>
      </c>
      <c r="B4849">
        <v>38.220500946044901</v>
      </c>
      <c r="C4849">
        <v>38.261001586913999</v>
      </c>
      <c r="D4849">
        <v>37.959999084472599</v>
      </c>
      <c r="E4849">
        <v>38.231498718261697</v>
      </c>
      <c r="F4849">
        <v>38.231498718261697</v>
      </c>
      <c r="G4849">
        <v>37822000</v>
      </c>
      <c r="H4849">
        <f t="shared" si="300"/>
        <v>2016</v>
      </c>
      <c r="I4849">
        <f t="shared" si="301"/>
        <v>8</v>
      </c>
      <c r="J4849" t="str">
        <f t="shared" si="302"/>
        <v>Aug</v>
      </c>
      <c r="K4849" t="str">
        <f t="shared" si="303"/>
        <v>Wed</v>
      </c>
    </row>
    <row r="4850" spans="1:11" x14ac:dyDescent="0.35">
      <c r="A4850" s="1">
        <v>42600</v>
      </c>
      <c r="B4850">
        <v>38.200000762939403</v>
      </c>
      <c r="C4850">
        <v>38.258499145507798</v>
      </c>
      <c r="D4850">
        <v>38.029998779296797</v>
      </c>
      <c r="E4850">
        <v>38.222999572753899</v>
      </c>
      <c r="F4850">
        <v>38.222999572753899</v>
      </c>
      <c r="G4850">
        <v>29176000</v>
      </c>
      <c r="H4850">
        <f t="shared" si="300"/>
        <v>2016</v>
      </c>
      <c r="I4850">
        <f t="shared" si="301"/>
        <v>8</v>
      </c>
      <c r="J4850" t="str">
        <f t="shared" si="302"/>
        <v>Aug</v>
      </c>
      <c r="K4850" t="str">
        <f t="shared" si="303"/>
        <v>Thu</v>
      </c>
    </row>
    <row r="4851" spans="1:11" x14ac:dyDescent="0.35">
      <c r="A4851" s="1">
        <v>42601</v>
      </c>
      <c r="B4851">
        <v>38.095001220703097</v>
      </c>
      <c r="C4851">
        <v>38.124500274658203</v>
      </c>
      <c r="D4851">
        <v>37.8445014953613</v>
      </c>
      <c r="E4851">
        <v>37.865501403808501</v>
      </c>
      <c r="F4851">
        <v>37.865501403808501</v>
      </c>
      <c r="G4851">
        <v>46864000</v>
      </c>
      <c r="H4851">
        <f t="shared" si="300"/>
        <v>2016</v>
      </c>
      <c r="I4851">
        <f t="shared" si="301"/>
        <v>8</v>
      </c>
      <c r="J4851" t="str">
        <f t="shared" si="302"/>
        <v>Aug</v>
      </c>
      <c r="K4851" t="str">
        <f t="shared" si="303"/>
        <v>Fri</v>
      </c>
    </row>
    <row r="4852" spans="1:11" x14ac:dyDescent="0.35">
      <c r="A4852" s="1">
        <v>42604</v>
      </c>
      <c r="B4852">
        <v>37.875</v>
      </c>
      <c r="C4852">
        <v>37.992500305175703</v>
      </c>
      <c r="D4852">
        <v>37.6049995422363</v>
      </c>
      <c r="E4852">
        <v>37.9739990234375</v>
      </c>
      <c r="F4852">
        <v>37.9739990234375</v>
      </c>
      <c r="G4852">
        <v>33586000</v>
      </c>
      <c r="H4852">
        <f t="shared" si="300"/>
        <v>2016</v>
      </c>
      <c r="I4852">
        <f t="shared" si="301"/>
        <v>8</v>
      </c>
      <c r="J4852" t="str">
        <f t="shared" si="302"/>
        <v>Aug</v>
      </c>
      <c r="K4852" t="str">
        <f t="shared" si="303"/>
        <v>Mon</v>
      </c>
    </row>
    <row r="4853" spans="1:11" x14ac:dyDescent="0.35">
      <c r="A4853" s="1">
        <v>42605</v>
      </c>
      <c r="B4853">
        <v>38.165500640869098</v>
      </c>
      <c r="C4853">
        <v>38.235000610351499</v>
      </c>
      <c r="D4853">
        <v>38.049999237060497</v>
      </c>
      <c r="E4853">
        <v>38.122501373291001</v>
      </c>
      <c r="F4853">
        <v>38.122501373291001</v>
      </c>
      <c r="G4853">
        <v>30482000</v>
      </c>
      <c r="H4853">
        <f t="shared" si="300"/>
        <v>2016</v>
      </c>
      <c r="I4853">
        <f t="shared" si="301"/>
        <v>8</v>
      </c>
      <c r="J4853" t="str">
        <f t="shared" si="302"/>
        <v>Aug</v>
      </c>
      <c r="K4853" t="str">
        <f t="shared" si="303"/>
        <v>Tue</v>
      </c>
    </row>
    <row r="4854" spans="1:11" x14ac:dyDescent="0.35">
      <c r="A4854" s="1">
        <v>42606</v>
      </c>
      <c r="B4854">
        <v>38.150001525878899</v>
      </c>
      <c r="C4854">
        <v>38.170501708984297</v>
      </c>
      <c r="D4854">
        <v>37.768001556396399</v>
      </c>
      <c r="E4854">
        <v>37.862499237060497</v>
      </c>
      <c r="F4854">
        <v>37.862499237060497</v>
      </c>
      <c r="G4854">
        <v>34882000</v>
      </c>
      <c r="H4854">
        <f t="shared" si="300"/>
        <v>2016</v>
      </c>
      <c r="I4854">
        <f t="shared" si="301"/>
        <v>8</v>
      </c>
      <c r="J4854" t="str">
        <f t="shared" si="302"/>
        <v>Aug</v>
      </c>
      <c r="K4854" t="str">
        <f t="shared" si="303"/>
        <v>Wed</v>
      </c>
    </row>
    <row r="4855" spans="1:11" x14ac:dyDescent="0.35">
      <c r="A4855" s="1">
        <v>42607</v>
      </c>
      <c r="B4855">
        <v>37.799999237060497</v>
      </c>
      <c r="C4855">
        <v>38.027999877929602</v>
      </c>
      <c r="D4855">
        <v>37.7369995117187</v>
      </c>
      <c r="E4855">
        <v>37.9609985351562</v>
      </c>
      <c r="F4855">
        <v>37.9609985351562</v>
      </c>
      <c r="G4855">
        <v>32460000</v>
      </c>
      <c r="H4855">
        <f t="shared" si="300"/>
        <v>2016</v>
      </c>
      <c r="I4855">
        <f t="shared" si="301"/>
        <v>8</v>
      </c>
      <c r="J4855" t="str">
        <f t="shared" si="302"/>
        <v>Aug</v>
      </c>
      <c r="K4855" t="str">
        <f t="shared" si="303"/>
        <v>Thu</v>
      </c>
    </row>
    <row r="4856" spans="1:11" x14ac:dyDescent="0.35">
      <c r="A4856" s="1">
        <v>42608</v>
      </c>
      <c r="B4856">
        <v>38.002498626708899</v>
      </c>
      <c r="C4856">
        <v>38.5</v>
      </c>
      <c r="D4856">
        <v>37.990001678466797</v>
      </c>
      <c r="E4856">
        <v>38.450000762939403</v>
      </c>
      <c r="F4856">
        <v>38.450000762939403</v>
      </c>
      <c r="G4856">
        <v>55536000</v>
      </c>
      <c r="H4856">
        <f t="shared" si="300"/>
        <v>2016</v>
      </c>
      <c r="I4856">
        <f t="shared" si="301"/>
        <v>8</v>
      </c>
      <c r="J4856" t="str">
        <f t="shared" si="302"/>
        <v>Aug</v>
      </c>
      <c r="K4856" t="str">
        <f t="shared" si="303"/>
        <v>Fri</v>
      </c>
    </row>
    <row r="4857" spans="1:11" x14ac:dyDescent="0.35">
      <c r="A4857" s="1">
        <v>42611</v>
      </c>
      <c r="B4857">
        <v>38.436000823974602</v>
      </c>
      <c r="C4857">
        <v>38.749000549316399</v>
      </c>
      <c r="D4857">
        <v>38.430000305175703</v>
      </c>
      <c r="E4857">
        <v>38.564498901367102</v>
      </c>
      <c r="F4857">
        <v>38.564498901367102</v>
      </c>
      <c r="G4857">
        <v>43972000</v>
      </c>
      <c r="H4857">
        <f t="shared" si="300"/>
        <v>2016</v>
      </c>
      <c r="I4857">
        <f t="shared" si="301"/>
        <v>8</v>
      </c>
      <c r="J4857" t="str">
        <f t="shared" si="302"/>
        <v>Aug</v>
      </c>
      <c r="K4857" t="str">
        <f t="shared" si="303"/>
        <v>Mon</v>
      </c>
    </row>
    <row r="4858" spans="1:11" x14ac:dyDescent="0.35">
      <c r="A4858" s="1">
        <v>42612</v>
      </c>
      <c r="B4858">
        <v>38.552501678466797</v>
      </c>
      <c r="C4858">
        <v>38.591999053955</v>
      </c>
      <c r="D4858">
        <v>38.277999877929602</v>
      </c>
      <c r="E4858">
        <v>38.379001617431598</v>
      </c>
      <c r="F4858">
        <v>38.379001617431598</v>
      </c>
      <c r="G4858">
        <v>34184000</v>
      </c>
      <c r="H4858">
        <f t="shared" si="300"/>
        <v>2016</v>
      </c>
      <c r="I4858">
        <f t="shared" si="301"/>
        <v>8</v>
      </c>
      <c r="J4858" t="str">
        <f t="shared" si="302"/>
        <v>Aug</v>
      </c>
      <c r="K4858" t="str">
        <f t="shared" si="303"/>
        <v>Tue</v>
      </c>
    </row>
    <row r="4859" spans="1:11" x14ac:dyDescent="0.35">
      <c r="A4859" s="1">
        <v>42613</v>
      </c>
      <c r="B4859">
        <v>38.330001831054602</v>
      </c>
      <c r="C4859">
        <v>38.481998443603501</v>
      </c>
      <c r="D4859">
        <v>38.200000762939403</v>
      </c>
      <c r="E4859">
        <v>38.458000183105398</v>
      </c>
      <c r="F4859">
        <v>38.458000183105398</v>
      </c>
      <c r="G4859">
        <v>32676000</v>
      </c>
      <c r="H4859">
        <f t="shared" si="300"/>
        <v>2016</v>
      </c>
      <c r="I4859">
        <f t="shared" si="301"/>
        <v>8</v>
      </c>
      <c r="J4859" t="str">
        <f t="shared" si="302"/>
        <v>Aug</v>
      </c>
      <c r="K4859" t="str">
        <f t="shared" si="303"/>
        <v>Wed</v>
      </c>
    </row>
    <row r="4860" spans="1:11" x14ac:dyDescent="0.35">
      <c r="A4860" s="1">
        <v>42614</v>
      </c>
      <c r="B4860">
        <v>38.544998168945298</v>
      </c>
      <c r="C4860">
        <v>38.602001190185497</v>
      </c>
      <c r="D4860">
        <v>38.337501525878899</v>
      </c>
      <c r="E4860">
        <v>38.530998229980398</v>
      </c>
      <c r="F4860">
        <v>38.530998229980398</v>
      </c>
      <c r="G4860">
        <v>35846000</v>
      </c>
      <c r="H4860">
        <f t="shared" si="300"/>
        <v>2016</v>
      </c>
      <c r="I4860">
        <f t="shared" si="301"/>
        <v>9</v>
      </c>
      <c r="J4860" t="str">
        <f t="shared" si="302"/>
        <v>Sep</v>
      </c>
      <c r="K4860" t="str">
        <f t="shared" si="303"/>
        <v>Thu</v>
      </c>
    </row>
    <row r="4861" spans="1:11" x14ac:dyDescent="0.35">
      <c r="A4861" s="1">
        <v>42615</v>
      </c>
      <c r="B4861">
        <v>38.705501556396399</v>
      </c>
      <c r="C4861">
        <v>38.799999237060497</v>
      </c>
      <c r="D4861">
        <v>38.584999084472599</v>
      </c>
      <c r="E4861">
        <v>38.622001647949197</v>
      </c>
      <c r="F4861">
        <v>38.622001647949197</v>
      </c>
      <c r="G4861">
        <v>43636000</v>
      </c>
      <c r="H4861">
        <f t="shared" si="300"/>
        <v>2016</v>
      </c>
      <c r="I4861">
        <f t="shared" si="301"/>
        <v>9</v>
      </c>
      <c r="J4861" t="str">
        <f t="shared" si="302"/>
        <v>Sep</v>
      </c>
      <c r="K4861" t="str">
        <f t="shared" si="303"/>
        <v>Fri</v>
      </c>
    </row>
    <row r="4862" spans="1:11" x14ac:dyDescent="0.35">
      <c r="A4862" s="1">
        <v>42619</v>
      </c>
      <c r="B4862">
        <v>38.701999664306598</v>
      </c>
      <c r="C4862">
        <v>39.4739990234375</v>
      </c>
      <c r="D4862">
        <v>38.511001586913999</v>
      </c>
      <c r="E4862">
        <v>39.4435005187988</v>
      </c>
      <c r="F4862">
        <v>39.4435005187988</v>
      </c>
      <c r="G4862">
        <v>74396000</v>
      </c>
      <c r="H4862">
        <f t="shared" si="300"/>
        <v>2016</v>
      </c>
      <c r="I4862">
        <f t="shared" si="301"/>
        <v>9</v>
      </c>
      <c r="J4862" t="str">
        <f t="shared" si="302"/>
        <v>Sep</v>
      </c>
      <c r="K4862" t="str">
        <f t="shared" si="303"/>
        <v>Tue</v>
      </c>
    </row>
    <row r="4863" spans="1:11" x14ac:dyDescent="0.35">
      <c r="A4863" s="1">
        <v>42620</v>
      </c>
      <c r="B4863">
        <v>39.4765014648437</v>
      </c>
      <c r="C4863">
        <v>39.539501190185497</v>
      </c>
      <c r="D4863">
        <v>39.216499328613203</v>
      </c>
      <c r="E4863">
        <v>39.2239990234375</v>
      </c>
      <c r="F4863">
        <v>39.2239990234375</v>
      </c>
      <c r="G4863">
        <v>48492000</v>
      </c>
      <c r="H4863">
        <f t="shared" si="300"/>
        <v>2016</v>
      </c>
      <c r="I4863">
        <f t="shared" si="301"/>
        <v>9</v>
      </c>
      <c r="J4863" t="str">
        <f t="shared" si="302"/>
        <v>Sep</v>
      </c>
      <c r="K4863" t="str">
        <f t="shared" si="303"/>
        <v>Wed</v>
      </c>
    </row>
    <row r="4864" spans="1:11" x14ac:dyDescent="0.35">
      <c r="A4864" s="1">
        <v>42621</v>
      </c>
      <c r="B4864">
        <v>39.194499969482401</v>
      </c>
      <c r="C4864">
        <v>39.325000762939403</v>
      </c>
      <c r="D4864">
        <v>39.071998596191399</v>
      </c>
      <c r="E4864">
        <v>39.202999114990199</v>
      </c>
      <c r="F4864">
        <v>39.202999114990199</v>
      </c>
      <c r="G4864">
        <v>40610000</v>
      </c>
      <c r="H4864">
        <f t="shared" si="300"/>
        <v>2016</v>
      </c>
      <c r="I4864">
        <f t="shared" si="301"/>
        <v>9</v>
      </c>
      <c r="J4864" t="str">
        <f t="shared" si="302"/>
        <v>Sep</v>
      </c>
      <c r="K4864" t="str">
        <f t="shared" si="303"/>
        <v>Thu</v>
      </c>
    </row>
    <row r="4865" spans="1:11" x14ac:dyDescent="0.35">
      <c r="A4865" s="1">
        <v>42622</v>
      </c>
      <c r="B4865">
        <v>38.967998504638601</v>
      </c>
      <c r="C4865">
        <v>39.049999237060497</v>
      </c>
      <c r="D4865">
        <v>38.005500793457003</v>
      </c>
      <c r="E4865">
        <v>38.006999969482401</v>
      </c>
      <c r="F4865">
        <v>38.006999969482401</v>
      </c>
      <c r="G4865">
        <v>85146000</v>
      </c>
      <c r="H4865">
        <f t="shared" si="300"/>
        <v>2016</v>
      </c>
      <c r="I4865">
        <f t="shared" si="301"/>
        <v>9</v>
      </c>
      <c r="J4865" t="str">
        <f t="shared" si="302"/>
        <v>Sep</v>
      </c>
      <c r="K4865" t="str">
        <f t="shared" si="303"/>
        <v>Fri</v>
      </c>
    </row>
    <row r="4866" spans="1:11" x14ac:dyDescent="0.35">
      <c r="A4866" s="1">
        <v>42625</v>
      </c>
      <c r="B4866">
        <v>37.867500305175703</v>
      </c>
      <c r="C4866">
        <v>38.632999420166001</v>
      </c>
      <c r="D4866">
        <v>37.799999237060497</v>
      </c>
      <c r="E4866">
        <v>38.574501037597599</v>
      </c>
      <c r="F4866">
        <v>38.574501037597599</v>
      </c>
      <c r="G4866">
        <v>62494000</v>
      </c>
      <c r="H4866">
        <f t="shared" si="300"/>
        <v>2016</v>
      </c>
      <c r="I4866">
        <f t="shared" si="301"/>
        <v>9</v>
      </c>
      <c r="J4866" t="str">
        <f t="shared" si="302"/>
        <v>Sep</v>
      </c>
      <c r="K4866" t="str">
        <f t="shared" si="303"/>
        <v>Mon</v>
      </c>
    </row>
    <row r="4867" spans="1:11" x14ac:dyDescent="0.35">
      <c r="A4867" s="1">
        <v>42626</v>
      </c>
      <c r="B4867">
        <v>38.438499450683501</v>
      </c>
      <c r="C4867">
        <v>38.494499206542898</v>
      </c>
      <c r="D4867">
        <v>37.952499389648402</v>
      </c>
      <c r="E4867">
        <v>38.050498962402301</v>
      </c>
      <c r="F4867">
        <v>38.050498962402301</v>
      </c>
      <c r="G4867">
        <v>62344000</v>
      </c>
      <c r="H4867">
        <f t="shared" si="300"/>
        <v>2016</v>
      </c>
      <c r="I4867">
        <f t="shared" si="301"/>
        <v>9</v>
      </c>
      <c r="J4867" t="str">
        <f t="shared" si="302"/>
        <v>Sep</v>
      </c>
      <c r="K4867" t="str">
        <f t="shared" si="303"/>
        <v>Tue</v>
      </c>
    </row>
    <row r="4868" spans="1:11" x14ac:dyDescent="0.35">
      <c r="A4868" s="1">
        <v>42627</v>
      </c>
      <c r="B4868">
        <v>38.110000610351499</v>
      </c>
      <c r="C4868">
        <v>38.375</v>
      </c>
      <c r="D4868">
        <v>37.942501068115199</v>
      </c>
      <c r="E4868">
        <v>38.054500579833899</v>
      </c>
      <c r="F4868">
        <v>38.054500579833899</v>
      </c>
      <c r="G4868">
        <v>50460000</v>
      </c>
      <c r="H4868">
        <f t="shared" ref="H4868:H4931" si="304">YEAR($A4868)</f>
        <v>2016</v>
      </c>
      <c r="I4868">
        <f t="shared" ref="I4868:I4931" si="305">MONTH($A4868)</f>
        <v>9</v>
      </c>
      <c r="J4868" t="str">
        <f t="shared" ref="J4868:J4931" si="306">TEXT($A4868,"mmm")</f>
        <v>Sep</v>
      </c>
      <c r="K4868" t="str">
        <f t="shared" ref="K4868:K4931" si="307">TEXT($A4868,"ddd")</f>
        <v>Wed</v>
      </c>
    </row>
    <row r="4869" spans="1:11" x14ac:dyDescent="0.35">
      <c r="A4869" s="1">
        <v>42628</v>
      </c>
      <c r="B4869">
        <v>38.099998474121001</v>
      </c>
      <c r="C4869">
        <v>38.543498992919901</v>
      </c>
      <c r="D4869">
        <v>37.879001617431598</v>
      </c>
      <c r="E4869">
        <v>38.484500885009702</v>
      </c>
      <c r="F4869">
        <v>38.484500885009702</v>
      </c>
      <c r="G4869">
        <v>60680000</v>
      </c>
      <c r="H4869">
        <f t="shared" si="304"/>
        <v>2016</v>
      </c>
      <c r="I4869">
        <f t="shared" si="305"/>
        <v>9</v>
      </c>
      <c r="J4869" t="str">
        <f t="shared" si="306"/>
        <v>Sep</v>
      </c>
      <c r="K4869" t="str">
        <f t="shared" si="307"/>
        <v>Thu</v>
      </c>
    </row>
    <row r="4870" spans="1:11" x14ac:dyDescent="0.35">
      <c r="A4870" s="1">
        <v>42629</v>
      </c>
      <c r="B4870">
        <v>38.6640014648437</v>
      </c>
      <c r="C4870">
        <v>39.022998809814403</v>
      </c>
      <c r="D4870">
        <v>38.583000183105398</v>
      </c>
      <c r="E4870">
        <v>38.925998687744098</v>
      </c>
      <c r="F4870">
        <v>38.925998687744098</v>
      </c>
      <c r="G4870">
        <v>109984000</v>
      </c>
      <c r="H4870">
        <f t="shared" si="304"/>
        <v>2016</v>
      </c>
      <c r="I4870">
        <f t="shared" si="305"/>
        <v>9</v>
      </c>
      <c r="J4870" t="str">
        <f t="shared" si="306"/>
        <v>Sep</v>
      </c>
      <c r="K4870" t="str">
        <f t="shared" si="307"/>
        <v>Fri</v>
      </c>
    </row>
    <row r="4871" spans="1:11" x14ac:dyDescent="0.35">
      <c r="A4871" s="1">
        <v>42632</v>
      </c>
      <c r="B4871">
        <v>38.998500823974602</v>
      </c>
      <c r="C4871">
        <v>39.097000122070298</v>
      </c>
      <c r="D4871">
        <v>38.549999237060497</v>
      </c>
      <c r="E4871">
        <v>38.755001068115199</v>
      </c>
      <c r="F4871">
        <v>38.755001068115199</v>
      </c>
      <c r="G4871">
        <v>45944000</v>
      </c>
      <c r="H4871">
        <f t="shared" si="304"/>
        <v>2016</v>
      </c>
      <c r="I4871">
        <f t="shared" si="305"/>
        <v>9</v>
      </c>
      <c r="J4871" t="str">
        <f t="shared" si="306"/>
        <v>Sep</v>
      </c>
      <c r="K4871" t="str">
        <f t="shared" si="307"/>
        <v>Mon</v>
      </c>
    </row>
    <row r="4872" spans="1:11" x14ac:dyDescent="0.35">
      <c r="A4872" s="1">
        <v>42633</v>
      </c>
      <c r="B4872">
        <v>38.799999237060497</v>
      </c>
      <c r="C4872">
        <v>39.0685005187988</v>
      </c>
      <c r="D4872">
        <v>38.799999237060497</v>
      </c>
      <c r="E4872">
        <v>39.011001586913999</v>
      </c>
      <c r="F4872">
        <v>39.011001586913999</v>
      </c>
      <c r="G4872">
        <v>38744000</v>
      </c>
      <c r="H4872">
        <f t="shared" si="304"/>
        <v>2016</v>
      </c>
      <c r="I4872">
        <f t="shared" si="305"/>
        <v>9</v>
      </c>
      <c r="J4872" t="str">
        <f t="shared" si="306"/>
        <v>Sep</v>
      </c>
      <c r="K4872" t="str">
        <f t="shared" si="307"/>
        <v>Tue</v>
      </c>
    </row>
    <row r="4873" spans="1:11" x14ac:dyDescent="0.35">
      <c r="A4873" s="1">
        <v>42634</v>
      </c>
      <c r="B4873">
        <v>39.162498474121001</v>
      </c>
      <c r="C4873">
        <v>39.534500122070298</v>
      </c>
      <c r="D4873">
        <v>38.9505004882812</v>
      </c>
      <c r="E4873">
        <v>39.4869995117187</v>
      </c>
      <c r="F4873">
        <v>39.4869995117187</v>
      </c>
      <c r="G4873">
        <v>54372000</v>
      </c>
      <c r="H4873">
        <f t="shared" si="304"/>
        <v>2016</v>
      </c>
      <c r="I4873">
        <f t="shared" si="305"/>
        <v>9</v>
      </c>
      <c r="J4873" t="str">
        <f t="shared" si="306"/>
        <v>Sep</v>
      </c>
      <c r="K4873" t="str">
        <f t="shared" si="307"/>
        <v>Wed</v>
      </c>
    </row>
    <row r="4874" spans="1:11" x14ac:dyDescent="0.35">
      <c r="A4874" s="1">
        <v>42635</v>
      </c>
      <c r="B4874">
        <v>39.7135009765625</v>
      </c>
      <c r="C4874">
        <v>40.294498443603501</v>
      </c>
      <c r="D4874">
        <v>39.7135009765625</v>
      </c>
      <c r="E4874">
        <v>40.235000610351499</v>
      </c>
      <c r="F4874">
        <v>40.235000610351499</v>
      </c>
      <c r="G4874">
        <v>81578000</v>
      </c>
      <c r="H4874">
        <f t="shared" si="304"/>
        <v>2016</v>
      </c>
      <c r="I4874">
        <f t="shared" si="305"/>
        <v>9</v>
      </c>
      <c r="J4874" t="str">
        <f t="shared" si="306"/>
        <v>Sep</v>
      </c>
      <c r="K4874" t="str">
        <f t="shared" si="307"/>
        <v>Thu</v>
      </c>
    </row>
    <row r="4875" spans="1:11" x14ac:dyDescent="0.35">
      <c r="A4875" s="1">
        <v>42636</v>
      </c>
      <c r="B4875">
        <v>40.156501770019503</v>
      </c>
      <c r="C4875">
        <v>40.387500762939403</v>
      </c>
      <c r="D4875">
        <v>40.105998992919901</v>
      </c>
      <c r="E4875">
        <v>40.287498474121001</v>
      </c>
      <c r="F4875">
        <v>40.287498474121001</v>
      </c>
      <c r="G4875">
        <v>47070000</v>
      </c>
      <c r="H4875">
        <f t="shared" si="304"/>
        <v>2016</v>
      </c>
      <c r="I4875">
        <f t="shared" si="305"/>
        <v>9</v>
      </c>
      <c r="J4875" t="str">
        <f t="shared" si="306"/>
        <v>Sep</v>
      </c>
      <c r="K4875" t="str">
        <f t="shared" si="307"/>
        <v>Fri</v>
      </c>
    </row>
    <row r="4876" spans="1:11" x14ac:dyDescent="0.35">
      <c r="A4876" s="1">
        <v>42639</v>
      </c>
      <c r="B4876">
        <v>40.090000152587798</v>
      </c>
      <c r="C4876">
        <v>40.296501159667898</v>
      </c>
      <c r="D4876">
        <v>39.857498168945298</v>
      </c>
      <c r="E4876">
        <v>39.958000183105398</v>
      </c>
      <c r="F4876">
        <v>39.958000183105398</v>
      </c>
      <c r="G4876">
        <v>53028000</v>
      </c>
      <c r="H4876">
        <f t="shared" si="304"/>
        <v>2016</v>
      </c>
      <c r="I4876">
        <f t="shared" si="305"/>
        <v>9</v>
      </c>
      <c r="J4876" t="str">
        <f t="shared" si="306"/>
        <v>Sep</v>
      </c>
      <c r="K4876" t="str">
        <f t="shared" si="307"/>
        <v>Mon</v>
      </c>
    </row>
    <row r="4877" spans="1:11" x14ac:dyDescent="0.35">
      <c r="A4877" s="1">
        <v>42640</v>
      </c>
      <c r="B4877">
        <v>40.092498779296797</v>
      </c>
      <c r="C4877">
        <v>40.832000732421797</v>
      </c>
      <c r="D4877">
        <v>40.0555000305175</v>
      </c>
      <c r="E4877">
        <v>40.8055000305175</v>
      </c>
      <c r="F4877">
        <v>40.8055000305175</v>
      </c>
      <c r="G4877">
        <v>76392000</v>
      </c>
      <c r="H4877">
        <f t="shared" si="304"/>
        <v>2016</v>
      </c>
      <c r="I4877">
        <f t="shared" si="305"/>
        <v>9</v>
      </c>
      <c r="J4877" t="str">
        <f t="shared" si="306"/>
        <v>Sep</v>
      </c>
      <c r="K4877" t="str">
        <f t="shared" si="307"/>
        <v>Tue</v>
      </c>
    </row>
    <row r="4878" spans="1:11" x14ac:dyDescent="0.35">
      <c r="A4878" s="1">
        <v>42641</v>
      </c>
      <c r="B4878">
        <v>40.900001525878899</v>
      </c>
      <c r="C4878">
        <v>41.506999969482401</v>
      </c>
      <c r="D4878">
        <v>40.8515014648437</v>
      </c>
      <c r="E4878">
        <v>41.436000823974602</v>
      </c>
      <c r="F4878">
        <v>41.436000823974602</v>
      </c>
      <c r="G4878">
        <v>88442000</v>
      </c>
      <c r="H4878">
        <f t="shared" si="304"/>
        <v>2016</v>
      </c>
      <c r="I4878">
        <f t="shared" si="305"/>
        <v>9</v>
      </c>
      <c r="J4878" t="str">
        <f t="shared" si="306"/>
        <v>Sep</v>
      </c>
      <c r="K4878" t="str">
        <f t="shared" si="307"/>
        <v>Wed</v>
      </c>
    </row>
    <row r="4879" spans="1:11" x14ac:dyDescent="0.35">
      <c r="A4879" s="1">
        <v>42642</v>
      </c>
      <c r="B4879">
        <v>41.412998199462798</v>
      </c>
      <c r="C4879">
        <v>41.875</v>
      </c>
      <c r="D4879">
        <v>41.231498718261697</v>
      </c>
      <c r="E4879">
        <v>41.452499389648402</v>
      </c>
      <c r="F4879">
        <v>41.452499389648402</v>
      </c>
      <c r="G4879">
        <v>98444000</v>
      </c>
      <c r="H4879">
        <f t="shared" si="304"/>
        <v>2016</v>
      </c>
      <c r="I4879">
        <f t="shared" si="305"/>
        <v>9</v>
      </c>
      <c r="J4879" t="str">
        <f t="shared" si="306"/>
        <v>Sep</v>
      </c>
      <c r="K4879" t="str">
        <f t="shared" si="307"/>
        <v>Thu</v>
      </c>
    </row>
    <row r="4880" spans="1:11" x14ac:dyDescent="0.35">
      <c r="A4880" s="1">
        <v>42643</v>
      </c>
      <c r="B4880">
        <v>41.630500793457003</v>
      </c>
      <c r="C4880">
        <v>41.997501373291001</v>
      </c>
      <c r="D4880">
        <v>41.619998931884702</v>
      </c>
      <c r="E4880">
        <v>41.865501403808501</v>
      </c>
      <c r="F4880">
        <v>41.865501403808501</v>
      </c>
      <c r="G4880">
        <v>88612000</v>
      </c>
      <c r="H4880">
        <f t="shared" si="304"/>
        <v>2016</v>
      </c>
      <c r="I4880">
        <f t="shared" si="305"/>
        <v>9</v>
      </c>
      <c r="J4880" t="str">
        <f t="shared" si="306"/>
        <v>Sep</v>
      </c>
      <c r="K4880" t="str">
        <f t="shared" si="307"/>
        <v>Fri</v>
      </c>
    </row>
    <row r="4881" spans="1:11" x14ac:dyDescent="0.35">
      <c r="A4881" s="1">
        <v>42646</v>
      </c>
      <c r="B4881">
        <v>41.799999237060497</v>
      </c>
      <c r="C4881">
        <v>41.9930000305175</v>
      </c>
      <c r="D4881">
        <v>41.5625</v>
      </c>
      <c r="E4881">
        <v>41.837001800537102</v>
      </c>
      <c r="F4881">
        <v>41.837001800537102</v>
      </c>
      <c r="G4881">
        <v>55388000</v>
      </c>
      <c r="H4881">
        <f t="shared" si="304"/>
        <v>2016</v>
      </c>
      <c r="I4881">
        <f t="shared" si="305"/>
        <v>10</v>
      </c>
      <c r="J4881" t="str">
        <f t="shared" si="306"/>
        <v>Oct</v>
      </c>
      <c r="K4881" t="str">
        <f t="shared" si="307"/>
        <v>Mon</v>
      </c>
    </row>
    <row r="4882" spans="1:11" x14ac:dyDescent="0.35">
      <c r="A4882" s="1">
        <v>42647</v>
      </c>
      <c r="B4882">
        <v>42.045501708984297</v>
      </c>
      <c r="C4882">
        <v>42.118499755859297</v>
      </c>
      <c r="D4882">
        <v>41.5130004882812</v>
      </c>
      <c r="E4882">
        <v>41.701499938964801</v>
      </c>
      <c r="F4882">
        <v>41.701499938964801</v>
      </c>
      <c r="G4882">
        <v>59006000</v>
      </c>
      <c r="H4882">
        <f t="shared" si="304"/>
        <v>2016</v>
      </c>
      <c r="I4882">
        <f t="shared" si="305"/>
        <v>10</v>
      </c>
      <c r="J4882" t="str">
        <f t="shared" si="306"/>
        <v>Oct</v>
      </c>
      <c r="K4882" t="str">
        <f t="shared" si="307"/>
        <v>Tue</v>
      </c>
    </row>
    <row r="4883" spans="1:11" x14ac:dyDescent="0.35">
      <c r="A4883" s="1">
        <v>42648</v>
      </c>
      <c r="B4883">
        <v>41.900001525878899</v>
      </c>
      <c r="C4883">
        <v>42.283500671386697</v>
      </c>
      <c r="D4883">
        <v>41.805999755859297</v>
      </c>
      <c r="E4883">
        <v>42.217998504638601</v>
      </c>
      <c r="F4883">
        <v>42.217998504638601</v>
      </c>
      <c r="G4883">
        <v>69382000</v>
      </c>
      <c r="H4883">
        <f t="shared" si="304"/>
        <v>2016</v>
      </c>
      <c r="I4883">
        <f t="shared" si="305"/>
        <v>10</v>
      </c>
      <c r="J4883" t="str">
        <f t="shared" si="306"/>
        <v>Oct</v>
      </c>
      <c r="K4883" t="str">
        <f t="shared" si="307"/>
        <v>Wed</v>
      </c>
    </row>
    <row r="4884" spans="1:11" x14ac:dyDescent="0.35">
      <c r="A4884" s="1">
        <v>42649</v>
      </c>
      <c r="B4884">
        <v>42.185001373291001</v>
      </c>
      <c r="C4884">
        <v>42.360500335693303</v>
      </c>
      <c r="D4884">
        <v>42.029998779296797</v>
      </c>
      <c r="E4884">
        <v>42.083000183105398</v>
      </c>
      <c r="F4884">
        <v>42.083000183105398</v>
      </c>
      <c r="G4884">
        <v>53680000</v>
      </c>
      <c r="H4884">
        <f t="shared" si="304"/>
        <v>2016</v>
      </c>
      <c r="I4884">
        <f t="shared" si="305"/>
        <v>10</v>
      </c>
      <c r="J4884" t="str">
        <f t="shared" si="306"/>
        <v>Oct</v>
      </c>
      <c r="K4884" t="str">
        <f t="shared" si="307"/>
        <v>Thu</v>
      </c>
    </row>
    <row r="4885" spans="1:11" x14ac:dyDescent="0.35">
      <c r="A4885" s="1">
        <v>42650</v>
      </c>
      <c r="B4885">
        <v>42.289501190185497</v>
      </c>
      <c r="C4885">
        <v>42.297500610351499</v>
      </c>
      <c r="D4885">
        <v>41.872501373291001</v>
      </c>
      <c r="E4885">
        <v>41.971500396728501</v>
      </c>
      <c r="F4885">
        <v>41.971500396728501</v>
      </c>
      <c r="G4885">
        <v>48524000</v>
      </c>
      <c r="H4885">
        <f t="shared" si="304"/>
        <v>2016</v>
      </c>
      <c r="I4885">
        <f t="shared" si="305"/>
        <v>10</v>
      </c>
      <c r="J4885" t="str">
        <f t="shared" si="306"/>
        <v>Oct</v>
      </c>
      <c r="K4885" t="str">
        <f t="shared" si="307"/>
        <v>Fri</v>
      </c>
    </row>
    <row r="4886" spans="1:11" x14ac:dyDescent="0.35">
      <c r="A4886" s="1">
        <v>42653</v>
      </c>
      <c r="B4886">
        <v>42.162498474121001</v>
      </c>
      <c r="C4886">
        <v>42.259998321533203</v>
      </c>
      <c r="D4886">
        <v>42.013500213622997</v>
      </c>
      <c r="E4886">
        <v>42.085498809814403</v>
      </c>
      <c r="F4886">
        <v>42.085498809814403</v>
      </c>
      <c r="G4886">
        <v>36542000</v>
      </c>
      <c r="H4886">
        <f t="shared" si="304"/>
        <v>2016</v>
      </c>
      <c r="I4886">
        <f t="shared" si="305"/>
        <v>10</v>
      </c>
      <c r="J4886" t="str">
        <f t="shared" si="306"/>
        <v>Oct</v>
      </c>
      <c r="K4886" t="str">
        <f t="shared" si="307"/>
        <v>Mon</v>
      </c>
    </row>
    <row r="4887" spans="1:11" x14ac:dyDescent="0.35">
      <c r="A4887" s="1">
        <v>42654</v>
      </c>
      <c r="B4887">
        <v>42.050998687744098</v>
      </c>
      <c r="C4887">
        <v>42.064498901367102</v>
      </c>
      <c r="D4887">
        <v>41.4174995422363</v>
      </c>
      <c r="E4887">
        <v>41.549999237060497</v>
      </c>
      <c r="F4887">
        <v>41.549999237060497</v>
      </c>
      <c r="G4887">
        <v>71764000</v>
      </c>
      <c r="H4887">
        <f t="shared" si="304"/>
        <v>2016</v>
      </c>
      <c r="I4887">
        <f t="shared" si="305"/>
        <v>10</v>
      </c>
      <c r="J4887" t="str">
        <f t="shared" si="306"/>
        <v>Oct</v>
      </c>
      <c r="K4887" t="str">
        <f t="shared" si="307"/>
        <v>Tue</v>
      </c>
    </row>
    <row r="4888" spans="1:11" x14ac:dyDescent="0.35">
      <c r="A4888" s="1">
        <v>42655</v>
      </c>
      <c r="B4888">
        <v>41.700000762939403</v>
      </c>
      <c r="C4888">
        <v>41.883499145507798</v>
      </c>
      <c r="D4888">
        <v>41.505001068115199</v>
      </c>
      <c r="E4888">
        <v>41.704498291015597</v>
      </c>
      <c r="F4888">
        <v>41.704498291015597</v>
      </c>
      <c r="G4888">
        <v>47608000</v>
      </c>
      <c r="H4888">
        <f t="shared" si="304"/>
        <v>2016</v>
      </c>
      <c r="I4888">
        <f t="shared" si="305"/>
        <v>10</v>
      </c>
      <c r="J4888" t="str">
        <f t="shared" si="306"/>
        <v>Oct</v>
      </c>
      <c r="K4888" t="str">
        <f t="shared" si="307"/>
        <v>Wed</v>
      </c>
    </row>
    <row r="4889" spans="1:11" x14ac:dyDescent="0.35">
      <c r="A4889" s="1">
        <v>42656</v>
      </c>
      <c r="B4889">
        <v>41.450000762939403</v>
      </c>
      <c r="C4889">
        <v>41.590000152587798</v>
      </c>
      <c r="D4889">
        <v>41.060501098632798</v>
      </c>
      <c r="E4889">
        <v>41.464000701904297</v>
      </c>
      <c r="F4889">
        <v>41.464000701904297</v>
      </c>
      <c r="G4889">
        <v>61828000</v>
      </c>
      <c r="H4889">
        <f t="shared" si="304"/>
        <v>2016</v>
      </c>
      <c r="I4889">
        <f t="shared" si="305"/>
        <v>10</v>
      </c>
      <c r="J4889" t="str">
        <f t="shared" si="306"/>
        <v>Oct</v>
      </c>
      <c r="K4889" t="str">
        <f t="shared" si="307"/>
        <v>Thu</v>
      </c>
    </row>
    <row r="4890" spans="1:11" x14ac:dyDescent="0.35">
      <c r="A4890" s="1">
        <v>42657</v>
      </c>
      <c r="B4890">
        <v>41.754001617431598</v>
      </c>
      <c r="C4890">
        <v>41.786998748779297</v>
      </c>
      <c r="D4890">
        <v>41.147998809814403</v>
      </c>
      <c r="E4890">
        <v>41.147998809814403</v>
      </c>
      <c r="F4890">
        <v>41.147998809814403</v>
      </c>
      <c r="G4890">
        <v>59996000</v>
      </c>
      <c r="H4890">
        <f t="shared" si="304"/>
        <v>2016</v>
      </c>
      <c r="I4890">
        <f t="shared" si="305"/>
        <v>10</v>
      </c>
      <c r="J4890" t="str">
        <f t="shared" si="306"/>
        <v>Oct</v>
      </c>
      <c r="K4890" t="str">
        <f t="shared" si="307"/>
        <v>Fri</v>
      </c>
    </row>
    <row r="4891" spans="1:11" x14ac:dyDescent="0.35">
      <c r="A4891" s="1">
        <v>42660</v>
      </c>
      <c r="B4891">
        <v>41.075000762939403</v>
      </c>
      <c r="C4891">
        <v>41.099998474121001</v>
      </c>
      <c r="D4891">
        <v>40.583999633788999</v>
      </c>
      <c r="E4891">
        <v>40.647499084472599</v>
      </c>
      <c r="F4891">
        <v>40.647499084472599</v>
      </c>
      <c r="G4891">
        <v>67230000</v>
      </c>
      <c r="H4891">
        <f t="shared" si="304"/>
        <v>2016</v>
      </c>
      <c r="I4891">
        <f t="shared" si="305"/>
        <v>10</v>
      </c>
      <c r="J4891" t="str">
        <f t="shared" si="306"/>
        <v>Oct</v>
      </c>
      <c r="K4891" t="str">
        <f t="shared" si="307"/>
        <v>Mon</v>
      </c>
    </row>
    <row r="4892" spans="1:11" x14ac:dyDescent="0.35">
      <c r="A4892" s="1">
        <v>42661</v>
      </c>
      <c r="B4892">
        <v>41.105499267578097</v>
      </c>
      <c r="C4892">
        <v>41.162998199462798</v>
      </c>
      <c r="D4892">
        <v>40.750999450683501</v>
      </c>
      <c r="E4892">
        <v>40.882499694824197</v>
      </c>
      <c r="F4892">
        <v>40.882499694824197</v>
      </c>
      <c r="G4892">
        <v>50250000</v>
      </c>
      <c r="H4892">
        <f t="shared" si="304"/>
        <v>2016</v>
      </c>
      <c r="I4892">
        <f t="shared" si="305"/>
        <v>10</v>
      </c>
      <c r="J4892" t="str">
        <f t="shared" si="306"/>
        <v>Oct</v>
      </c>
      <c r="K4892" t="str">
        <f t="shared" si="307"/>
        <v>Tue</v>
      </c>
    </row>
    <row r="4893" spans="1:11" x14ac:dyDescent="0.35">
      <c r="A4893" s="1">
        <v>42662</v>
      </c>
      <c r="B4893">
        <v>41.020000457763601</v>
      </c>
      <c r="C4893">
        <v>41.033500671386697</v>
      </c>
      <c r="D4893">
        <v>40.758499145507798</v>
      </c>
      <c r="E4893">
        <v>40.884498596191399</v>
      </c>
      <c r="F4893">
        <v>40.884498596191399</v>
      </c>
      <c r="G4893">
        <v>41814000</v>
      </c>
      <c r="H4893">
        <f t="shared" si="304"/>
        <v>2016</v>
      </c>
      <c r="I4893">
        <f t="shared" si="305"/>
        <v>10</v>
      </c>
      <c r="J4893" t="str">
        <f t="shared" si="306"/>
        <v>Oct</v>
      </c>
      <c r="K4893" t="str">
        <f t="shared" si="307"/>
        <v>Wed</v>
      </c>
    </row>
    <row r="4894" spans="1:11" x14ac:dyDescent="0.35">
      <c r="A4894" s="1">
        <v>42663</v>
      </c>
      <c r="B4894">
        <v>40.699501037597599</v>
      </c>
      <c r="C4894">
        <v>40.785499572753899</v>
      </c>
      <c r="D4894">
        <v>40.154998779296797</v>
      </c>
      <c r="E4894">
        <v>40.515998840332003</v>
      </c>
      <c r="F4894">
        <v>40.515998840332003</v>
      </c>
      <c r="G4894">
        <v>63040000</v>
      </c>
      <c r="H4894">
        <f t="shared" si="304"/>
        <v>2016</v>
      </c>
      <c r="I4894">
        <f t="shared" si="305"/>
        <v>10</v>
      </c>
      <c r="J4894" t="str">
        <f t="shared" si="306"/>
        <v>Oct</v>
      </c>
      <c r="K4894" t="str">
        <f t="shared" si="307"/>
        <v>Thu</v>
      </c>
    </row>
    <row r="4895" spans="1:11" x14ac:dyDescent="0.35">
      <c r="A4895" s="1">
        <v>42664</v>
      </c>
      <c r="B4895">
        <v>40.467998504638601</v>
      </c>
      <c r="C4895">
        <v>40.971000671386697</v>
      </c>
      <c r="D4895">
        <v>40.450000762939403</v>
      </c>
      <c r="E4895">
        <v>40.949501037597599</v>
      </c>
      <c r="F4895">
        <v>40.949501037597599</v>
      </c>
      <c r="G4895">
        <v>55860000</v>
      </c>
      <c r="H4895">
        <f t="shared" si="304"/>
        <v>2016</v>
      </c>
      <c r="I4895">
        <f t="shared" si="305"/>
        <v>10</v>
      </c>
      <c r="J4895" t="str">
        <f t="shared" si="306"/>
        <v>Oct</v>
      </c>
      <c r="K4895" t="str">
        <f t="shared" si="307"/>
        <v>Fri</v>
      </c>
    </row>
    <row r="4896" spans="1:11" x14ac:dyDescent="0.35">
      <c r="A4896" s="1">
        <v>42667</v>
      </c>
      <c r="B4896">
        <v>41.247501373291001</v>
      </c>
      <c r="C4896">
        <v>41.915000915527301</v>
      </c>
      <c r="D4896">
        <v>41.110500335693303</v>
      </c>
      <c r="E4896">
        <v>41.904499053955</v>
      </c>
      <c r="F4896">
        <v>41.904499053955</v>
      </c>
      <c r="G4896">
        <v>81218000</v>
      </c>
      <c r="H4896">
        <f t="shared" si="304"/>
        <v>2016</v>
      </c>
      <c r="I4896">
        <f t="shared" si="305"/>
        <v>10</v>
      </c>
      <c r="J4896" t="str">
        <f t="shared" si="306"/>
        <v>Oct</v>
      </c>
      <c r="K4896" t="str">
        <f t="shared" si="307"/>
        <v>Mon</v>
      </c>
    </row>
    <row r="4897" spans="1:11" x14ac:dyDescent="0.35">
      <c r="A4897" s="1">
        <v>42668</v>
      </c>
      <c r="B4897">
        <v>41.965000152587798</v>
      </c>
      <c r="C4897">
        <v>42.154499053955</v>
      </c>
      <c r="D4897">
        <v>41.660999298095703</v>
      </c>
      <c r="E4897">
        <v>41.758998870849602</v>
      </c>
      <c r="F4897">
        <v>41.758998870849602</v>
      </c>
      <c r="G4897">
        <v>64968000</v>
      </c>
      <c r="H4897">
        <f t="shared" si="304"/>
        <v>2016</v>
      </c>
      <c r="I4897">
        <f t="shared" si="305"/>
        <v>10</v>
      </c>
      <c r="J4897" t="str">
        <f t="shared" si="306"/>
        <v>Oct</v>
      </c>
      <c r="K4897" t="str">
        <f t="shared" si="307"/>
        <v>Tue</v>
      </c>
    </row>
    <row r="4898" spans="1:11" x14ac:dyDescent="0.35">
      <c r="A4898" s="1">
        <v>42669</v>
      </c>
      <c r="B4898">
        <v>41.6380004882812</v>
      </c>
      <c r="C4898">
        <v>41.672000885009702</v>
      </c>
      <c r="D4898">
        <v>41</v>
      </c>
      <c r="E4898">
        <v>41.129501342773402</v>
      </c>
      <c r="F4898">
        <v>41.129501342773402</v>
      </c>
      <c r="G4898">
        <v>79962000</v>
      </c>
      <c r="H4898">
        <f t="shared" si="304"/>
        <v>2016</v>
      </c>
      <c r="I4898">
        <f t="shared" si="305"/>
        <v>10</v>
      </c>
      <c r="J4898" t="str">
        <f t="shared" si="306"/>
        <v>Oct</v>
      </c>
      <c r="K4898" t="str">
        <f t="shared" si="307"/>
        <v>Wed</v>
      </c>
    </row>
    <row r="4899" spans="1:11" x14ac:dyDescent="0.35">
      <c r="A4899" s="1">
        <v>42670</v>
      </c>
      <c r="B4899">
        <v>41.562000274658203</v>
      </c>
      <c r="C4899">
        <v>41.5859985351562</v>
      </c>
      <c r="D4899">
        <v>40.771499633788999</v>
      </c>
      <c r="E4899">
        <v>40.917999267578097</v>
      </c>
      <c r="F4899">
        <v>40.917999267578097</v>
      </c>
      <c r="G4899">
        <v>148128000</v>
      </c>
      <c r="H4899">
        <f t="shared" si="304"/>
        <v>2016</v>
      </c>
      <c r="I4899">
        <f t="shared" si="305"/>
        <v>10</v>
      </c>
      <c r="J4899" t="str">
        <f t="shared" si="306"/>
        <v>Oct</v>
      </c>
      <c r="K4899" t="str">
        <f t="shared" si="307"/>
        <v>Thu</v>
      </c>
    </row>
    <row r="4900" spans="1:11" x14ac:dyDescent="0.35">
      <c r="A4900" s="1">
        <v>42671</v>
      </c>
      <c r="B4900">
        <v>39.099998474121001</v>
      </c>
      <c r="C4900">
        <v>39.474498748779297</v>
      </c>
      <c r="D4900">
        <v>38.730499267578097</v>
      </c>
      <c r="E4900">
        <v>38.816001892089801</v>
      </c>
      <c r="F4900">
        <v>38.816001892089801</v>
      </c>
      <c r="G4900">
        <v>216822000</v>
      </c>
      <c r="H4900">
        <f t="shared" si="304"/>
        <v>2016</v>
      </c>
      <c r="I4900">
        <f t="shared" si="305"/>
        <v>10</v>
      </c>
      <c r="J4900" t="str">
        <f t="shared" si="306"/>
        <v>Oct</v>
      </c>
      <c r="K4900" t="str">
        <f t="shared" si="307"/>
        <v>Fri</v>
      </c>
    </row>
    <row r="4901" spans="1:11" x14ac:dyDescent="0.35">
      <c r="A4901" s="1">
        <v>42674</v>
      </c>
      <c r="B4901">
        <v>39.051498413085902</v>
      </c>
      <c r="C4901">
        <v>39.685001373291001</v>
      </c>
      <c r="D4901">
        <v>39.005500793457003</v>
      </c>
      <c r="E4901">
        <v>39.491001129150298</v>
      </c>
      <c r="F4901">
        <v>39.491001129150298</v>
      </c>
      <c r="G4901">
        <v>108266000</v>
      </c>
      <c r="H4901">
        <f t="shared" si="304"/>
        <v>2016</v>
      </c>
      <c r="I4901">
        <f t="shared" si="305"/>
        <v>10</v>
      </c>
      <c r="J4901" t="str">
        <f t="shared" si="306"/>
        <v>Oct</v>
      </c>
      <c r="K4901" t="str">
        <f t="shared" si="307"/>
        <v>Mon</v>
      </c>
    </row>
    <row r="4902" spans="1:11" x14ac:dyDescent="0.35">
      <c r="A4902" s="1">
        <v>42675</v>
      </c>
      <c r="B4902">
        <v>39.950000762939403</v>
      </c>
      <c r="C4902">
        <v>40.041999816894503</v>
      </c>
      <c r="D4902">
        <v>38.835498809814403</v>
      </c>
      <c r="E4902">
        <v>39.270500183105398</v>
      </c>
      <c r="F4902">
        <v>39.270500183105398</v>
      </c>
      <c r="G4902">
        <v>106108000</v>
      </c>
      <c r="H4902">
        <f t="shared" si="304"/>
        <v>2016</v>
      </c>
      <c r="I4902">
        <f t="shared" si="305"/>
        <v>11</v>
      </c>
      <c r="J4902" t="str">
        <f t="shared" si="306"/>
        <v>Nov</v>
      </c>
      <c r="K4902" t="str">
        <f t="shared" si="307"/>
        <v>Tue</v>
      </c>
    </row>
    <row r="4903" spans="1:11" x14ac:dyDescent="0.35">
      <c r="A4903" s="1">
        <v>42676</v>
      </c>
      <c r="B4903">
        <v>39.196498870849602</v>
      </c>
      <c r="C4903">
        <v>39.237499237060497</v>
      </c>
      <c r="D4903">
        <v>38.177501678466797</v>
      </c>
      <c r="E4903">
        <v>38.277999877929602</v>
      </c>
      <c r="F4903">
        <v>38.277999877929602</v>
      </c>
      <c r="G4903">
        <v>100530000</v>
      </c>
      <c r="H4903">
        <f t="shared" si="304"/>
        <v>2016</v>
      </c>
      <c r="I4903">
        <f t="shared" si="305"/>
        <v>11</v>
      </c>
      <c r="J4903" t="str">
        <f t="shared" si="306"/>
        <v>Nov</v>
      </c>
      <c r="K4903" t="str">
        <f t="shared" si="307"/>
        <v>Wed</v>
      </c>
    </row>
    <row r="4904" spans="1:11" x14ac:dyDescent="0.35">
      <c r="A4904" s="1">
        <v>42677</v>
      </c>
      <c r="B4904">
        <v>38.252498626708899</v>
      </c>
      <c r="C4904">
        <v>38.849998474121001</v>
      </c>
      <c r="D4904">
        <v>38.200000762939403</v>
      </c>
      <c r="E4904">
        <v>38.3515014648437</v>
      </c>
      <c r="F4904">
        <v>38.3515014648437</v>
      </c>
      <c r="G4904">
        <v>77450000</v>
      </c>
      <c r="H4904">
        <f t="shared" si="304"/>
        <v>2016</v>
      </c>
      <c r="I4904">
        <f t="shared" si="305"/>
        <v>11</v>
      </c>
      <c r="J4904" t="str">
        <f t="shared" si="306"/>
        <v>Nov</v>
      </c>
      <c r="K4904" t="str">
        <f t="shared" si="307"/>
        <v>Thu</v>
      </c>
    </row>
    <row r="4905" spans="1:11" x14ac:dyDescent="0.35">
      <c r="A4905" s="1">
        <v>42678</v>
      </c>
      <c r="B4905">
        <v>38.139499664306598</v>
      </c>
      <c r="C4905">
        <v>38.299999237060497</v>
      </c>
      <c r="D4905">
        <v>37.6614990234375</v>
      </c>
      <c r="E4905">
        <v>37.752498626708899</v>
      </c>
      <c r="F4905">
        <v>37.752498626708899</v>
      </c>
      <c r="G4905">
        <v>102442000</v>
      </c>
      <c r="H4905">
        <f t="shared" si="304"/>
        <v>2016</v>
      </c>
      <c r="I4905">
        <f t="shared" si="305"/>
        <v>11</v>
      </c>
      <c r="J4905" t="str">
        <f t="shared" si="306"/>
        <v>Nov</v>
      </c>
      <c r="K4905" t="str">
        <f t="shared" si="307"/>
        <v>Fri</v>
      </c>
    </row>
    <row r="4906" spans="1:11" x14ac:dyDescent="0.35">
      <c r="A4906" s="1">
        <v>42681</v>
      </c>
      <c r="B4906">
        <v>38.582000732421797</v>
      </c>
      <c r="C4906">
        <v>39.386501312255803</v>
      </c>
      <c r="D4906">
        <v>38.547000885009702</v>
      </c>
      <c r="E4906">
        <v>39.246498107910099</v>
      </c>
      <c r="F4906">
        <v>39.246498107910099</v>
      </c>
      <c r="G4906">
        <v>119688000</v>
      </c>
      <c r="H4906">
        <f t="shared" si="304"/>
        <v>2016</v>
      </c>
      <c r="I4906">
        <f t="shared" si="305"/>
        <v>11</v>
      </c>
      <c r="J4906" t="str">
        <f t="shared" si="306"/>
        <v>Nov</v>
      </c>
      <c r="K4906" t="str">
        <f t="shared" si="307"/>
        <v>Mon</v>
      </c>
    </row>
    <row r="4907" spans="1:11" x14ac:dyDescent="0.35">
      <c r="A4907" s="1">
        <v>42682</v>
      </c>
      <c r="B4907">
        <v>39.248500823974602</v>
      </c>
      <c r="C4907">
        <v>39.587001800537102</v>
      </c>
      <c r="D4907">
        <v>38.955001831054602</v>
      </c>
      <c r="E4907">
        <v>39.387500762939403</v>
      </c>
      <c r="F4907">
        <v>39.387500762939403</v>
      </c>
      <c r="G4907">
        <v>68252000</v>
      </c>
      <c r="H4907">
        <f t="shared" si="304"/>
        <v>2016</v>
      </c>
      <c r="I4907">
        <f t="shared" si="305"/>
        <v>11</v>
      </c>
      <c r="J4907" t="str">
        <f t="shared" si="306"/>
        <v>Nov</v>
      </c>
      <c r="K4907" t="str">
        <f t="shared" si="307"/>
        <v>Tue</v>
      </c>
    </row>
    <row r="4908" spans="1:11" x14ac:dyDescent="0.35">
      <c r="A4908" s="1">
        <v>42683</v>
      </c>
      <c r="B4908">
        <v>38.200000762939403</v>
      </c>
      <c r="C4908">
        <v>38.875</v>
      </c>
      <c r="D4908">
        <v>38.004501342773402</v>
      </c>
      <c r="E4908">
        <v>38.594001770019503</v>
      </c>
      <c r="F4908">
        <v>38.594001770019503</v>
      </c>
      <c r="G4908">
        <v>171258000</v>
      </c>
      <c r="H4908">
        <f t="shared" si="304"/>
        <v>2016</v>
      </c>
      <c r="I4908">
        <f t="shared" si="305"/>
        <v>11</v>
      </c>
      <c r="J4908" t="str">
        <f t="shared" si="306"/>
        <v>Nov</v>
      </c>
      <c r="K4908" t="str">
        <f t="shared" si="307"/>
        <v>Wed</v>
      </c>
    </row>
    <row r="4909" spans="1:11" x14ac:dyDescent="0.35">
      <c r="A4909" s="1">
        <v>42684</v>
      </c>
      <c r="B4909">
        <v>38.940498352050703</v>
      </c>
      <c r="C4909">
        <v>38.941501617431598</v>
      </c>
      <c r="D4909">
        <v>35.884998321533203</v>
      </c>
      <c r="E4909">
        <v>37.118999481201101</v>
      </c>
      <c r="F4909">
        <v>37.118999481201101</v>
      </c>
      <c r="G4909">
        <v>254940000</v>
      </c>
      <c r="H4909">
        <f t="shared" si="304"/>
        <v>2016</v>
      </c>
      <c r="I4909">
        <f t="shared" si="305"/>
        <v>11</v>
      </c>
      <c r="J4909" t="str">
        <f t="shared" si="306"/>
        <v>Nov</v>
      </c>
      <c r="K4909" t="str">
        <f t="shared" si="307"/>
        <v>Thu</v>
      </c>
    </row>
    <row r="4910" spans="1:11" x14ac:dyDescent="0.35">
      <c r="A4910" s="1">
        <v>42685</v>
      </c>
      <c r="B4910">
        <v>36.7864990234375</v>
      </c>
      <c r="C4910">
        <v>37.162998199462798</v>
      </c>
      <c r="D4910">
        <v>36.444999694824197</v>
      </c>
      <c r="E4910">
        <v>36.9505004882812</v>
      </c>
      <c r="F4910">
        <v>36.9505004882812</v>
      </c>
      <c r="G4910">
        <v>132456000</v>
      </c>
      <c r="H4910">
        <f t="shared" si="304"/>
        <v>2016</v>
      </c>
      <c r="I4910">
        <f t="shared" si="305"/>
        <v>11</v>
      </c>
      <c r="J4910" t="str">
        <f t="shared" si="306"/>
        <v>Nov</v>
      </c>
      <c r="K4910" t="str">
        <f t="shared" si="307"/>
        <v>Fri</v>
      </c>
    </row>
    <row r="4911" spans="1:11" x14ac:dyDescent="0.35">
      <c r="A4911" s="1">
        <v>42688</v>
      </c>
      <c r="B4911">
        <v>37.275501251220703</v>
      </c>
      <c r="C4911">
        <v>37.299999237060497</v>
      </c>
      <c r="D4911">
        <v>35.505001068115199</v>
      </c>
      <c r="E4911">
        <v>35.953498840332003</v>
      </c>
      <c r="F4911">
        <v>35.953498840332003</v>
      </c>
      <c r="G4911">
        <v>146426000</v>
      </c>
      <c r="H4911">
        <f t="shared" si="304"/>
        <v>2016</v>
      </c>
      <c r="I4911">
        <f t="shared" si="305"/>
        <v>11</v>
      </c>
      <c r="J4911" t="str">
        <f t="shared" si="306"/>
        <v>Nov</v>
      </c>
      <c r="K4911" t="str">
        <f t="shared" si="307"/>
        <v>Mon</v>
      </c>
    </row>
    <row r="4912" spans="1:11" x14ac:dyDescent="0.35">
      <c r="A4912" s="1">
        <v>42689</v>
      </c>
      <c r="B4912">
        <v>36.5</v>
      </c>
      <c r="C4912">
        <v>37.339000701904297</v>
      </c>
      <c r="D4912">
        <v>36.2994995117187</v>
      </c>
      <c r="E4912">
        <v>37.161998748779297</v>
      </c>
      <c r="F4912">
        <v>37.161998748779297</v>
      </c>
      <c r="G4912">
        <v>135116000</v>
      </c>
      <c r="H4912">
        <f t="shared" si="304"/>
        <v>2016</v>
      </c>
      <c r="I4912">
        <f t="shared" si="305"/>
        <v>11</v>
      </c>
      <c r="J4912" t="str">
        <f t="shared" si="306"/>
        <v>Nov</v>
      </c>
      <c r="K4912" t="str">
        <f t="shared" si="307"/>
        <v>Tue</v>
      </c>
    </row>
    <row r="4913" spans="1:11" x14ac:dyDescent="0.35">
      <c r="A4913" s="1">
        <v>42690</v>
      </c>
      <c r="B4913">
        <v>36.993999481201101</v>
      </c>
      <c r="C4913">
        <v>37.493499755859297</v>
      </c>
      <c r="D4913">
        <v>36.780498504638601</v>
      </c>
      <c r="E4913">
        <v>37.324501037597599</v>
      </c>
      <c r="F4913">
        <v>37.324501037597599</v>
      </c>
      <c r="G4913">
        <v>72976000</v>
      </c>
      <c r="H4913">
        <f t="shared" si="304"/>
        <v>2016</v>
      </c>
      <c r="I4913">
        <f t="shared" si="305"/>
        <v>11</v>
      </c>
      <c r="J4913" t="str">
        <f t="shared" si="306"/>
        <v>Nov</v>
      </c>
      <c r="K4913" t="str">
        <f t="shared" si="307"/>
        <v>Wed</v>
      </c>
    </row>
    <row r="4914" spans="1:11" x14ac:dyDescent="0.35">
      <c r="A4914" s="1">
        <v>42691</v>
      </c>
      <c r="B4914">
        <v>37.465999603271399</v>
      </c>
      <c r="C4914">
        <v>37.875</v>
      </c>
      <c r="D4914">
        <v>37.400001525878899</v>
      </c>
      <c r="E4914">
        <v>37.819999694824197</v>
      </c>
      <c r="F4914">
        <v>37.819999694824197</v>
      </c>
      <c r="G4914">
        <v>73802000</v>
      </c>
      <c r="H4914">
        <f t="shared" si="304"/>
        <v>2016</v>
      </c>
      <c r="I4914">
        <f t="shared" si="305"/>
        <v>11</v>
      </c>
      <c r="J4914" t="str">
        <f t="shared" si="306"/>
        <v>Nov</v>
      </c>
      <c r="K4914" t="str">
        <f t="shared" si="307"/>
        <v>Thu</v>
      </c>
    </row>
    <row r="4915" spans="1:11" x14ac:dyDescent="0.35">
      <c r="A4915" s="1">
        <v>42692</v>
      </c>
      <c r="B4915">
        <v>38.049999237060497</v>
      </c>
      <c r="C4915">
        <v>38.387001037597599</v>
      </c>
      <c r="D4915">
        <v>37.881999969482401</v>
      </c>
      <c r="E4915">
        <v>38.007999420166001</v>
      </c>
      <c r="F4915">
        <v>38.007999420166001</v>
      </c>
      <c r="G4915">
        <v>87468000</v>
      </c>
      <c r="H4915">
        <f t="shared" si="304"/>
        <v>2016</v>
      </c>
      <c r="I4915">
        <f t="shared" si="305"/>
        <v>11</v>
      </c>
      <c r="J4915" t="str">
        <f t="shared" si="306"/>
        <v>Nov</v>
      </c>
      <c r="K4915" t="str">
        <f t="shared" si="307"/>
        <v>Fri</v>
      </c>
    </row>
    <row r="4916" spans="1:11" x14ac:dyDescent="0.35">
      <c r="A4916" s="1">
        <v>42695</v>
      </c>
      <c r="B4916">
        <v>38.299999237060497</v>
      </c>
      <c r="C4916">
        <v>39.017501831054602</v>
      </c>
      <c r="D4916">
        <v>38.255500793457003</v>
      </c>
      <c r="E4916">
        <v>39</v>
      </c>
      <c r="F4916">
        <v>39</v>
      </c>
      <c r="G4916">
        <v>92292000</v>
      </c>
      <c r="H4916">
        <f t="shared" si="304"/>
        <v>2016</v>
      </c>
      <c r="I4916">
        <f t="shared" si="305"/>
        <v>11</v>
      </c>
      <c r="J4916" t="str">
        <f t="shared" si="306"/>
        <v>Nov</v>
      </c>
      <c r="K4916" t="str">
        <f t="shared" si="307"/>
        <v>Mon</v>
      </c>
    </row>
    <row r="4917" spans="1:11" x14ac:dyDescent="0.35">
      <c r="A4917" s="1">
        <v>42696</v>
      </c>
      <c r="B4917">
        <v>39.408500671386697</v>
      </c>
      <c r="C4917">
        <v>39.619998931884702</v>
      </c>
      <c r="D4917">
        <v>39.049999237060497</v>
      </c>
      <c r="E4917">
        <v>39.2664985656738</v>
      </c>
      <c r="F4917">
        <v>39.2664985656738</v>
      </c>
      <c r="G4917">
        <v>106226000</v>
      </c>
      <c r="H4917">
        <f t="shared" si="304"/>
        <v>2016</v>
      </c>
      <c r="I4917">
        <f t="shared" si="305"/>
        <v>11</v>
      </c>
      <c r="J4917" t="str">
        <f t="shared" si="306"/>
        <v>Nov</v>
      </c>
      <c r="K4917" t="str">
        <f t="shared" si="307"/>
        <v>Tue</v>
      </c>
    </row>
    <row r="4918" spans="1:11" x14ac:dyDescent="0.35">
      <c r="A4918" s="1">
        <v>42697</v>
      </c>
      <c r="B4918">
        <v>39.086498260497997</v>
      </c>
      <c r="C4918">
        <v>39.087501525878899</v>
      </c>
      <c r="D4918">
        <v>38.655998229980398</v>
      </c>
      <c r="E4918">
        <v>39.0060005187988</v>
      </c>
      <c r="F4918">
        <v>39.0060005187988</v>
      </c>
      <c r="G4918">
        <v>70806000</v>
      </c>
      <c r="H4918">
        <f t="shared" si="304"/>
        <v>2016</v>
      </c>
      <c r="I4918">
        <f t="shared" si="305"/>
        <v>11</v>
      </c>
      <c r="J4918" t="str">
        <f t="shared" si="306"/>
        <v>Nov</v>
      </c>
      <c r="K4918" t="str">
        <f t="shared" si="307"/>
        <v>Wed</v>
      </c>
    </row>
    <row r="4919" spans="1:11" x14ac:dyDescent="0.35">
      <c r="A4919" s="1">
        <v>42699</v>
      </c>
      <c r="B4919">
        <v>39.325000762939403</v>
      </c>
      <c r="C4919">
        <v>39.337501525878899</v>
      </c>
      <c r="D4919">
        <v>38.895000457763601</v>
      </c>
      <c r="E4919">
        <v>39.018501281738203</v>
      </c>
      <c r="F4919">
        <v>39.018501281738203</v>
      </c>
      <c r="G4919">
        <v>36742000</v>
      </c>
      <c r="H4919">
        <f t="shared" si="304"/>
        <v>2016</v>
      </c>
      <c r="I4919">
        <f t="shared" si="305"/>
        <v>11</v>
      </c>
      <c r="J4919" t="str">
        <f t="shared" si="306"/>
        <v>Nov</v>
      </c>
      <c r="K4919" t="str">
        <f t="shared" si="307"/>
        <v>Fri</v>
      </c>
    </row>
    <row r="4920" spans="1:11" x14ac:dyDescent="0.35">
      <c r="A4920" s="1">
        <v>42702</v>
      </c>
      <c r="B4920">
        <v>38.849498748779297</v>
      </c>
      <c r="C4920">
        <v>38.849998474121001</v>
      </c>
      <c r="D4920">
        <v>38.212001800537102</v>
      </c>
      <c r="E4920">
        <v>38.3385009765625</v>
      </c>
      <c r="F4920">
        <v>38.3385009765625</v>
      </c>
      <c r="G4920">
        <v>88776000</v>
      </c>
      <c r="H4920">
        <f t="shared" si="304"/>
        <v>2016</v>
      </c>
      <c r="I4920">
        <f t="shared" si="305"/>
        <v>11</v>
      </c>
      <c r="J4920" t="str">
        <f t="shared" si="306"/>
        <v>Nov</v>
      </c>
      <c r="K4920" t="str">
        <f t="shared" si="307"/>
        <v>Mon</v>
      </c>
    </row>
    <row r="4921" spans="1:11" x14ac:dyDescent="0.35">
      <c r="A4921" s="1">
        <v>42703</v>
      </c>
      <c r="B4921">
        <v>38.400001525878899</v>
      </c>
      <c r="C4921">
        <v>38.494499206542898</v>
      </c>
      <c r="D4921">
        <v>38.066001892089801</v>
      </c>
      <c r="E4921">
        <v>38.125999450683501</v>
      </c>
      <c r="F4921">
        <v>38.125999450683501</v>
      </c>
      <c r="G4921">
        <v>65446000</v>
      </c>
      <c r="H4921">
        <f t="shared" si="304"/>
        <v>2016</v>
      </c>
      <c r="I4921">
        <f t="shared" si="305"/>
        <v>11</v>
      </c>
      <c r="J4921" t="str">
        <f t="shared" si="306"/>
        <v>Nov</v>
      </c>
      <c r="K4921" t="str">
        <f t="shared" si="307"/>
        <v>Tue</v>
      </c>
    </row>
    <row r="4922" spans="1:11" x14ac:dyDescent="0.35">
      <c r="A4922" s="1">
        <v>42704</v>
      </c>
      <c r="B4922">
        <v>38.099998474121001</v>
      </c>
      <c r="C4922">
        <v>38.404499053955</v>
      </c>
      <c r="D4922">
        <v>37.512500762939403</v>
      </c>
      <c r="E4922">
        <v>37.528499603271399</v>
      </c>
      <c r="F4922">
        <v>37.528499603271399</v>
      </c>
      <c r="G4922">
        <v>92518000</v>
      </c>
      <c r="H4922">
        <f t="shared" si="304"/>
        <v>2016</v>
      </c>
      <c r="I4922">
        <f t="shared" si="305"/>
        <v>11</v>
      </c>
      <c r="J4922" t="str">
        <f t="shared" si="306"/>
        <v>Nov</v>
      </c>
      <c r="K4922" t="str">
        <f t="shared" si="307"/>
        <v>Wed</v>
      </c>
    </row>
    <row r="4923" spans="1:11" x14ac:dyDescent="0.35">
      <c r="A4923" s="1">
        <v>42705</v>
      </c>
      <c r="B4923">
        <v>37.620498657226499</v>
      </c>
      <c r="C4923">
        <v>37.668498992919901</v>
      </c>
      <c r="D4923">
        <v>36.901500701904297</v>
      </c>
      <c r="E4923">
        <v>37.182498931884702</v>
      </c>
      <c r="F4923">
        <v>37.182498931884702</v>
      </c>
      <c r="G4923">
        <v>93320000</v>
      </c>
      <c r="H4923">
        <f t="shared" si="304"/>
        <v>2016</v>
      </c>
      <c r="I4923">
        <f t="shared" si="305"/>
        <v>12</v>
      </c>
      <c r="J4923" t="str">
        <f t="shared" si="306"/>
        <v>Dec</v>
      </c>
      <c r="K4923" t="str">
        <f t="shared" si="307"/>
        <v>Thu</v>
      </c>
    </row>
    <row r="4924" spans="1:11" x14ac:dyDescent="0.35">
      <c r="A4924" s="1">
        <v>42706</v>
      </c>
      <c r="B4924">
        <v>37.169998168945298</v>
      </c>
      <c r="C4924">
        <v>37.4244995117187</v>
      </c>
      <c r="D4924">
        <v>36.834999084472599</v>
      </c>
      <c r="E4924">
        <v>37.016998291015597</v>
      </c>
      <c r="F4924">
        <v>37.016998291015597</v>
      </c>
      <c r="G4924">
        <v>71226000</v>
      </c>
      <c r="H4924">
        <f t="shared" si="304"/>
        <v>2016</v>
      </c>
      <c r="I4924">
        <f t="shared" si="305"/>
        <v>12</v>
      </c>
      <c r="J4924" t="str">
        <f t="shared" si="306"/>
        <v>Dec</v>
      </c>
      <c r="K4924" t="str">
        <f t="shared" si="307"/>
        <v>Fri</v>
      </c>
    </row>
    <row r="4925" spans="1:11" x14ac:dyDescent="0.35">
      <c r="A4925" s="1">
        <v>42709</v>
      </c>
      <c r="B4925">
        <v>37.25</v>
      </c>
      <c r="C4925">
        <v>38.074501037597599</v>
      </c>
      <c r="D4925">
        <v>37.099998474121001</v>
      </c>
      <c r="E4925">
        <v>37.967998504638601</v>
      </c>
      <c r="F4925">
        <v>37.967998504638601</v>
      </c>
      <c r="G4925">
        <v>86294000</v>
      </c>
      <c r="H4925">
        <f t="shared" si="304"/>
        <v>2016</v>
      </c>
      <c r="I4925">
        <f t="shared" si="305"/>
        <v>12</v>
      </c>
      <c r="J4925" t="str">
        <f t="shared" si="306"/>
        <v>Dec</v>
      </c>
      <c r="K4925" t="str">
        <f t="shared" si="307"/>
        <v>Mon</v>
      </c>
    </row>
    <row r="4926" spans="1:11" x14ac:dyDescent="0.35">
      <c r="A4926" s="1">
        <v>42710</v>
      </c>
      <c r="B4926">
        <v>38.199501037597599</v>
      </c>
      <c r="C4926">
        <v>38.411998748779297</v>
      </c>
      <c r="D4926">
        <v>37.862499237060497</v>
      </c>
      <c r="E4926">
        <v>38.236000061035099</v>
      </c>
      <c r="F4926">
        <v>38.236000061035099</v>
      </c>
      <c r="G4926">
        <v>75894000</v>
      </c>
      <c r="H4926">
        <f t="shared" si="304"/>
        <v>2016</v>
      </c>
      <c r="I4926">
        <f t="shared" si="305"/>
        <v>12</v>
      </c>
      <c r="J4926" t="str">
        <f t="shared" si="306"/>
        <v>Dec</v>
      </c>
      <c r="K4926" t="str">
        <f t="shared" si="307"/>
        <v>Tue</v>
      </c>
    </row>
    <row r="4927" spans="1:11" x14ac:dyDescent="0.35">
      <c r="A4927" s="1">
        <v>42711</v>
      </c>
      <c r="B4927">
        <v>38.227500915527301</v>
      </c>
      <c r="C4927">
        <v>38.520999908447202</v>
      </c>
      <c r="D4927">
        <v>37.791000366210902</v>
      </c>
      <c r="E4927">
        <v>38.520999908447202</v>
      </c>
      <c r="F4927">
        <v>38.520999908447202</v>
      </c>
      <c r="G4927">
        <v>73698000</v>
      </c>
      <c r="H4927">
        <f t="shared" si="304"/>
        <v>2016</v>
      </c>
      <c r="I4927">
        <f t="shared" si="305"/>
        <v>12</v>
      </c>
      <c r="J4927" t="str">
        <f t="shared" si="306"/>
        <v>Dec</v>
      </c>
      <c r="K4927" t="str">
        <f t="shared" si="307"/>
        <v>Wed</v>
      </c>
    </row>
    <row r="4928" spans="1:11" x14ac:dyDescent="0.35">
      <c r="A4928" s="1">
        <v>42712</v>
      </c>
      <c r="B4928">
        <v>38.593498229980398</v>
      </c>
      <c r="C4928">
        <v>38.689498901367102</v>
      </c>
      <c r="D4928">
        <v>38.259498596191399</v>
      </c>
      <c r="E4928">
        <v>38.366500854492102</v>
      </c>
      <c r="F4928">
        <v>38.366500854492102</v>
      </c>
      <c r="G4928">
        <v>63792000</v>
      </c>
      <c r="H4928">
        <f t="shared" si="304"/>
        <v>2016</v>
      </c>
      <c r="I4928">
        <f t="shared" si="305"/>
        <v>12</v>
      </c>
      <c r="J4928" t="str">
        <f t="shared" si="306"/>
        <v>Dec</v>
      </c>
      <c r="K4928" t="str">
        <f t="shared" si="307"/>
        <v>Thu</v>
      </c>
    </row>
    <row r="4929" spans="1:11" x14ac:dyDescent="0.35">
      <c r="A4929" s="1">
        <v>42713</v>
      </c>
      <c r="B4929">
        <v>38.5</v>
      </c>
      <c r="C4929">
        <v>38.512500762939403</v>
      </c>
      <c r="D4929">
        <v>38.266998291015597</v>
      </c>
      <c r="E4929">
        <v>38.432998657226499</v>
      </c>
      <c r="F4929">
        <v>38.432998657226499</v>
      </c>
      <c r="G4929">
        <v>49418000</v>
      </c>
      <c r="H4929">
        <f t="shared" si="304"/>
        <v>2016</v>
      </c>
      <c r="I4929">
        <f t="shared" si="305"/>
        <v>12</v>
      </c>
      <c r="J4929" t="str">
        <f t="shared" si="306"/>
        <v>Dec</v>
      </c>
      <c r="K4929" t="str">
        <f t="shared" si="307"/>
        <v>Fri</v>
      </c>
    </row>
    <row r="4930" spans="1:11" x14ac:dyDescent="0.35">
      <c r="A4930" s="1">
        <v>42716</v>
      </c>
      <c r="B4930">
        <v>38.319999694824197</v>
      </c>
      <c r="C4930">
        <v>38.3445014953613</v>
      </c>
      <c r="D4930">
        <v>37.860000610351499</v>
      </c>
      <c r="E4930">
        <v>38.0060005187988</v>
      </c>
      <c r="F4930">
        <v>38.0060005187988</v>
      </c>
      <c r="G4930">
        <v>59278000</v>
      </c>
      <c r="H4930">
        <f t="shared" si="304"/>
        <v>2016</v>
      </c>
      <c r="I4930">
        <f t="shared" si="305"/>
        <v>12</v>
      </c>
      <c r="J4930" t="str">
        <f t="shared" si="306"/>
        <v>Dec</v>
      </c>
      <c r="K4930" t="str">
        <f t="shared" si="307"/>
        <v>Mon</v>
      </c>
    </row>
    <row r="4931" spans="1:11" x14ac:dyDescent="0.35">
      <c r="A4931" s="1">
        <v>42717</v>
      </c>
      <c r="B4931">
        <v>38.248001098632798</v>
      </c>
      <c r="C4931">
        <v>39.123001098632798</v>
      </c>
      <c r="D4931">
        <v>38.099998474121001</v>
      </c>
      <c r="E4931">
        <v>38.716999053955</v>
      </c>
      <c r="F4931">
        <v>38.716999053955</v>
      </c>
      <c r="G4931">
        <v>105706000</v>
      </c>
      <c r="H4931">
        <f t="shared" si="304"/>
        <v>2016</v>
      </c>
      <c r="I4931">
        <f t="shared" si="305"/>
        <v>12</v>
      </c>
      <c r="J4931" t="str">
        <f t="shared" si="306"/>
        <v>Dec</v>
      </c>
      <c r="K4931" t="str">
        <f t="shared" si="307"/>
        <v>Tue</v>
      </c>
    </row>
    <row r="4932" spans="1:11" x14ac:dyDescent="0.35">
      <c r="A4932" s="1">
        <v>42718</v>
      </c>
      <c r="B4932">
        <v>38.912498474121001</v>
      </c>
      <c r="C4932">
        <v>39.042999267578097</v>
      </c>
      <c r="D4932">
        <v>38.140499114990199</v>
      </c>
      <c r="E4932">
        <v>38.441001892089801</v>
      </c>
      <c r="F4932">
        <v>38.441001892089801</v>
      </c>
      <c r="G4932">
        <v>109096000</v>
      </c>
      <c r="H4932">
        <f t="shared" ref="H4932:H4995" si="308">YEAR($A4932)</f>
        <v>2016</v>
      </c>
      <c r="I4932">
        <f t="shared" ref="I4932:I4995" si="309">MONTH($A4932)</f>
        <v>12</v>
      </c>
      <c r="J4932" t="str">
        <f t="shared" ref="J4932:J4995" si="310">TEXT($A4932,"mmm")</f>
        <v>Dec</v>
      </c>
      <c r="K4932" t="str">
        <f t="shared" ref="K4932:K4995" si="311">TEXT($A4932,"ddd")</f>
        <v>Wed</v>
      </c>
    </row>
    <row r="4933" spans="1:11" x14ac:dyDescent="0.35">
      <c r="A4933" s="1">
        <v>42719</v>
      </c>
      <c r="B4933">
        <v>38.313999176025298</v>
      </c>
      <c r="C4933">
        <v>38.455001831054602</v>
      </c>
      <c r="D4933">
        <v>38.015499114990199</v>
      </c>
      <c r="E4933">
        <v>38.049999237060497</v>
      </c>
      <c r="F4933">
        <v>38.049999237060497</v>
      </c>
      <c r="G4933">
        <v>76038000</v>
      </c>
      <c r="H4933">
        <f t="shared" si="308"/>
        <v>2016</v>
      </c>
      <c r="I4933">
        <f t="shared" si="309"/>
        <v>12</v>
      </c>
      <c r="J4933" t="str">
        <f t="shared" si="310"/>
        <v>Dec</v>
      </c>
      <c r="K4933" t="str">
        <f t="shared" si="311"/>
        <v>Thu</v>
      </c>
    </row>
    <row r="4934" spans="1:11" x14ac:dyDescent="0.35">
      <c r="A4934" s="1">
        <v>42720</v>
      </c>
      <c r="B4934">
        <v>38.25</v>
      </c>
      <c r="C4934">
        <v>38.256500244140597</v>
      </c>
      <c r="D4934">
        <v>37.700000762939403</v>
      </c>
      <c r="E4934">
        <v>37.888500213622997</v>
      </c>
      <c r="F4934">
        <v>37.888500213622997</v>
      </c>
      <c r="G4934">
        <v>96964000</v>
      </c>
      <c r="H4934">
        <f t="shared" si="308"/>
        <v>2016</v>
      </c>
      <c r="I4934">
        <f t="shared" si="309"/>
        <v>12</v>
      </c>
      <c r="J4934" t="str">
        <f t="shared" si="310"/>
        <v>Dec</v>
      </c>
      <c r="K4934" t="str">
        <f t="shared" si="311"/>
        <v>Fri</v>
      </c>
    </row>
    <row r="4935" spans="1:11" x14ac:dyDescent="0.35">
      <c r="A4935" s="1">
        <v>42723</v>
      </c>
      <c r="B4935">
        <v>37.944499969482401</v>
      </c>
      <c r="C4935">
        <v>38.525001525878899</v>
      </c>
      <c r="D4935">
        <v>37.807998657226499</v>
      </c>
      <c r="E4935">
        <v>38.299999237060497</v>
      </c>
      <c r="F4935">
        <v>38.299999237060497</v>
      </c>
      <c r="G4935">
        <v>62264000</v>
      </c>
      <c r="H4935">
        <f t="shared" si="308"/>
        <v>2016</v>
      </c>
      <c r="I4935">
        <f t="shared" si="309"/>
        <v>12</v>
      </c>
      <c r="J4935" t="str">
        <f t="shared" si="310"/>
        <v>Dec</v>
      </c>
      <c r="K4935" t="str">
        <f t="shared" si="311"/>
        <v>Mon</v>
      </c>
    </row>
    <row r="4936" spans="1:11" x14ac:dyDescent="0.35">
      <c r="A4936" s="1">
        <v>42724</v>
      </c>
      <c r="B4936">
        <v>38.432498931884702</v>
      </c>
      <c r="C4936">
        <v>38.7195014953613</v>
      </c>
      <c r="D4936">
        <v>38.385501861572202</v>
      </c>
      <c r="E4936">
        <v>38.561000823974602</v>
      </c>
      <c r="F4936">
        <v>38.561000823974602</v>
      </c>
      <c r="G4936">
        <v>54072000</v>
      </c>
      <c r="H4936">
        <f t="shared" si="308"/>
        <v>2016</v>
      </c>
      <c r="I4936">
        <f t="shared" si="309"/>
        <v>12</v>
      </c>
      <c r="J4936" t="str">
        <f t="shared" si="310"/>
        <v>Dec</v>
      </c>
      <c r="K4936" t="str">
        <f t="shared" si="311"/>
        <v>Tue</v>
      </c>
    </row>
    <row r="4937" spans="1:11" x14ac:dyDescent="0.35">
      <c r="A4937" s="1">
        <v>42725</v>
      </c>
      <c r="B4937">
        <v>38.5</v>
      </c>
      <c r="C4937">
        <v>38.561000823974602</v>
      </c>
      <c r="D4937">
        <v>38.284999847412102</v>
      </c>
      <c r="E4937">
        <v>38.529998779296797</v>
      </c>
      <c r="F4937">
        <v>38.529998779296797</v>
      </c>
      <c r="G4937">
        <v>40892000</v>
      </c>
      <c r="H4937">
        <f t="shared" si="308"/>
        <v>2016</v>
      </c>
      <c r="I4937">
        <f t="shared" si="309"/>
        <v>12</v>
      </c>
      <c r="J4937" t="str">
        <f t="shared" si="310"/>
        <v>Dec</v>
      </c>
      <c r="K4937" t="str">
        <f t="shared" si="311"/>
        <v>Wed</v>
      </c>
    </row>
    <row r="4938" spans="1:11" x14ac:dyDescent="0.35">
      <c r="A4938" s="1">
        <v>42726</v>
      </c>
      <c r="B4938">
        <v>38.405998229980398</v>
      </c>
      <c r="C4938">
        <v>38.560501098632798</v>
      </c>
      <c r="D4938">
        <v>38.1510009765625</v>
      </c>
      <c r="E4938">
        <v>38.317001342773402</v>
      </c>
      <c r="F4938">
        <v>38.317001342773402</v>
      </c>
      <c r="G4938">
        <v>50872000</v>
      </c>
      <c r="H4938">
        <f t="shared" si="308"/>
        <v>2016</v>
      </c>
      <c r="I4938">
        <f t="shared" si="309"/>
        <v>12</v>
      </c>
      <c r="J4938" t="str">
        <f t="shared" si="310"/>
        <v>Dec</v>
      </c>
      <c r="K4938" t="str">
        <f t="shared" si="311"/>
        <v>Thu</v>
      </c>
    </row>
    <row r="4939" spans="1:11" x14ac:dyDescent="0.35">
      <c r="A4939" s="1">
        <v>42727</v>
      </c>
      <c r="B4939">
        <v>38.227500915527301</v>
      </c>
      <c r="C4939">
        <v>38.325000762939403</v>
      </c>
      <c r="D4939">
        <v>37.899501800537102</v>
      </c>
      <c r="E4939">
        <v>38.029499053955</v>
      </c>
      <c r="F4939">
        <v>38.029499053955</v>
      </c>
      <c r="G4939">
        <v>39632000</v>
      </c>
      <c r="H4939">
        <f t="shared" si="308"/>
        <v>2016</v>
      </c>
      <c r="I4939">
        <f t="shared" si="309"/>
        <v>12</v>
      </c>
      <c r="J4939" t="str">
        <f t="shared" si="310"/>
        <v>Dec</v>
      </c>
      <c r="K4939" t="str">
        <f t="shared" si="311"/>
        <v>Fri</v>
      </c>
    </row>
    <row r="4940" spans="1:11" x14ac:dyDescent="0.35">
      <c r="A4940" s="1">
        <v>42731</v>
      </c>
      <c r="B4940">
        <v>38.169998168945298</v>
      </c>
      <c r="C4940">
        <v>38.732498168945298</v>
      </c>
      <c r="D4940">
        <v>38.060001373291001</v>
      </c>
      <c r="E4940">
        <v>38.569999694824197</v>
      </c>
      <c r="F4940">
        <v>38.569999694824197</v>
      </c>
      <c r="G4940">
        <v>52774000</v>
      </c>
      <c r="H4940">
        <f t="shared" si="308"/>
        <v>2016</v>
      </c>
      <c r="I4940">
        <f t="shared" si="309"/>
        <v>12</v>
      </c>
      <c r="J4940" t="str">
        <f t="shared" si="310"/>
        <v>Dec</v>
      </c>
      <c r="K4940" t="str">
        <f t="shared" si="311"/>
        <v>Tue</v>
      </c>
    </row>
    <row r="4941" spans="1:11" x14ac:dyDescent="0.35">
      <c r="A4941" s="1">
        <v>42732</v>
      </c>
      <c r="B4941">
        <v>38.8125</v>
      </c>
      <c r="C4941">
        <v>39</v>
      </c>
      <c r="D4941">
        <v>38.525001525878899</v>
      </c>
      <c r="E4941">
        <v>38.606498718261697</v>
      </c>
      <c r="F4941">
        <v>38.606498718261697</v>
      </c>
      <c r="G4941">
        <v>66020000</v>
      </c>
      <c r="H4941">
        <f t="shared" si="308"/>
        <v>2016</v>
      </c>
      <c r="I4941">
        <f t="shared" si="309"/>
        <v>12</v>
      </c>
      <c r="J4941" t="str">
        <f t="shared" si="310"/>
        <v>Dec</v>
      </c>
      <c r="K4941" t="str">
        <f t="shared" si="311"/>
        <v>Wed</v>
      </c>
    </row>
    <row r="4942" spans="1:11" x14ac:dyDescent="0.35">
      <c r="A4942" s="1">
        <v>42733</v>
      </c>
      <c r="B4942">
        <v>38.619998931884702</v>
      </c>
      <c r="C4942">
        <v>38.669998168945298</v>
      </c>
      <c r="D4942">
        <v>38.0424995422363</v>
      </c>
      <c r="E4942">
        <v>38.257499694824197</v>
      </c>
      <c r="F4942">
        <v>38.257499694824197</v>
      </c>
      <c r="G4942">
        <v>63166000</v>
      </c>
      <c r="H4942">
        <f t="shared" si="308"/>
        <v>2016</v>
      </c>
      <c r="I4942">
        <f t="shared" si="309"/>
        <v>12</v>
      </c>
      <c r="J4942" t="str">
        <f t="shared" si="310"/>
        <v>Dec</v>
      </c>
      <c r="K4942" t="str">
        <f t="shared" si="311"/>
        <v>Thu</v>
      </c>
    </row>
    <row r="4943" spans="1:11" x14ac:dyDescent="0.35">
      <c r="A4943" s="1">
        <v>42734</v>
      </c>
      <c r="B4943">
        <v>38.323501586913999</v>
      </c>
      <c r="C4943">
        <v>38.369998931884702</v>
      </c>
      <c r="D4943">
        <v>37.4140014648437</v>
      </c>
      <c r="E4943">
        <v>37.493499755859297</v>
      </c>
      <c r="F4943">
        <v>37.493499755859297</v>
      </c>
      <c r="G4943">
        <v>82788000</v>
      </c>
      <c r="H4943">
        <f t="shared" si="308"/>
        <v>2016</v>
      </c>
      <c r="I4943">
        <f t="shared" si="309"/>
        <v>12</v>
      </c>
      <c r="J4943" t="str">
        <f t="shared" si="310"/>
        <v>Dec</v>
      </c>
      <c r="K4943" t="str">
        <f t="shared" si="311"/>
        <v>Fri</v>
      </c>
    </row>
    <row r="4944" spans="1:11" x14ac:dyDescent="0.35">
      <c r="A4944" s="1">
        <v>42738</v>
      </c>
      <c r="B4944">
        <v>37.895999908447202</v>
      </c>
      <c r="C4944">
        <v>37.937999725341797</v>
      </c>
      <c r="D4944">
        <v>37.384998321533203</v>
      </c>
      <c r="E4944">
        <v>37.683498382568303</v>
      </c>
      <c r="F4944">
        <v>37.683498382568303</v>
      </c>
      <c r="G4944">
        <v>70422000</v>
      </c>
      <c r="H4944">
        <f t="shared" si="308"/>
        <v>2017</v>
      </c>
      <c r="I4944">
        <f t="shared" si="309"/>
        <v>1</v>
      </c>
      <c r="J4944" t="str">
        <f t="shared" si="310"/>
        <v>Jan</v>
      </c>
      <c r="K4944" t="str">
        <f t="shared" si="311"/>
        <v>Tue</v>
      </c>
    </row>
    <row r="4945" spans="1:11" x14ac:dyDescent="0.35">
      <c r="A4945" s="1">
        <v>42739</v>
      </c>
      <c r="B4945">
        <v>37.919498443603501</v>
      </c>
      <c r="C4945">
        <v>37.984001159667898</v>
      </c>
      <c r="D4945">
        <v>37.709999084472599</v>
      </c>
      <c r="E4945">
        <v>37.859001159667898</v>
      </c>
      <c r="F4945">
        <v>37.859001159667898</v>
      </c>
      <c r="G4945">
        <v>50210000</v>
      </c>
      <c r="H4945">
        <f t="shared" si="308"/>
        <v>2017</v>
      </c>
      <c r="I4945">
        <f t="shared" si="309"/>
        <v>1</v>
      </c>
      <c r="J4945" t="str">
        <f t="shared" si="310"/>
        <v>Jan</v>
      </c>
      <c r="K4945" t="str">
        <f t="shared" si="311"/>
        <v>Wed</v>
      </c>
    </row>
    <row r="4946" spans="1:11" x14ac:dyDescent="0.35">
      <c r="A4946" s="1">
        <v>42740</v>
      </c>
      <c r="B4946">
        <v>38.077499389648402</v>
      </c>
      <c r="C4946">
        <v>39.119998931884702</v>
      </c>
      <c r="D4946">
        <v>38.0130004882812</v>
      </c>
      <c r="E4946">
        <v>39.022499084472599</v>
      </c>
      <c r="F4946">
        <v>39.022499084472599</v>
      </c>
      <c r="G4946">
        <v>116602000</v>
      </c>
      <c r="H4946">
        <f t="shared" si="308"/>
        <v>2017</v>
      </c>
      <c r="I4946">
        <f t="shared" si="309"/>
        <v>1</v>
      </c>
      <c r="J4946" t="str">
        <f t="shared" si="310"/>
        <v>Jan</v>
      </c>
      <c r="K4946" t="str">
        <f t="shared" si="311"/>
        <v>Thu</v>
      </c>
    </row>
    <row r="4947" spans="1:11" x14ac:dyDescent="0.35">
      <c r="A4947" s="1">
        <v>42741</v>
      </c>
      <c r="B4947">
        <v>39.1180000305175</v>
      </c>
      <c r="C4947">
        <v>39.972000122070298</v>
      </c>
      <c r="D4947">
        <v>38.923999786376903</v>
      </c>
      <c r="E4947">
        <v>39.7994995117187</v>
      </c>
      <c r="F4947">
        <v>39.7994995117187</v>
      </c>
      <c r="G4947">
        <v>119724000</v>
      </c>
      <c r="H4947">
        <f t="shared" si="308"/>
        <v>2017</v>
      </c>
      <c r="I4947">
        <f t="shared" si="309"/>
        <v>1</v>
      </c>
      <c r="J4947" t="str">
        <f t="shared" si="310"/>
        <v>Jan</v>
      </c>
      <c r="K4947" t="str">
        <f t="shared" si="311"/>
        <v>Fri</v>
      </c>
    </row>
    <row r="4948" spans="1:11" x14ac:dyDescent="0.35">
      <c r="A4948" s="1">
        <v>42744</v>
      </c>
      <c r="B4948">
        <v>39.900001525878899</v>
      </c>
      <c r="C4948">
        <v>40.0885009765625</v>
      </c>
      <c r="D4948">
        <v>39.5885009765625</v>
      </c>
      <c r="E4948">
        <v>39.846000671386697</v>
      </c>
      <c r="F4948">
        <v>39.846000671386697</v>
      </c>
      <c r="G4948">
        <v>68922000</v>
      </c>
      <c r="H4948">
        <f t="shared" si="308"/>
        <v>2017</v>
      </c>
      <c r="I4948">
        <f t="shared" si="309"/>
        <v>1</v>
      </c>
      <c r="J4948" t="str">
        <f t="shared" si="310"/>
        <v>Jan</v>
      </c>
      <c r="K4948" t="str">
        <f t="shared" si="311"/>
        <v>Mon</v>
      </c>
    </row>
    <row r="4949" spans="1:11" x14ac:dyDescent="0.35">
      <c r="A4949" s="1">
        <v>42745</v>
      </c>
      <c r="B4949">
        <v>39.830001831054602</v>
      </c>
      <c r="C4949">
        <v>39.900001525878899</v>
      </c>
      <c r="D4949">
        <v>39.477001190185497</v>
      </c>
      <c r="E4949">
        <v>39.794998168945298</v>
      </c>
      <c r="F4949">
        <v>39.794998168945298</v>
      </c>
      <c r="G4949">
        <v>51168000</v>
      </c>
      <c r="H4949">
        <f t="shared" si="308"/>
        <v>2017</v>
      </c>
      <c r="I4949">
        <f t="shared" si="309"/>
        <v>1</v>
      </c>
      <c r="J4949" t="str">
        <f t="shared" si="310"/>
        <v>Jan</v>
      </c>
      <c r="K4949" t="str">
        <f t="shared" si="311"/>
        <v>Tue</v>
      </c>
    </row>
    <row r="4950" spans="1:11" x14ac:dyDescent="0.35">
      <c r="A4950" s="1">
        <v>42746</v>
      </c>
      <c r="B4950">
        <v>39.682998657226499</v>
      </c>
      <c r="C4950">
        <v>39.974998474121001</v>
      </c>
      <c r="D4950">
        <v>39.475498199462798</v>
      </c>
      <c r="E4950">
        <v>39.951000213622997</v>
      </c>
      <c r="F4950">
        <v>39.951000213622997</v>
      </c>
      <c r="G4950">
        <v>59856000</v>
      </c>
      <c r="H4950">
        <f t="shared" si="308"/>
        <v>2017</v>
      </c>
      <c r="I4950">
        <f t="shared" si="309"/>
        <v>1</v>
      </c>
      <c r="J4950" t="str">
        <f t="shared" si="310"/>
        <v>Jan</v>
      </c>
      <c r="K4950" t="str">
        <f t="shared" si="311"/>
        <v>Wed</v>
      </c>
    </row>
    <row r="4951" spans="1:11" x14ac:dyDescent="0.35">
      <c r="A4951" s="1">
        <v>42747</v>
      </c>
      <c r="B4951">
        <v>40.015499114990199</v>
      </c>
      <c r="C4951">
        <v>40.70650100708</v>
      </c>
      <c r="D4951">
        <v>39.974998474121001</v>
      </c>
      <c r="E4951">
        <v>40.681999206542898</v>
      </c>
      <c r="F4951">
        <v>40.681999206542898</v>
      </c>
      <c r="G4951">
        <v>97478000</v>
      </c>
      <c r="H4951">
        <f t="shared" si="308"/>
        <v>2017</v>
      </c>
      <c r="I4951">
        <f t="shared" si="309"/>
        <v>1</v>
      </c>
      <c r="J4951" t="str">
        <f t="shared" si="310"/>
        <v>Jan</v>
      </c>
      <c r="K4951" t="str">
        <f t="shared" si="311"/>
        <v>Thu</v>
      </c>
    </row>
    <row r="4952" spans="1:11" x14ac:dyDescent="0.35">
      <c r="A4952" s="1">
        <v>42748</v>
      </c>
      <c r="B4952">
        <v>40.715999603271399</v>
      </c>
      <c r="C4952">
        <v>41.082500457763601</v>
      </c>
      <c r="D4952">
        <v>40.569999694824197</v>
      </c>
      <c r="E4952">
        <v>40.856998443603501</v>
      </c>
      <c r="F4952">
        <v>40.856998443603501</v>
      </c>
      <c r="G4952">
        <v>75838000</v>
      </c>
      <c r="H4952">
        <f t="shared" si="308"/>
        <v>2017</v>
      </c>
      <c r="I4952">
        <f t="shared" si="309"/>
        <v>1</v>
      </c>
      <c r="J4952" t="str">
        <f t="shared" si="310"/>
        <v>Jan</v>
      </c>
      <c r="K4952" t="str">
        <f t="shared" si="311"/>
        <v>Fri</v>
      </c>
    </row>
    <row r="4953" spans="1:11" x14ac:dyDescent="0.35">
      <c r="A4953" s="1">
        <v>42752</v>
      </c>
      <c r="B4953">
        <v>40.784999847412102</v>
      </c>
      <c r="C4953">
        <v>40.799999237060497</v>
      </c>
      <c r="D4953">
        <v>40.172000885009702</v>
      </c>
      <c r="E4953">
        <v>40.486000061035099</v>
      </c>
      <c r="F4953">
        <v>40.486000061035099</v>
      </c>
      <c r="G4953">
        <v>73410000</v>
      </c>
      <c r="H4953">
        <f t="shared" si="308"/>
        <v>2017</v>
      </c>
      <c r="I4953">
        <f t="shared" si="309"/>
        <v>1</v>
      </c>
      <c r="J4953" t="str">
        <f t="shared" si="310"/>
        <v>Jan</v>
      </c>
      <c r="K4953" t="str">
        <f t="shared" si="311"/>
        <v>Tue</v>
      </c>
    </row>
    <row r="4954" spans="1:11" x14ac:dyDescent="0.35">
      <c r="A4954" s="1">
        <v>42753</v>
      </c>
      <c r="B4954">
        <v>40.474998474121001</v>
      </c>
      <c r="C4954">
        <v>40.586498260497997</v>
      </c>
      <c r="D4954">
        <v>40.2135009765625</v>
      </c>
      <c r="E4954">
        <v>40.374000549316399</v>
      </c>
      <c r="F4954">
        <v>40.374000549316399</v>
      </c>
      <c r="G4954">
        <v>47084000</v>
      </c>
      <c r="H4954">
        <f t="shared" si="308"/>
        <v>2017</v>
      </c>
      <c r="I4954">
        <f t="shared" si="309"/>
        <v>1</v>
      </c>
      <c r="J4954" t="str">
        <f t="shared" si="310"/>
        <v>Jan</v>
      </c>
      <c r="K4954" t="str">
        <f t="shared" si="311"/>
        <v>Wed</v>
      </c>
    </row>
    <row r="4955" spans="1:11" x14ac:dyDescent="0.35">
      <c r="A4955" s="1">
        <v>42754</v>
      </c>
      <c r="B4955">
        <v>40.5</v>
      </c>
      <c r="C4955">
        <v>40.675498962402301</v>
      </c>
      <c r="D4955">
        <v>40.366001129150298</v>
      </c>
      <c r="E4955">
        <v>40.451999664306598</v>
      </c>
      <c r="F4955">
        <v>40.451999664306598</v>
      </c>
      <c r="G4955">
        <v>50816000</v>
      </c>
      <c r="H4955">
        <f t="shared" si="308"/>
        <v>2017</v>
      </c>
      <c r="I4955">
        <f t="shared" si="309"/>
        <v>1</v>
      </c>
      <c r="J4955" t="str">
        <f t="shared" si="310"/>
        <v>Jan</v>
      </c>
      <c r="K4955" t="str">
        <f t="shared" si="311"/>
        <v>Thu</v>
      </c>
    </row>
    <row r="4956" spans="1:11" x14ac:dyDescent="0.35">
      <c r="A4956" s="1">
        <v>42755</v>
      </c>
      <c r="B4956">
        <v>40.763999938964801</v>
      </c>
      <c r="C4956">
        <v>40.800998687744098</v>
      </c>
      <c r="D4956">
        <v>40.312999725341797</v>
      </c>
      <c r="E4956">
        <v>40.416500091552699</v>
      </c>
      <c r="F4956">
        <v>40.416500091552699</v>
      </c>
      <c r="G4956">
        <v>67524000</v>
      </c>
      <c r="H4956">
        <f t="shared" si="308"/>
        <v>2017</v>
      </c>
      <c r="I4956">
        <f t="shared" si="309"/>
        <v>1</v>
      </c>
      <c r="J4956" t="str">
        <f t="shared" si="310"/>
        <v>Jan</v>
      </c>
      <c r="K4956" t="str">
        <f t="shared" si="311"/>
        <v>Fri</v>
      </c>
    </row>
    <row r="4957" spans="1:11" x14ac:dyDescent="0.35">
      <c r="A4957" s="1">
        <v>42758</v>
      </c>
      <c r="B4957">
        <v>40.340000152587798</v>
      </c>
      <c r="C4957">
        <v>40.924999237060497</v>
      </c>
      <c r="D4957">
        <v>40.254001617431598</v>
      </c>
      <c r="E4957">
        <v>40.89400100708</v>
      </c>
      <c r="F4957">
        <v>40.89400100708</v>
      </c>
      <c r="G4957">
        <v>55950000</v>
      </c>
      <c r="H4957">
        <f t="shared" si="308"/>
        <v>2017</v>
      </c>
      <c r="I4957">
        <f t="shared" si="309"/>
        <v>1</v>
      </c>
      <c r="J4957" t="str">
        <f t="shared" si="310"/>
        <v>Jan</v>
      </c>
      <c r="K4957" t="str">
        <f t="shared" si="311"/>
        <v>Mon</v>
      </c>
    </row>
    <row r="4958" spans="1:11" x14ac:dyDescent="0.35">
      <c r="A4958" s="1">
        <v>42759</v>
      </c>
      <c r="B4958">
        <v>41.099998474121001</v>
      </c>
      <c r="C4958">
        <v>41.199501037597599</v>
      </c>
      <c r="D4958">
        <v>40.724998474121001</v>
      </c>
      <c r="E4958">
        <v>41.122001647949197</v>
      </c>
      <c r="F4958">
        <v>41.122001647949197</v>
      </c>
      <c r="G4958">
        <v>59434000</v>
      </c>
      <c r="H4958">
        <f t="shared" si="308"/>
        <v>2017</v>
      </c>
      <c r="I4958">
        <f t="shared" si="309"/>
        <v>1</v>
      </c>
      <c r="J4958" t="str">
        <f t="shared" si="310"/>
        <v>Jan</v>
      </c>
      <c r="K4958" t="str">
        <f t="shared" si="311"/>
        <v>Tue</v>
      </c>
    </row>
    <row r="4959" spans="1:11" x14ac:dyDescent="0.35">
      <c r="A4959" s="1">
        <v>42760</v>
      </c>
      <c r="B4959">
        <v>41.289501190185497</v>
      </c>
      <c r="C4959">
        <v>41.870998382568303</v>
      </c>
      <c r="D4959">
        <v>41.264499664306598</v>
      </c>
      <c r="E4959">
        <v>41.826000213622997</v>
      </c>
      <c r="F4959">
        <v>41.826000213622997</v>
      </c>
      <c r="G4959">
        <v>78452000</v>
      </c>
      <c r="H4959">
        <f t="shared" si="308"/>
        <v>2017</v>
      </c>
      <c r="I4959">
        <f t="shared" si="309"/>
        <v>1</v>
      </c>
      <c r="J4959" t="str">
        <f t="shared" si="310"/>
        <v>Jan</v>
      </c>
      <c r="K4959" t="str">
        <f t="shared" si="311"/>
        <v>Wed</v>
      </c>
    </row>
    <row r="4960" spans="1:11" x14ac:dyDescent="0.35">
      <c r="A4960" s="1">
        <v>42761</v>
      </c>
      <c r="B4960">
        <v>41.776500701904297</v>
      </c>
      <c r="C4960">
        <v>42.192001342773402</v>
      </c>
      <c r="D4960">
        <v>41.650001525878899</v>
      </c>
      <c r="E4960">
        <v>41.957500457763601</v>
      </c>
      <c r="F4960">
        <v>41.957500457763601</v>
      </c>
      <c r="G4960">
        <v>71726000</v>
      </c>
      <c r="H4960">
        <f t="shared" si="308"/>
        <v>2017</v>
      </c>
      <c r="I4960">
        <f t="shared" si="309"/>
        <v>1</v>
      </c>
      <c r="J4960" t="str">
        <f t="shared" si="310"/>
        <v>Jan</v>
      </c>
      <c r="K4960" t="str">
        <f t="shared" si="311"/>
        <v>Thu</v>
      </c>
    </row>
    <row r="4961" spans="1:11" x14ac:dyDescent="0.35">
      <c r="A4961" s="1">
        <v>42762</v>
      </c>
      <c r="B4961">
        <v>41.950000762939403</v>
      </c>
      <c r="C4961">
        <v>41.985000610351499</v>
      </c>
      <c r="D4961">
        <v>41.472000122070298</v>
      </c>
      <c r="E4961">
        <v>41.788501739501903</v>
      </c>
      <c r="F4961">
        <v>41.788501739501903</v>
      </c>
      <c r="G4961">
        <v>59974000</v>
      </c>
      <c r="H4961">
        <f t="shared" si="308"/>
        <v>2017</v>
      </c>
      <c r="I4961">
        <f t="shared" si="309"/>
        <v>1</v>
      </c>
      <c r="J4961" t="str">
        <f t="shared" si="310"/>
        <v>Jan</v>
      </c>
      <c r="K4961" t="str">
        <f t="shared" si="311"/>
        <v>Fri</v>
      </c>
    </row>
    <row r="4962" spans="1:11" x14ac:dyDescent="0.35">
      <c r="A4962" s="1">
        <v>42765</v>
      </c>
      <c r="B4962">
        <v>41.650001525878899</v>
      </c>
      <c r="C4962">
        <v>41.674999237060497</v>
      </c>
      <c r="D4962">
        <v>40.819000244140597</v>
      </c>
      <c r="E4962">
        <v>41.51900100708</v>
      </c>
      <c r="F4962">
        <v>41.51900100708</v>
      </c>
      <c r="G4962">
        <v>74946000</v>
      </c>
      <c r="H4962">
        <f t="shared" si="308"/>
        <v>2017</v>
      </c>
      <c r="I4962">
        <f t="shared" si="309"/>
        <v>1</v>
      </c>
      <c r="J4962" t="str">
        <f t="shared" si="310"/>
        <v>Jan</v>
      </c>
      <c r="K4962" t="str">
        <f t="shared" si="311"/>
        <v>Mon</v>
      </c>
    </row>
    <row r="4963" spans="1:11" x14ac:dyDescent="0.35">
      <c r="A4963" s="1">
        <v>42766</v>
      </c>
      <c r="B4963">
        <v>41.1875</v>
      </c>
      <c r="C4963">
        <v>41.349498748779297</v>
      </c>
      <c r="D4963">
        <v>40.978000640869098</v>
      </c>
      <c r="E4963">
        <v>41.173999786376903</v>
      </c>
      <c r="F4963">
        <v>41.173999786376903</v>
      </c>
      <c r="G4963">
        <v>62744000</v>
      </c>
      <c r="H4963">
        <f t="shared" si="308"/>
        <v>2017</v>
      </c>
      <c r="I4963">
        <f t="shared" si="309"/>
        <v>1</v>
      </c>
      <c r="J4963" t="str">
        <f t="shared" si="310"/>
        <v>Jan</v>
      </c>
      <c r="K4963" t="str">
        <f t="shared" si="311"/>
        <v>Tue</v>
      </c>
    </row>
    <row r="4964" spans="1:11" x14ac:dyDescent="0.35">
      <c r="A4964" s="1">
        <v>42767</v>
      </c>
      <c r="B4964">
        <v>41.460498809814403</v>
      </c>
      <c r="C4964">
        <v>41.688999176025298</v>
      </c>
      <c r="D4964">
        <v>41.247001647949197</v>
      </c>
      <c r="E4964">
        <v>41.617500305175703</v>
      </c>
      <c r="F4964">
        <v>41.617500305175703</v>
      </c>
      <c r="G4964">
        <v>77004000</v>
      </c>
      <c r="H4964">
        <f t="shared" si="308"/>
        <v>2017</v>
      </c>
      <c r="I4964">
        <f t="shared" si="309"/>
        <v>2</v>
      </c>
      <c r="J4964" t="str">
        <f t="shared" si="310"/>
        <v>Feb</v>
      </c>
      <c r="K4964" t="str">
        <f t="shared" si="311"/>
        <v>Wed</v>
      </c>
    </row>
    <row r="4965" spans="1:11" x14ac:dyDescent="0.35">
      <c r="A4965" s="1">
        <v>42768</v>
      </c>
      <c r="B4965">
        <v>41.829498291015597</v>
      </c>
      <c r="C4965">
        <v>42.124500274658203</v>
      </c>
      <c r="D4965">
        <v>41.412998199462798</v>
      </c>
      <c r="E4965">
        <v>41.997501373291001</v>
      </c>
      <c r="F4965">
        <v>41.997501373291001</v>
      </c>
      <c r="G4965">
        <v>147010000</v>
      </c>
      <c r="H4965">
        <f t="shared" si="308"/>
        <v>2017</v>
      </c>
      <c r="I4965">
        <f t="shared" si="309"/>
        <v>2</v>
      </c>
      <c r="J4965" t="str">
        <f t="shared" si="310"/>
        <v>Feb</v>
      </c>
      <c r="K4965" t="str">
        <f t="shared" si="311"/>
        <v>Thu</v>
      </c>
    </row>
    <row r="4966" spans="1:11" x14ac:dyDescent="0.35">
      <c r="A4966" s="1">
        <v>42769</v>
      </c>
      <c r="B4966">
        <v>40.3359985351562</v>
      </c>
      <c r="C4966">
        <v>40.915000915527301</v>
      </c>
      <c r="D4966">
        <v>40.200000762939403</v>
      </c>
      <c r="E4966">
        <v>40.509998321533203</v>
      </c>
      <c r="F4966">
        <v>40.509998321533203</v>
      </c>
      <c r="G4966">
        <v>217376000</v>
      </c>
      <c r="H4966">
        <f t="shared" si="308"/>
        <v>2017</v>
      </c>
      <c r="I4966">
        <f t="shared" si="309"/>
        <v>2</v>
      </c>
      <c r="J4966" t="str">
        <f t="shared" si="310"/>
        <v>Feb</v>
      </c>
      <c r="K4966" t="str">
        <f t="shared" si="311"/>
        <v>Fri</v>
      </c>
    </row>
    <row r="4967" spans="1:11" x14ac:dyDescent="0.35">
      <c r="A4967" s="1">
        <v>42772</v>
      </c>
      <c r="B4967">
        <v>40.490001678466797</v>
      </c>
      <c r="C4967">
        <v>40.535999298095703</v>
      </c>
      <c r="D4967">
        <v>40.150001525878899</v>
      </c>
      <c r="E4967">
        <v>40.381999969482401</v>
      </c>
      <c r="F4967">
        <v>40.381999969482401</v>
      </c>
      <c r="G4967">
        <v>77946000</v>
      </c>
      <c r="H4967">
        <f t="shared" si="308"/>
        <v>2017</v>
      </c>
      <c r="I4967">
        <f t="shared" si="309"/>
        <v>2</v>
      </c>
      <c r="J4967" t="str">
        <f t="shared" si="310"/>
        <v>Feb</v>
      </c>
      <c r="K4967" t="str">
        <f t="shared" si="311"/>
        <v>Mon</v>
      </c>
    </row>
    <row r="4968" spans="1:11" x14ac:dyDescent="0.35">
      <c r="A4968" s="1">
        <v>42773</v>
      </c>
      <c r="B4968">
        <v>40.465499877929602</v>
      </c>
      <c r="C4968">
        <v>40.807998657226499</v>
      </c>
      <c r="D4968">
        <v>40.375</v>
      </c>
      <c r="E4968">
        <v>40.625</v>
      </c>
      <c r="F4968">
        <v>40.625</v>
      </c>
      <c r="G4968">
        <v>69322000</v>
      </c>
      <c r="H4968">
        <f t="shared" si="308"/>
        <v>2017</v>
      </c>
      <c r="I4968">
        <f t="shared" si="309"/>
        <v>2</v>
      </c>
      <c r="J4968" t="str">
        <f t="shared" si="310"/>
        <v>Feb</v>
      </c>
      <c r="K4968" t="str">
        <f t="shared" si="311"/>
        <v>Tue</v>
      </c>
    </row>
    <row r="4969" spans="1:11" x14ac:dyDescent="0.35">
      <c r="A4969" s="1">
        <v>42774</v>
      </c>
      <c r="B4969">
        <v>40.634498596191399</v>
      </c>
      <c r="C4969">
        <v>41.074001312255803</v>
      </c>
      <c r="D4969">
        <v>40.625</v>
      </c>
      <c r="E4969">
        <v>40.985500335693303</v>
      </c>
      <c r="F4969">
        <v>40.985500335693303</v>
      </c>
      <c r="G4969">
        <v>57160000</v>
      </c>
      <c r="H4969">
        <f t="shared" si="308"/>
        <v>2017</v>
      </c>
      <c r="I4969">
        <f t="shared" si="309"/>
        <v>2</v>
      </c>
      <c r="J4969" t="str">
        <f t="shared" si="310"/>
        <v>Feb</v>
      </c>
      <c r="K4969" t="str">
        <f t="shared" si="311"/>
        <v>Wed</v>
      </c>
    </row>
    <row r="4970" spans="1:11" x14ac:dyDescent="0.35">
      <c r="A4970" s="1">
        <v>42775</v>
      </c>
      <c r="B4970">
        <v>41.080001831054602</v>
      </c>
      <c r="C4970">
        <v>41.25</v>
      </c>
      <c r="D4970">
        <v>40.985500335693303</v>
      </c>
      <c r="E4970">
        <v>41.068000793457003</v>
      </c>
      <c r="F4970">
        <v>41.068000793457003</v>
      </c>
      <c r="G4970">
        <v>49698000</v>
      </c>
      <c r="H4970">
        <f t="shared" si="308"/>
        <v>2017</v>
      </c>
      <c r="I4970">
        <f t="shared" si="309"/>
        <v>2</v>
      </c>
      <c r="J4970" t="str">
        <f t="shared" si="310"/>
        <v>Feb</v>
      </c>
      <c r="K4970" t="str">
        <f t="shared" si="311"/>
        <v>Thu</v>
      </c>
    </row>
    <row r="4971" spans="1:11" x14ac:dyDescent="0.35">
      <c r="A4971" s="1">
        <v>42776</v>
      </c>
      <c r="B4971">
        <v>41.191001892089801</v>
      </c>
      <c r="C4971">
        <v>41.400001525878899</v>
      </c>
      <c r="D4971">
        <v>41.142501831054602</v>
      </c>
      <c r="E4971">
        <v>41.373001098632798</v>
      </c>
      <c r="F4971">
        <v>41.373001098632798</v>
      </c>
      <c r="G4971">
        <v>48592000</v>
      </c>
      <c r="H4971">
        <f t="shared" si="308"/>
        <v>2017</v>
      </c>
      <c r="I4971">
        <f t="shared" si="309"/>
        <v>2</v>
      </c>
      <c r="J4971" t="str">
        <f t="shared" si="310"/>
        <v>Feb</v>
      </c>
      <c r="K4971" t="str">
        <f t="shared" si="311"/>
        <v>Fri</v>
      </c>
    </row>
    <row r="4972" spans="1:11" x14ac:dyDescent="0.35">
      <c r="A4972" s="1">
        <v>42779</v>
      </c>
      <c r="B4972">
        <v>41.581001281738203</v>
      </c>
      <c r="C4972">
        <v>42.150001525878899</v>
      </c>
      <c r="D4972">
        <v>41.427501678466797</v>
      </c>
      <c r="E4972">
        <v>41.826499938964801</v>
      </c>
      <c r="F4972">
        <v>41.826499938964801</v>
      </c>
      <c r="G4972">
        <v>83452000</v>
      </c>
      <c r="H4972">
        <f t="shared" si="308"/>
        <v>2017</v>
      </c>
      <c r="I4972">
        <f t="shared" si="309"/>
        <v>2</v>
      </c>
      <c r="J4972" t="str">
        <f t="shared" si="310"/>
        <v>Feb</v>
      </c>
      <c r="K4972" t="str">
        <f t="shared" si="311"/>
        <v>Mon</v>
      </c>
    </row>
    <row r="4973" spans="1:11" x14ac:dyDescent="0.35">
      <c r="A4973" s="1">
        <v>42780</v>
      </c>
      <c r="B4973">
        <v>41.849998474121001</v>
      </c>
      <c r="C4973">
        <v>41.915500640869098</v>
      </c>
      <c r="D4973">
        <v>41.572498321533203</v>
      </c>
      <c r="E4973">
        <v>41.819499969482401</v>
      </c>
      <c r="F4973">
        <v>41.819499969482401</v>
      </c>
      <c r="G4973">
        <v>55848000</v>
      </c>
      <c r="H4973">
        <f t="shared" si="308"/>
        <v>2017</v>
      </c>
      <c r="I4973">
        <f t="shared" si="309"/>
        <v>2</v>
      </c>
      <c r="J4973" t="str">
        <f t="shared" si="310"/>
        <v>Feb</v>
      </c>
      <c r="K4973" t="str">
        <f t="shared" si="311"/>
        <v>Tue</v>
      </c>
    </row>
    <row r="4974" spans="1:11" x14ac:dyDescent="0.35">
      <c r="A4974" s="1">
        <v>42781</v>
      </c>
      <c r="B4974">
        <v>41.700000762939403</v>
      </c>
      <c r="C4974">
        <v>42.140499114990199</v>
      </c>
      <c r="D4974">
        <v>41.640998840332003</v>
      </c>
      <c r="E4974">
        <v>42.134998321533203</v>
      </c>
      <c r="F4974">
        <v>42.134998321533203</v>
      </c>
      <c r="G4974">
        <v>59378000</v>
      </c>
      <c r="H4974">
        <f t="shared" si="308"/>
        <v>2017</v>
      </c>
      <c r="I4974">
        <f t="shared" si="309"/>
        <v>2</v>
      </c>
      <c r="J4974" t="str">
        <f t="shared" si="310"/>
        <v>Feb</v>
      </c>
      <c r="K4974" t="str">
        <f t="shared" si="311"/>
        <v>Wed</v>
      </c>
    </row>
    <row r="4975" spans="1:11" x14ac:dyDescent="0.35">
      <c r="A4975" s="1">
        <v>42782</v>
      </c>
      <c r="B4975">
        <v>42.091999053955</v>
      </c>
      <c r="C4975">
        <v>42.25</v>
      </c>
      <c r="D4975">
        <v>41.969001770019503</v>
      </c>
      <c r="E4975">
        <v>42.207000732421797</v>
      </c>
      <c r="F4975">
        <v>42.207000732421797</v>
      </c>
      <c r="G4975">
        <v>54294000</v>
      </c>
      <c r="H4975">
        <f t="shared" si="308"/>
        <v>2017</v>
      </c>
      <c r="I4975">
        <f t="shared" si="309"/>
        <v>2</v>
      </c>
      <c r="J4975" t="str">
        <f t="shared" si="310"/>
        <v>Feb</v>
      </c>
      <c r="K4975" t="str">
        <f t="shared" si="311"/>
        <v>Thu</v>
      </c>
    </row>
    <row r="4976" spans="1:11" x14ac:dyDescent="0.35">
      <c r="A4976" s="1">
        <v>42783</v>
      </c>
      <c r="B4976">
        <v>42.099998474121001</v>
      </c>
      <c r="C4976">
        <v>42.363498687744098</v>
      </c>
      <c r="D4976">
        <v>42.0364990234375</v>
      </c>
      <c r="E4976">
        <v>42.253501892089801</v>
      </c>
      <c r="F4976">
        <v>42.253501892089801</v>
      </c>
      <c r="G4976">
        <v>62246000</v>
      </c>
      <c r="H4976">
        <f t="shared" si="308"/>
        <v>2017</v>
      </c>
      <c r="I4976">
        <f t="shared" si="309"/>
        <v>2</v>
      </c>
      <c r="J4976" t="str">
        <f t="shared" si="310"/>
        <v>Feb</v>
      </c>
      <c r="K4976" t="str">
        <f t="shared" si="311"/>
        <v>Fri</v>
      </c>
    </row>
    <row r="4977" spans="1:11" x14ac:dyDescent="0.35">
      <c r="A4977" s="1">
        <v>42787</v>
      </c>
      <c r="B4977">
        <v>42.442001342773402</v>
      </c>
      <c r="C4977">
        <v>42.898998260497997</v>
      </c>
      <c r="D4977">
        <v>42.362499237060497</v>
      </c>
      <c r="E4977">
        <v>42.821998596191399</v>
      </c>
      <c r="F4977">
        <v>42.821998596191399</v>
      </c>
      <c r="G4977">
        <v>70154000</v>
      </c>
      <c r="H4977">
        <f t="shared" si="308"/>
        <v>2017</v>
      </c>
      <c r="I4977">
        <f t="shared" si="309"/>
        <v>2</v>
      </c>
      <c r="J4977" t="str">
        <f t="shared" si="310"/>
        <v>Feb</v>
      </c>
      <c r="K4977" t="str">
        <f t="shared" si="311"/>
        <v>Tue</v>
      </c>
    </row>
    <row r="4978" spans="1:11" x14ac:dyDescent="0.35">
      <c r="A4978" s="1">
        <v>42788</v>
      </c>
      <c r="B4978">
        <v>42.847499847412102</v>
      </c>
      <c r="C4978">
        <v>42.921501159667898</v>
      </c>
      <c r="D4978">
        <v>42.609001159667898</v>
      </c>
      <c r="E4978">
        <v>42.780498504638601</v>
      </c>
      <c r="F4978">
        <v>42.780498504638601</v>
      </c>
      <c r="G4978">
        <v>52340000</v>
      </c>
      <c r="H4978">
        <f t="shared" si="308"/>
        <v>2017</v>
      </c>
      <c r="I4978">
        <f t="shared" si="309"/>
        <v>2</v>
      </c>
      <c r="J4978" t="str">
        <f t="shared" si="310"/>
        <v>Feb</v>
      </c>
      <c r="K4978" t="str">
        <f t="shared" si="311"/>
        <v>Wed</v>
      </c>
    </row>
    <row r="4979" spans="1:11" x14ac:dyDescent="0.35">
      <c r="A4979" s="1">
        <v>42789</v>
      </c>
      <c r="B4979">
        <v>42.878501892089801</v>
      </c>
      <c r="C4979">
        <v>43.042999267578097</v>
      </c>
      <c r="D4979">
        <v>42.400001525878899</v>
      </c>
      <c r="E4979">
        <v>42.609500885009702</v>
      </c>
      <c r="F4979">
        <v>42.609500885009702</v>
      </c>
      <c r="G4979">
        <v>69240000</v>
      </c>
      <c r="H4979">
        <f t="shared" si="308"/>
        <v>2017</v>
      </c>
      <c r="I4979">
        <f t="shared" si="309"/>
        <v>2</v>
      </c>
      <c r="J4979" t="str">
        <f t="shared" si="310"/>
        <v>Feb</v>
      </c>
      <c r="K4979" t="str">
        <f t="shared" si="311"/>
        <v>Thu</v>
      </c>
    </row>
    <row r="4980" spans="1:11" x14ac:dyDescent="0.35">
      <c r="A4980" s="1">
        <v>42790</v>
      </c>
      <c r="B4980">
        <v>42.234500885009702</v>
      </c>
      <c r="C4980">
        <v>42.290500640869098</v>
      </c>
      <c r="D4980">
        <v>41.887500762939403</v>
      </c>
      <c r="E4980">
        <v>42.262001037597599</v>
      </c>
      <c r="F4980">
        <v>42.262001037597599</v>
      </c>
      <c r="G4980">
        <v>73760000</v>
      </c>
      <c r="H4980">
        <f t="shared" si="308"/>
        <v>2017</v>
      </c>
      <c r="I4980">
        <f t="shared" si="309"/>
        <v>2</v>
      </c>
      <c r="J4980" t="str">
        <f t="shared" si="310"/>
        <v>Feb</v>
      </c>
      <c r="K4980" t="str">
        <f t="shared" si="311"/>
        <v>Fri</v>
      </c>
    </row>
    <row r="4981" spans="1:11" x14ac:dyDescent="0.35">
      <c r="A4981" s="1">
        <v>42793</v>
      </c>
      <c r="B4981">
        <v>42.118999481201101</v>
      </c>
      <c r="C4981">
        <v>42.625</v>
      </c>
      <c r="D4981">
        <v>41.983501434326101</v>
      </c>
      <c r="E4981">
        <v>42.431999206542898</v>
      </c>
      <c r="F4981">
        <v>42.431999206542898</v>
      </c>
      <c r="G4981">
        <v>54272000</v>
      </c>
      <c r="H4981">
        <f t="shared" si="308"/>
        <v>2017</v>
      </c>
      <c r="I4981">
        <f t="shared" si="309"/>
        <v>2</v>
      </c>
      <c r="J4981" t="str">
        <f t="shared" si="310"/>
        <v>Feb</v>
      </c>
      <c r="K4981" t="str">
        <f t="shared" si="311"/>
        <v>Mon</v>
      </c>
    </row>
    <row r="4982" spans="1:11" x14ac:dyDescent="0.35">
      <c r="A4982" s="1">
        <v>42794</v>
      </c>
      <c r="B4982">
        <v>42.572498321533203</v>
      </c>
      <c r="C4982">
        <v>42.704498291015597</v>
      </c>
      <c r="D4982">
        <v>42.102500915527301</v>
      </c>
      <c r="E4982">
        <v>42.251998901367102</v>
      </c>
      <c r="F4982">
        <v>42.251998901367102</v>
      </c>
      <c r="G4982">
        <v>55874000</v>
      </c>
      <c r="H4982">
        <f t="shared" si="308"/>
        <v>2017</v>
      </c>
      <c r="I4982">
        <f t="shared" si="309"/>
        <v>2</v>
      </c>
      <c r="J4982" t="str">
        <f t="shared" si="310"/>
        <v>Feb</v>
      </c>
      <c r="K4982" t="str">
        <f t="shared" si="311"/>
        <v>Tue</v>
      </c>
    </row>
    <row r="4983" spans="1:11" x14ac:dyDescent="0.35">
      <c r="A4983" s="1">
        <v>42795</v>
      </c>
      <c r="B4983">
        <v>42.652500152587798</v>
      </c>
      <c r="C4983">
        <v>42.741500854492102</v>
      </c>
      <c r="D4983">
        <v>42.4505004882812</v>
      </c>
      <c r="E4983">
        <v>42.653999328613203</v>
      </c>
      <c r="F4983">
        <v>42.653999328613203</v>
      </c>
      <c r="G4983">
        <v>55202000</v>
      </c>
      <c r="H4983">
        <f t="shared" si="308"/>
        <v>2017</v>
      </c>
      <c r="I4983">
        <f t="shared" si="309"/>
        <v>3</v>
      </c>
      <c r="J4983" t="str">
        <f t="shared" si="310"/>
        <v>Mar</v>
      </c>
      <c r="K4983" t="str">
        <f t="shared" si="311"/>
        <v>Wed</v>
      </c>
    </row>
    <row r="4984" spans="1:11" x14ac:dyDescent="0.35">
      <c r="A4984" s="1">
        <v>42796</v>
      </c>
      <c r="B4984">
        <v>42.653999328613203</v>
      </c>
      <c r="C4984">
        <v>42.741001129150298</v>
      </c>
      <c r="D4984">
        <v>42.363998413085902</v>
      </c>
      <c r="E4984">
        <v>42.445499420166001</v>
      </c>
      <c r="F4984">
        <v>42.445499420166001</v>
      </c>
      <c r="G4984">
        <v>42642000</v>
      </c>
      <c r="H4984">
        <f t="shared" si="308"/>
        <v>2017</v>
      </c>
      <c r="I4984">
        <f t="shared" si="309"/>
        <v>3</v>
      </c>
      <c r="J4984" t="str">
        <f t="shared" si="310"/>
        <v>Mar</v>
      </c>
      <c r="K4984" t="str">
        <f t="shared" si="311"/>
        <v>Thu</v>
      </c>
    </row>
    <row r="4985" spans="1:11" x14ac:dyDescent="0.35">
      <c r="A4985" s="1">
        <v>42797</v>
      </c>
      <c r="B4985">
        <v>42.360000610351499</v>
      </c>
      <c r="C4985">
        <v>42.599498748779297</v>
      </c>
      <c r="D4985">
        <v>42.313499450683501</v>
      </c>
      <c r="E4985">
        <v>42.493999481201101</v>
      </c>
      <c r="F4985">
        <v>42.493999481201101</v>
      </c>
      <c r="G4985">
        <v>38822000</v>
      </c>
      <c r="H4985">
        <f t="shared" si="308"/>
        <v>2017</v>
      </c>
      <c r="I4985">
        <f t="shared" si="309"/>
        <v>3</v>
      </c>
      <c r="J4985" t="str">
        <f t="shared" si="310"/>
        <v>Mar</v>
      </c>
      <c r="K4985" t="str">
        <f t="shared" si="311"/>
        <v>Fri</v>
      </c>
    </row>
    <row r="4986" spans="1:11" x14ac:dyDescent="0.35">
      <c r="A4986" s="1">
        <v>42800</v>
      </c>
      <c r="B4986">
        <v>42.261501312255803</v>
      </c>
      <c r="C4986">
        <v>42.4244995117187</v>
      </c>
      <c r="D4986">
        <v>42.055999755859297</v>
      </c>
      <c r="E4986">
        <v>42.330501556396399</v>
      </c>
      <c r="F4986">
        <v>42.330501556396399</v>
      </c>
      <c r="G4986">
        <v>52208000</v>
      </c>
      <c r="H4986">
        <f t="shared" si="308"/>
        <v>2017</v>
      </c>
      <c r="I4986">
        <f t="shared" si="309"/>
        <v>3</v>
      </c>
      <c r="J4986" t="str">
        <f t="shared" si="310"/>
        <v>Mar</v>
      </c>
      <c r="K4986" t="str">
        <f t="shared" si="311"/>
        <v>Mon</v>
      </c>
    </row>
    <row r="4987" spans="1:11" x14ac:dyDescent="0.35">
      <c r="A4987" s="1">
        <v>42801</v>
      </c>
      <c r="B4987">
        <v>42.273998260497997</v>
      </c>
      <c r="C4987">
        <v>42.423000335693303</v>
      </c>
      <c r="D4987">
        <v>42.1875</v>
      </c>
      <c r="E4987">
        <v>42.300998687744098</v>
      </c>
      <c r="F4987">
        <v>42.300998687744098</v>
      </c>
      <c r="G4987">
        <v>44952000</v>
      </c>
      <c r="H4987">
        <f t="shared" si="308"/>
        <v>2017</v>
      </c>
      <c r="I4987">
        <f t="shared" si="309"/>
        <v>3</v>
      </c>
      <c r="J4987" t="str">
        <f t="shared" si="310"/>
        <v>Mar</v>
      </c>
      <c r="K4987" t="str">
        <f t="shared" si="311"/>
        <v>Tue</v>
      </c>
    </row>
    <row r="4988" spans="1:11" x14ac:dyDescent="0.35">
      <c r="A4988" s="1">
        <v>42802</v>
      </c>
      <c r="B4988">
        <v>42.400001525878899</v>
      </c>
      <c r="C4988">
        <v>42.653499603271399</v>
      </c>
      <c r="D4988">
        <v>42.339500427246001</v>
      </c>
      <c r="E4988">
        <v>42.525001525878899</v>
      </c>
      <c r="F4988">
        <v>42.525001525878899</v>
      </c>
      <c r="G4988">
        <v>45730000</v>
      </c>
      <c r="H4988">
        <f t="shared" si="308"/>
        <v>2017</v>
      </c>
      <c r="I4988">
        <f t="shared" si="309"/>
        <v>3</v>
      </c>
      <c r="J4988" t="str">
        <f t="shared" si="310"/>
        <v>Mar</v>
      </c>
      <c r="K4988" t="str">
        <f t="shared" si="311"/>
        <v>Wed</v>
      </c>
    </row>
    <row r="4989" spans="1:11" x14ac:dyDescent="0.35">
      <c r="A4989" s="1">
        <v>42803</v>
      </c>
      <c r="B4989">
        <v>42.549999237060497</v>
      </c>
      <c r="C4989">
        <v>42.819999694824197</v>
      </c>
      <c r="D4989">
        <v>42.515499114990199</v>
      </c>
      <c r="E4989">
        <v>42.650001525878899</v>
      </c>
      <c r="F4989">
        <v>42.650001525878899</v>
      </c>
      <c r="G4989">
        <v>40964000</v>
      </c>
      <c r="H4989">
        <f t="shared" si="308"/>
        <v>2017</v>
      </c>
      <c r="I4989">
        <f t="shared" si="309"/>
        <v>3</v>
      </c>
      <c r="J4989" t="str">
        <f t="shared" si="310"/>
        <v>Mar</v>
      </c>
      <c r="K4989" t="str">
        <f t="shared" si="311"/>
        <v>Thu</v>
      </c>
    </row>
    <row r="4990" spans="1:11" x14ac:dyDescent="0.35">
      <c r="A4990" s="1">
        <v>42804</v>
      </c>
      <c r="B4990">
        <v>42.849998474121001</v>
      </c>
      <c r="C4990">
        <v>42.867500305175703</v>
      </c>
      <c r="D4990">
        <v>42.5859985351562</v>
      </c>
      <c r="E4990">
        <v>42.623001098632798</v>
      </c>
      <c r="F4990">
        <v>42.623001098632798</v>
      </c>
      <c r="G4990">
        <v>48728000</v>
      </c>
      <c r="H4990">
        <f t="shared" si="308"/>
        <v>2017</v>
      </c>
      <c r="I4990">
        <f t="shared" si="309"/>
        <v>3</v>
      </c>
      <c r="J4990" t="str">
        <f t="shared" si="310"/>
        <v>Mar</v>
      </c>
      <c r="K4990" t="str">
        <f t="shared" si="311"/>
        <v>Fri</v>
      </c>
    </row>
    <row r="4991" spans="1:11" x14ac:dyDescent="0.35">
      <c r="A4991" s="1">
        <v>42807</v>
      </c>
      <c r="B4991">
        <v>42.5885009765625</v>
      </c>
      <c r="C4991">
        <v>42.784500122070298</v>
      </c>
      <c r="D4991">
        <v>42.585498809814403</v>
      </c>
      <c r="E4991">
        <v>42.729499816894503</v>
      </c>
      <c r="F4991">
        <v>42.729499816894503</v>
      </c>
      <c r="G4991">
        <v>38194000</v>
      </c>
      <c r="H4991">
        <f t="shared" si="308"/>
        <v>2017</v>
      </c>
      <c r="I4991">
        <f t="shared" si="309"/>
        <v>3</v>
      </c>
      <c r="J4991" t="str">
        <f t="shared" si="310"/>
        <v>Mar</v>
      </c>
      <c r="K4991" t="str">
        <f t="shared" si="311"/>
        <v>Mon</v>
      </c>
    </row>
    <row r="4992" spans="1:11" x14ac:dyDescent="0.35">
      <c r="A4992" s="1">
        <v>42808</v>
      </c>
      <c r="B4992">
        <v>42.677501678466797</v>
      </c>
      <c r="C4992">
        <v>42.6875</v>
      </c>
      <c r="D4992">
        <v>42.377498626708899</v>
      </c>
      <c r="E4992">
        <v>42.626499176025298</v>
      </c>
      <c r="F4992">
        <v>42.626499176025298</v>
      </c>
      <c r="G4992">
        <v>42612000</v>
      </c>
      <c r="H4992">
        <f t="shared" si="308"/>
        <v>2017</v>
      </c>
      <c r="I4992">
        <f t="shared" si="309"/>
        <v>3</v>
      </c>
      <c r="J4992" t="str">
        <f t="shared" si="310"/>
        <v>Mar</v>
      </c>
      <c r="K4992" t="str">
        <f t="shared" si="311"/>
        <v>Tue</v>
      </c>
    </row>
    <row r="4993" spans="1:11" x14ac:dyDescent="0.35">
      <c r="A4993" s="1">
        <v>42809</v>
      </c>
      <c r="B4993">
        <v>42.716499328613203</v>
      </c>
      <c r="C4993">
        <v>42.722499847412102</v>
      </c>
      <c r="D4993">
        <v>42.355499267578097</v>
      </c>
      <c r="E4993">
        <v>42.6484985351562</v>
      </c>
      <c r="F4993">
        <v>42.6484985351562</v>
      </c>
      <c r="G4993">
        <v>51244000</v>
      </c>
      <c r="H4993">
        <f t="shared" si="308"/>
        <v>2017</v>
      </c>
      <c r="I4993">
        <f t="shared" si="309"/>
        <v>3</v>
      </c>
      <c r="J4993" t="str">
        <f t="shared" si="310"/>
        <v>Mar</v>
      </c>
      <c r="K4993" t="str">
        <f t="shared" si="311"/>
        <v>Wed</v>
      </c>
    </row>
    <row r="4994" spans="1:11" x14ac:dyDescent="0.35">
      <c r="A4994" s="1">
        <v>42810</v>
      </c>
      <c r="B4994">
        <v>42.764999389648402</v>
      </c>
      <c r="C4994">
        <v>42.775001525878899</v>
      </c>
      <c r="D4994">
        <v>42.525501251220703</v>
      </c>
      <c r="E4994">
        <v>42.671001434326101</v>
      </c>
      <c r="F4994">
        <v>42.671001434326101</v>
      </c>
      <c r="G4994">
        <v>36846000</v>
      </c>
      <c r="H4994">
        <f t="shared" si="308"/>
        <v>2017</v>
      </c>
      <c r="I4994">
        <f t="shared" si="309"/>
        <v>3</v>
      </c>
      <c r="J4994" t="str">
        <f t="shared" si="310"/>
        <v>Mar</v>
      </c>
      <c r="K4994" t="str">
        <f t="shared" si="311"/>
        <v>Thu</v>
      </c>
    </row>
    <row r="4995" spans="1:11" x14ac:dyDescent="0.35">
      <c r="A4995" s="1">
        <v>42811</v>
      </c>
      <c r="B4995">
        <v>42.6744995117187</v>
      </c>
      <c r="C4995">
        <v>42.691501617431598</v>
      </c>
      <c r="D4995">
        <v>42.5320014953613</v>
      </c>
      <c r="E4995">
        <v>42.615501403808501</v>
      </c>
      <c r="F4995">
        <v>42.615501403808501</v>
      </c>
      <c r="G4995">
        <v>67688000</v>
      </c>
      <c r="H4995">
        <f t="shared" si="308"/>
        <v>2017</v>
      </c>
      <c r="I4995">
        <f t="shared" si="309"/>
        <v>3</v>
      </c>
      <c r="J4995" t="str">
        <f t="shared" si="310"/>
        <v>Mar</v>
      </c>
      <c r="K4995" t="str">
        <f t="shared" si="311"/>
        <v>Fri</v>
      </c>
    </row>
    <row r="4996" spans="1:11" x14ac:dyDescent="0.35">
      <c r="A4996" s="1">
        <v>42814</v>
      </c>
      <c r="B4996">
        <v>42.5755004882812</v>
      </c>
      <c r="C4996">
        <v>42.889999389648402</v>
      </c>
      <c r="D4996">
        <v>42.550498962402301</v>
      </c>
      <c r="E4996">
        <v>42.848499298095703</v>
      </c>
      <c r="F4996">
        <v>42.848499298095703</v>
      </c>
      <c r="G4996">
        <v>45654000</v>
      </c>
      <c r="H4996">
        <f t="shared" ref="H4996:H5059" si="312">YEAR($A4996)</f>
        <v>2017</v>
      </c>
      <c r="I4996">
        <f t="shared" ref="I4996:I5059" si="313">MONTH($A4996)</f>
        <v>3</v>
      </c>
      <c r="J4996" t="str">
        <f t="shared" ref="J4996:J5059" si="314">TEXT($A4996,"mmm")</f>
        <v>Mar</v>
      </c>
      <c r="K4996" t="str">
        <f t="shared" ref="K4996:K5059" si="315">TEXT($A4996,"ddd")</f>
        <v>Mon</v>
      </c>
    </row>
    <row r="4997" spans="1:11" x14ac:dyDescent="0.35">
      <c r="A4997" s="1">
        <v>42815</v>
      </c>
      <c r="B4997">
        <v>42.942001342773402</v>
      </c>
      <c r="C4997">
        <v>43.139999389648402</v>
      </c>
      <c r="D4997">
        <v>42.065498352050703</v>
      </c>
      <c r="E4997">
        <v>42.159999847412102</v>
      </c>
      <c r="F4997">
        <v>42.159999847412102</v>
      </c>
      <c r="G4997">
        <v>87658000</v>
      </c>
      <c r="H4997">
        <f t="shared" si="312"/>
        <v>2017</v>
      </c>
      <c r="I4997">
        <f t="shared" si="313"/>
        <v>3</v>
      </c>
      <c r="J4997" t="str">
        <f t="shared" si="314"/>
        <v>Mar</v>
      </c>
      <c r="K4997" t="str">
        <f t="shared" si="315"/>
        <v>Tue</v>
      </c>
    </row>
    <row r="4998" spans="1:11" x14ac:dyDescent="0.35">
      <c r="A4998" s="1">
        <v>42816</v>
      </c>
      <c r="B4998">
        <v>42.021499633788999</v>
      </c>
      <c r="C4998">
        <v>42.468498229980398</v>
      </c>
      <c r="D4998">
        <v>41.952499389648402</v>
      </c>
      <c r="E4998">
        <v>42.402999877929602</v>
      </c>
      <c r="F4998">
        <v>42.402999877929602</v>
      </c>
      <c r="G4998">
        <v>53174000</v>
      </c>
      <c r="H4998">
        <f t="shared" si="312"/>
        <v>2017</v>
      </c>
      <c r="I4998">
        <f t="shared" si="313"/>
        <v>3</v>
      </c>
      <c r="J4998" t="str">
        <f t="shared" si="314"/>
        <v>Mar</v>
      </c>
      <c r="K4998" t="str">
        <f t="shared" si="315"/>
        <v>Wed</v>
      </c>
    </row>
    <row r="4999" spans="1:11" x14ac:dyDescent="0.35">
      <c r="A4999" s="1">
        <v>42817</v>
      </c>
      <c r="B4999">
        <v>42.409999847412102</v>
      </c>
      <c r="C4999">
        <v>42.544498443603501</v>
      </c>
      <c r="D4999">
        <v>42.240001678466797</v>
      </c>
      <c r="E4999">
        <v>42.368999481201101</v>
      </c>
      <c r="F4999">
        <v>42.368999481201101</v>
      </c>
      <c r="G4999">
        <v>39060000</v>
      </c>
      <c r="H4999">
        <f t="shared" si="312"/>
        <v>2017</v>
      </c>
      <c r="I4999">
        <f t="shared" si="313"/>
        <v>3</v>
      </c>
      <c r="J4999" t="str">
        <f t="shared" si="314"/>
        <v>Mar</v>
      </c>
      <c r="K4999" t="str">
        <f t="shared" si="315"/>
        <v>Thu</v>
      </c>
    </row>
    <row r="5000" spans="1:11" x14ac:dyDescent="0.35">
      <c r="A5000" s="1">
        <v>42818</v>
      </c>
      <c r="B5000">
        <v>42.583999633788999</v>
      </c>
      <c r="C5000">
        <v>42.590000152587798</v>
      </c>
      <c r="D5000">
        <v>42.176498413085902</v>
      </c>
      <c r="E5000">
        <v>42.280498504638601</v>
      </c>
      <c r="F5000">
        <v>42.280498504638601</v>
      </c>
      <c r="G5000">
        <v>42766000</v>
      </c>
      <c r="H5000">
        <f t="shared" si="312"/>
        <v>2017</v>
      </c>
      <c r="I5000">
        <f t="shared" si="313"/>
        <v>3</v>
      </c>
      <c r="J5000" t="str">
        <f t="shared" si="314"/>
        <v>Mar</v>
      </c>
      <c r="K5000" t="str">
        <f t="shared" si="315"/>
        <v>Fri</v>
      </c>
    </row>
    <row r="5001" spans="1:11" x14ac:dyDescent="0.35">
      <c r="A5001" s="1">
        <v>42821</v>
      </c>
      <c r="B5001">
        <v>41.903499603271399</v>
      </c>
      <c r="C5001">
        <v>42.514999389648402</v>
      </c>
      <c r="D5001">
        <v>41.674999237060497</v>
      </c>
      <c r="E5001">
        <v>42.340999603271399</v>
      </c>
      <c r="F5001">
        <v>42.340999603271399</v>
      </c>
      <c r="G5001">
        <v>55116000</v>
      </c>
      <c r="H5001">
        <f t="shared" si="312"/>
        <v>2017</v>
      </c>
      <c r="I5001">
        <f t="shared" si="313"/>
        <v>3</v>
      </c>
      <c r="J5001" t="str">
        <f t="shared" si="314"/>
        <v>Mar</v>
      </c>
      <c r="K5001" t="str">
        <f t="shared" si="315"/>
        <v>Mon</v>
      </c>
    </row>
    <row r="5002" spans="1:11" x14ac:dyDescent="0.35">
      <c r="A5002" s="1">
        <v>42822</v>
      </c>
      <c r="B5002">
        <v>42.587501525878899</v>
      </c>
      <c r="C5002">
        <v>42.923000335693303</v>
      </c>
      <c r="D5002">
        <v>42.505001068115199</v>
      </c>
      <c r="E5002">
        <v>42.799999237060497</v>
      </c>
      <c r="F5002">
        <v>42.799999237060497</v>
      </c>
      <c r="G5002">
        <v>60832000</v>
      </c>
      <c r="H5002">
        <f t="shared" si="312"/>
        <v>2017</v>
      </c>
      <c r="I5002">
        <f t="shared" si="313"/>
        <v>3</v>
      </c>
      <c r="J5002" t="str">
        <f t="shared" si="314"/>
        <v>Mar</v>
      </c>
      <c r="K5002" t="str">
        <f t="shared" si="315"/>
        <v>Tue</v>
      </c>
    </row>
    <row r="5003" spans="1:11" x14ac:dyDescent="0.35">
      <c r="A5003" s="1">
        <v>42823</v>
      </c>
      <c r="B5003">
        <v>42.952499389648402</v>
      </c>
      <c r="C5003">
        <v>43.821998596191399</v>
      </c>
      <c r="D5003">
        <v>42.951000213622997</v>
      </c>
      <c r="E5003">
        <v>43.715999603271399</v>
      </c>
      <c r="F5003">
        <v>43.715999603271399</v>
      </c>
      <c r="G5003">
        <v>89716000</v>
      </c>
      <c r="H5003">
        <f t="shared" si="312"/>
        <v>2017</v>
      </c>
      <c r="I5003">
        <f t="shared" si="313"/>
        <v>3</v>
      </c>
      <c r="J5003" t="str">
        <f t="shared" si="314"/>
        <v>Mar</v>
      </c>
      <c r="K5003" t="str">
        <f t="shared" si="315"/>
        <v>Wed</v>
      </c>
    </row>
    <row r="5004" spans="1:11" x14ac:dyDescent="0.35">
      <c r="A5004" s="1">
        <v>42824</v>
      </c>
      <c r="B5004">
        <v>43.747501373291001</v>
      </c>
      <c r="C5004">
        <v>43.853000640869098</v>
      </c>
      <c r="D5004">
        <v>43.583000183105398</v>
      </c>
      <c r="E5004">
        <v>43.817001342773402</v>
      </c>
      <c r="F5004">
        <v>43.817001342773402</v>
      </c>
      <c r="G5004">
        <v>55254000</v>
      </c>
      <c r="H5004">
        <f t="shared" si="312"/>
        <v>2017</v>
      </c>
      <c r="I5004">
        <f t="shared" si="313"/>
        <v>3</v>
      </c>
      <c r="J5004" t="str">
        <f t="shared" si="314"/>
        <v>Mar</v>
      </c>
      <c r="K5004" t="str">
        <f t="shared" si="315"/>
        <v>Thu</v>
      </c>
    </row>
    <row r="5005" spans="1:11" x14ac:dyDescent="0.35">
      <c r="A5005" s="1">
        <v>42825</v>
      </c>
      <c r="B5005">
        <v>43.849998474121001</v>
      </c>
      <c r="C5005">
        <v>44.517501831054602</v>
      </c>
      <c r="D5005">
        <v>43.832500457763601</v>
      </c>
      <c r="E5005">
        <v>44.326999664306598</v>
      </c>
      <c r="F5005">
        <v>44.326999664306598</v>
      </c>
      <c r="G5005">
        <v>79152000</v>
      </c>
      <c r="H5005">
        <f t="shared" si="312"/>
        <v>2017</v>
      </c>
      <c r="I5005">
        <f t="shared" si="313"/>
        <v>3</v>
      </c>
      <c r="J5005" t="str">
        <f t="shared" si="314"/>
        <v>Mar</v>
      </c>
      <c r="K5005" t="str">
        <f t="shared" si="315"/>
        <v>Fri</v>
      </c>
    </row>
    <row r="5006" spans="1:11" x14ac:dyDescent="0.35">
      <c r="A5006" s="1">
        <v>42828</v>
      </c>
      <c r="B5006">
        <v>44.400001525878899</v>
      </c>
      <c r="C5006">
        <v>44.6744995117187</v>
      </c>
      <c r="D5006">
        <v>44.270999908447202</v>
      </c>
      <c r="E5006">
        <v>44.5755004882812</v>
      </c>
      <c r="F5006">
        <v>44.5755004882812</v>
      </c>
      <c r="G5006">
        <v>68446000</v>
      </c>
      <c r="H5006">
        <f t="shared" si="312"/>
        <v>2017</v>
      </c>
      <c r="I5006">
        <f t="shared" si="313"/>
        <v>4</v>
      </c>
      <c r="J5006" t="str">
        <f t="shared" si="314"/>
        <v>Apr</v>
      </c>
      <c r="K5006" t="str">
        <f t="shared" si="315"/>
        <v>Mon</v>
      </c>
    </row>
    <row r="5007" spans="1:11" x14ac:dyDescent="0.35">
      <c r="A5007" s="1">
        <v>42829</v>
      </c>
      <c r="B5007">
        <v>44.575000762939403</v>
      </c>
      <c r="C5007">
        <v>45.426998138427699</v>
      </c>
      <c r="D5007">
        <v>44.513999938964801</v>
      </c>
      <c r="E5007">
        <v>45.341499328613203</v>
      </c>
      <c r="F5007">
        <v>45.341499328613203</v>
      </c>
      <c r="G5007">
        <v>99694000</v>
      </c>
      <c r="H5007">
        <f t="shared" si="312"/>
        <v>2017</v>
      </c>
      <c r="I5007">
        <f t="shared" si="313"/>
        <v>4</v>
      </c>
      <c r="J5007" t="str">
        <f t="shared" si="314"/>
        <v>Apr</v>
      </c>
      <c r="K5007" t="str">
        <f t="shared" si="315"/>
        <v>Tue</v>
      </c>
    </row>
    <row r="5008" spans="1:11" x14ac:dyDescent="0.35">
      <c r="A5008" s="1">
        <v>42830</v>
      </c>
      <c r="B5008">
        <v>45.541000366210902</v>
      </c>
      <c r="C5008">
        <v>46.186000823974602</v>
      </c>
      <c r="D5008">
        <v>45.280998229980398</v>
      </c>
      <c r="E5008">
        <v>45.464000701904297</v>
      </c>
      <c r="F5008">
        <v>45.464000701904297</v>
      </c>
      <c r="G5008">
        <v>150168000</v>
      </c>
      <c r="H5008">
        <f t="shared" si="312"/>
        <v>2017</v>
      </c>
      <c r="I5008">
        <f t="shared" si="313"/>
        <v>4</v>
      </c>
      <c r="J5008" t="str">
        <f t="shared" si="314"/>
        <v>Apr</v>
      </c>
      <c r="K5008" t="str">
        <f t="shared" si="315"/>
        <v>Wed</v>
      </c>
    </row>
    <row r="5009" spans="1:11" x14ac:dyDescent="0.35">
      <c r="A5009" s="1">
        <v>42831</v>
      </c>
      <c r="B5009">
        <v>45.689998626708899</v>
      </c>
      <c r="C5009">
        <v>45.859500885009702</v>
      </c>
      <c r="D5009">
        <v>44.724498748779297</v>
      </c>
      <c r="E5009">
        <v>44.9140014648437</v>
      </c>
      <c r="F5009">
        <v>44.9140014648437</v>
      </c>
      <c r="G5009">
        <v>126882000</v>
      </c>
      <c r="H5009">
        <f t="shared" si="312"/>
        <v>2017</v>
      </c>
      <c r="I5009">
        <f t="shared" si="313"/>
        <v>4</v>
      </c>
      <c r="J5009" t="str">
        <f t="shared" si="314"/>
        <v>Apr</v>
      </c>
      <c r="K5009" t="str">
        <f t="shared" si="315"/>
        <v>Thu</v>
      </c>
    </row>
    <row r="5010" spans="1:11" x14ac:dyDescent="0.35">
      <c r="A5010" s="1">
        <v>42832</v>
      </c>
      <c r="B5010">
        <v>44.982498168945298</v>
      </c>
      <c r="C5010">
        <v>45.004501342773402</v>
      </c>
      <c r="D5010">
        <v>44.465499877929602</v>
      </c>
      <c r="E5010">
        <v>44.743999481201101</v>
      </c>
      <c r="F5010">
        <v>44.743999481201101</v>
      </c>
      <c r="G5010">
        <v>74218000</v>
      </c>
      <c r="H5010">
        <f t="shared" si="312"/>
        <v>2017</v>
      </c>
      <c r="I5010">
        <f t="shared" si="313"/>
        <v>4</v>
      </c>
      <c r="J5010" t="str">
        <f t="shared" si="314"/>
        <v>Apr</v>
      </c>
      <c r="K5010" t="str">
        <f t="shared" si="315"/>
        <v>Fri</v>
      </c>
    </row>
    <row r="5011" spans="1:11" x14ac:dyDescent="0.35">
      <c r="A5011" s="1">
        <v>42835</v>
      </c>
      <c r="B5011">
        <v>44.981498718261697</v>
      </c>
      <c r="C5011">
        <v>45.425498962402301</v>
      </c>
      <c r="D5011">
        <v>44.950000762939403</v>
      </c>
      <c r="E5011">
        <v>45.352001190185497</v>
      </c>
      <c r="F5011">
        <v>45.352001190185497</v>
      </c>
      <c r="G5011">
        <v>63686000</v>
      </c>
      <c r="H5011">
        <f t="shared" si="312"/>
        <v>2017</v>
      </c>
      <c r="I5011">
        <f t="shared" si="313"/>
        <v>4</v>
      </c>
      <c r="J5011" t="str">
        <f t="shared" si="314"/>
        <v>Apr</v>
      </c>
      <c r="K5011" t="str">
        <f t="shared" si="315"/>
        <v>Mon</v>
      </c>
    </row>
    <row r="5012" spans="1:11" x14ac:dyDescent="0.35">
      <c r="A5012" s="1">
        <v>42836</v>
      </c>
      <c r="B5012">
        <v>45.352001190185497</v>
      </c>
      <c r="C5012">
        <v>45.562000274658203</v>
      </c>
      <c r="D5012">
        <v>44.875</v>
      </c>
      <c r="E5012">
        <v>45.1180000305175</v>
      </c>
      <c r="F5012">
        <v>45.1180000305175</v>
      </c>
      <c r="G5012">
        <v>60254000</v>
      </c>
      <c r="H5012">
        <f t="shared" si="312"/>
        <v>2017</v>
      </c>
      <c r="I5012">
        <f t="shared" si="313"/>
        <v>4</v>
      </c>
      <c r="J5012" t="str">
        <f t="shared" si="314"/>
        <v>Apr</v>
      </c>
      <c r="K5012" t="str">
        <f t="shared" si="315"/>
        <v>Tue</v>
      </c>
    </row>
    <row r="5013" spans="1:11" x14ac:dyDescent="0.35">
      <c r="A5013" s="1">
        <v>42837</v>
      </c>
      <c r="B5013">
        <v>45.154499053955</v>
      </c>
      <c r="C5013">
        <v>45.204498291015597</v>
      </c>
      <c r="D5013">
        <v>44.762500762939403</v>
      </c>
      <c r="E5013">
        <v>44.811500549316399</v>
      </c>
      <c r="F5013">
        <v>44.811500549316399</v>
      </c>
      <c r="G5013">
        <v>49122000</v>
      </c>
      <c r="H5013">
        <f t="shared" si="312"/>
        <v>2017</v>
      </c>
      <c r="I5013">
        <f t="shared" si="313"/>
        <v>4</v>
      </c>
      <c r="J5013" t="str">
        <f t="shared" si="314"/>
        <v>Apr</v>
      </c>
      <c r="K5013" t="str">
        <f t="shared" si="315"/>
        <v>Wed</v>
      </c>
    </row>
    <row r="5014" spans="1:11" x14ac:dyDescent="0.35">
      <c r="A5014" s="1">
        <v>42838</v>
      </c>
      <c r="B5014">
        <v>44.572498321533203</v>
      </c>
      <c r="C5014">
        <v>44.748500823974602</v>
      </c>
      <c r="D5014">
        <v>44.224498748779297</v>
      </c>
      <c r="E5014">
        <v>44.233501434326101</v>
      </c>
      <c r="F5014">
        <v>44.233501434326101</v>
      </c>
      <c r="G5014">
        <v>63492000</v>
      </c>
      <c r="H5014">
        <f t="shared" si="312"/>
        <v>2017</v>
      </c>
      <c r="I5014">
        <f t="shared" si="313"/>
        <v>4</v>
      </c>
      <c r="J5014" t="str">
        <f t="shared" si="314"/>
        <v>Apr</v>
      </c>
      <c r="K5014" t="str">
        <f t="shared" si="315"/>
        <v>Thu</v>
      </c>
    </row>
    <row r="5015" spans="1:11" x14ac:dyDescent="0.35">
      <c r="A5015" s="1">
        <v>42842</v>
      </c>
      <c r="B5015">
        <v>44.375</v>
      </c>
      <c r="C5015">
        <v>45.118999481201101</v>
      </c>
      <c r="D5015">
        <v>44.375</v>
      </c>
      <c r="E5015">
        <v>45.099498748779297</v>
      </c>
      <c r="F5015">
        <v>45.099498748779297</v>
      </c>
      <c r="G5015">
        <v>57094000</v>
      </c>
      <c r="H5015">
        <f t="shared" si="312"/>
        <v>2017</v>
      </c>
      <c r="I5015">
        <f t="shared" si="313"/>
        <v>4</v>
      </c>
      <c r="J5015" t="str">
        <f t="shared" si="314"/>
        <v>Apr</v>
      </c>
      <c r="K5015" t="str">
        <f t="shared" si="315"/>
        <v>Mon</v>
      </c>
    </row>
    <row r="5016" spans="1:11" x14ac:dyDescent="0.35">
      <c r="A5016" s="1">
        <v>42843</v>
      </c>
      <c r="B5016">
        <v>45.0494995117187</v>
      </c>
      <c r="C5016">
        <v>45.480499267578097</v>
      </c>
      <c r="D5016">
        <v>45.0390014648437</v>
      </c>
      <c r="E5016">
        <v>45.188999176025298</v>
      </c>
      <c r="F5016">
        <v>45.188999176025298</v>
      </c>
      <c r="G5016">
        <v>59984000</v>
      </c>
      <c r="H5016">
        <f t="shared" si="312"/>
        <v>2017</v>
      </c>
      <c r="I5016">
        <f t="shared" si="313"/>
        <v>4</v>
      </c>
      <c r="J5016" t="str">
        <f t="shared" si="314"/>
        <v>Apr</v>
      </c>
      <c r="K5016" t="str">
        <f t="shared" si="315"/>
        <v>Tue</v>
      </c>
    </row>
    <row r="5017" spans="1:11" x14ac:dyDescent="0.35">
      <c r="A5017" s="1">
        <v>42844</v>
      </c>
      <c r="B5017">
        <v>45.391998291015597</v>
      </c>
      <c r="C5017">
        <v>45.525001525878899</v>
      </c>
      <c r="D5017">
        <v>44.868499755859297</v>
      </c>
      <c r="E5017">
        <v>44.959999084472599</v>
      </c>
      <c r="F5017">
        <v>44.959999084472599</v>
      </c>
      <c r="G5017">
        <v>57404000</v>
      </c>
      <c r="H5017">
        <f t="shared" si="312"/>
        <v>2017</v>
      </c>
      <c r="I5017">
        <f t="shared" si="313"/>
        <v>4</v>
      </c>
      <c r="J5017" t="str">
        <f t="shared" si="314"/>
        <v>Apr</v>
      </c>
      <c r="K5017" t="str">
        <f t="shared" si="315"/>
        <v>Wed</v>
      </c>
    </row>
    <row r="5018" spans="1:11" x14ac:dyDescent="0.35">
      <c r="A5018" s="1">
        <v>42845</v>
      </c>
      <c r="B5018">
        <v>44.985000610351499</v>
      </c>
      <c r="C5018">
        <v>45.265998840332003</v>
      </c>
      <c r="D5018">
        <v>44.814498901367102</v>
      </c>
      <c r="E5018">
        <v>45.103000640869098</v>
      </c>
      <c r="F5018">
        <v>45.103000640869098</v>
      </c>
      <c r="G5018">
        <v>56288000</v>
      </c>
      <c r="H5018">
        <f t="shared" si="312"/>
        <v>2017</v>
      </c>
      <c r="I5018">
        <f t="shared" si="313"/>
        <v>4</v>
      </c>
      <c r="J5018" t="str">
        <f t="shared" si="314"/>
        <v>Apr</v>
      </c>
      <c r="K5018" t="str">
        <f t="shared" si="315"/>
        <v>Thu</v>
      </c>
    </row>
    <row r="5019" spans="1:11" x14ac:dyDescent="0.35">
      <c r="A5019" s="1">
        <v>42846</v>
      </c>
      <c r="B5019">
        <v>45.133499145507798</v>
      </c>
      <c r="C5019">
        <v>45.182498931884702</v>
      </c>
      <c r="D5019">
        <v>44.8385009765625</v>
      </c>
      <c r="E5019">
        <v>44.926498413085902</v>
      </c>
      <c r="F5019">
        <v>44.926498413085902</v>
      </c>
      <c r="G5019">
        <v>48410000</v>
      </c>
      <c r="H5019">
        <f t="shared" si="312"/>
        <v>2017</v>
      </c>
      <c r="I5019">
        <f t="shared" si="313"/>
        <v>4</v>
      </c>
      <c r="J5019" t="str">
        <f t="shared" si="314"/>
        <v>Apr</v>
      </c>
      <c r="K5019" t="str">
        <f t="shared" si="315"/>
        <v>Fri</v>
      </c>
    </row>
    <row r="5020" spans="1:11" x14ac:dyDescent="0.35">
      <c r="A5020" s="1">
        <v>42849</v>
      </c>
      <c r="B5020">
        <v>45.433998107910099</v>
      </c>
      <c r="C5020">
        <v>45.499500274658203</v>
      </c>
      <c r="D5020">
        <v>45.191001892089801</v>
      </c>
      <c r="E5020">
        <v>45.370498657226499</v>
      </c>
      <c r="F5020">
        <v>45.370498657226499</v>
      </c>
      <c r="G5020">
        <v>62458000</v>
      </c>
      <c r="H5020">
        <f t="shared" si="312"/>
        <v>2017</v>
      </c>
      <c r="I5020">
        <f t="shared" si="313"/>
        <v>4</v>
      </c>
      <c r="J5020" t="str">
        <f t="shared" si="314"/>
        <v>Apr</v>
      </c>
      <c r="K5020" t="str">
        <f t="shared" si="315"/>
        <v>Mon</v>
      </c>
    </row>
    <row r="5021" spans="1:11" x14ac:dyDescent="0.35">
      <c r="A5021" s="1">
        <v>42850</v>
      </c>
      <c r="B5021">
        <v>45.352001190185497</v>
      </c>
      <c r="C5021">
        <v>45.4739990234375</v>
      </c>
      <c r="D5021">
        <v>45.150001525878899</v>
      </c>
      <c r="E5021">
        <v>45.3810005187988</v>
      </c>
      <c r="F5021">
        <v>45.3810005187988</v>
      </c>
      <c r="G5021">
        <v>67612000</v>
      </c>
      <c r="H5021">
        <f t="shared" si="312"/>
        <v>2017</v>
      </c>
      <c r="I5021">
        <f t="shared" si="313"/>
        <v>4</v>
      </c>
      <c r="J5021" t="str">
        <f t="shared" si="314"/>
        <v>Apr</v>
      </c>
      <c r="K5021" t="str">
        <f t="shared" si="315"/>
        <v>Tue</v>
      </c>
    </row>
    <row r="5022" spans="1:11" x14ac:dyDescent="0.35">
      <c r="A5022" s="1">
        <v>42851</v>
      </c>
      <c r="B5022">
        <v>45.514999389648402</v>
      </c>
      <c r="C5022">
        <v>45.787498474121001</v>
      </c>
      <c r="D5022">
        <v>45.377998352050703</v>
      </c>
      <c r="E5022">
        <v>45.464500427246001</v>
      </c>
      <c r="F5022">
        <v>45.464500427246001</v>
      </c>
      <c r="G5022">
        <v>52178000</v>
      </c>
      <c r="H5022">
        <f t="shared" si="312"/>
        <v>2017</v>
      </c>
      <c r="I5022">
        <f t="shared" si="313"/>
        <v>4</v>
      </c>
      <c r="J5022" t="str">
        <f t="shared" si="314"/>
        <v>Apr</v>
      </c>
      <c r="K5022" t="str">
        <f t="shared" si="315"/>
        <v>Wed</v>
      </c>
    </row>
    <row r="5023" spans="1:11" x14ac:dyDescent="0.35">
      <c r="A5023" s="1">
        <v>42852</v>
      </c>
      <c r="B5023">
        <v>45.7195014953613</v>
      </c>
      <c r="C5023">
        <v>46.092998504638601</v>
      </c>
      <c r="D5023">
        <v>45.605499267578097</v>
      </c>
      <c r="E5023">
        <v>45.918998718261697</v>
      </c>
      <c r="F5023">
        <v>45.918998718261697</v>
      </c>
      <c r="G5023">
        <v>106110000</v>
      </c>
      <c r="H5023">
        <f t="shared" si="312"/>
        <v>2017</v>
      </c>
      <c r="I5023">
        <f t="shared" si="313"/>
        <v>4</v>
      </c>
      <c r="J5023" t="str">
        <f t="shared" si="314"/>
        <v>Apr</v>
      </c>
      <c r="K5023" t="str">
        <f t="shared" si="315"/>
        <v>Thu</v>
      </c>
    </row>
    <row r="5024" spans="1:11" x14ac:dyDescent="0.35">
      <c r="A5024" s="1">
        <v>42853</v>
      </c>
      <c r="B5024">
        <v>47.441501617431598</v>
      </c>
      <c r="C5024">
        <v>47.479499816894503</v>
      </c>
      <c r="D5024">
        <v>46.216499328613203</v>
      </c>
      <c r="E5024">
        <v>46.249500274658203</v>
      </c>
      <c r="F5024">
        <v>46.249500274658203</v>
      </c>
      <c r="G5024">
        <v>147294000</v>
      </c>
      <c r="H5024">
        <f t="shared" si="312"/>
        <v>2017</v>
      </c>
      <c r="I5024">
        <f t="shared" si="313"/>
        <v>4</v>
      </c>
      <c r="J5024" t="str">
        <f t="shared" si="314"/>
        <v>Apr</v>
      </c>
      <c r="K5024" t="str">
        <f t="shared" si="315"/>
        <v>Fri</v>
      </c>
    </row>
    <row r="5025" spans="1:11" x14ac:dyDescent="0.35">
      <c r="A5025" s="1">
        <v>42856</v>
      </c>
      <c r="B5025">
        <v>46.389999389648402</v>
      </c>
      <c r="C5025">
        <v>47.720001220703097</v>
      </c>
      <c r="D5025">
        <v>46.389999389648402</v>
      </c>
      <c r="E5025">
        <v>47.4114990234375</v>
      </c>
      <c r="F5025">
        <v>47.4114990234375</v>
      </c>
      <c r="G5025">
        <v>109330000</v>
      </c>
      <c r="H5025">
        <f t="shared" si="312"/>
        <v>2017</v>
      </c>
      <c r="I5025">
        <f t="shared" si="313"/>
        <v>5</v>
      </c>
      <c r="J5025" t="str">
        <f t="shared" si="314"/>
        <v>May</v>
      </c>
      <c r="K5025" t="str">
        <f t="shared" si="315"/>
        <v>Mon</v>
      </c>
    </row>
    <row r="5026" spans="1:11" x14ac:dyDescent="0.35">
      <c r="A5026" s="1">
        <v>42857</v>
      </c>
      <c r="B5026">
        <v>47.332500457763601</v>
      </c>
      <c r="C5026">
        <v>47.505001068115199</v>
      </c>
      <c r="D5026">
        <v>47.070499420166001</v>
      </c>
      <c r="E5026">
        <v>47.347000122070298</v>
      </c>
      <c r="F5026">
        <v>47.347000122070298</v>
      </c>
      <c r="G5026">
        <v>76976000</v>
      </c>
      <c r="H5026">
        <f t="shared" si="312"/>
        <v>2017</v>
      </c>
      <c r="I5026">
        <f t="shared" si="313"/>
        <v>5</v>
      </c>
      <c r="J5026" t="str">
        <f t="shared" si="314"/>
        <v>May</v>
      </c>
      <c r="K5026" t="str">
        <f t="shared" si="315"/>
        <v>Tue</v>
      </c>
    </row>
    <row r="5027" spans="1:11" x14ac:dyDescent="0.35">
      <c r="A5027" s="1">
        <v>42858</v>
      </c>
      <c r="B5027">
        <v>47.299999237060497</v>
      </c>
      <c r="C5027">
        <v>47.299999237060497</v>
      </c>
      <c r="D5027">
        <v>46.794998168945298</v>
      </c>
      <c r="E5027">
        <v>47.051498413085902</v>
      </c>
      <c r="F5027">
        <v>47.051498413085902</v>
      </c>
      <c r="G5027">
        <v>71654000</v>
      </c>
      <c r="H5027">
        <f t="shared" si="312"/>
        <v>2017</v>
      </c>
      <c r="I5027">
        <f t="shared" si="313"/>
        <v>5</v>
      </c>
      <c r="J5027" t="str">
        <f t="shared" si="314"/>
        <v>May</v>
      </c>
      <c r="K5027" t="str">
        <f t="shared" si="315"/>
        <v>Wed</v>
      </c>
    </row>
    <row r="5028" spans="1:11" x14ac:dyDescent="0.35">
      <c r="A5028" s="1">
        <v>42859</v>
      </c>
      <c r="B5028">
        <v>47.237499237060497</v>
      </c>
      <c r="C5028">
        <v>47.25</v>
      </c>
      <c r="D5028">
        <v>46.7109985351562</v>
      </c>
      <c r="E5028">
        <v>46.876499176025298</v>
      </c>
      <c r="F5028">
        <v>46.876499176025298</v>
      </c>
      <c r="G5028">
        <v>48368000</v>
      </c>
      <c r="H5028">
        <f t="shared" si="312"/>
        <v>2017</v>
      </c>
      <c r="I5028">
        <f t="shared" si="313"/>
        <v>5</v>
      </c>
      <c r="J5028" t="str">
        <f t="shared" si="314"/>
        <v>May</v>
      </c>
      <c r="K5028" t="str">
        <f t="shared" si="315"/>
        <v>Thu</v>
      </c>
    </row>
    <row r="5029" spans="1:11" x14ac:dyDescent="0.35">
      <c r="A5029" s="1">
        <v>42860</v>
      </c>
      <c r="B5029">
        <v>47.0260009765625</v>
      </c>
      <c r="C5029">
        <v>47.039501190185497</v>
      </c>
      <c r="D5029">
        <v>46.514999389648402</v>
      </c>
      <c r="E5029">
        <v>46.707500457763601</v>
      </c>
      <c r="F5029">
        <v>46.707500457763601</v>
      </c>
      <c r="G5029">
        <v>57328000</v>
      </c>
      <c r="H5029">
        <f t="shared" si="312"/>
        <v>2017</v>
      </c>
      <c r="I5029">
        <f t="shared" si="313"/>
        <v>5</v>
      </c>
      <c r="J5029" t="str">
        <f t="shared" si="314"/>
        <v>May</v>
      </c>
      <c r="K5029" t="str">
        <f t="shared" si="315"/>
        <v>Fri</v>
      </c>
    </row>
    <row r="5030" spans="1:11" x14ac:dyDescent="0.35">
      <c r="A5030" s="1">
        <v>42863</v>
      </c>
      <c r="B5030">
        <v>47.047500610351499</v>
      </c>
      <c r="C5030">
        <v>47.452499389648402</v>
      </c>
      <c r="D5030">
        <v>46.960498809814403</v>
      </c>
      <c r="E5030">
        <v>47.451999664306598</v>
      </c>
      <c r="F5030">
        <v>47.451999664306598</v>
      </c>
      <c r="G5030">
        <v>68314000</v>
      </c>
      <c r="H5030">
        <f t="shared" si="312"/>
        <v>2017</v>
      </c>
      <c r="I5030">
        <f t="shared" si="313"/>
        <v>5</v>
      </c>
      <c r="J5030" t="str">
        <f t="shared" si="314"/>
        <v>May</v>
      </c>
      <c r="K5030" t="str">
        <f t="shared" si="315"/>
        <v>Mon</v>
      </c>
    </row>
    <row r="5031" spans="1:11" x14ac:dyDescent="0.35">
      <c r="A5031" s="1">
        <v>42864</v>
      </c>
      <c r="B5031">
        <v>47.639999389648402</v>
      </c>
      <c r="C5031">
        <v>47.894500732421797</v>
      </c>
      <c r="D5031">
        <v>47.509998321533203</v>
      </c>
      <c r="E5031">
        <v>47.640998840332003</v>
      </c>
      <c r="F5031">
        <v>47.640998840332003</v>
      </c>
      <c r="G5031">
        <v>65242000</v>
      </c>
      <c r="H5031">
        <f t="shared" si="312"/>
        <v>2017</v>
      </c>
      <c r="I5031">
        <f t="shared" si="313"/>
        <v>5</v>
      </c>
      <c r="J5031" t="str">
        <f t="shared" si="314"/>
        <v>May</v>
      </c>
      <c r="K5031" t="str">
        <f t="shared" si="315"/>
        <v>Tue</v>
      </c>
    </row>
    <row r="5032" spans="1:11" x14ac:dyDescent="0.35">
      <c r="A5032" s="1">
        <v>42865</v>
      </c>
      <c r="B5032">
        <v>47.674999237060497</v>
      </c>
      <c r="C5032">
        <v>47.6875</v>
      </c>
      <c r="D5032">
        <v>47.25</v>
      </c>
      <c r="E5032">
        <v>47.447498321533203</v>
      </c>
      <c r="F5032">
        <v>47.447498321533203</v>
      </c>
      <c r="G5032">
        <v>41930000</v>
      </c>
      <c r="H5032">
        <f t="shared" si="312"/>
        <v>2017</v>
      </c>
      <c r="I5032">
        <f t="shared" si="313"/>
        <v>5</v>
      </c>
      <c r="J5032" t="str">
        <f t="shared" si="314"/>
        <v>May</v>
      </c>
      <c r="K5032" t="str">
        <f t="shared" si="315"/>
        <v>Wed</v>
      </c>
    </row>
    <row r="5033" spans="1:11" x14ac:dyDescent="0.35">
      <c r="A5033" s="1">
        <v>42866</v>
      </c>
      <c r="B5033">
        <v>47.255500793457003</v>
      </c>
      <c r="C5033">
        <v>47.514499664306598</v>
      </c>
      <c r="D5033">
        <v>47.0390014648437</v>
      </c>
      <c r="E5033">
        <v>47.3810005187988</v>
      </c>
      <c r="F5033">
        <v>47.3810005187988</v>
      </c>
      <c r="G5033">
        <v>43882000</v>
      </c>
      <c r="H5033">
        <f t="shared" si="312"/>
        <v>2017</v>
      </c>
      <c r="I5033">
        <f t="shared" si="313"/>
        <v>5</v>
      </c>
      <c r="J5033" t="str">
        <f t="shared" si="314"/>
        <v>May</v>
      </c>
      <c r="K5033" t="str">
        <f t="shared" si="315"/>
        <v>Thu</v>
      </c>
    </row>
    <row r="5034" spans="1:11" x14ac:dyDescent="0.35">
      <c r="A5034" s="1">
        <v>42867</v>
      </c>
      <c r="B5034">
        <v>47.724998474121001</v>
      </c>
      <c r="C5034">
        <v>48.139499664306598</v>
      </c>
      <c r="D5034">
        <v>47.576499938964801</v>
      </c>
      <c r="E5034">
        <v>48.067501068115199</v>
      </c>
      <c r="F5034">
        <v>48.067501068115199</v>
      </c>
      <c r="G5034">
        <v>72518000</v>
      </c>
      <c r="H5034">
        <f t="shared" si="312"/>
        <v>2017</v>
      </c>
      <c r="I5034">
        <f t="shared" si="313"/>
        <v>5</v>
      </c>
      <c r="J5034" t="str">
        <f t="shared" si="314"/>
        <v>May</v>
      </c>
      <c r="K5034" t="str">
        <f t="shared" si="315"/>
        <v>Fri</v>
      </c>
    </row>
    <row r="5035" spans="1:11" x14ac:dyDescent="0.35">
      <c r="A5035" s="1">
        <v>42870</v>
      </c>
      <c r="B5035">
        <v>47.936500549316399</v>
      </c>
      <c r="C5035">
        <v>48.157501220703097</v>
      </c>
      <c r="D5035">
        <v>47.803001403808501</v>
      </c>
      <c r="E5035">
        <v>47.8984985351562</v>
      </c>
      <c r="F5035">
        <v>47.8984985351562</v>
      </c>
      <c r="G5035">
        <v>85412000</v>
      </c>
      <c r="H5035">
        <f t="shared" si="312"/>
        <v>2017</v>
      </c>
      <c r="I5035">
        <f t="shared" si="313"/>
        <v>5</v>
      </c>
      <c r="J5035" t="str">
        <f t="shared" si="314"/>
        <v>May</v>
      </c>
      <c r="K5035" t="str">
        <f t="shared" si="315"/>
        <v>Mon</v>
      </c>
    </row>
    <row r="5036" spans="1:11" x14ac:dyDescent="0.35">
      <c r="A5036" s="1">
        <v>42871</v>
      </c>
      <c r="B5036">
        <v>48.049999237060497</v>
      </c>
      <c r="C5036">
        <v>48.502998352050703</v>
      </c>
      <c r="D5036">
        <v>48.045501708984297</v>
      </c>
      <c r="E5036">
        <v>48.303501129150298</v>
      </c>
      <c r="F5036">
        <v>48.303501129150298</v>
      </c>
      <c r="G5036">
        <v>62522000</v>
      </c>
      <c r="H5036">
        <f t="shared" si="312"/>
        <v>2017</v>
      </c>
      <c r="I5036">
        <f t="shared" si="313"/>
        <v>5</v>
      </c>
      <c r="J5036" t="str">
        <f t="shared" si="314"/>
        <v>May</v>
      </c>
      <c r="K5036" t="str">
        <f t="shared" si="315"/>
        <v>Tue</v>
      </c>
    </row>
    <row r="5037" spans="1:11" x14ac:dyDescent="0.35">
      <c r="A5037" s="1">
        <v>42872</v>
      </c>
      <c r="B5037">
        <v>47.735000610351499</v>
      </c>
      <c r="C5037">
        <v>48.020000457763601</v>
      </c>
      <c r="D5037">
        <v>47.206001281738203</v>
      </c>
      <c r="E5037">
        <v>47.237998962402301</v>
      </c>
      <c r="F5037">
        <v>47.237998962402301</v>
      </c>
      <c r="G5037">
        <v>102912000</v>
      </c>
      <c r="H5037">
        <f t="shared" si="312"/>
        <v>2017</v>
      </c>
      <c r="I5037">
        <f t="shared" si="313"/>
        <v>5</v>
      </c>
      <c r="J5037" t="str">
        <f t="shared" si="314"/>
        <v>May</v>
      </c>
      <c r="K5037" t="str">
        <f t="shared" si="315"/>
        <v>Wed</v>
      </c>
    </row>
    <row r="5038" spans="1:11" x14ac:dyDescent="0.35">
      <c r="A5038" s="1">
        <v>42873</v>
      </c>
      <c r="B5038">
        <v>47.240001678466797</v>
      </c>
      <c r="C5038">
        <v>48.137500762939403</v>
      </c>
      <c r="D5038">
        <v>47.237998962402301</v>
      </c>
      <c r="E5038">
        <v>47.9244995117187</v>
      </c>
      <c r="F5038">
        <v>47.9244995117187</v>
      </c>
      <c r="G5038">
        <v>78786000</v>
      </c>
      <c r="H5038">
        <f t="shared" si="312"/>
        <v>2017</v>
      </c>
      <c r="I5038">
        <f t="shared" si="313"/>
        <v>5</v>
      </c>
      <c r="J5038" t="str">
        <f t="shared" si="314"/>
        <v>May</v>
      </c>
      <c r="K5038" t="str">
        <f t="shared" si="315"/>
        <v>Thu</v>
      </c>
    </row>
    <row r="5039" spans="1:11" x14ac:dyDescent="0.35">
      <c r="A5039" s="1">
        <v>42874</v>
      </c>
      <c r="B5039">
        <v>48.141998291015597</v>
      </c>
      <c r="C5039">
        <v>48.445999145507798</v>
      </c>
      <c r="D5039">
        <v>47.986000061035099</v>
      </c>
      <c r="E5039">
        <v>47.992000579833899</v>
      </c>
      <c r="F5039">
        <v>47.992000579833899</v>
      </c>
      <c r="G5039">
        <v>79442000</v>
      </c>
      <c r="H5039">
        <f t="shared" si="312"/>
        <v>2017</v>
      </c>
      <c r="I5039">
        <f t="shared" si="313"/>
        <v>5</v>
      </c>
      <c r="J5039" t="str">
        <f t="shared" si="314"/>
        <v>May</v>
      </c>
      <c r="K5039" t="str">
        <f t="shared" si="315"/>
        <v>Fri</v>
      </c>
    </row>
    <row r="5040" spans="1:11" x14ac:dyDescent="0.35">
      <c r="A5040" s="1">
        <v>42877</v>
      </c>
      <c r="B5040">
        <v>48.200000762939403</v>
      </c>
      <c r="C5040">
        <v>48.569000244140597</v>
      </c>
      <c r="D5040">
        <v>48.145000457763601</v>
      </c>
      <c r="E5040">
        <v>48.533500671386697</v>
      </c>
      <c r="F5040">
        <v>48.533500671386697</v>
      </c>
      <c r="G5040">
        <v>52844000</v>
      </c>
      <c r="H5040">
        <f t="shared" si="312"/>
        <v>2017</v>
      </c>
      <c r="I5040">
        <f t="shared" si="313"/>
        <v>5</v>
      </c>
      <c r="J5040" t="str">
        <f t="shared" si="314"/>
        <v>May</v>
      </c>
      <c r="K5040" t="str">
        <f t="shared" si="315"/>
        <v>Mon</v>
      </c>
    </row>
    <row r="5041" spans="1:11" x14ac:dyDescent="0.35">
      <c r="A5041" s="1">
        <v>42878</v>
      </c>
      <c r="B5041">
        <v>48.750999450683501</v>
      </c>
      <c r="C5041">
        <v>48.759998321533203</v>
      </c>
      <c r="D5041">
        <v>48.342498779296797</v>
      </c>
      <c r="E5041">
        <v>48.576999664306598</v>
      </c>
      <c r="F5041">
        <v>48.576999664306598</v>
      </c>
      <c r="G5041">
        <v>48312000</v>
      </c>
      <c r="H5041">
        <f t="shared" si="312"/>
        <v>2017</v>
      </c>
      <c r="I5041">
        <f t="shared" si="313"/>
        <v>5</v>
      </c>
      <c r="J5041" t="str">
        <f t="shared" si="314"/>
        <v>May</v>
      </c>
      <c r="K5041" t="str">
        <f t="shared" si="315"/>
        <v>Tue</v>
      </c>
    </row>
    <row r="5042" spans="1:11" x14ac:dyDescent="0.35">
      <c r="A5042" s="1">
        <v>42879</v>
      </c>
      <c r="B5042">
        <v>48.799999237060497</v>
      </c>
      <c r="C5042">
        <v>49.049999237060497</v>
      </c>
      <c r="D5042">
        <v>48.511501312255803</v>
      </c>
      <c r="E5042">
        <v>49.017501831054602</v>
      </c>
      <c r="F5042">
        <v>49.017501831054602</v>
      </c>
      <c r="G5042">
        <v>48920000</v>
      </c>
      <c r="H5042">
        <f t="shared" si="312"/>
        <v>2017</v>
      </c>
      <c r="I5042">
        <f t="shared" si="313"/>
        <v>5</v>
      </c>
      <c r="J5042" t="str">
        <f t="shared" si="314"/>
        <v>May</v>
      </c>
      <c r="K5042" t="str">
        <f t="shared" si="315"/>
        <v>Wed</v>
      </c>
    </row>
    <row r="5043" spans="1:11" x14ac:dyDescent="0.35">
      <c r="A5043" s="1">
        <v>42880</v>
      </c>
      <c r="B5043">
        <v>49.242500305175703</v>
      </c>
      <c r="C5043">
        <v>49.950000762939403</v>
      </c>
      <c r="D5043">
        <v>49.105499267578097</v>
      </c>
      <c r="E5043">
        <v>49.668998718261697</v>
      </c>
      <c r="F5043">
        <v>49.668998718261697</v>
      </c>
      <c r="G5043">
        <v>96440000</v>
      </c>
      <c r="H5043">
        <f t="shared" si="312"/>
        <v>2017</v>
      </c>
      <c r="I5043">
        <f t="shared" si="313"/>
        <v>5</v>
      </c>
      <c r="J5043" t="str">
        <f t="shared" si="314"/>
        <v>May</v>
      </c>
      <c r="K5043" t="str">
        <f t="shared" si="315"/>
        <v>Thu</v>
      </c>
    </row>
    <row r="5044" spans="1:11" x14ac:dyDescent="0.35">
      <c r="A5044" s="1">
        <v>42881</v>
      </c>
      <c r="B5044">
        <v>49.75</v>
      </c>
      <c r="C5044">
        <v>49.932498931884702</v>
      </c>
      <c r="D5044">
        <v>49.462501525878899</v>
      </c>
      <c r="E5044">
        <v>49.7890014648437</v>
      </c>
      <c r="F5044">
        <v>49.7890014648437</v>
      </c>
      <c r="G5044">
        <v>69384000</v>
      </c>
      <c r="H5044">
        <f t="shared" si="312"/>
        <v>2017</v>
      </c>
      <c r="I5044">
        <f t="shared" si="313"/>
        <v>5</v>
      </c>
      <c r="J5044" t="str">
        <f t="shared" si="314"/>
        <v>May</v>
      </c>
      <c r="K5044" t="str">
        <f t="shared" si="315"/>
        <v>Fri</v>
      </c>
    </row>
    <row r="5045" spans="1:11" x14ac:dyDescent="0.35">
      <c r="A5045" s="1">
        <v>42885</v>
      </c>
      <c r="B5045">
        <v>49.8255004882812</v>
      </c>
      <c r="C5045">
        <v>50.060001373291001</v>
      </c>
      <c r="D5045">
        <v>49.7760009765625</v>
      </c>
      <c r="E5045">
        <v>49.834999084472599</v>
      </c>
      <c r="F5045">
        <v>49.834999084472599</v>
      </c>
      <c r="G5045">
        <v>65262000</v>
      </c>
      <c r="H5045">
        <f t="shared" si="312"/>
        <v>2017</v>
      </c>
      <c r="I5045">
        <f t="shared" si="313"/>
        <v>5</v>
      </c>
      <c r="J5045" t="str">
        <f t="shared" si="314"/>
        <v>May</v>
      </c>
      <c r="K5045" t="str">
        <f t="shared" si="315"/>
        <v>Tue</v>
      </c>
    </row>
    <row r="5046" spans="1:11" x14ac:dyDescent="0.35">
      <c r="A5046" s="1">
        <v>42886</v>
      </c>
      <c r="B5046">
        <v>50</v>
      </c>
      <c r="C5046">
        <v>50.0060005187988</v>
      </c>
      <c r="D5046">
        <v>49.108001708984297</v>
      </c>
      <c r="E5046">
        <v>49.730998992919901</v>
      </c>
      <c r="F5046">
        <v>49.730998992919901</v>
      </c>
      <c r="G5046">
        <v>78262000</v>
      </c>
      <c r="H5046">
        <f t="shared" si="312"/>
        <v>2017</v>
      </c>
      <c r="I5046">
        <f t="shared" si="313"/>
        <v>5</v>
      </c>
      <c r="J5046" t="str">
        <f t="shared" si="314"/>
        <v>May</v>
      </c>
      <c r="K5046" t="str">
        <f t="shared" si="315"/>
        <v>Wed</v>
      </c>
    </row>
    <row r="5047" spans="1:11" x14ac:dyDescent="0.35">
      <c r="A5047" s="1">
        <v>42887</v>
      </c>
      <c r="B5047">
        <v>49.929500579833899</v>
      </c>
      <c r="C5047">
        <v>49.949501037597599</v>
      </c>
      <c r="D5047">
        <v>49.5685005187988</v>
      </c>
      <c r="E5047">
        <v>49.797500610351499</v>
      </c>
      <c r="F5047">
        <v>49.797500610351499</v>
      </c>
      <c r="G5047">
        <v>49096000</v>
      </c>
      <c r="H5047">
        <f t="shared" si="312"/>
        <v>2017</v>
      </c>
      <c r="I5047">
        <f t="shared" si="313"/>
        <v>6</v>
      </c>
      <c r="J5047" t="str">
        <f t="shared" si="314"/>
        <v>Jun</v>
      </c>
      <c r="K5047" t="str">
        <f t="shared" si="315"/>
        <v>Thu</v>
      </c>
    </row>
    <row r="5048" spans="1:11" x14ac:dyDescent="0.35">
      <c r="A5048" s="1">
        <v>42888</v>
      </c>
      <c r="B5048">
        <v>49.949501037597599</v>
      </c>
      <c r="C5048">
        <v>50.423999786376903</v>
      </c>
      <c r="D5048">
        <v>49.783500671386697</v>
      </c>
      <c r="E5048">
        <v>50.336498260497997</v>
      </c>
      <c r="F5048">
        <v>50.336498260497997</v>
      </c>
      <c r="G5048">
        <v>75046000</v>
      </c>
      <c r="H5048">
        <f t="shared" si="312"/>
        <v>2017</v>
      </c>
      <c r="I5048">
        <f t="shared" si="313"/>
        <v>6</v>
      </c>
      <c r="J5048" t="str">
        <f t="shared" si="314"/>
        <v>Jun</v>
      </c>
      <c r="K5048" t="str">
        <f t="shared" si="315"/>
        <v>Fri</v>
      </c>
    </row>
    <row r="5049" spans="1:11" x14ac:dyDescent="0.35">
      <c r="A5049" s="1">
        <v>42891</v>
      </c>
      <c r="B5049">
        <v>50.361499786376903</v>
      </c>
      <c r="C5049">
        <v>50.660499572753899</v>
      </c>
      <c r="D5049">
        <v>50.175498962402301</v>
      </c>
      <c r="E5049">
        <v>50.567001342773402</v>
      </c>
      <c r="F5049">
        <v>50.567001342773402</v>
      </c>
      <c r="G5049">
        <v>54398000</v>
      </c>
      <c r="H5049">
        <f t="shared" si="312"/>
        <v>2017</v>
      </c>
      <c r="I5049">
        <f t="shared" si="313"/>
        <v>6</v>
      </c>
      <c r="J5049" t="str">
        <f t="shared" si="314"/>
        <v>Jun</v>
      </c>
      <c r="K5049" t="str">
        <f t="shared" si="315"/>
        <v>Mon</v>
      </c>
    </row>
    <row r="5050" spans="1:11" x14ac:dyDescent="0.35">
      <c r="A5050" s="1">
        <v>42892</v>
      </c>
      <c r="B5050">
        <v>50.599998474121001</v>
      </c>
      <c r="C5050">
        <v>50.825000762939403</v>
      </c>
      <c r="D5050">
        <v>50.0625</v>
      </c>
      <c r="E5050">
        <v>50.150001525878899</v>
      </c>
      <c r="F5050">
        <v>50.150001525878899</v>
      </c>
      <c r="G5050">
        <v>66928000</v>
      </c>
      <c r="H5050">
        <f t="shared" si="312"/>
        <v>2017</v>
      </c>
      <c r="I5050">
        <f t="shared" si="313"/>
        <v>6</v>
      </c>
      <c r="J5050" t="str">
        <f t="shared" si="314"/>
        <v>Jun</v>
      </c>
      <c r="K5050" t="str">
        <f t="shared" si="315"/>
        <v>Tue</v>
      </c>
    </row>
    <row r="5051" spans="1:11" x14ac:dyDescent="0.35">
      <c r="A5051" s="1">
        <v>42893</v>
      </c>
      <c r="B5051">
        <v>50.297500610351499</v>
      </c>
      <c r="C5051">
        <v>50.512500762939403</v>
      </c>
      <c r="D5051">
        <v>50.099998474121001</v>
      </c>
      <c r="E5051">
        <v>50.503501892089801</v>
      </c>
      <c r="F5051">
        <v>50.503501892089801</v>
      </c>
      <c r="G5051">
        <v>56460000</v>
      </c>
      <c r="H5051">
        <f t="shared" si="312"/>
        <v>2017</v>
      </c>
      <c r="I5051">
        <f t="shared" si="313"/>
        <v>6</v>
      </c>
      <c r="J5051" t="str">
        <f t="shared" si="314"/>
        <v>Jun</v>
      </c>
      <c r="K5051" t="str">
        <f t="shared" si="315"/>
        <v>Wed</v>
      </c>
    </row>
    <row r="5052" spans="1:11" x14ac:dyDescent="0.35">
      <c r="A5052" s="1">
        <v>42894</v>
      </c>
      <c r="B5052">
        <v>50.603000640869098</v>
      </c>
      <c r="C5052">
        <v>50.6805000305175</v>
      </c>
      <c r="D5052">
        <v>50.3055000305175</v>
      </c>
      <c r="E5052">
        <v>50.513500213622997</v>
      </c>
      <c r="F5052">
        <v>50.513500213622997</v>
      </c>
      <c r="G5052">
        <v>55358000</v>
      </c>
      <c r="H5052">
        <f t="shared" si="312"/>
        <v>2017</v>
      </c>
      <c r="I5052">
        <f t="shared" si="313"/>
        <v>6</v>
      </c>
      <c r="J5052" t="str">
        <f t="shared" si="314"/>
        <v>Jun</v>
      </c>
      <c r="K5052" t="str">
        <f t="shared" si="315"/>
        <v>Thu</v>
      </c>
    </row>
    <row r="5053" spans="1:11" x14ac:dyDescent="0.35">
      <c r="A5053" s="1">
        <v>42895</v>
      </c>
      <c r="B5053">
        <v>50.625</v>
      </c>
      <c r="C5053">
        <v>50.649501800537102</v>
      </c>
      <c r="D5053">
        <v>46.349998474121001</v>
      </c>
      <c r="E5053">
        <v>48.915500640869098</v>
      </c>
      <c r="F5053">
        <v>48.915500640869098</v>
      </c>
      <c r="G5053">
        <v>152954000</v>
      </c>
      <c r="H5053">
        <f t="shared" si="312"/>
        <v>2017</v>
      </c>
      <c r="I5053">
        <f t="shared" si="313"/>
        <v>6</v>
      </c>
      <c r="J5053" t="str">
        <f t="shared" si="314"/>
        <v>Jun</v>
      </c>
      <c r="K5053" t="str">
        <f t="shared" si="315"/>
        <v>Fri</v>
      </c>
    </row>
    <row r="5054" spans="1:11" x14ac:dyDescent="0.35">
      <c r="A5054" s="1">
        <v>42898</v>
      </c>
      <c r="B5054">
        <v>48.349998474121001</v>
      </c>
      <c r="C5054">
        <v>48.797500610351499</v>
      </c>
      <c r="D5054">
        <v>47.25</v>
      </c>
      <c r="E5054">
        <v>48.245498657226499</v>
      </c>
      <c r="F5054">
        <v>48.245498657226499</v>
      </c>
      <c r="G5054">
        <v>188944000</v>
      </c>
      <c r="H5054">
        <f t="shared" si="312"/>
        <v>2017</v>
      </c>
      <c r="I5054">
        <f t="shared" si="313"/>
        <v>6</v>
      </c>
      <c r="J5054" t="str">
        <f t="shared" si="314"/>
        <v>Jun</v>
      </c>
      <c r="K5054" t="str">
        <f t="shared" si="315"/>
        <v>Mon</v>
      </c>
    </row>
    <row r="5055" spans="1:11" x14ac:dyDescent="0.35">
      <c r="A5055" s="1">
        <v>42899</v>
      </c>
      <c r="B5055">
        <v>48.899501800537102</v>
      </c>
      <c r="C5055">
        <v>49.224998474121001</v>
      </c>
      <c r="D5055">
        <v>48.305000305175703</v>
      </c>
      <c r="E5055">
        <v>49.039501190185497</v>
      </c>
      <c r="F5055">
        <v>49.039501190185497</v>
      </c>
      <c r="G5055">
        <v>91600000</v>
      </c>
      <c r="H5055">
        <f t="shared" si="312"/>
        <v>2017</v>
      </c>
      <c r="I5055">
        <f t="shared" si="313"/>
        <v>6</v>
      </c>
      <c r="J5055" t="str">
        <f t="shared" si="314"/>
        <v>Jun</v>
      </c>
      <c r="K5055" t="str">
        <f t="shared" si="315"/>
        <v>Tue</v>
      </c>
    </row>
    <row r="5056" spans="1:11" x14ac:dyDescent="0.35">
      <c r="A5056" s="1">
        <v>42900</v>
      </c>
      <c r="B5056">
        <v>49.429500579833899</v>
      </c>
      <c r="C5056">
        <v>49.516998291015597</v>
      </c>
      <c r="D5056">
        <v>48.335498809814403</v>
      </c>
      <c r="E5056">
        <v>48.823501586913999</v>
      </c>
      <c r="F5056">
        <v>48.823501586913999</v>
      </c>
      <c r="G5056">
        <v>79498000</v>
      </c>
      <c r="H5056">
        <f t="shared" si="312"/>
        <v>2017</v>
      </c>
      <c r="I5056">
        <f t="shared" si="313"/>
        <v>6</v>
      </c>
      <c r="J5056" t="str">
        <f t="shared" si="314"/>
        <v>Jun</v>
      </c>
      <c r="K5056" t="str">
        <f t="shared" si="315"/>
        <v>Wed</v>
      </c>
    </row>
    <row r="5057" spans="1:11" x14ac:dyDescent="0.35">
      <c r="A5057" s="1">
        <v>42901</v>
      </c>
      <c r="B5057">
        <v>47.935001373291001</v>
      </c>
      <c r="C5057">
        <v>48.2864990234375</v>
      </c>
      <c r="D5057">
        <v>47.542999267578097</v>
      </c>
      <c r="E5057">
        <v>48.208499908447202</v>
      </c>
      <c r="F5057">
        <v>48.208499908447202</v>
      </c>
      <c r="G5057">
        <v>107478000</v>
      </c>
      <c r="H5057">
        <f t="shared" si="312"/>
        <v>2017</v>
      </c>
      <c r="I5057">
        <f t="shared" si="313"/>
        <v>6</v>
      </c>
      <c r="J5057" t="str">
        <f t="shared" si="314"/>
        <v>Jun</v>
      </c>
      <c r="K5057" t="str">
        <f t="shared" si="315"/>
        <v>Thu</v>
      </c>
    </row>
    <row r="5058" spans="1:11" x14ac:dyDescent="0.35">
      <c r="A5058" s="1">
        <v>42902</v>
      </c>
      <c r="B5058">
        <v>49.799999237060497</v>
      </c>
      <c r="C5058">
        <v>49.987499237060497</v>
      </c>
      <c r="D5058">
        <v>49.099998474121001</v>
      </c>
      <c r="E5058">
        <v>49.385501861572202</v>
      </c>
      <c r="F5058">
        <v>49.385501861572202</v>
      </c>
      <c r="G5058">
        <v>229454000</v>
      </c>
      <c r="H5058">
        <f t="shared" si="312"/>
        <v>2017</v>
      </c>
      <c r="I5058">
        <f t="shared" si="313"/>
        <v>6</v>
      </c>
      <c r="J5058" t="str">
        <f t="shared" si="314"/>
        <v>Jun</v>
      </c>
      <c r="K5058" t="str">
        <f t="shared" si="315"/>
        <v>Fri</v>
      </c>
    </row>
    <row r="5059" spans="1:11" x14ac:dyDescent="0.35">
      <c r="A5059" s="1">
        <v>42905</v>
      </c>
      <c r="B5059">
        <v>50.849998474121001</v>
      </c>
      <c r="C5059">
        <v>50.849998474121001</v>
      </c>
      <c r="D5059">
        <v>49.494998931884702</v>
      </c>
      <c r="E5059">
        <v>49.758499145507798</v>
      </c>
      <c r="F5059">
        <v>49.758499145507798</v>
      </c>
      <c r="G5059">
        <v>100868000</v>
      </c>
      <c r="H5059">
        <f t="shared" si="312"/>
        <v>2017</v>
      </c>
      <c r="I5059">
        <f t="shared" si="313"/>
        <v>6</v>
      </c>
      <c r="J5059" t="str">
        <f t="shared" si="314"/>
        <v>Jun</v>
      </c>
      <c r="K5059" t="str">
        <f t="shared" si="315"/>
        <v>Mon</v>
      </c>
    </row>
    <row r="5060" spans="1:11" x14ac:dyDescent="0.35">
      <c r="A5060" s="1">
        <v>42906</v>
      </c>
      <c r="B5060">
        <v>49.900001525878899</v>
      </c>
      <c r="C5060">
        <v>50.243999481201101</v>
      </c>
      <c r="D5060">
        <v>49.601001739501903</v>
      </c>
      <c r="E5060">
        <v>49.629501342773402</v>
      </c>
      <c r="F5060">
        <v>49.629501342773402</v>
      </c>
      <c r="G5060">
        <v>81536000</v>
      </c>
      <c r="H5060">
        <f t="shared" ref="H5060:H5123" si="316">YEAR($A5060)</f>
        <v>2017</v>
      </c>
      <c r="I5060">
        <f t="shared" ref="I5060:I5123" si="317">MONTH($A5060)</f>
        <v>6</v>
      </c>
      <c r="J5060" t="str">
        <f t="shared" ref="J5060:J5123" si="318">TEXT($A5060,"mmm")</f>
        <v>Jun</v>
      </c>
      <c r="K5060" t="str">
        <f t="shared" ref="K5060:K5123" si="319">TEXT($A5060,"ddd")</f>
        <v>Tue</v>
      </c>
    </row>
    <row r="5061" spans="1:11" x14ac:dyDescent="0.35">
      <c r="A5061" s="1">
        <v>42907</v>
      </c>
      <c r="B5061">
        <v>49.935001373291001</v>
      </c>
      <c r="C5061">
        <v>50.136001586913999</v>
      </c>
      <c r="D5061">
        <v>49.632499694824197</v>
      </c>
      <c r="E5061">
        <v>50.111499786376903</v>
      </c>
      <c r="F5061">
        <v>50.111499786376903</v>
      </c>
      <c r="G5061">
        <v>58450000</v>
      </c>
      <c r="H5061">
        <f t="shared" si="316"/>
        <v>2017</v>
      </c>
      <c r="I5061">
        <f t="shared" si="317"/>
        <v>6</v>
      </c>
      <c r="J5061" t="str">
        <f t="shared" si="318"/>
        <v>Jun</v>
      </c>
      <c r="K5061" t="str">
        <f t="shared" si="319"/>
        <v>Wed</v>
      </c>
    </row>
    <row r="5062" spans="1:11" x14ac:dyDescent="0.35">
      <c r="A5062" s="1">
        <v>42908</v>
      </c>
      <c r="B5062">
        <v>50.111499786376903</v>
      </c>
      <c r="C5062">
        <v>50.347999572753899</v>
      </c>
      <c r="D5062">
        <v>49.860000610351499</v>
      </c>
      <c r="E5062">
        <v>50.064998626708899</v>
      </c>
      <c r="F5062">
        <v>50.064998626708899</v>
      </c>
      <c r="G5062">
        <v>45068000</v>
      </c>
      <c r="H5062">
        <f t="shared" si="316"/>
        <v>2017</v>
      </c>
      <c r="I5062">
        <f t="shared" si="317"/>
        <v>6</v>
      </c>
      <c r="J5062" t="str">
        <f t="shared" si="318"/>
        <v>Jun</v>
      </c>
      <c r="K5062" t="str">
        <f t="shared" si="319"/>
        <v>Thu</v>
      </c>
    </row>
    <row r="5063" spans="1:11" x14ac:dyDescent="0.35">
      <c r="A5063" s="1">
        <v>42909</v>
      </c>
      <c r="B5063">
        <v>50.126998901367102</v>
      </c>
      <c r="C5063">
        <v>50.230998992919901</v>
      </c>
      <c r="D5063">
        <v>49.9010009765625</v>
      </c>
      <c r="E5063">
        <v>50.187000274658203</v>
      </c>
      <c r="F5063">
        <v>50.187000274658203</v>
      </c>
      <c r="G5063">
        <v>57582000</v>
      </c>
      <c r="H5063">
        <f t="shared" si="316"/>
        <v>2017</v>
      </c>
      <c r="I5063">
        <f t="shared" si="317"/>
        <v>6</v>
      </c>
      <c r="J5063" t="str">
        <f t="shared" si="318"/>
        <v>Jun</v>
      </c>
      <c r="K5063" t="str">
        <f t="shared" si="319"/>
        <v>Fri</v>
      </c>
    </row>
    <row r="5064" spans="1:11" x14ac:dyDescent="0.35">
      <c r="A5064" s="1">
        <v>42912</v>
      </c>
      <c r="B5064">
        <v>50.424999237060497</v>
      </c>
      <c r="C5064">
        <v>50.490001678466797</v>
      </c>
      <c r="D5064">
        <v>49.599998474121001</v>
      </c>
      <c r="E5064">
        <v>49.699001312255803</v>
      </c>
      <c r="F5064">
        <v>49.699001312255803</v>
      </c>
      <c r="G5064">
        <v>67724000</v>
      </c>
      <c r="H5064">
        <f t="shared" si="316"/>
        <v>2017</v>
      </c>
      <c r="I5064">
        <f t="shared" si="317"/>
        <v>6</v>
      </c>
      <c r="J5064" t="str">
        <f t="shared" si="318"/>
        <v>Jun</v>
      </c>
      <c r="K5064" t="str">
        <f t="shared" si="319"/>
        <v>Mon</v>
      </c>
    </row>
    <row r="5065" spans="1:11" x14ac:dyDescent="0.35">
      <c r="A5065" s="1">
        <v>42913</v>
      </c>
      <c r="B5065">
        <v>49.534500122070298</v>
      </c>
      <c r="C5065">
        <v>49.939998626708899</v>
      </c>
      <c r="D5065">
        <v>48.799999237060497</v>
      </c>
      <c r="E5065">
        <v>48.839000701904297</v>
      </c>
      <c r="F5065">
        <v>48.839000701904297</v>
      </c>
      <c r="G5065">
        <v>75648000</v>
      </c>
      <c r="H5065">
        <f t="shared" si="316"/>
        <v>2017</v>
      </c>
      <c r="I5065">
        <f t="shared" si="317"/>
        <v>6</v>
      </c>
      <c r="J5065" t="str">
        <f t="shared" si="318"/>
        <v>Jun</v>
      </c>
      <c r="K5065" t="str">
        <f t="shared" si="319"/>
        <v>Tue</v>
      </c>
    </row>
    <row r="5066" spans="1:11" x14ac:dyDescent="0.35">
      <c r="A5066" s="1">
        <v>42914</v>
      </c>
      <c r="B5066">
        <v>48.927501678466797</v>
      </c>
      <c r="C5066">
        <v>49.534000396728501</v>
      </c>
      <c r="D5066">
        <v>48.460498809814403</v>
      </c>
      <c r="E5066">
        <v>49.5164985656738</v>
      </c>
      <c r="F5066">
        <v>49.5164985656738</v>
      </c>
      <c r="G5066">
        <v>74752000</v>
      </c>
      <c r="H5066">
        <f t="shared" si="316"/>
        <v>2017</v>
      </c>
      <c r="I5066">
        <f t="shared" si="317"/>
        <v>6</v>
      </c>
      <c r="J5066" t="str">
        <f t="shared" si="318"/>
        <v>Jun</v>
      </c>
      <c r="K5066" t="str">
        <f t="shared" si="319"/>
        <v>Wed</v>
      </c>
    </row>
    <row r="5067" spans="1:11" x14ac:dyDescent="0.35">
      <c r="A5067" s="1">
        <v>42915</v>
      </c>
      <c r="B5067">
        <v>48.950000762939403</v>
      </c>
      <c r="C5067">
        <v>49.377998352050703</v>
      </c>
      <c r="D5067">
        <v>48.262500762939403</v>
      </c>
      <c r="E5067">
        <v>48.796501159667898</v>
      </c>
      <c r="F5067">
        <v>48.796501159667898</v>
      </c>
      <c r="G5067">
        <v>86060000</v>
      </c>
      <c r="H5067">
        <f t="shared" si="316"/>
        <v>2017</v>
      </c>
      <c r="I5067">
        <f t="shared" si="317"/>
        <v>6</v>
      </c>
      <c r="J5067" t="str">
        <f t="shared" si="318"/>
        <v>Jun</v>
      </c>
      <c r="K5067" t="str">
        <f t="shared" si="319"/>
        <v>Thu</v>
      </c>
    </row>
    <row r="5068" spans="1:11" x14ac:dyDescent="0.35">
      <c r="A5068" s="1">
        <v>42916</v>
      </c>
      <c r="B5068">
        <v>49.0060005187988</v>
      </c>
      <c r="C5068">
        <v>49.173500061035099</v>
      </c>
      <c r="D5068">
        <v>48.380500793457003</v>
      </c>
      <c r="E5068">
        <v>48.400001525878899</v>
      </c>
      <c r="F5068">
        <v>48.400001525878899</v>
      </c>
      <c r="G5068">
        <v>67806000</v>
      </c>
      <c r="H5068">
        <f t="shared" si="316"/>
        <v>2017</v>
      </c>
      <c r="I5068">
        <f t="shared" si="317"/>
        <v>6</v>
      </c>
      <c r="J5068" t="str">
        <f t="shared" si="318"/>
        <v>Jun</v>
      </c>
      <c r="K5068" t="str">
        <f t="shared" si="319"/>
        <v>Fri</v>
      </c>
    </row>
    <row r="5069" spans="1:11" x14ac:dyDescent="0.35">
      <c r="A5069" s="1">
        <v>42919</v>
      </c>
      <c r="B5069">
        <v>48.639499664306598</v>
      </c>
      <c r="C5069">
        <v>48.724498748779297</v>
      </c>
      <c r="D5069">
        <v>47.549999237060497</v>
      </c>
      <c r="E5069">
        <v>47.682998657226499</v>
      </c>
      <c r="F5069">
        <v>47.682998657226499</v>
      </c>
      <c r="G5069">
        <v>58182000</v>
      </c>
      <c r="H5069">
        <f t="shared" si="316"/>
        <v>2017</v>
      </c>
      <c r="I5069">
        <f t="shared" si="317"/>
        <v>7</v>
      </c>
      <c r="J5069" t="str">
        <f t="shared" si="318"/>
        <v>Jul</v>
      </c>
      <c r="K5069" t="str">
        <f t="shared" si="319"/>
        <v>Mon</v>
      </c>
    </row>
    <row r="5070" spans="1:11" x14ac:dyDescent="0.35">
      <c r="A5070" s="1">
        <v>42921</v>
      </c>
      <c r="B5070">
        <v>48.076499938964801</v>
      </c>
      <c r="C5070">
        <v>48.75</v>
      </c>
      <c r="D5070">
        <v>47.762500762939403</v>
      </c>
      <c r="E5070">
        <v>48.569999694824197</v>
      </c>
      <c r="F5070">
        <v>48.569999694824197</v>
      </c>
      <c r="G5070">
        <v>73060000</v>
      </c>
      <c r="H5070">
        <f t="shared" si="316"/>
        <v>2017</v>
      </c>
      <c r="I5070">
        <f t="shared" si="317"/>
        <v>7</v>
      </c>
      <c r="J5070" t="str">
        <f t="shared" si="318"/>
        <v>Jul</v>
      </c>
      <c r="K5070" t="str">
        <f t="shared" si="319"/>
        <v>Wed</v>
      </c>
    </row>
    <row r="5071" spans="1:11" x14ac:dyDescent="0.35">
      <c r="A5071" s="1">
        <v>42922</v>
      </c>
      <c r="B5071">
        <v>48.233001708984297</v>
      </c>
      <c r="C5071">
        <v>48.720001220703097</v>
      </c>
      <c r="D5071">
        <v>47.951000213622997</v>
      </c>
      <c r="E5071">
        <v>48.256999969482401</v>
      </c>
      <c r="F5071">
        <v>48.256999969482401</v>
      </c>
      <c r="G5071">
        <v>65192000</v>
      </c>
      <c r="H5071">
        <f t="shared" si="316"/>
        <v>2017</v>
      </c>
      <c r="I5071">
        <f t="shared" si="317"/>
        <v>7</v>
      </c>
      <c r="J5071" t="str">
        <f t="shared" si="318"/>
        <v>Jul</v>
      </c>
      <c r="K5071" t="str">
        <f t="shared" si="319"/>
        <v>Thu</v>
      </c>
    </row>
    <row r="5072" spans="1:11" x14ac:dyDescent="0.35">
      <c r="A5072" s="1">
        <v>42923</v>
      </c>
      <c r="B5072">
        <v>48.477500915527301</v>
      </c>
      <c r="C5072">
        <v>49.005500793457003</v>
      </c>
      <c r="D5072">
        <v>48.457000732421797</v>
      </c>
      <c r="E5072">
        <v>48.937999725341797</v>
      </c>
      <c r="F5072">
        <v>48.937999725341797</v>
      </c>
      <c r="G5072">
        <v>52868000</v>
      </c>
      <c r="H5072">
        <f t="shared" si="316"/>
        <v>2017</v>
      </c>
      <c r="I5072">
        <f t="shared" si="317"/>
        <v>7</v>
      </c>
      <c r="J5072" t="str">
        <f t="shared" si="318"/>
        <v>Jul</v>
      </c>
      <c r="K5072" t="str">
        <f t="shared" si="319"/>
        <v>Fri</v>
      </c>
    </row>
    <row r="5073" spans="1:11" x14ac:dyDescent="0.35">
      <c r="A5073" s="1">
        <v>42926</v>
      </c>
      <c r="B5073">
        <v>49.25</v>
      </c>
      <c r="C5073">
        <v>49.972000122070298</v>
      </c>
      <c r="D5073">
        <v>49.174999237060497</v>
      </c>
      <c r="E5073">
        <v>49.823501586913999</v>
      </c>
      <c r="F5073">
        <v>49.823501586913999</v>
      </c>
      <c r="G5073">
        <v>70926000</v>
      </c>
      <c r="H5073">
        <f t="shared" si="316"/>
        <v>2017</v>
      </c>
      <c r="I5073">
        <f t="shared" si="317"/>
        <v>7</v>
      </c>
      <c r="J5073" t="str">
        <f t="shared" si="318"/>
        <v>Jul</v>
      </c>
      <c r="K5073" t="str">
        <f t="shared" si="319"/>
        <v>Mon</v>
      </c>
    </row>
    <row r="5074" spans="1:11" x14ac:dyDescent="0.35">
      <c r="A5074" s="1">
        <v>42927</v>
      </c>
      <c r="B5074">
        <v>49.650001525878899</v>
      </c>
      <c r="C5074">
        <v>49.7994995117187</v>
      </c>
      <c r="D5074">
        <v>49.186000823974602</v>
      </c>
      <c r="E5074">
        <v>49.70650100708</v>
      </c>
      <c r="F5074">
        <v>49.70650100708</v>
      </c>
      <c r="G5074">
        <v>59654000</v>
      </c>
      <c r="H5074">
        <f t="shared" si="316"/>
        <v>2017</v>
      </c>
      <c r="I5074">
        <f t="shared" si="317"/>
        <v>7</v>
      </c>
      <c r="J5074" t="str">
        <f t="shared" si="318"/>
        <v>Jul</v>
      </c>
      <c r="K5074" t="str">
        <f t="shared" si="319"/>
        <v>Tue</v>
      </c>
    </row>
    <row r="5075" spans="1:11" x14ac:dyDescent="0.35">
      <c r="A5075" s="1">
        <v>42928</v>
      </c>
      <c r="B5075">
        <v>50.032501220703097</v>
      </c>
      <c r="C5075">
        <v>50.427501678466797</v>
      </c>
      <c r="D5075">
        <v>49.904998779296797</v>
      </c>
      <c r="E5075">
        <v>50.3255004882812</v>
      </c>
      <c r="F5075">
        <v>50.3255004882812</v>
      </c>
      <c r="G5075">
        <v>72172000</v>
      </c>
      <c r="H5075">
        <f t="shared" si="316"/>
        <v>2017</v>
      </c>
      <c r="I5075">
        <f t="shared" si="317"/>
        <v>7</v>
      </c>
      <c r="J5075" t="str">
        <f t="shared" si="318"/>
        <v>Jul</v>
      </c>
      <c r="K5075" t="str">
        <f t="shared" si="319"/>
        <v>Wed</v>
      </c>
    </row>
    <row r="5076" spans="1:11" x14ac:dyDescent="0.35">
      <c r="A5076" s="1">
        <v>42929</v>
      </c>
      <c r="B5076">
        <v>50.230998992919901</v>
      </c>
      <c r="C5076">
        <v>50.344001770019503</v>
      </c>
      <c r="D5076">
        <v>49.794998168945298</v>
      </c>
      <c r="E5076">
        <v>50.031501770019503</v>
      </c>
      <c r="F5076">
        <v>50.031501770019503</v>
      </c>
      <c r="G5076">
        <v>57616000</v>
      </c>
      <c r="H5076">
        <f t="shared" si="316"/>
        <v>2017</v>
      </c>
      <c r="I5076">
        <f t="shared" si="317"/>
        <v>7</v>
      </c>
      <c r="J5076" t="str">
        <f t="shared" si="318"/>
        <v>Jul</v>
      </c>
      <c r="K5076" t="str">
        <f t="shared" si="319"/>
        <v>Thu</v>
      </c>
    </row>
    <row r="5077" spans="1:11" x14ac:dyDescent="0.35">
      <c r="A5077" s="1">
        <v>42930</v>
      </c>
      <c r="B5077">
        <v>50.119998931884702</v>
      </c>
      <c r="C5077">
        <v>50.222499847412102</v>
      </c>
      <c r="D5077">
        <v>49.8445014953613</v>
      </c>
      <c r="E5077">
        <v>50.090499877929602</v>
      </c>
      <c r="F5077">
        <v>50.090499877929602</v>
      </c>
      <c r="G5077">
        <v>42050000</v>
      </c>
      <c r="H5077">
        <f t="shared" si="316"/>
        <v>2017</v>
      </c>
      <c r="I5077">
        <f t="shared" si="317"/>
        <v>7</v>
      </c>
      <c r="J5077" t="str">
        <f t="shared" si="318"/>
        <v>Jul</v>
      </c>
      <c r="K5077" t="str">
        <f t="shared" si="319"/>
        <v>Fri</v>
      </c>
    </row>
    <row r="5078" spans="1:11" x14ac:dyDescent="0.35">
      <c r="A5078" s="1">
        <v>42933</v>
      </c>
      <c r="B5078">
        <v>50.234500885009702</v>
      </c>
      <c r="C5078">
        <v>50.737499237060497</v>
      </c>
      <c r="D5078">
        <v>50.190498352050703</v>
      </c>
      <c r="E5078">
        <v>50.501998901367102</v>
      </c>
      <c r="F5078">
        <v>50.501998901367102</v>
      </c>
      <c r="G5078">
        <v>74252000</v>
      </c>
      <c r="H5078">
        <f t="shared" si="316"/>
        <v>2017</v>
      </c>
      <c r="I5078">
        <f t="shared" si="317"/>
        <v>7</v>
      </c>
      <c r="J5078" t="str">
        <f t="shared" si="318"/>
        <v>Jul</v>
      </c>
      <c r="K5078" t="str">
        <f t="shared" si="319"/>
        <v>Mon</v>
      </c>
    </row>
    <row r="5079" spans="1:11" x14ac:dyDescent="0.35">
      <c r="A5079" s="1">
        <v>42934</v>
      </c>
      <c r="B5079">
        <v>50.299999237060497</v>
      </c>
      <c r="C5079">
        <v>51.301498413085902</v>
      </c>
      <c r="D5079">
        <v>50.200000762939403</v>
      </c>
      <c r="E5079">
        <v>51.222499847412102</v>
      </c>
      <c r="F5079">
        <v>51.222499847412102</v>
      </c>
      <c r="G5079">
        <v>80152000</v>
      </c>
      <c r="H5079">
        <f t="shared" si="316"/>
        <v>2017</v>
      </c>
      <c r="I5079">
        <f t="shared" si="317"/>
        <v>7</v>
      </c>
      <c r="J5079" t="str">
        <f t="shared" si="318"/>
        <v>Jul</v>
      </c>
      <c r="K5079" t="str">
        <f t="shared" si="319"/>
        <v>Tue</v>
      </c>
    </row>
    <row r="5080" spans="1:11" x14ac:dyDescent="0.35">
      <c r="A5080" s="1">
        <v>42935</v>
      </c>
      <c r="B5080">
        <v>51.25</v>
      </c>
      <c r="C5080">
        <v>51.579498291015597</v>
      </c>
      <c r="D5080">
        <v>51.125</v>
      </c>
      <c r="E5080">
        <v>51.343498229980398</v>
      </c>
      <c r="F5080">
        <v>51.343498229980398</v>
      </c>
      <c r="G5080">
        <v>59280000</v>
      </c>
      <c r="H5080">
        <f t="shared" si="316"/>
        <v>2017</v>
      </c>
      <c r="I5080">
        <f t="shared" si="317"/>
        <v>7</v>
      </c>
      <c r="J5080" t="str">
        <f t="shared" si="318"/>
        <v>Jul</v>
      </c>
      <c r="K5080" t="str">
        <f t="shared" si="319"/>
        <v>Wed</v>
      </c>
    </row>
    <row r="5081" spans="1:11" x14ac:dyDescent="0.35">
      <c r="A5081" s="1">
        <v>42936</v>
      </c>
      <c r="B5081">
        <v>51.579498291015597</v>
      </c>
      <c r="C5081">
        <v>51.748500823974602</v>
      </c>
      <c r="D5081">
        <v>51.125999450683501</v>
      </c>
      <c r="E5081">
        <v>51.435001373291001</v>
      </c>
      <c r="F5081">
        <v>51.435001373291001</v>
      </c>
      <c r="G5081">
        <v>61950000</v>
      </c>
      <c r="H5081">
        <f t="shared" si="316"/>
        <v>2017</v>
      </c>
      <c r="I5081">
        <f t="shared" si="317"/>
        <v>7</v>
      </c>
      <c r="J5081" t="str">
        <f t="shared" si="318"/>
        <v>Jul</v>
      </c>
      <c r="K5081" t="str">
        <f t="shared" si="319"/>
        <v>Thu</v>
      </c>
    </row>
    <row r="5082" spans="1:11" x14ac:dyDescent="0.35">
      <c r="A5082" s="1">
        <v>42937</v>
      </c>
      <c r="B5082">
        <v>51.063999176025298</v>
      </c>
      <c r="C5082">
        <v>51.305000305175703</v>
      </c>
      <c r="D5082">
        <v>50.549999237060497</v>
      </c>
      <c r="E5082">
        <v>51.283500671386697</v>
      </c>
      <c r="F5082">
        <v>51.283500671386697</v>
      </c>
      <c r="G5082">
        <v>54692000</v>
      </c>
      <c r="H5082">
        <f t="shared" si="316"/>
        <v>2017</v>
      </c>
      <c r="I5082">
        <f t="shared" si="317"/>
        <v>7</v>
      </c>
      <c r="J5082" t="str">
        <f t="shared" si="318"/>
        <v>Jul</v>
      </c>
      <c r="K5082" t="str">
        <f t="shared" si="319"/>
        <v>Fri</v>
      </c>
    </row>
    <row r="5083" spans="1:11" x14ac:dyDescent="0.35">
      <c r="A5083" s="1">
        <v>42940</v>
      </c>
      <c r="B5083">
        <v>51.416999816894503</v>
      </c>
      <c r="C5083">
        <v>52.150501251220703</v>
      </c>
      <c r="D5083">
        <v>51.371498107910099</v>
      </c>
      <c r="E5083">
        <v>51.947498321533203</v>
      </c>
      <c r="F5083">
        <v>51.947498321533203</v>
      </c>
      <c r="G5083">
        <v>65760000</v>
      </c>
      <c r="H5083">
        <f t="shared" si="316"/>
        <v>2017</v>
      </c>
      <c r="I5083">
        <f t="shared" si="317"/>
        <v>7</v>
      </c>
      <c r="J5083" t="str">
        <f t="shared" si="318"/>
        <v>Jul</v>
      </c>
      <c r="K5083" t="str">
        <f t="shared" si="319"/>
        <v>Mon</v>
      </c>
    </row>
    <row r="5084" spans="1:11" x14ac:dyDescent="0.35">
      <c r="A5084" s="1">
        <v>42941</v>
      </c>
      <c r="B5084">
        <v>51.902500152587798</v>
      </c>
      <c r="C5084">
        <v>52.166500091552699</v>
      </c>
      <c r="D5084">
        <v>51.624000549316399</v>
      </c>
      <c r="E5084">
        <v>51.993499755859297</v>
      </c>
      <c r="F5084">
        <v>51.993499755859297</v>
      </c>
      <c r="G5084">
        <v>48952000</v>
      </c>
      <c r="H5084">
        <f t="shared" si="316"/>
        <v>2017</v>
      </c>
      <c r="I5084">
        <f t="shared" si="317"/>
        <v>7</v>
      </c>
      <c r="J5084" t="str">
        <f t="shared" si="318"/>
        <v>Jul</v>
      </c>
      <c r="K5084" t="str">
        <f t="shared" si="319"/>
        <v>Tue</v>
      </c>
    </row>
    <row r="5085" spans="1:11" x14ac:dyDescent="0.35">
      <c r="A5085" s="1">
        <v>42942</v>
      </c>
      <c r="B5085">
        <v>52.159999847412102</v>
      </c>
      <c r="C5085">
        <v>52.659999847412102</v>
      </c>
      <c r="D5085">
        <v>52.159999847412102</v>
      </c>
      <c r="E5085">
        <v>52.639999389648402</v>
      </c>
      <c r="F5085">
        <v>52.639999389648402</v>
      </c>
      <c r="G5085">
        <v>58426000</v>
      </c>
      <c r="H5085">
        <f t="shared" si="316"/>
        <v>2017</v>
      </c>
      <c r="I5085">
        <f t="shared" si="317"/>
        <v>7</v>
      </c>
      <c r="J5085" t="str">
        <f t="shared" si="318"/>
        <v>Jul</v>
      </c>
      <c r="K5085" t="str">
        <f t="shared" si="319"/>
        <v>Wed</v>
      </c>
    </row>
    <row r="5086" spans="1:11" x14ac:dyDescent="0.35">
      <c r="A5086" s="1">
        <v>42943</v>
      </c>
      <c r="B5086">
        <v>53.477500915527301</v>
      </c>
      <c r="C5086">
        <v>54.165500640869098</v>
      </c>
      <c r="D5086">
        <v>52.008998870849602</v>
      </c>
      <c r="E5086">
        <v>52.299999237060497</v>
      </c>
      <c r="F5086">
        <v>52.299999237060497</v>
      </c>
      <c r="G5086">
        <v>219834000</v>
      </c>
      <c r="H5086">
        <f t="shared" si="316"/>
        <v>2017</v>
      </c>
      <c r="I5086">
        <f t="shared" si="317"/>
        <v>7</v>
      </c>
      <c r="J5086" t="str">
        <f t="shared" si="318"/>
        <v>Jul</v>
      </c>
      <c r="K5086" t="str">
        <f t="shared" si="319"/>
        <v>Thu</v>
      </c>
    </row>
    <row r="5087" spans="1:11" x14ac:dyDescent="0.35">
      <c r="A5087" s="1">
        <v>42944</v>
      </c>
      <c r="B5087">
        <v>50.606998443603501</v>
      </c>
      <c r="C5087">
        <v>51.642501831054602</v>
      </c>
      <c r="D5087">
        <v>50.049999237060497</v>
      </c>
      <c r="E5087">
        <v>51.001998901367102</v>
      </c>
      <c r="F5087">
        <v>51.001998901367102</v>
      </c>
      <c r="G5087">
        <v>154188000</v>
      </c>
      <c r="H5087">
        <f t="shared" si="316"/>
        <v>2017</v>
      </c>
      <c r="I5087">
        <f t="shared" si="317"/>
        <v>7</v>
      </c>
      <c r="J5087" t="str">
        <f t="shared" si="318"/>
        <v>Jul</v>
      </c>
      <c r="K5087" t="str">
        <f t="shared" si="319"/>
        <v>Fri</v>
      </c>
    </row>
    <row r="5088" spans="1:11" x14ac:dyDescent="0.35">
      <c r="A5088" s="1">
        <v>42947</v>
      </c>
      <c r="B5088">
        <v>50.952499389648402</v>
      </c>
      <c r="C5088">
        <v>50.952499389648402</v>
      </c>
      <c r="D5088">
        <v>49.351001739501903</v>
      </c>
      <c r="E5088">
        <v>49.388999938964801</v>
      </c>
      <c r="F5088">
        <v>49.388999938964801</v>
      </c>
      <c r="G5088">
        <v>147042000</v>
      </c>
      <c r="H5088">
        <f t="shared" si="316"/>
        <v>2017</v>
      </c>
      <c r="I5088">
        <f t="shared" si="317"/>
        <v>7</v>
      </c>
      <c r="J5088" t="str">
        <f t="shared" si="318"/>
        <v>Jul</v>
      </c>
      <c r="K5088" t="str">
        <f t="shared" si="319"/>
        <v>Mon</v>
      </c>
    </row>
    <row r="5089" spans="1:11" x14ac:dyDescent="0.35">
      <c r="A5089" s="1">
        <v>42948</v>
      </c>
      <c r="B5089">
        <v>49.8055000305175</v>
      </c>
      <c r="C5089">
        <v>50.319999694824197</v>
      </c>
      <c r="D5089">
        <v>49.5789985656738</v>
      </c>
      <c r="E5089">
        <v>49.809501647949197</v>
      </c>
      <c r="F5089">
        <v>49.809501647949197</v>
      </c>
      <c r="G5089">
        <v>91452000</v>
      </c>
      <c r="H5089">
        <f t="shared" si="316"/>
        <v>2017</v>
      </c>
      <c r="I5089">
        <f t="shared" si="317"/>
        <v>8</v>
      </c>
      <c r="J5089" t="str">
        <f t="shared" si="318"/>
        <v>Aug</v>
      </c>
      <c r="K5089" t="str">
        <f t="shared" si="319"/>
        <v>Tue</v>
      </c>
    </row>
    <row r="5090" spans="1:11" x14ac:dyDescent="0.35">
      <c r="A5090" s="1">
        <v>42949</v>
      </c>
      <c r="B5090">
        <v>50.0885009765625</v>
      </c>
      <c r="C5090">
        <v>50.160499572753899</v>
      </c>
      <c r="D5090">
        <v>49.086498260497997</v>
      </c>
      <c r="E5090">
        <v>49.794498443603501</v>
      </c>
      <c r="F5090">
        <v>49.794498443603501</v>
      </c>
      <c r="G5090">
        <v>81400000</v>
      </c>
      <c r="H5090">
        <f t="shared" si="316"/>
        <v>2017</v>
      </c>
      <c r="I5090">
        <f t="shared" si="317"/>
        <v>8</v>
      </c>
      <c r="J5090" t="str">
        <f t="shared" si="318"/>
        <v>Aug</v>
      </c>
      <c r="K5090" t="str">
        <f t="shared" si="319"/>
        <v>Wed</v>
      </c>
    </row>
    <row r="5091" spans="1:11" x14ac:dyDescent="0.35">
      <c r="A5091" s="1">
        <v>42950</v>
      </c>
      <c r="B5091">
        <v>49.973499298095703</v>
      </c>
      <c r="C5091">
        <v>49.974998474121001</v>
      </c>
      <c r="D5091">
        <v>49.229499816894503</v>
      </c>
      <c r="E5091">
        <v>49.346000671386697</v>
      </c>
      <c r="F5091">
        <v>49.346000671386697</v>
      </c>
      <c r="G5091">
        <v>65116000</v>
      </c>
      <c r="H5091">
        <f t="shared" si="316"/>
        <v>2017</v>
      </c>
      <c r="I5091">
        <f t="shared" si="317"/>
        <v>8</v>
      </c>
      <c r="J5091" t="str">
        <f t="shared" si="318"/>
        <v>Aug</v>
      </c>
      <c r="K5091" t="str">
        <f t="shared" si="319"/>
        <v>Thu</v>
      </c>
    </row>
    <row r="5092" spans="1:11" x14ac:dyDescent="0.35">
      <c r="A5092" s="1">
        <v>42951</v>
      </c>
      <c r="B5092">
        <v>49.484001159667898</v>
      </c>
      <c r="C5092">
        <v>49.583499908447202</v>
      </c>
      <c r="D5092">
        <v>49.099998474121001</v>
      </c>
      <c r="E5092">
        <v>49.379001617431598</v>
      </c>
      <c r="F5092">
        <v>49.379001617431598</v>
      </c>
      <c r="G5092">
        <v>54606000</v>
      </c>
      <c r="H5092">
        <f t="shared" si="316"/>
        <v>2017</v>
      </c>
      <c r="I5092">
        <f t="shared" si="317"/>
        <v>8</v>
      </c>
      <c r="J5092" t="str">
        <f t="shared" si="318"/>
        <v>Aug</v>
      </c>
      <c r="K5092" t="str">
        <f t="shared" si="319"/>
        <v>Fri</v>
      </c>
    </row>
    <row r="5093" spans="1:11" x14ac:dyDescent="0.35">
      <c r="A5093" s="1">
        <v>42954</v>
      </c>
      <c r="B5093">
        <v>49.532501220703097</v>
      </c>
      <c r="C5093">
        <v>49.75</v>
      </c>
      <c r="D5093">
        <v>49.356998443603501</v>
      </c>
      <c r="E5093">
        <v>49.613498687744098</v>
      </c>
      <c r="F5093">
        <v>49.613498687744098</v>
      </c>
      <c r="G5093">
        <v>53532000</v>
      </c>
      <c r="H5093">
        <f t="shared" si="316"/>
        <v>2017</v>
      </c>
      <c r="I5093">
        <f t="shared" si="317"/>
        <v>8</v>
      </c>
      <c r="J5093" t="str">
        <f t="shared" si="318"/>
        <v>Aug</v>
      </c>
      <c r="K5093" t="str">
        <f t="shared" si="319"/>
        <v>Mon</v>
      </c>
    </row>
    <row r="5094" spans="1:11" x14ac:dyDescent="0.35">
      <c r="A5094" s="1">
        <v>42955</v>
      </c>
      <c r="B5094">
        <v>49.717498779296797</v>
      </c>
      <c r="C5094">
        <v>49.813999176025298</v>
      </c>
      <c r="D5094">
        <v>49.289501190185497</v>
      </c>
      <c r="E5094">
        <v>49.492000579833899</v>
      </c>
      <c r="F5094">
        <v>49.492000579833899</v>
      </c>
      <c r="G5094">
        <v>58056000</v>
      </c>
      <c r="H5094">
        <f t="shared" si="316"/>
        <v>2017</v>
      </c>
      <c r="I5094">
        <f t="shared" si="317"/>
        <v>8</v>
      </c>
      <c r="J5094" t="str">
        <f t="shared" si="318"/>
        <v>Aug</v>
      </c>
      <c r="K5094" t="str">
        <f t="shared" si="319"/>
        <v>Tue</v>
      </c>
    </row>
    <row r="5095" spans="1:11" x14ac:dyDescent="0.35">
      <c r="A5095" s="1">
        <v>42956</v>
      </c>
      <c r="B5095">
        <v>49.130001068115199</v>
      </c>
      <c r="C5095">
        <v>49.400001525878899</v>
      </c>
      <c r="D5095">
        <v>48.763500213622997</v>
      </c>
      <c r="E5095">
        <v>49.100498199462798</v>
      </c>
      <c r="F5095">
        <v>49.100498199462798</v>
      </c>
      <c r="G5095">
        <v>71394000</v>
      </c>
      <c r="H5095">
        <f t="shared" si="316"/>
        <v>2017</v>
      </c>
      <c r="I5095">
        <f t="shared" si="317"/>
        <v>8</v>
      </c>
      <c r="J5095" t="str">
        <f t="shared" si="318"/>
        <v>Aug</v>
      </c>
      <c r="K5095" t="str">
        <f t="shared" si="319"/>
        <v>Wed</v>
      </c>
    </row>
    <row r="5096" spans="1:11" x14ac:dyDescent="0.35">
      <c r="A5096" s="1">
        <v>42957</v>
      </c>
      <c r="B5096">
        <v>48.814998626708899</v>
      </c>
      <c r="C5096">
        <v>48.9930000305175</v>
      </c>
      <c r="D5096">
        <v>47.734001159667898</v>
      </c>
      <c r="E5096">
        <v>47.846000671386697</v>
      </c>
      <c r="F5096">
        <v>47.846000671386697</v>
      </c>
      <c r="G5096">
        <v>113682000</v>
      </c>
      <c r="H5096">
        <f t="shared" si="316"/>
        <v>2017</v>
      </c>
      <c r="I5096">
        <f t="shared" si="317"/>
        <v>8</v>
      </c>
      <c r="J5096" t="str">
        <f t="shared" si="318"/>
        <v>Aug</v>
      </c>
      <c r="K5096" t="str">
        <f t="shared" si="319"/>
        <v>Thu</v>
      </c>
    </row>
    <row r="5097" spans="1:11" x14ac:dyDescent="0.35">
      <c r="A5097" s="1">
        <v>42958</v>
      </c>
      <c r="B5097">
        <v>48</v>
      </c>
      <c r="C5097">
        <v>48.519500732421797</v>
      </c>
      <c r="D5097">
        <v>47.569000244140597</v>
      </c>
      <c r="E5097">
        <v>48.399501800537102</v>
      </c>
      <c r="F5097">
        <v>48.399501800537102</v>
      </c>
      <c r="G5097">
        <v>69360000</v>
      </c>
      <c r="H5097">
        <f t="shared" si="316"/>
        <v>2017</v>
      </c>
      <c r="I5097">
        <f t="shared" si="317"/>
        <v>8</v>
      </c>
      <c r="J5097" t="str">
        <f t="shared" si="318"/>
        <v>Aug</v>
      </c>
      <c r="K5097" t="str">
        <f t="shared" si="319"/>
        <v>Fri</v>
      </c>
    </row>
    <row r="5098" spans="1:11" x14ac:dyDescent="0.35">
      <c r="A5098" s="1">
        <v>42961</v>
      </c>
      <c r="B5098">
        <v>48.920501708984297</v>
      </c>
      <c r="C5098">
        <v>49.275001525878899</v>
      </c>
      <c r="D5098">
        <v>48.809501647949197</v>
      </c>
      <c r="E5098">
        <v>49.165000915527301</v>
      </c>
      <c r="F5098">
        <v>49.165000915527301</v>
      </c>
      <c r="G5098">
        <v>63458000</v>
      </c>
      <c r="H5098">
        <f t="shared" si="316"/>
        <v>2017</v>
      </c>
      <c r="I5098">
        <f t="shared" si="317"/>
        <v>8</v>
      </c>
      <c r="J5098" t="str">
        <f t="shared" si="318"/>
        <v>Aug</v>
      </c>
      <c r="K5098" t="str">
        <f t="shared" si="319"/>
        <v>Mon</v>
      </c>
    </row>
    <row r="5099" spans="1:11" x14ac:dyDescent="0.35">
      <c r="A5099" s="1">
        <v>42962</v>
      </c>
      <c r="B5099">
        <v>49.444999694824197</v>
      </c>
      <c r="C5099">
        <v>49.587001800537102</v>
      </c>
      <c r="D5099">
        <v>49.099998474121001</v>
      </c>
      <c r="E5099">
        <v>49.137001037597599</v>
      </c>
      <c r="F5099">
        <v>49.137001037597599</v>
      </c>
      <c r="G5099">
        <v>50986000</v>
      </c>
      <c r="H5099">
        <f t="shared" si="316"/>
        <v>2017</v>
      </c>
      <c r="I5099">
        <f t="shared" si="317"/>
        <v>8</v>
      </c>
      <c r="J5099" t="str">
        <f t="shared" si="318"/>
        <v>Aug</v>
      </c>
      <c r="K5099" t="str">
        <f t="shared" si="319"/>
        <v>Tue</v>
      </c>
    </row>
    <row r="5100" spans="1:11" x14ac:dyDescent="0.35">
      <c r="A5100" s="1">
        <v>42963</v>
      </c>
      <c r="B5100">
        <v>49.082500457763601</v>
      </c>
      <c r="C5100">
        <v>49.323001861572202</v>
      </c>
      <c r="D5100">
        <v>48.660999298095703</v>
      </c>
      <c r="E5100">
        <v>48.909000396728501</v>
      </c>
      <c r="F5100">
        <v>48.909000396728501</v>
      </c>
      <c r="G5100">
        <v>62642000</v>
      </c>
      <c r="H5100">
        <f t="shared" si="316"/>
        <v>2017</v>
      </c>
      <c r="I5100">
        <f t="shared" si="317"/>
        <v>8</v>
      </c>
      <c r="J5100" t="str">
        <f t="shared" si="318"/>
        <v>Aug</v>
      </c>
      <c r="K5100" t="str">
        <f t="shared" si="319"/>
        <v>Wed</v>
      </c>
    </row>
    <row r="5101" spans="1:11" x14ac:dyDescent="0.35">
      <c r="A5101" s="1">
        <v>42964</v>
      </c>
      <c r="B5101">
        <v>48.891998291015597</v>
      </c>
      <c r="C5101">
        <v>48.891998291015597</v>
      </c>
      <c r="D5101">
        <v>48.015998840332003</v>
      </c>
      <c r="E5101">
        <v>48.028499603271399</v>
      </c>
      <c r="F5101">
        <v>48.028499603271399</v>
      </c>
      <c r="G5101">
        <v>70248000</v>
      </c>
      <c r="H5101">
        <f t="shared" si="316"/>
        <v>2017</v>
      </c>
      <c r="I5101">
        <f t="shared" si="317"/>
        <v>8</v>
      </c>
      <c r="J5101" t="str">
        <f t="shared" si="318"/>
        <v>Aug</v>
      </c>
      <c r="K5101" t="str">
        <f t="shared" si="319"/>
        <v>Thu</v>
      </c>
    </row>
    <row r="5102" spans="1:11" x14ac:dyDescent="0.35">
      <c r="A5102" s="1">
        <v>42965</v>
      </c>
      <c r="B5102">
        <v>48.069999694824197</v>
      </c>
      <c r="C5102">
        <v>48.271499633788999</v>
      </c>
      <c r="D5102">
        <v>47.732498168945298</v>
      </c>
      <c r="E5102">
        <v>47.923500061035099</v>
      </c>
      <c r="F5102">
        <v>47.923500061035099</v>
      </c>
      <c r="G5102">
        <v>65696000</v>
      </c>
      <c r="H5102">
        <f t="shared" si="316"/>
        <v>2017</v>
      </c>
      <c r="I5102">
        <f t="shared" si="317"/>
        <v>8</v>
      </c>
      <c r="J5102" t="str">
        <f t="shared" si="318"/>
        <v>Aug</v>
      </c>
      <c r="K5102" t="str">
        <f t="shared" si="319"/>
        <v>Fri</v>
      </c>
    </row>
    <row r="5103" spans="1:11" x14ac:dyDescent="0.35">
      <c r="A5103" s="1">
        <v>42968</v>
      </c>
      <c r="B5103">
        <v>47.878501892089801</v>
      </c>
      <c r="C5103">
        <v>48.060001373291001</v>
      </c>
      <c r="D5103">
        <v>47.272998809814403</v>
      </c>
      <c r="E5103">
        <v>47.664501190185497</v>
      </c>
      <c r="F5103">
        <v>47.664501190185497</v>
      </c>
      <c r="G5103">
        <v>63290000</v>
      </c>
      <c r="H5103">
        <f t="shared" si="316"/>
        <v>2017</v>
      </c>
      <c r="I5103">
        <f t="shared" si="317"/>
        <v>8</v>
      </c>
      <c r="J5103" t="str">
        <f t="shared" si="318"/>
        <v>Aug</v>
      </c>
      <c r="K5103" t="str">
        <f t="shared" si="319"/>
        <v>Mon</v>
      </c>
    </row>
    <row r="5104" spans="1:11" x14ac:dyDescent="0.35">
      <c r="A5104" s="1">
        <v>42969</v>
      </c>
      <c r="B5104">
        <v>47.7760009765625</v>
      </c>
      <c r="C5104">
        <v>48.396499633788999</v>
      </c>
      <c r="D5104">
        <v>47.775001525878899</v>
      </c>
      <c r="E5104">
        <v>48.345001220703097</v>
      </c>
      <c r="F5104">
        <v>48.345001220703097</v>
      </c>
      <c r="G5104">
        <v>55000000</v>
      </c>
      <c r="H5104">
        <f t="shared" si="316"/>
        <v>2017</v>
      </c>
      <c r="I5104">
        <f t="shared" si="317"/>
        <v>8</v>
      </c>
      <c r="J5104" t="str">
        <f t="shared" si="318"/>
        <v>Aug</v>
      </c>
      <c r="K5104" t="str">
        <f t="shared" si="319"/>
        <v>Tue</v>
      </c>
    </row>
    <row r="5105" spans="1:11" x14ac:dyDescent="0.35">
      <c r="A5105" s="1">
        <v>42970</v>
      </c>
      <c r="B5105">
        <v>47.969001770019503</v>
      </c>
      <c r="C5105">
        <v>48.099998474121001</v>
      </c>
      <c r="D5105">
        <v>47.709999084472599</v>
      </c>
      <c r="E5105">
        <v>47.900001525878899</v>
      </c>
      <c r="F5105">
        <v>47.900001525878899</v>
      </c>
      <c r="G5105">
        <v>53366000</v>
      </c>
      <c r="H5105">
        <f t="shared" si="316"/>
        <v>2017</v>
      </c>
      <c r="I5105">
        <f t="shared" si="317"/>
        <v>8</v>
      </c>
      <c r="J5105" t="str">
        <f t="shared" si="318"/>
        <v>Aug</v>
      </c>
      <c r="K5105" t="str">
        <f t="shared" si="319"/>
        <v>Wed</v>
      </c>
    </row>
    <row r="5106" spans="1:11" x14ac:dyDescent="0.35">
      <c r="A5106" s="1">
        <v>42971</v>
      </c>
      <c r="B5106">
        <v>47.870998382568303</v>
      </c>
      <c r="C5106">
        <v>47.950000762939403</v>
      </c>
      <c r="D5106">
        <v>47.056999206542898</v>
      </c>
      <c r="E5106">
        <v>47.622501373291001</v>
      </c>
      <c r="F5106">
        <v>47.622501373291001</v>
      </c>
      <c r="G5106">
        <v>103914000</v>
      </c>
      <c r="H5106">
        <f t="shared" si="316"/>
        <v>2017</v>
      </c>
      <c r="I5106">
        <f t="shared" si="317"/>
        <v>8</v>
      </c>
      <c r="J5106" t="str">
        <f t="shared" si="318"/>
        <v>Aug</v>
      </c>
      <c r="K5106" t="str">
        <f t="shared" si="319"/>
        <v>Thu</v>
      </c>
    </row>
    <row r="5107" spans="1:11" x14ac:dyDescent="0.35">
      <c r="A5107" s="1">
        <v>42972</v>
      </c>
      <c r="B5107">
        <v>47.799999237060497</v>
      </c>
      <c r="C5107">
        <v>47.8810005187988</v>
      </c>
      <c r="D5107">
        <v>47.205001831054602</v>
      </c>
      <c r="E5107">
        <v>47.2630004882812</v>
      </c>
      <c r="F5107">
        <v>47.2630004882812</v>
      </c>
      <c r="G5107">
        <v>66496000</v>
      </c>
      <c r="H5107">
        <f t="shared" si="316"/>
        <v>2017</v>
      </c>
      <c r="I5107">
        <f t="shared" si="317"/>
        <v>8</v>
      </c>
      <c r="J5107" t="str">
        <f t="shared" si="318"/>
        <v>Aug</v>
      </c>
      <c r="K5107" t="str">
        <f t="shared" si="319"/>
        <v>Fri</v>
      </c>
    </row>
    <row r="5108" spans="1:11" x14ac:dyDescent="0.35">
      <c r="A5108" s="1">
        <v>42975</v>
      </c>
      <c r="B5108">
        <v>47.326999664306598</v>
      </c>
      <c r="C5108">
        <v>47.650001525878899</v>
      </c>
      <c r="D5108">
        <v>47.112499237060497</v>
      </c>
      <c r="E5108">
        <v>47.300998687744098</v>
      </c>
      <c r="F5108">
        <v>47.300998687744098</v>
      </c>
      <c r="G5108">
        <v>51934000</v>
      </c>
      <c r="H5108">
        <f t="shared" si="316"/>
        <v>2017</v>
      </c>
      <c r="I5108">
        <f t="shared" si="317"/>
        <v>8</v>
      </c>
      <c r="J5108" t="str">
        <f t="shared" si="318"/>
        <v>Aug</v>
      </c>
      <c r="K5108" t="str">
        <f t="shared" si="319"/>
        <v>Mon</v>
      </c>
    </row>
    <row r="5109" spans="1:11" x14ac:dyDescent="0.35">
      <c r="A5109" s="1">
        <v>42976</v>
      </c>
      <c r="B5109">
        <v>47</v>
      </c>
      <c r="C5109">
        <v>47.799999237060497</v>
      </c>
      <c r="D5109">
        <v>46.816501617431598</v>
      </c>
      <c r="E5109">
        <v>47.702999114990199</v>
      </c>
      <c r="F5109">
        <v>47.702999114990199</v>
      </c>
      <c r="G5109">
        <v>57486000</v>
      </c>
      <c r="H5109">
        <f t="shared" si="316"/>
        <v>2017</v>
      </c>
      <c r="I5109">
        <f t="shared" si="317"/>
        <v>8</v>
      </c>
      <c r="J5109" t="str">
        <f t="shared" si="318"/>
        <v>Aug</v>
      </c>
      <c r="K5109" t="str">
        <f t="shared" si="319"/>
        <v>Tue</v>
      </c>
    </row>
    <row r="5110" spans="1:11" x14ac:dyDescent="0.35">
      <c r="A5110" s="1">
        <v>42977</v>
      </c>
      <c r="B5110">
        <v>47.922000885009702</v>
      </c>
      <c r="C5110">
        <v>48.470500946044901</v>
      </c>
      <c r="D5110">
        <v>47.845500946044901</v>
      </c>
      <c r="E5110">
        <v>48.379501342773402</v>
      </c>
      <c r="F5110">
        <v>48.379501342773402</v>
      </c>
      <c r="G5110">
        <v>58092000</v>
      </c>
      <c r="H5110">
        <f t="shared" si="316"/>
        <v>2017</v>
      </c>
      <c r="I5110">
        <f t="shared" si="317"/>
        <v>8</v>
      </c>
      <c r="J5110" t="str">
        <f t="shared" si="318"/>
        <v>Aug</v>
      </c>
      <c r="K5110" t="str">
        <f t="shared" si="319"/>
        <v>Wed</v>
      </c>
    </row>
    <row r="5111" spans="1:11" x14ac:dyDescent="0.35">
      <c r="A5111" s="1">
        <v>42978</v>
      </c>
      <c r="B5111">
        <v>48.735000610351499</v>
      </c>
      <c r="C5111">
        <v>49.049999237060497</v>
      </c>
      <c r="D5111">
        <v>48.6380004882812</v>
      </c>
      <c r="E5111">
        <v>49.029998779296797</v>
      </c>
      <c r="F5111">
        <v>49.029998779296797</v>
      </c>
      <c r="G5111">
        <v>66630000</v>
      </c>
      <c r="H5111">
        <f t="shared" si="316"/>
        <v>2017</v>
      </c>
      <c r="I5111">
        <f t="shared" si="317"/>
        <v>8</v>
      </c>
      <c r="J5111" t="str">
        <f t="shared" si="318"/>
        <v>Aug</v>
      </c>
      <c r="K5111" t="str">
        <f t="shared" si="319"/>
        <v>Thu</v>
      </c>
    </row>
    <row r="5112" spans="1:11" x14ac:dyDescent="0.35">
      <c r="A5112" s="1">
        <v>42979</v>
      </c>
      <c r="B5112">
        <v>49.209999084472599</v>
      </c>
      <c r="C5112">
        <v>49.224998474121001</v>
      </c>
      <c r="D5112">
        <v>48.844001770019503</v>
      </c>
      <c r="E5112">
        <v>48.912498474121001</v>
      </c>
      <c r="F5112">
        <v>48.912498474121001</v>
      </c>
      <c r="G5112">
        <v>50718000</v>
      </c>
      <c r="H5112">
        <f t="shared" si="316"/>
        <v>2017</v>
      </c>
      <c r="I5112">
        <f t="shared" si="317"/>
        <v>9</v>
      </c>
      <c r="J5112" t="str">
        <f t="shared" si="318"/>
        <v>Sep</v>
      </c>
      <c r="K5112" t="str">
        <f t="shared" si="319"/>
        <v>Fri</v>
      </c>
    </row>
    <row r="5113" spans="1:11" x14ac:dyDescent="0.35">
      <c r="A5113" s="1">
        <v>42983</v>
      </c>
      <c r="B5113">
        <v>48.770000457763601</v>
      </c>
      <c r="C5113">
        <v>48.8385009765625</v>
      </c>
      <c r="D5113">
        <v>48.018501281738203</v>
      </c>
      <c r="E5113">
        <v>48.263500213622997</v>
      </c>
      <c r="F5113">
        <v>48.263500213622997</v>
      </c>
      <c r="G5113">
        <v>57664000</v>
      </c>
      <c r="H5113">
        <f t="shared" si="316"/>
        <v>2017</v>
      </c>
      <c r="I5113">
        <f t="shared" si="317"/>
        <v>9</v>
      </c>
      <c r="J5113" t="str">
        <f t="shared" si="318"/>
        <v>Sep</v>
      </c>
      <c r="K5113" t="str">
        <f t="shared" si="319"/>
        <v>Tue</v>
      </c>
    </row>
    <row r="5114" spans="1:11" x14ac:dyDescent="0.35">
      <c r="A5114" s="1">
        <v>42984</v>
      </c>
      <c r="B5114">
        <v>48.416000366210902</v>
      </c>
      <c r="C5114">
        <v>48.591999053955</v>
      </c>
      <c r="D5114">
        <v>48.029998779296797</v>
      </c>
      <c r="E5114">
        <v>48.389999389648402</v>
      </c>
      <c r="F5114">
        <v>48.389999389648402</v>
      </c>
      <c r="G5114">
        <v>42598000</v>
      </c>
      <c r="H5114">
        <f t="shared" si="316"/>
        <v>2017</v>
      </c>
      <c r="I5114">
        <f t="shared" si="317"/>
        <v>9</v>
      </c>
      <c r="J5114" t="str">
        <f t="shared" si="318"/>
        <v>Sep</v>
      </c>
      <c r="K5114" t="str">
        <f t="shared" si="319"/>
        <v>Wed</v>
      </c>
    </row>
    <row r="5115" spans="1:11" x14ac:dyDescent="0.35">
      <c r="A5115" s="1">
        <v>42985</v>
      </c>
      <c r="B5115">
        <v>48.700000762939403</v>
      </c>
      <c r="C5115">
        <v>49.029499053955</v>
      </c>
      <c r="D5115">
        <v>48.627498626708899</v>
      </c>
      <c r="E5115">
        <v>48.973499298095703</v>
      </c>
      <c r="F5115">
        <v>48.973499298095703</v>
      </c>
      <c r="G5115">
        <v>51336000</v>
      </c>
      <c r="H5115">
        <f t="shared" si="316"/>
        <v>2017</v>
      </c>
      <c r="I5115">
        <f t="shared" si="317"/>
        <v>9</v>
      </c>
      <c r="J5115" t="str">
        <f t="shared" si="318"/>
        <v>Sep</v>
      </c>
      <c r="K5115" t="str">
        <f t="shared" si="319"/>
        <v>Thu</v>
      </c>
    </row>
    <row r="5116" spans="1:11" x14ac:dyDescent="0.35">
      <c r="A5116" s="1">
        <v>42986</v>
      </c>
      <c r="B5116">
        <v>48.955001831054602</v>
      </c>
      <c r="C5116">
        <v>48.993999481201101</v>
      </c>
      <c r="D5116">
        <v>48.173500061035099</v>
      </c>
      <c r="E5116">
        <v>48.294998168945298</v>
      </c>
      <c r="F5116">
        <v>48.294998168945298</v>
      </c>
      <c r="G5116">
        <v>52106000</v>
      </c>
      <c r="H5116">
        <f t="shared" si="316"/>
        <v>2017</v>
      </c>
      <c r="I5116">
        <f t="shared" si="317"/>
        <v>9</v>
      </c>
      <c r="J5116" t="str">
        <f t="shared" si="318"/>
        <v>Sep</v>
      </c>
      <c r="K5116" t="str">
        <f t="shared" si="319"/>
        <v>Fri</v>
      </c>
    </row>
    <row r="5117" spans="1:11" x14ac:dyDescent="0.35">
      <c r="A5117" s="1">
        <v>42989</v>
      </c>
      <c r="B5117">
        <v>48.722999572753899</v>
      </c>
      <c r="C5117">
        <v>49.097000122070298</v>
      </c>
      <c r="D5117">
        <v>48.7109985351562</v>
      </c>
      <c r="E5117">
        <v>48.897998809814403</v>
      </c>
      <c r="F5117">
        <v>48.897998809814403</v>
      </c>
      <c r="G5117">
        <v>43734000</v>
      </c>
      <c r="H5117">
        <f t="shared" si="316"/>
        <v>2017</v>
      </c>
      <c r="I5117">
        <f t="shared" si="317"/>
        <v>9</v>
      </c>
      <c r="J5117" t="str">
        <f t="shared" si="318"/>
        <v>Sep</v>
      </c>
      <c r="K5117" t="str">
        <f t="shared" si="319"/>
        <v>Mon</v>
      </c>
    </row>
    <row r="5118" spans="1:11" x14ac:dyDescent="0.35">
      <c r="A5118" s="1">
        <v>42990</v>
      </c>
      <c r="B5118">
        <v>49.163501739501903</v>
      </c>
      <c r="C5118">
        <v>49.233501434326101</v>
      </c>
      <c r="D5118">
        <v>48.7760009765625</v>
      </c>
      <c r="E5118">
        <v>49.129001617431598</v>
      </c>
      <c r="F5118">
        <v>49.129001617431598</v>
      </c>
      <c r="G5118">
        <v>49622000</v>
      </c>
      <c r="H5118">
        <f t="shared" si="316"/>
        <v>2017</v>
      </c>
      <c r="I5118">
        <f t="shared" si="317"/>
        <v>9</v>
      </c>
      <c r="J5118" t="str">
        <f t="shared" si="318"/>
        <v>Sep</v>
      </c>
      <c r="K5118" t="str">
        <f t="shared" si="319"/>
        <v>Tue</v>
      </c>
    </row>
    <row r="5119" spans="1:11" x14ac:dyDescent="0.35">
      <c r="A5119" s="1">
        <v>42991</v>
      </c>
      <c r="B5119">
        <v>49.198501586913999</v>
      </c>
      <c r="C5119">
        <v>50</v>
      </c>
      <c r="D5119">
        <v>48.971000671386697</v>
      </c>
      <c r="E5119">
        <v>49.9799995422363</v>
      </c>
      <c r="F5119">
        <v>49.9799995422363</v>
      </c>
      <c r="G5119">
        <v>67494000</v>
      </c>
      <c r="H5119">
        <f t="shared" si="316"/>
        <v>2017</v>
      </c>
      <c r="I5119">
        <f t="shared" si="317"/>
        <v>9</v>
      </c>
      <c r="J5119" t="str">
        <f t="shared" si="318"/>
        <v>Sep</v>
      </c>
      <c r="K5119" t="str">
        <f t="shared" si="319"/>
        <v>Wed</v>
      </c>
    </row>
    <row r="5120" spans="1:11" x14ac:dyDescent="0.35">
      <c r="A5120" s="1">
        <v>42992</v>
      </c>
      <c r="B5120">
        <v>49.840000152587798</v>
      </c>
      <c r="C5120">
        <v>49.928001403808501</v>
      </c>
      <c r="D5120">
        <v>49.387001037597599</v>
      </c>
      <c r="E5120">
        <v>49.610500335693303</v>
      </c>
      <c r="F5120">
        <v>49.610500335693303</v>
      </c>
      <c r="G5120">
        <v>78266000</v>
      </c>
      <c r="H5120">
        <f t="shared" si="316"/>
        <v>2017</v>
      </c>
      <c r="I5120">
        <f t="shared" si="317"/>
        <v>9</v>
      </c>
      <c r="J5120" t="str">
        <f t="shared" si="318"/>
        <v>Sep</v>
      </c>
      <c r="K5120" t="str">
        <f t="shared" si="319"/>
        <v>Thu</v>
      </c>
    </row>
    <row r="5121" spans="1:11" x14ac:dyDescent="0.35">
      <c r="A5121" s="1">
        <v>42993</v>
      </c>
      <c r="B5121">
        <v>49.650501251220703</v>
      </c>
      <c r="C5121">
        <v>49.8125</v>
      </c>
      <c r="D5121">
        <v>49.201499938964801</v>
      </c>
      <c r="E5121">
        <v>49.339500427246001</v>
      </c>
      <c r="F5121">
        <v>49.339500427246001</v>
      </c>
      <c r="G5121">
        <v>75204000</v>
      </c>
      <c r="H5121">
        <f t="shared" si="316"/>
        <v>2017</v>
      </c>
      <c r="I5121">
        <f t="shared" si="317"/>
        <v>9</v>
      </c>
      <c r="J5121" t="str">
        <f t="shared" si="318"/>
        <v>Sep</v>
      </c>
      <c r="K5121" t="str">
        <f t="shared" si="319"/>
        <v>Fri</v>
      </c>
    </row>
    <row r="5122" spans="1:11" x14ac:dyDescent="0.35">
      <c r="A5122" s="1">
        <v>42996</v>
      </c>
      <c r="B5122">
        <v>49.520000457763601</v>
      </c>
      <c r="C5122">
        <v>49.639499664306598</v>
      </c>
      <c r="D5122">
        <v>48.408500671386697</v>
      </c>
      <c r="E5122">
        <v>48.709499359130803</v>
      </c>
      <c r="F5122">
        <v>48.709499359130803</v>
      </c>
      <c r="G5122">
        <v>68226000</v>
      </c>
      <c r="H5122">
        <f t="shared" si="316"/>
        <v>2017</v>
      </c>
      <c r="I5122">
        <f t="shared" si="317"/>
        <v>9</v>
      </c>
      <c r="J5122" t="str">
        <f t="shared" si="318"/>
        <v>Sep</v>
      </c>
      <c r="K5122" t="str">
        <f t="shared" si="319"/>
        <v>Mon</v>
      </c>
    </row>
    <row r="5123" spans="1:11" x14ac:dyDescent="0.35">
      <c r="A5123" s="1">
        <v>42997</v>
      </c>
      <c r="B5123">
        <v>48.862499237060497</v>
      </c>
      <c r="C5123">
        <v>48.911998748779297</v>
      </c>
      <c r="D5123">
        <v>48.373001098632798</v>
      </c>
      <c r="E5123">
        <v>48.4930000305175</v>
      </c>
      <c r="F5123">
        <v>48.4930000305175</v>
      </c>
      <c r="G5123">
        <v>53422000</v>
      </c>
      <c r="H5123">
        <f t="shared" si="316"/>
        <v>2017</v>
      </c>
      <c r="I5123">
        <f t="shared" si="317"/>
        <v>9</v>
      </c>
      <c r="J5123" t="str">
        <f t="shared" si="318"/>
        <v>Sep</v>
      </c>
      <c r="K5123" t="str">
        <f t="shared" si="319"/>
        <v>Tue</v>
      </c>
    </row>
    <row r="5124" spans="1:11" x14ac:dyDescent="0.35">
      <c r="A5124" s="1">
        <v>42998</v>
      </c>
      <c r="B5124">
        <v>48.589500427246001</v>
      </c>
      <c r="C5124">
        <v>48.740501403808501</v>
      </c>
      <c r="D5124">
        <v>48.108001708984297</v>
      </c>
      <c r="E5124">
        <v>48.660499572753899</v>
      </c>
      <c r="F5124">
        <v>48.660499572753899</v>
      </c>
      <c r="G5124">
        <v>57776000</v>
      </c>
      <c r="H5124">
        <f t="shared" ref="H5124:H5187" si="320">YEAR($A5124)</f>
        <v>2017</v>
      </c>
      <c r="I5124">
        <f t="shared" ref="I5124:I5187" si="321">MONTH($A5124)</f>
        <v>9</v>
      </c>
      <c r="J5124" t="str">
        <f t="shared" ref="J5124:J5187" si="322">TEXT($A5124,"mmm")</f>
        <v>Sep</v>
      </c>
      <c r="K5124" t="str">
        <f t="shared" ref="K5124:K5187" si="323">TEXT($A5124,"ddd")</f>
        <v>Wed</v>
      </c>
    </row>
    <row r="5125" spans="1:11" x14ac:dyDescent="0.35">
      <c r="A5125" s="1">
        <v>42999</v>
      </c>
      <c r="B5125">
        <v>48.565498352050703</v>
      </c>
      <c r="C5125">
        <v>48.584999084472599</v>
      </c>
      <c r="D5125">
        <v>48.101001739501903</v>
      </c>
      <c r="E5125">
        <v>48.232498168945298</v>
      </c>
      <c r="F5125">
        <v>48.232498168945298</v>
      </c>
      <c r="G5125">
        <v>46752000</v>
      </c>
      <c r="H5125">
        <f t="shared" si="320"/>
        <v>2017</v>
      </c>
      <c r="I5125">
        <f t="shared" si="321"/>
        <v>9</v>
      </c>
      <c r="J5125" t="str">
        <f t="shared" si="322"/>
        <v>Sep</v>
      </c>
      <c r="K5125" t="str">
        <f t="shared" si="323"/>
        <v>Thu</v>
      </c>
    </row>
    <row r="5126" spans="1:11" x14ac:dyDescent="0.35">
      <c r="A5126" s="1">
        <v>43000</v>
      </c>
      <c r="B5126">
        <v>48.050498962402301</v>
      </c>
      <c r="C5126">
        <v>48.280498504638601</v>
      </c>
      <c r="D5126">
        <v>47.721000671386697</v>
      </c>
      <c r="E5126">
        <v>47.755001068115199</v>
      </c>
      <c r="F5126">
        <v>47.755001068115199</v>
      </c>
      <c r="G5126">
        <v>52836000</v>
      </c>
      <c r="H5126">
        <f t="shared" si="320"/>
        <v>2017</v>
      </c>
      <c r="I5126">
        <f t="shared" si="321"/>
        <v>9</v>
      </c>
      <c r="J5126" t="str">
        <f t="shared" si="322"/>
        <v>Sep</v>
      </c>
      <c r="K5126" t="str">
        <f t="shared" si="323"/>
        <v>Fri</v>
      </c>
    </row>
    <row r="5127" spans="1:11" x14ac:dyDescent="0.35">
      <c r="A5127" s="1">
        <v>43003</v>
      </c>
      <c r="B5127">
        <v>47.465499877929602</v>
      </c>
      <c r="C5127">
        <v>47.471000671386697</v>
      </c>
      <c r="D5127">
        <v>46.644500732421797</v>
      </c>
      <c r="E5127">
        <v>46.989498138427699</v>
      </c>
      <c r="F5127">
        <v>46.989498138427699</v>
      </c>
      <c r="G5127">
        <v>102480000</v>
      </c>
      <c r="H5127">
        <f t="shared" si="320"/>
        <v>2017</v>
      </c>
      <c r="I5127">
        <f t="shared" si="321"/>
        <v>9</v>
      </c>
      <c r="J5127" t="str">
        <f t="shared" si="322"/>
        <v>Sep</v>
      </c>
      <c r="K5127" t="str">
        <f t="shared" si="323"/>
        <v>Mon</v>
      </c>
    </row>
    <row r="5128" spans="1:11" x14ac:dyDescent="0.35">
      <c r="A5128" s="1">
        <v>43004</v>
      </c>
      <c r="B5128">
        <v>47.274501800537102</v>
      </c>
      <c r="C5128">
        <v>47.431499481201101</v>
      </c>
      <c r="D5128">
        <v>46.587501525878899</v>
      </c>
      <c r="E5128">
        <v>46.930000305175703</v>
      </c>
      <c r="F5128">
        <v>46.930000305175703</v>
      </c>
      <c r="G5128">
        <v>71296000</v>
      </c>
      <c r="H5128">
        <f t="shared" si="320"/>
        <v>2017</v>
      </c>
      <c r="I5128">
        <f t="shared" si="321"/>
        <v>9</v>
      </c>
      <c r="J5128" t="str">
        <f t="shared" si="322"/>
        <v>Sep</v>
      </c>
      <c r="K5128" t="str">
        <f t="shared" si="323"/>
        <v>Tue</v>
      </c>
    </row>
    <row r="5129" spans="1:11" x14ac:dyDescent="0.35">
      <c r="A5129" s="1">
        <v>43005</v>
      </c>
      <c r="B5129">
        <v>47.400001525878899</v>
      </c>
      <c r="C5129">
        <v>47.764999389648402</v>
      </c>
      <c r="D5129">
        <v>47.165000915527301</v>
      </c>
      <c r="E5129">
        <v>47.543498992919901</v>
      </c>
      <c r="F5129">
        <v>47.543498992919901</v>
      </c>
      <c r="G5129">
        <v>62978000</v>
      </c>
      <c r="H5129">
        <f t="shared" si="320"/>
        <v>2017</v>
      </c>
      <c r="I5129">
        <f t="shared" si="321"/>
        <v>9</v>
      </c>
      <c r="J5129" t="str">
        <f t="shared" si="322"/>
        <v>Sep</v>
      </c>
      <c r="K5129" t="str">
        <f t="shared" si="323"/>
        <v>Wed</v>
      </c>
    </row>
    <row r="5130" spans="1:11" x14ac:dyDescent="0.35">
      <c r="A5130" s="1">
        <v>43006</v>
      </c>
      <c r="B5130">
        <v>47.592998504638601</v>
      </c>
      <c r="C5130">
        <v>47.985000610351499</v>
      </c>
      <c r="D5130">
        <v>47.505001068115199</v>
      </c>
      <c r="E5130">
        <v>47.819999694824197</v>
      </c>
      <c r="F5130">
        <v>47.819999694824197</v>
      </c>
      <c r="G5130">
        <v>50452000</v>
      </c>
      <c r="H5130">
        <f t="shared" si="320"/>
        <v>2017</v>
      </c>
      <c r="I5130">
        <f t="shared" si="321"/>
        <v>9</v>
      </c>
      <c r="J5130" t="str">
        <f t="shared" si="322"/>
        <v>Sep</v>
      </c>
      <c r="K5130" t="str">
        <f t="shared" si="323"/>
        <v>Thu</v>
      </c>
    </row>
    <row r="5131" spans="1:11" x14ac:dyDescent="0.35">
      <c r="A5131" s="1">
        <v>43007</v>
      </c>
      <c r="B5131">
        <v>48.005500793457003</v>
      </c>
      <c r="C5131">
        <v>48.241500854492102</v>
      </c>
      <c r="D5131">
        <v>47.918998718261697</v>
      </c>
      <c r="E5131">
        <v>48.067501068115199</v>
      </c>
      <c r="F5131">
        <v>48.067501068115199</v>
      </c>
      <c r="G5131">
        <v>50876000</v>
      </c>
      <c r="H5131">
        <f t="shared" si="320"/>
        <v>2017</v>
      </c>
      <c r="I5131">
        <f t="shared" si="321"/>
        <v>9</v>
      </c>
      <c r="J5131" t="str">
        <f t="shared" si="322"/>
        <v>Sep</v>
      </c>
      <c r="K5131" t="str">
        <f t="shared" si="323"/>
        <v>Fri</v>
      </c>
    </row>
    <row r="5132" spans="1:11" x14ac:dyDescent="0.35">
      <c r="A5132" s="1">
        <v>43010</v>
      </c>
      <c r="B5132">
        <v>48.200000762939403</v>
      </c>
      <c r="C5132">
        <v>48.365501403808501</v>
      </c>
      <c r="D5132">
        <v>47.605998992919901</v>
      </c>
      <c r="E5132">
        <v>47.959499359130803</v>
      </c>
      <c r="F5132">
        <v>47.959499359130803</v>
      </c>
      <c r="G5132">
        <v>48858000</v>
      </c>
      <c r="H5132">
        <f t="shared" si="320"/>
        <v>2017</v>
      </c>
      <c r="I5132">
        <f t="shared" si="321"/>
        <v>10</v>
      </c>
      <c r="J5132" t="str">
        <f t="shared" si="322"/>
        <v>Oct</v>
      </c>
      <c r="K5132" t="str">
        <f t="shared" si="323"/>
        <v>Mon</v>
      </c>
    </row>
    <row r="5133" spans="1:11" x14ac:dyDescent="0.35">
      <c r="A5133" s="1">
        <v>43011</v>
      </c>
      <c r="B5133">
        <v>47.900001525878899</v>
      </c>
      <c r="C5133">
        <v>48.184501647949197</v>
      </c>
      <c r="D5133">
        <v>47.518501281738203</v>
      </c>
      <c r="E5133">
        <v>47.8549995422363</v>
      </c>
      <c r="F5133">
        <v>47.8549995422363</v>
      </c>
      <c r="G5133">
        <v>53332000</v>
      </c>
      <c r="H5133">
        <f t="shared" si="320"/>
        <v>2017</v>
      </c>
      <c r="I5133">
        <f t="shared" si="321"/>
        <v>10</v>
      </c>
      <c r="J5133" t="str">
        <f t="shared" si="322"/>
        <v>Oct</v>
      </c>
      <c r="K5133" t="str">
        <f t="shared" si="323"/>
        <v>Tue</v>
      </c>
    </row>
    <row r="5134" spans="1:11" x14ac:dyDescent="0.35">
      <c r="A5134" s="1">
        <v>43012</v>
      </c>
      <c r="B5134">
        <v>47.710498809814403</v>
      </c>
      <c r="C5134">
        <v>48.389499664306598</v>
      </c>
      <c r="D5134">
        <v>47.702499389648402</v>
      </c>
      <c r="E5134">
        <v>48.272499084472599</v>
      </c>
      <c r="F5134">
        <v>48.272499084472599</v>
      </c>
      <c r="G5134">
        <v>50548000</v>
      </c>
      <c r="H5134">
        <f t="shared" si="320"/>
        <v>2017</v>
      </c>
      <c r="I5134">
        <f t="shared" si="321"/>
        <v>10</v>
      </c>
      <c r="J5134" t="str">
        <f t="shared" si="322"/>
        <v>Oct</v>
      </c>
      <c r="K5134" t="str">
        <f t="shared" si="323"/>
        <v>Wed</v>
      </c>
    </row>
    <row r="5135" spans="1:11" x14ac:dyDescent="0.35">
      <c r="A5135" s="1">
        <v>43013</v>
      </c>
      <c r="B5135">
        <v>48.5</v>
      </c>
      <c r="C5135">
        <v>49.0755004882812</v>
      </c>
      <c r="D5135">
        <v>48.481998443603501</v>
      </c>
      <c r="E5135">
        <v>49.0424995422363</v>
      </c>
      <c r="F5135">
        <v>49.0424995422363</v>
      </c>
      <c r="G5135">
        <v>64584000</v>
      </c>
      <c r="H5135">
        <f t="shared" si="320"/>
        <v>2017</v>
      </c>
      <c r="I5135">
        <f t="shared" si="321"/>
        <v>10</v>
      </c>
      <c r="J5135" t="str">
        <f t="shared" si="322"/>
        <v>Oct</v>
      </c>
      <c r="K5135" t="str">
        <f t="shared" si="323"/>
        <v>Thu</v>
      </c>
    </row>
    <row r="5136" spans="1:11" x14ac:dyDescent="0.35">
      <c r="A5136" s="1">
        <v>43014</v>
      </c>
      <c r="B5136">
        <v>48.7820014953613</v>
      </c>
      <c r="C5136">
        <v>49.787498474121001</v>
      </c>
      <c r="D5136">
        <v>48.7820014953613</v>
      </c>
      <c r="E5136">
        <v>49.479000091552699</v>
      </c>
      <c r="F5136">
        <v>49.479000091552699</v>
      </c>
      <c r="G5136">
        <v>75642000</v>
      </c>
      <c r="H5136">
        <f t="shared" si="320"/>
        <v>2017</v>
      </c>
      <c r="I5136">
        <f t="shared" si="321"/>
        <v>10</v>
      </c>
      <c r="J5136" t="str">
        <f t="shared" si="322"/>
        <v>Oct</v>
      </c>
      <c r="K5136" t="str">
        <f t="shared" si="323"/>
        <v>Fri</v>
      </c>
    </row>
    <row r="5137" spans="1:11" x14ac:dyDescent="0.35">
      <c r="A5137" s="1">
        <v>43017</v>
      </c>
      <c r="B5137">
        <v>49.661998748779297</v>
      </c>
      <c r="C5137">
        <v>49.924999237060497</v>
      </c>
      <c r="D5137">
        <v>49.375</v>
      </c>
      <c r="E5137">
        <v>49.5494995117187</v>
      </c>
      <c r="F5137">
        <v>49.5494995117187</v>
      </c>
      <c r="G5137">
        <v>58772000</v>
      </c>
      <c r="H5137">
        <f t="shared" si="320"/>
        <v>2017</v>
      </c>
      <c r="I5137">
        <f t="shared" si="321"/>
        <v>10</v>
      </c>
      <c r="J5137" t="str">
        <f t="shared" si="322"/>
        <v>Oct</v>
      </c>
      <c r="K5137" t="str">
        <f t="shared" si="323"/>
        <v>Mon</v>
      </c>
    </row>
    <row r="5138" spans="1:11" x14ac:dyDescent="0.35">
      <c r="A5138" s="1">
        <v>43018</v>
      </c>
      <c r="B5138">
        <v>49.833499908447202</v>
      </c>
      <c r="C5138">
        <v>49.897499084472599</v>
      </c>
      <c r="D5138">
        <v>49.005001068115199</v>
      </c>
      <c r="E5138">
        <v>49.360000610351499</v>
      </c>
      <c r="F5138">
        <v>49.360000610351499</v>
      </c>
      <c r="G5138">
        <v>61698000</v>
      </c>
      <c r="H5138">
        <f t="shared" si="320"/>
        <v>2017</v>
      </c>
      <c r="I5138">
        <f t="shared" si="321"/>
        <v>10</v>
      </c>
      <c r="J5138" t="str">
        <f t="shared" si="322"/>
        <v>Oct</v>
      </c>
      <c r="K5138" t="str">
        <f t="shared" si="323"/>
        <v>Tue</v>
      </c>
    </row>
    <row r="5139" spans="1:11" x14ac:dyDescent="0.35">
      <c r="A5139" s="1">
        <v>43019</v>
      </c>
      <c r="B5139">
        <v>49.563499450683501</v>
      </c>
      <c r="C5139">
        <v>49.775001525878899</v>
      </c>
      <c r="D5139">
        <v>49.334999084472599</v>
      </c>
      <c r="E5139">
        <v>49.75</v>
      </c>
      <c r="F5139">
        <v>49.75</v>
      </c>
      <c r="G5139">
        <v>46742000</v>
      </c>
      <c r="H5139">
        <f t="shared" si="320"/>
        <v>2017</v>
      </c>
      <c r="I5139">
        <f t="shared" si="321"/>
        <v>10</v>
      </c>
      <c r="J5139" t="str">
        <f t="shared" si="322"/>
        <v>Oct</v>
      </c>
      <c r="K5139" t="str">
        <f t="shared" si="323"/>
        <v>Wed</v>
      </c>
    </row>
    <row r="5140" spans="1:11" x14ac:dyDescent="0.35">
      <c r="A5140" s="1">
        <v>43020</v>
      </c>
      <c r="B5140">
        <v>49.840499877929602</v>
      </c>
      <c r="C5140">
        <v>50.422000885009702</v>
      </c>
      <c r="D5140">
        <v>49.619998931884702</v>
      </c>
      <c r="E5140">
        <v>50.046501159667898</v>
      </c>
      <c r="F5140">
        <v>50.046501159667898</v>
      </c>
      <c r="G5140">
        <v>81346000</v>
      </c>
      <c r="H5140">
        <f t="shared" si="320"/>
        <v>2017</v>
      </c>
      <c r="I5140">
        <f t="shared" si="321"/>
        <v>10</v>
      </c>
      <c r="J5140" t="str">
        <f t="shared" si="322"/>
        <v>Oct</v>
      </c>
      <c r="K5140" t="str">
        <f t="shared" si="323"/>
        <v>Thu</v>
      </c>
    </row>
    <row r="5141" spans="1:11" x14ac:dyDescent="0.35">
      <c r="A5141" s="1">
        <v>43021</v>
      </c>
      <c r="B5141">
        <v>50.349998474121001</v>
      </c>
      <c r="C5141">
        <v>50.388500213622997</v>
      </c>
      <c r="D5141">
        <v>50.051498413085902</v>
      </c>
      <c r="E5141">
        <v>50.146999359130803</v>
      </c>
      <c r="F5141">
        <v>50.146999359130803</v>
      </c>
      <c r="G5141">
        <v>48630000</v>
      </c>
      <c r="H5141">
        <f t="shared" si="320"/>
        <v>2017</v>
      </c>
      <c r="I5141">
        <f t="shared" si="321"/>
        <v>10</v>
      </c>
      <c r="J5141" t="str">
        <f t="shared" si="322"/>
        <v>Oct</v>
      </c>
      <c r="K5141" t="str">
        <f t="shared" si="323"/>
        <v>Fri</v>
      </c>
    </row>
    <row r="5142" spans="1:11" x14ac:dyDescent="0.35">
      <c r="A5142" s="1">
        <v>43024</v>
      </c>
      <c r="B5142">
        <v>50.422000885009702</v>
      </c>
      <c r="C5142">
        <v>50.478500366210902</v>
      </c>
      <c r="D5142">
        <v>50.051998138427699</v>
      </c>
      <c r="E5142">
        <v>50.317001342773402</v>
      </c>
      <c r="F5142">
        <v>50.317001342773402</v>
      </c>
      <c r="G5142">
        <v>40178000</v>
      </c>
      <c r="H5142">
        <f t="shared" si="320"/>
        <v>2017</v>
      </c>
      <c r="I5142">
        <f t="shared" si="321"/>
        <v>10</v>
      </c>
      <c r="J5142" t="str">
        <f t="shared" si="322"/>
        <v>Oct</v>
      </c>
      <c r="K5142" t="str">
        <f t="shared" si="323"/>
        <v>Mon</v>
      </c>
    </row>
    <row r="5143" spans="1:11" x14ac:dyDescent="0.35">
      <c r="A5143" s="1">
        <v>43025</v>
      </c>
      <c r="B5143">
        <v>50.279499053955</v>
      </c>
      <c r="C5143">
        <v>50.573501586913999</v>
      </c>
      <c r="D5143">
        <v>50.219001770019503</v>
      </c>
      <c r="E5143">
        <v>50.45650100708</v>
      </c>
      <c r="F5143">
        <v>50.45650100708</v>
      </c>
      <c r="G5143">
        <v>46394000</v>
      </c>
      <c r="H5143">
        <f t="shared" si="320"/>
        <v>2017</v>
      </c>
      <c r="I5143">
        <f t="shared" si="321"/>
        <v>10</v>
      </c>
      <c r="J5143" t="str">
        <f t="shared" si="322"/>
        <v>Oct</v>
      </c>
      <c r="K5143" t="str">
        <f t="shared" si="323"/>
        <v>Tue</v>
      </c>
    </row>
    <row r="5144" spans="1:11" x14ac:dyDescent="0.35">
      <c r="A5144" s="1">
        <v>43026</v>
      </c>
      <c r="B5144">
        <v>50.4635009765625</v>
      </c>
      <c r="C5144">
        <v>51.115501403808501</v>
      </c>
      <c r="D5144">
        <v>49.827499389648402</v>
      </c>
      <c r="E5144">
        <v>49.849998474121001</v>
      </c>
      <c r="F5144">
        <v>49.849998474121001</v>
      </c>
      <c r="G5144">
        <v>49994000</v>
      </c>
      <c r="H5144">
        <f t="shared" si="320"/>
        <v>2017</v>
      </c>
      <c r="I5144">
        <f t="shared" si="321"/>
        <v>10</v>
      </c>
      <c r="J5144" t="str">
        <f t="shared" si="322"/>
        <v>Oct</v>
      </c>
      <c r="K5144" t="str">
        <f t="shared" si="323"/>
        <v>Wed</v>
      </c>
    </row>
    <row r="5145" spans="1:11" x14ac:dyDescent="0.35">
      <c r="A5145" s="1">
        <v>43027</v>
      </c>
      <c r="B5145">
        <v>49.5</v>
      </c>
      <c r="C5145">
        <v>49.552501678466797</v>
      </c>
      <c r="D5145">
        <v>49.012001037597599</v>
      </c>
      <c r="E5145">
        <v>49.330501556396399</v>
      </c>
      <c r="F5145">
        <v>49.330501556396399</v>
      </c>
      <c r="G5145">
        <v>62164000</v>
      </c>
      <c r="H5145">
        <f t="shared" si="320"/>
        <v>2017</v>
      </c>
      <c r="I5145">
        <f t="shared" si="321"/>
        <v>10</v>
      </c>
      <c r="J5145" t="str">
        <f t="shared" si="322"/>
        <v>Oct</v>
      </c>
      <c r="K5145" t="str">
        <f t="shared" si="323"/>
        <v>Thu</v>
      </c>
    </row>
    <row r="5146" spans="1:11" x14ac:dyDescent="0.35">
      <c r="A5146" s="1">
        <v>43028</v>
      </c>
      <c r="B5146">
        <v>49.676498413085902</v>
      </c>
      <c r="C5146">
        <v>49.730998992919901</v>
      </c>
      <c r="D5146">
        <v>49.099998474121001</v>
      </c>
      <c r="E5146">
        <v>49.145500183105398</v>
      </c>
      <c r="F5146">
        <v>49.145500183105398</v>
      </c>
      <c r="G5146">
        <v>47302000</v>
      </c>
      <c r="H5146">
        <f t="shared" si="320"/>
        <v>2017</v>
      </c>
      <c r="I5146">
        <f t="shared" si="321"/>
        <v>10</v>
      </c>
      <c r="J5146" t="str">
        <f t="shared" si="322"/>
        <v>Oct</v>
      </c>
      <c r="K5146" t="str">
        <f t="shared" si="323"/>
        <v>Fri</v>
      </c>
    </row>
    <row r="5147" spans="1:11" x14ac:dyDescent="0.35">
      <c r="A5147" s="1">
        <v>43031</v>
      </c>
      <c r="B5147">
        <v>49.336498260497997</v>
      </c>
      <c r="C5147">
        <v>49.339000701904297</v>
      </c>
      <c r="D5147">
        <v>48.125</v>
      </c>
      <c r="E5147">
        <v>48.314998626708899</v>
      </c>
      <c r="F5147">
        <v>48.314998626708899</v>
      </c>
      <c r="G5147">
        <v>69882000</v>
      </c>
      <c r="H5147">
        <f t="shared" si="320"/>
        <v>2017</v>
      </c>
      <c r="I5147">
        <f t="shared" si="321"/>
        <v>10</v>
      </c>
      <c r="J5147" t="str">
        <f t="shared" si="322"/>
        <v>Oct</v>
      </c>
      <c r="K5147" t="str">
        <f t="shared" si="323"/>
        <v>Mon</v>
      </c>
    </row>
    <row r="5148" spans="1:11" x14ac:dyDescent="0.35">
      <c r="A5148" s="1">
        <v>43032</v>
      </c>
      <c r="B5148">
        <v>48.450000762939403</v>
      </c>
      <c r="C5148">
        <v>48.992500305175703</v>
      </c>
      <c r="D5148">
        <v>48.25</v>
      </c>
      <c r="E5148">
        <v>48.794998168945298</v>
      </c>
      <c r="F5148">
        <v>48.794998168945298</v>
      </c>
      <c r="G5148">
        <v>54478000</v>
      </c>
      <c r="H5148">
        <f t="shared" si="320"/>
        <v>2017</v>
      </c>
      <c r="I5148">
        <f t="shared" si="321"/>
        <v>10</v>
      </c>
      <c r="J5148" t="str">
        <f t="shared" si="322"/>
        <v>Oct</v>
      </c>
      <c r="K5148" t="str">
        <f t="shared" si="323"/>
        <v>Tue</v>
      </c>
    </row>
    <row r="5149" spans="1:11" x14ac:dyDescent="0.35">
      <c r="A5149" s="1">
        <v>43033</v>
      </c>
      <c r="B5149">
        <v>48.900001525878899</v>
      </c>
      <c r="C5149">
        <v>49.222000122070298</v>
      </c>
      <c r="D5149">
        <v>48.312000274658203</v>
      </c>
      <c r="E5149">
        <v>48.645500183105398</v>
      </c>
      <c r="F5149">
        <v>48.645500183105398</v>
      </c>
      <c r="G5149">
        <v>60662000</v>
      </c>
      <c r="H5149">
        <f t="shared" si="320"/>
        <v>2017</v>
      </c>
      <c r="I5149">
        <f t="shared" si="321"/>
        <v>10</v>
      </c>
      <c r="J5149" t="str">
        <f t="shared" si="322"/>
        <v>Oct</v>
      </c>
      <c r="K5149" t="str">
        <f t="shared" si="323"/>
        <v>Wed</v>
      </c>
    </row>
    <row r="5150" spans="1:11" x14ac:dyDescent="0.35">
      <c r="A5150" s="1">
        <v>43034</v>
      </c>
      <c r="B5150">
        <v>49.0164985656738</v>
      </c>
      <c r="C5150">
        <v>49.145000457763601</v>
      </c>
      <c r="D5150">
        <v>48.427501678466797</v>
      </c>
      <c r="E5150">
        <v>48.621498107910099</v>
      </c>
      <c r="F5150">
        <v>48.621498107910099</v>
      </c>
      <c r="G5150">
        <v>112374000</v>
      </c>
      <c r="H5150">
        <f t="shared" si="320"/>
        <v>2017</v>
      </c>
      <c r="I5150">
        <f t="shared" si="321"/>
        <v>10</v>
      </c>
      <c r="J5150" t="str">
        <f t="shared" si="322"/>
        <v>Oct</v>
      </c>
      <c r="K5150" t="str">
        <f t="shared" si="323"/>
        <v>Thu</v>
      </c>
    </row>
    <row r="5151" spans="1:11" x14ac:dyDescent="0.35">
      <c r="A5151" s="1">
        <v>43035</v>
      </c>
      <c r="B5151">
        <v>52.9070014953613</v>
      </c>
      <c r="C5151">
        <v>55.278999328613203</v>
      </c>
      <c r="D5151">
        <v>52.527500152587798</v>
      </c>
      <c r="E5151">
        <v>55.047500610351499</v>
      </c>
      <c r="F5151">
        <v>55.047500610351499</v>
      </c>
      <c r="G5151">
        <v>331300000</v>
      </c>
      <c r="H5151">
        <f t="shared" si="320"/>
        <v>2017</v>
      </c>
      <c r="I5151">
        <f t="shared" si="321"/>
        <v>10</v>
      </c>
      <c r="J5151" t="str">
        <f t="shared" si="322"/>
        <v>Oct</v>
      </c>
      <c r="K5151" t="str">
        <f t="shared" si="323"/>
        <v>Fri</v>
      </c>
    </row>
    <row r="5152" spans="1:11" x14ac:dyDescent="0.35">
      <c r="A5152" s="1">
        <v>43038</v>
      </c>
      <c r="B5152">
        <v>54.750499725341797</v>
      </c>
      <c r="C5152">
        <v>56.139499664306598</v>
      </c>
      <c r="D5152">
        <v>54.678001403808501</v>
      </c>
      <c r="E5152">
        <v>55.5424995422363</v>
      </c>
      <c r="F5152">
        <v>55.5424995422363</v>
      </c>
      <c r="G5152">
        <v>132262000</v>
      </c>
      <c r="H5152">
        <f t="shared" si="320"/>
        <v>2017</v>
      </c>
      <c r="I5152">
        <f t="shared" si="321"/>
        <v>10</v>
      </c>
      <c r="J5152" t="str">
        <f t="shared" si="322"/>
        <v>Oct</v>
      </c>
      <c r="K5152" t="str">
        <f t="shared" si="323"/>
        <v>Mon</v>
      </c>
    </row>
    <row r="5153" spans="1:11" x14ac:dyDescent="0.35">
      <c r="A5153" s="1">
        <v>43039</v>
      </c>
      <c r="B5153">
        <v>55.450000762939403</v>
      </c>
      <c r="C5153">
        <v>55.527000427246001</v>
      </c>
      <c r="D5153">
        <v>55.055999755859297</v>
      </c>
      <c r="E5153">
        <v>55.263999938964801</v>
      </c>
      <c r="F5153">
        <v>55.263999938964801</v>
      </c>
      <c r="G5153">
        <v>69540000</v>
      </c>
      <c r="H5153">
        <f t="shared" si="320"/>
        <v>2017</v>
      </c>
      <c r="I5153">
        <f t="shared" si="321"/>
        <v>10</v>
      </c>
      <c r="J5153" t="str">
        <f t="shared" si="322"/>
        <v>Oct</v>
      </c>
      <c r="K5153" t="str">
        <f t="shared" si="323"/>
        <v>Tue</v>
      </c>
    </row>
    <row r="5154" spans="1:11" x14ac:dyDescent="0.35">
      <c r="A5154" s="1">
        <v>43040</v>
      </c>
      <c r="B5154">
        <v>55.270000457763601</v>
      </c>
      <c r="C5154">
        <v>55.448501586913999</v>
      </c>
      <c r="D5154">
        <v>54.837001800537102</v>
      </c>
      <c r="E5154">
        <v>55.183998107910099</v>
      </c>
      <c r="F5154">
        <v>55.183998107910099</v>
      </c>
      <c r="G5154">
        <v>75110000</v>
      </c>
      <c r="H5154">
        <f t="shared" si="320"/>
        <v>2017</v>
      </c>
      <c r="I5154">
        <f t="shared" si="321"/>
        <v>11</v>
      </c>
      <c r="J5154" t="str">
        <f t="shared" si="322"/>
        <v>Nov</v>
      </c>
      <c r="K5154" t="str">
        <f t="shared" si="323"/>
        <v>Wed</v>
      </c>
    </row>
    <row r="5155" spans="1:11" x14ac:dyDescent="0.35">
      <c r="A5155" s="1">
        <v>43041</v>
      </c>
      <c r="B5155">
        <v>54.890499114990199</v>
      </c>
      <c r="C5155">
        <v>55.097000122070298</v>
      </c>
      <c r="D5155">
        <v>54.343498229980398</v>
      </c>
      <c r="E5155">
        <v>54.7109985351562</v>
      </c>
      <c r="F5155">
        <v>54.7109985351562</v>
      </c>
      <c r="G5155">
        <v>73698000</v>
      </c>
      <c r="H5155">
        <f t="shared" si="320"/>
        <v>2017</v>
      </c>
      <c r="I5155">
        <f t="shared" si="321"/>
        <v>11</v>
      </c>
      <c r="J5155" t="str">
        <f t="shared" si="322"/>
        <v>Nov</v>
      </c>
      <c r="K5155" t="str">
        <f t="shared" si="323"/>
        <v>Thu</v>
      </c>
    </row>
    <row r="5156" spans="1:11" x14ac:dyDescent="0.35">
      <c r="A5156" s="1">
        <v>43042</v>
      </c>
      <c r="B5156">
        <v>54.557498931884702</v>
      </c>
      <c r="C5156">
        <v>55.633998870849602</v>
      </c>
      <c r="D5156">
        <v>54.425998687744098</v>
      </c>
      <c r="E5156">
        <v>55.580001831054602</v>
      </c>
      <c r="F5156">
        <v>55.580001831054602</v>
      </c>
      <c r="G5156">
        <v>75030000</v>
      </c>
      <c r="H5156">
        <f t="shared" si="320"/>
        <v>2017</v>
      </c>
      <c r="I5156">
        <f t="shared" si="321"/>
        <v>11</v>
      </c>
      <c r="J5156" t="str">
        <f t="shared" si="322"/>
        <v>Nov</v>
      </c>
      <c r="K5156" t="str">
        <f t="shared" si="323"/>
        <v>Fri</v>
      </c>
    </row>
    <row r="5157" spans="1:11" x14ac:dyDescent="0.35">
      <c r="A5157" s="1">
        <v>43045</v>
      </c>
      <c r="B5157">
        <v>55.457500457763601</v>
      </c>
      <c r="C5157">
        <v>56.270500183105398</v>
      </c>
      <c r="D5157">
        <v>55.438499450683501</v>
      </c>
      <c r="E5157">
        <v>56.033000946044901</v>
      </c>
      <c r="F5157">
        <v>56.033000946044901</v>
      </c>
      <c r="G5157">
        <v>67622000</v>
      </c>
      <c r="H5157">
        <f t="shared" si="320"/>
        <v>2017</v>
      </c>
      <c r="I5157">
        <f t="shared" si="321"/>
        <v>11</v>
      </c>
      <c r="J5157" t="str">
        <f t="shared" si="322"/>
        <v>Nov</v>
      </c>
      <c r="K5157" t="str">
        <f t="shared" si="323"/>
        <v>Mon</v>
      </c>
    </row>
    <row r="5158" spans="1:11" x14ac:dyDescent="0.35">
      <c r="A5158" s="1">
        <v>43046</v>
      </c>
      <c r="B5158">
        <v>56.2369995117187</v>
      </c>
      <c r="C5158">
        <v>56.529998779296797</v>
      </c>
      <c r="D5158">
        <v>55.875</v>
      </c>
      <c r="E5158">
        <v>56.158500671386697</v>
      </c>
      <c r="F5158">
        <v>56.158500671386697</v>
      </c>
      <c r="G5158">
        <v>53780000</v>
      </c>
      <c r="H5158">
        <f t="shared" si="320"/>
        <v>2017</v>
      </c>
      <c r="I5158">
        <f t="shared" si="321"/>
        <v>11</v>
      </c>
      <c r="J5158" t="str">
        <f t="shared" si="322"/>
        <v>Nov</v>
      </c>
      <c r="K5158" t="str">
        <f t="shared" si="323"/>
        <v>Tue</v>
      </c>
    </row>
    <row r="5159" spans="1:11" x14ac:dyDescent="0.35">
      <c r="A5159" s="1">
        <v>43047</v>
      </c>
      <c r="B5159">
        <v>56.140998840332003</v>
      </c>
      <c r="C5159">
        <v>56.777000427246001</v>
      </c>
      <c r="D5159">
        <v>55.955501556396399</v>
      </c>
      <c r="E5159">
        <v>56.64400100708</v>
      </c>
      <c r="F5159">
        <v>56.64400100708</v>
      </c>
      <c r="G5159">
        <v>51630000</v>
      </c>
      <c r="H5159">
        <f t="shared" si="320"/>
        <v>2017</v>
      </c>
      <c r="I5159">
        <f t="shared" si="321"/>
        <v>11</v>
      </c>
      <c r="J5159" t="str">
        <f t="shared" si="322"/>
        <v>Nov</v>
      </c>
      <c r="K5159" t="str">
        <f t="shared" si="323"/>
        <v>Wed</v>
      </c>
    </row>
    <row r="5160" spans="1:11" x14ac:dyDescent="0.35">
      <c r="A5160" s="1">
        <v>43048</v>
      </c>
      <c r="B5160">
        <v>56.298000335693303</v>
      </c>
      <c r="C5160">
        <v>56.480998992919901</v>
      </c>
      <c r="D5160">
        <v>55.788501739501903</v>
      </c>
      <c r="E5160">
        <v>56.45650100708</v>
      </c>
      <c r="F5160">
        <v>56.45650100708</v>
      </c>
      <c r="G5160">
        <v>74654000</v>
      </c>
      <c r="H5160">
        <f t="shared" si="320"/>
        <v>2017</v>
      </c>
      <c r="I5160">
        <f t="shared" si="321"/>
        <v>11</v>
      </c>
      <c r="J5160" t="str">
        <f t="shared" si="322"/>
        <v>Nov</v>
      </c>
      <c r="K5160" t="str">
        <f t="shared" si="323"/>
        <v>Thu</v>
      </c>
    </row>
    <row r="5161" spans="1:11" x14ac:dyDescent="0.35">
      <c r="A5161" s="1">
        <v>43049</v>
      </c>
      <c r="B5161">
        <v>56.305000305175703</v>
      </c>
      <c r="C5161">
        <v>56.587501525878899</v>
      </c>
      <c r="D5161">
        <v>56.202999114990199</v>
      </c>
      <c r="E5161">
        <v>56.267501831054602</v>
      </c>
      <c r="F5161">
        <v>56.267501831054602</v>
      </c>
      <c r="G5161">
        <v>43598000</v>
      </c>
      <c r="H5161">
        <f t="shared" si="320"/>
        <v>2017</v>
      </c>
      <c r="I5161">
        <f t="shared" si="321"/>
        <v>11</v>
      </c>
      <c r="J5161" t="str">
        <f t="shared" si="322"/>
        <v>Nov</v>
      </c>
      <c r="K5161" t="str">
        <f t="shared" si="323"/>
        <v>Fri</v>
      </c>
    </row>
    <row r="5162" spans="1:11" x14ac:dyDescent="0.35">
      <c r="A5162" s="1">
        <v>43052</v>
      </c>
      <c r="B5162">
        <v>56.150001525878899</v>
      </c>
      <c r="C5162">
        <v>56.994998931884702</v>
      </c>
      <c r="D5162">
        <v>56.117000579833899</v>
      </c>
      <c r="E5162">
        <v>56.458499908447202</v>
      </c>
      <c r="F5162">
        <v>56.458499908447202</v>
      </c>
      <c r="G5162">
        <v>58368000</v>
      </c>
      <c r="H5162">
        <f t="shared" si="320"/>
        <v>2017</v>
      </c>
      <c r="I5162">
        <f t="shared" si="321"/>
        <v>11</v>
      </c>
      <c r="J5162" t="str">
        <f t="shared" si="322"/>
        <v>Nov</v>
      </c>
      <c r="K5162" t="str">
        <f t="shared" si="323"/>
        <v>Mon</v>
      </c>
    </row>
    <row r="5163" spans="1:11" x14ac:dyDescent="0.35">
      <c r="A5163" s="1">
        <v>43053</v>
      </c>
      <c r="B5163">
        <v>56.505500793457003</v>
      </c>
      <c r="C5163">
        <v>56.900001525878899</v>
      </c>
      <c r="D5163">
        <v>56.194499969482401</v>
      </c>
      <c r="E5163">
        <v>56.841999053955</v>
      </c>
      <c r="F5163">
        <v>56.841999053955</v>
      </c>
      <c r="G5163">
        <v>62768000</v>
      </c>
      <c r="H5163">
        <f t="shared" si="320"/>
        <v>2017</v>
      </c>
      <c r="I5163">
        <f t="shared" si="321"/>
        <v>11</v>
      </c>
      <c r="J5163" t="str">
        <f t="shared" si="322"/>
        <v>Nov</v>
      </c>
      <c r="K5163" t="str">
        <f t="shared" si="323"/>
        <v>Tue</v>
      </c>
    </row>
    <row r="5164" spans="1:11" x14ac:dyDescent="0.35">
      <c r="A5164" s="1">
        <v>43054</v>
      </c>
      <c r="B5164">
        <v>56.350498199462798</v>
      </c>
      <c r="C5164">
        <v>56.587501525878899</v>
      </c>
      <c r="D5164">
        <v>56.08150100708</v>
      </c>
      <c r="E5164">
        <v>56.334499359130803</v>
      </c>
      <c r="F5164">
        <v>56.334499359130803</v>
      </c>
      <c r="G5164">
        <v>78574000</v>
      </c>
      <c r="H5164">
        <f t="shared" si="320"/>
        <v>2017</v>
      </c>
      <c r="I5164">
        <f t="shared" si="321"/>
        <v>11</v>
      </c>
      <c r="J5164" t="str">
        <f t="shared" si="322"/>
        <v>Nov</v>
      </c>
      <c r="K5164" t="str">
        <f t="shared" si="323"/>
        <v>Wed</v>
      </c>
    </row>
    <row r="5165" spans="1:11" x14ac:dyDescent="0.35">
      <c r="A5165" s="1">
        <v>43055</v>
      </c>
      <c r="B5165">
        <v>56.507999420166001</v>
      </c>
      <c r="C5165">
        <v>56.908000946044901</v>
      </c>
      <c r="D5165">
        <v>56.502498626708899</v>
      </c>
      <c r="E5165">
        <v>56.864498138427699</v>
      </c>
      <c r="F5165">
        <v>56.864498138427699</v>
      </c>
      <c r="G5165">
        <v>44266000</v>
      </c>
      <c r="H5165">
        <f t="shared" si="320"/>
        <v>2017</v>
      </c>
      <c r="I5165">
        <f t="shared" si="321"/>
        <v>11</v>
      </c>
      <c r="J5165" t="str">
        <f t="shared" si="322"/>
        <v>Nov</v>
      </c>
      <c r="K5165" t="str">
        <f t="shared" si="323"/>
        <v>Thu</v>
      </c>
    </row>
    <row r="5166" spans="1:11" x14ac:dyDescent="0.35">
      <c r="A5166" s="1">
        <v>43056</v>
      </c>
      <c r="B5166">
        <v>56.9140014648437</v>
      </c>
      <c r="C5166">
        <v>56.939998626708899</v>
      </c>
      <c r="D5166">
        <v>56.290500640869098</v>
      </c>
      <c r="E5166">
        <v>56.493999481201101</v>
      </c>
      <c r="F5166">
        <v>56.493999481201101</v>
      </c>
      <c r="G5166">
        <v>48268000</v>
      </c>
      <c r="H5166">
        <f t="shared" si="320"/>
        <v>2017</v>
      </c>
      <c r="I5166">
        <f t="shared" si="321"/>
        <v>11</v>
      </c>
      <c r="J5166" t="str">
        <f t="shared" si="322"/>
        <v>Nov</v>
      </c>
      <c r="K5166" t="str">
        <f t="shared" si="323"/>
        <v>Fri</v>
      </c>
    </row>
    <row r="5167" spans="1:11" x14ac:dyDescent="0.35">
      <c r="A5167" s="1">
        <v>43059</v>
      </c>
      <c r="B5167">
        <v>56.488498687744098</v>
      </c>
      <c r="C5167">
        <v>56.671001434326101</v>
      </c>
      <c r="D5167">
        <v>56.127498626708899</v>
      </c>
      <c r="E5167">
        <v>56.315498352050703</v>
      </c>
      <c r="F5167">
        <v>56.315498352050703</v>
      </c>
      <c r="G5167">
        <v>43278000</v>
      </c>
      <c r="H5167">
        <f t="shared" si="320"/>
        <v>2017</v>
      </c>
      <c r="I5167">
        <f t="shared" si="321"/>
        <v>11</v>
      </c>
      <c r="J5167" t="str">
        <f t="shared" si="322"/>
        <v>Nov</v>
      </c>
      <c r="K5167" t="str">
        <f t="shared" si="323"/>
        <v>Mon</v>
      </c>
    </row>
    <row r="5168" spans="1:11" x14ac:dyDescent="0.35">
      <c r="A5168" s="1">
        <v>43060</v>
      </c>
      <c r="B5168">
        <v>56.643001556396399</v>
      </c>
      <c r="C5168">
        <v>57</v>
      </c>
      <c r="D5168">
        <v>56.409999847412102</v>
      </c>
      <c r="E5168">
        <v>56.974498748779297</v>
      </c>
      <c r="F5168">
        <v>56.974498748779297</v>
      </c>
      <c r="G5168">
        <v>49588000</v>
      </c>
      <c r="H5168">
        <f t="shared" si="320"/>
        <v>2017</v>
      </c>
      <c r="I5168">
        <f t="shared" si="321"/>
        <v>11</v>
      </c>
      <c r="J5168" t="str">
        <f t="shared" si="322"/>
        <v>Nov</v>
      </c>
      <c r="K5168" t="str">
        <f t="shared" si="323"/>
        <v>Tue</v>
      </c>
    </row>
    <row r="5169" spans="1:11" x14ac:dyDescent="0.35">
      <c r="A5169" s="1">
        <v>43061</v>
      </c>
      <c r="B5169">
        <v>57.049999237060497</v>
      </c>
      <c r="C5169">
        <v>58.013500213622997</v>
      </c>
      <c r="D5169">
        <v>57.049999237060497</v>
      </c>
      <c r="E5169">
        <v>57.807998657226499</v>
      </c>
      <c r="F5169">
        <v>57.807998657226499</v>
      </c>
      <c r="G5169">
        <v>71106000</v>
      </c>
      <c r="H5169">
        <f t="shared" si="320"/>
        <v>2017</v>
      </c>
      <c r="I5169">
        <f t="shared" si="321"/>
        <v>11</v>
      </c>
      <c r="J5169" t="str">
        <f t="shared" si="322"/>
        <v>Nov</v>
      </c>
      <c r="K5169" t="str">
        <f t="shared" si="323"/>
        <v>Wed</v>
      </c>
    </row>
    <row r="5170" spans="1:11" x14ac:dyDescent="0.35">
      <c r="A5170" s="1">
        <v>43063</v>
      </c>
      <c r="B5170">
        <v>58.034999847412102</v>
      </c>
      <c r="C5170">
        <v>59.341999053955</v>
      </c>
      <c r="D5170">
        <v>58.034999847412102</v>
      </c>
      <c r="E5170">
        <v>59.299999237060497</v>
      </c>
      <c r="F5170">
        <v>59.299999237060497</v>
      </c>
      <c r="G5170">
        <v>70560000</v>
      </c>
      <c r="H5170">
        <f t="shared" si="320"/>
        <v>2017</v>
      </c>
      <c r="I5170">
        <f t="shared" si="321"/>
        <v>11</v>
      </c>
      <c r="J5170" t="str">
        <f t="shared" si="322"/>
        <v>Nov</v>
      </c>
      <c r="K5170" t="str">
        <f t="shared" si="323"/>
        <v>Fri</v>
      </c>
    </row>
    <row r="5171" spans="1:11" x14ac:dyDescent="0.35">
      <c r="A5171" s="1">
        <v>43066</v>
      </c>
      <c r="B5171">
        <v>60.132999420166001</v>
      </c>
      <c r="C5171">
        <v>60.670501708984297</v>
      </c>
      <c r="D5171">
        <v>59.557498931884702</v>
      </c>
      <c r="E5171">
        <v>59.791500091552699</v>
      </c>
      <c r="F5171">
        <v>59.791500091552699</v>
      </c>
      <c r="G5171">
        <v>134880000</v>
      </c>
      <c r="H5171">
        <f t="shared" si="320"/>
        <v>2017</v>
      </c>
      <c r="I5171">
        <f t="shared" si="321"/>
        <v>11</v>
      </c>
      <c r="J5171" t="str">
        <f t="shared" si="322"/>
        <v>Nov</v>
      </c>
      <c r="K5171" t="str">
        <f t="shared" si="323"/>
        <v>Mon</v>
      </c>
    </row>
    <row r="5172" spans="1:11" x14ac:dyDescent="0.35">
      <c r="A5172" s="1">
        <v>43067</v>
      </c>
      <c r="B5172">
        <v>60.243999481201101</v>
      </c>
      <c r="C5172">
        <v>60.266998291015597</v>
      </c>
      <c r="D5172">
        <v>59.425998687744098</v>
      </c>
      <c r="E5172">
        <v>59.680000305175703</v>
      </c>
      <c r="F5172">
        <v>59.680000305175703</v>
      </c>
      <c r="G5172">
        <v>91188000</v>
      </c>
      <c r="H5172">
        <f t="shared" si="320"/>
        <v>2017</v>
      </c>
      <c r="I5172">
        <f t="shared" si="321"/>
        <v>11</v>
      </c>
      <c r="J5172" t="str">
        <f t="shared" si="322"/>
        <v>Nov</v>
      </c>
      <c r="K5172" t="str">
        <f t="shared" si="323"/>
        <v>Tue</v>
      </c>
    </row>
    <row r="5173" spans="1:11" x14ac:dyDescent="0.35">
      <c r="A5173" s="1">
        <v>43068</v>
      </c>
      <c r="B5173">
        <v>59.740001678466797</v>
      </c>
      <c r="C5173">
        <v>59.740001678466797</v>
      </c>
      <c r="D5173">
        <v>57.259498596191399</v>
      </c>
      <c r="E5173">
        <v>58.063499450683501</v>
      </c>
      <c r="F5173">
        <v>58.063499450683501</v>
      </c>
      <c r="G5173">
        <v>185150000</v>
      </c>
      <c r="H5173">
        <f t="shared" si="320"/>
        <v>2017</v>
      </c>
      <c r="I5173">
        <f t="shared" si="321"/>
        <v>11</v>
      </c>
      <c r="J5173" t="str">
        <f t="shared" si="322"/>
        <v>Nov</v>
      </c>
      <c r="K5173" t="str">
        <f t="shared" si="323"/>
        <v>Wed</v>
      </c>
    </row>
    <row r="5174" spans="1:11" x14ac:dyDescent="0.35">
      <c r="A5174" s="1">
        <v>43069</v>
      </c>
      <c r="B5174">
        <v>58.3549995422363</v>
      </c>
      <c r="C5174">
        <v>58.928501129150298</v>
      </c>
      <c r="D5174">
        <v>58</v>
      </c>
      <c r="E5174">
        <v>58.837501525878899</v>
      </c>
      <c r="F5174">
        <v>58.837501525878899</v>
      </c>
      <c r="G5174">
        <v>90184000</v>
      </c>
      <c r="H5174">
        <f t="shared" si="320"/>
        <v>2017</v>
      </c>
      <c r="I5174">
        <f t="shared" si="321"/>
        <v>11</v>
      </c>
      <c r="J5174" t="str">
        <f t="shared" si="322"/>
        <v>Nov</v>
      </c>
      <c r="K5174" t="str">
        <f t="shared" si="323"/>
        <v>Thu</v>
      </c>
    </row>
    <row r="5175" spans="1:11" x14ac:dyDescent="0.35">
      <c r="A5175" s="1">
        <v>43070</v>
      </c>
      <c r="B5175">
        <v>58.602500915527301</v>
      </c>
      <c r="C5175">
        <v>58.982498168945298</v>
      </c>
      <c r="D5175">
        <v>57.599998474121001</v>
      </c>
      <c r="E5175">
        <v>58.117500305175703</v>
      </c>
      <c r="F5175">
        <v>58.117500305175703</v>
      </c>
      <c r="G5175">
        <v>82142000</v>
      </c>
      <c r="H5175">
        <f t="shared" si="320"/>
        <v>2017</v>
      </c>
      <c r="I5175">
        <f t="shared" si="321"/>
        <v>12</v>
      </c>
      <c r="J5175" t="str">
        <f t="shared" si="322"/>
        <v>Dec</v>
      </c>
      <c r="K5175" t="str">
        <f t="shared" si="323"/>
        <v>Fri</v>
      </c>
    </row>
    <row r="5176" spans="1:11" x14ac:dyDescent="0.35">
      <c r="A5176" s="1">
        <v>43073</v>
      </c>
      <c r="B5176">
        <v>58.692501068115199</v>
      </c>
      <c r="C5176">
        <v>58.759998321533203</v>
      </c>
      <c r="D5176">
        <v>56.400001525878899</v>
      </c>
      <c r="E5176">
        <v>56.697498321533203</v>
      </c>
      <c r="F5176">
        <v>56.697498321533203</v>
      </c>
      <c r="G5176">
        <v>118638000</v>
      </c>
      <c r="H5176">
        <f t="shared" si="320"/>
        <v>2017</v>
      </c>
      <c r="I5176">
        <f t="shared" si="321"/>
        <v>12</v>
      </c>
      <c r="J5176" t="str">
        <f t="shared" si="322"/>
        <v>Dec</v>
      </c>
      <c r="K5176" t="str">
        <f t="shared" si="323"/>
        <v>Mon</v>
      </c>
    </row>
    <row r="5177" spans="1:11" x14ac:dyDescent="0.35">
      <c r="A5177" s="1">
        <v>43074</v>
      </c>
      <c r="B5177">
        <v>56.412998199462798</v>
      </c>
      <c r="C5177">
        <v>57.9635009765625</v>
      </c>
      <c r="D5177">
        <v>56.2369995117187</v>
      </c>
      <c r="E5177">
        <v>57.078498840332003</v>
      </c>
      <c r="F5177">
        <v>57.078498840332003</v>
      </c>
      <c r="G5177">
        <v>81596000</v>
      </c>
      <c r="H5177">
        <f t="shared" si="320"/>
        <v>2017</v>
      </c>
      <c r="I5177">
        <f t="shared" si="321"/>
        <v>12</v>
      </c>
      <c r="J5177" t="str">
        <f t="shared" si="322"/>
        <v>Dec</v>
      </c>
      <c r="K5177" t="str">
        <f t="shared" si="323"/>
        <v>Tue</v>
      </c>
    </row>
    <row r="5178" spans="1:11" x14ac:dyDescent="0.35">
      <c r="A5178" s="1">
        <v>43075</v>
      </c>
      <c r="B5178">
        <v>56.899501800537102</v>
      </c>
      <c r="C5178">
        <v>57.794498443603501</v>
      </c>
      <c r="D5178">
        <v>56.804000854492102</v>
      </c>
      <c r="E5178">
        <v>57.617500305175703</v>
      </c>
      <c r="F5178">
        <v>57.617500305175703</v>
      </c>
      <c r="G5178">
        <v>57066000</v>
      </c>
      <c r="H5178">
        <f t="shared" si="320"/>
        <v>2017</v>
      </c>
      <c r="I5178">
        <f t="shared" si="321"/>
        <v>12</v>
      </c>
      <c r="J5178" t="str">
        <f t="shared" si="322"/>
        <v>Dec</v>
      </c>
      <c r="K5178" t="str">
        <f t="shared" si="323"/>
        <v>Wed</v>
      </c>
    </row>
    <row r="5179" spans="1:11" x14ac:dyDescent="0.35">
      <c r="A5179" s="1">
        <v>43076</v>
      </c>
      <c r="B5179">
        <v>57.829498291015597</v>
      </c>
      <c r="C5179">
        <v>58.159500122070298</v>
      </c>
      <c r="D5179">
        <v>57.549999237060497</v>
      </c>
      <c r="E5179">
        <v>57.989498138427699</v>
      </c>
      <c r="F5179">
        <v>57.989498138427699</v>
      </c>
      <c r="G5179">
        <v>50232000</v>
      </c>
      <c r="H5179">
        <f t="shared" si="320"/>
        <v>2017</v>
      </c>
      <c r="I5179">
        <f t="shared" si="321"/>
        <v>12</v>
      </c>
      <c r="J5179" t="str">
        <f t="shared" si="322"/>
        <v>Dec</v>
      </c>
      <c r="K5179" t="str">
        <f t="shared" si="323"/>
        <v>Thu</v>
      </c>
    </row>
    <row r="5180" spans="1:11" x14ac:dyDescent="0.35">
      <c r="A5180" s="1">
        <v>43077</v>
      </c>
      <c r="B5180">
        <v>58.520000457763601</v>
      </c>
      <c r="C5180">
        <v>58.639499664306598</v>
      </c>
      <c r="D5180">
        <v>57.8549995422363</v>
      </c>
      <c r="E5180">
        <v>58.099998474121001</v>
      </c>
      <c r="F5180">
        <v>58.099998474121001</v>
      </c>
      <c r="G5180">
        <v>61002000</v>
      </c>
      <c r="H5180">
        <f t="shared" si="320"/>
        <v>2017</v>
      </c>
      <c r="I5180">
        <f t="shared" si="321"/>
        <v>12</v>
      </c>
      <c r="J5180" t="str">
        <f t="shared" si="322"/>
        <v>Dec</v>
      </c>
      <c r="K5180" t="str">
        <f t="shared" si="323"/>
        <v>Fri</v>
      </c>
    </row>
    <row r="5181" spans="1:11" x14ac:dyDescent="0.35">
      <c r="A5181" s="1">
        <v>43080</v>
      </c>
      <c r="B5181">
        <v>58.2299995422363</v>
      </c>
      <c r="C5181">
        <v>58.494998931884702</v>
      </c>
      <c r="D5181">
        <v>57.849998474121001</v>
      </c>
      <c r="E5181">
        <v>58.445999145507798</v>
      </c>
      <c r="F5181">
        <v>58.445999145507798</v>
      </c>
      <c r="G5181">
        <v>47270000</v>
      </c>
      <c r="H5181">
        <f t="shared" si="320"/>
        <v>2017</v>
      </c>
      <c r="I5181">
        <f t="shared" si="321"/>
        <v>12</v>
      </c>
      <c r="J5181" t="str">
        <f t="shared" si="322"/>
        <v>Dec</v>
      </c>
      <c r="K5181" t="str">
        <f t="shared" si="323"/>
        <v>Mon</v>
      </c>
    </row>
    <row r="5182" spans="1:11" x14ac:dyDescent="0.35">
      <c r="A5182" s="1">
        <v>43081</v>
      </c>
      <c r="B5182">
        <v>58.3255004882812</v>
      </c>
      <c r="C5182">
        <v>58.680000305175703</v>
      </c>
      <c r="D5182">
        <v>58.080501556396399</v>
      </c>
      <c r="E5182">
        <v>58.254001617431598</v>
      </c>
      <c r="F5182">
        <v>58.254001617431598</v>
      </c>
      <c r="G5182">
        <v>44718000</v>
      </c>
      <c r="H5182">
        <f t="shared" si="320"/>
        <v>2017</v>
      </c>
      <c r="I5182">
        <f t="shared" si="321"/>
        <v>12</v>
      </c>
      <c r="J5182" t="str">
        <f t="shared" si="322"/>
        <v>Dec</v>
      </c>
      <c r="K5182" t="str">
        <f t="shared" si="323"/>
        <v>Tue</v>
      </c>
    </row>
    <row r="5183" spans="1:11" x14ac:dyDescent="0.35">
      <c r="A5183" s="1">
        <v>43082</v>
      </c>
      <c r="B5183">
        <v>58.5</v>
      </c>
      <c r="C5183">
        <v>58.543498992919901</v>
      </c>
      <c r="D5183">
        <v>58.013500213622997</v>
      </c>
      <c r="E5183">
        <v>58.20650100708</v>
      </c>
      <c r="F5183">
        <v>58.20650100708</v>
      </c>
      <c r="G5183">
        <v>52336000</v>
      </c>
      <c r="H5183">
        <f t="shared" si="320"/>
        <v>2017</v>
      </c>
      <c r="I5183">
        <f t="shared" si="321"/>
        <v>12</v>
      </c>
      <c r="J5183" t="str">
        <f t="shared" si="322"/>
        <v>Dec</v>
      </c>
      <c r="K5183" t="str">
        <f t="shared" si="323"/>
        <v>Wed</v>
      </c>
    </row>
    <row r="5184" spans="1:11" x14ac:dyDescent="0.35">
      <c r="A5184" s="1">
        <v>43083</v>
      </c>
      <c r="B5184">
        <v>58.185501098632798</v>
      </c>
      <c r="C5184">
        <v>58.896499633788999</v>
      </c>
      <c r="D5184">
        <v>58.122501373291001</v>
      </c>
      <c r="E5184">
        <v>58.713001251220703</v>
      </c>
      <c r="F5184">
        <v>58.713001251220703</v>
      </c>
      <c r="G5184">
        <v>64286000</v>
      </c>
      <c r="H5184">
        <f t="shared" si="320"/>
        <v>2017</v>
      </c>
      <c r="I5184">
        <f t="shared" si="321"/>
        <v>12</v>
      </c>
      <c r="J5184" t="str">
        <f t="shared" si="322"/>
        <v>Dec</v>
      </c>
      <c r="K5184" t="str">
        <f t="shared" si="323"/>
        <v>Thu</v>
      </c>
    </row>
    <row r="5185" spans="1:11" x14ac:dyDescent="0.35">
      <c r="A5185" s="1">
        <v>43084</v>
      </c>
      <c r="B5185">
        <v>58.951499938964801</v>
      </c>
      <c r="C5185">
        <v>59.137500762939403</v>
      </c>
      <c r="D5185">
        <v>58.466499328613203</v>
      </c>
      <c r="E5185">
        <v>58.957000732421797</v>
      </c>
      <c r="F5185">
        <v>58.957000732421797</v>
      </c>
      <c r="G5185">
        <v>95572000</v>
      </c>
      <c r="H5185">
        <f t="shared" si="320"/>
        <v>2017</v>
      </c>
      <c r="I5185">
        <f t="shared" si="321"/>
        <v>12</v>
      </c>
      <c r="J5185" t="str">
        <f t="shared" si="322"/>
        <v>Dec</v>
      </c>
      <c r="K5185" t="str">
        <f t="shared" si="323"/>
        <v>Fri</v>
      </c>
    </row>
    <row r="5186" spans="1:11" x14ac:dyDescent="0.35">
      <c r="A5186" s="1">
        <v>43087</v>
      </c>
      <c r="B5186">
        <v>59.368499755859297</v>
      </c>
      <c r="C5186">
        <v>59.738998413085902</v>
      </c>
      <c r="D5186">
        <v>59.045501708984297</v>
      </c>
      <c r="E5186">
        <v>59.528999328613203</v>
      </c>
      <c r="F5186">
        <v>59.528999328613203</v>
      </c>
      <c r="G5186">
        <v>58952000</v>
      </c>
      <c r="H5186">
        <f t="shared" si="320"/>
        <v>2017</v>
      </c>
      <c r="I5186">
        <f t="shared" si="321"/>
        <v>12</v>
      </c>
      <c r="J5186" t="str">
        <f t="shared" si="322"/>
        <v>Dec</v>
      </c>
      <c r="K5186" t="str">
        <f t="shared" si="323"/>
        <v>Mon</v>
      </c>
    </row>
    <row r="5187" spans="1:11" x14ac:dyDescent="0.35">
      <c r="A5187" s="1">
        <v>43088</v>
      </c>
      <c r="B5187">
        <v>59.457500457763601</v>
      </c>
      <c r="C5187">
        <v>59.6484985351562</v>
      </c>
      <c r="D5187">
        <v>58.957000732421797</v>
      </c>
      <c r="E5187">
        <v>59.368999481201101</v>
      </c>
      <c r="F5187">
        <v>59.368999481201101</v>
      </c>
      <c r="G5187">
        <v>51756000</v>
      </c>
      <c r="H5187">
        <f t="shared" si="320"/>
        <v>2017</v>
      </c>
      <c r="I5187">
        <f t="shared" si="321"/>
        <v>12</v>
      </c>
      <c r="J5187" t="str">
        <f t="shared" si="322"/>
        <v>Dec</v>
      </c>
      <c r="K5187" t="str">
        <f t="shared" si="323"/>
        <v>Tue</v>
      </c>
    </row>
    <row r="5188" spans="1:11" x14ac:dyDescent="0.35">
      <c r="A5188" s="1">
        <v>43089</v>
      </c>
      <c r="B5188">
        <v>59.525001525878899</v>
      </c>
      <c r="C5188">
        <v>59.549999237060497</v>
      </c>
      <c r="D5188">
        <v>58.799999237060497</v>
      </c>
      <c r="E5188">
        <v>58.8810005187988</v>
      </c>
      <c r="F5188">
        <v>58.8810005187988</v>
      </c>
      <c r="G5188">
        <v>47424000</v>
      </c>
      <c r="H5188">
        <f t="shared" ref="H5188:H5251" si="324">YEAR($A5188)</f>
        <v>2017</v>
      </c>
      <c r="I5188">
        <f t="shared" ref="I5188:I5251" si="325">MONTH($A5188)</f>
        <v>12</v>
      </c>
      <c r="J5188" t="str">
        <f t="shared" ref="J5188:J5251" si="326">TEXT($A5188,"mmm")</f>
        <v>Dec</v>
      </c>
      <c r="K5188" t="str">
        <f t="shared" ref="K5188:K5251" si="327">TEXT($A5188,"ddd")</f>
        <v>Wed</v>
      </c>
    </row>
    <row r="5189" spans="1:11" x14ac:dyDescent="0.35">
      <c r="A5189" s="1">
        <v>43090</v>
      </c>
      <c r="B5189">
        <v>58.794998168945298</v>
      </c>
      <c r="C5189">
        <v>58.958499908447202</v>
      </c>
      <c r="D5189">
        <v>58.381999969482401</v>
      </c>
      <c r="E5189">
        <v>58.737998962402301</v>
      </c>
      <c r="F5189">
        <v>58.737998962402301</v>
      </c>
      <c r="G5189">
        <v>42462000</v>
      </c>
      <c r="H5189">
        <f t="shared" si="324"/>
        <v>2017</v>
      </c>
      <c r="I5189">
        <f t="shared" si="325"/>
        <v>12</v>
      </c>
      <c r="J5189" t="str">
        <f t="shared" si="326"/>
        <v>Dec</v>
      </c>
      <c r="K5189" t="str">
        <f t="shared" si="327"/>
        <v>Thu</v>
      </c>
    </row>
    <row r="5190" spans="1:11" x14ac:dyDescent="0.35">
      <c r="A5190" s="1">
        <v>43091</v>
      </c>
      <c r="B5190">
        <v>58.604000091552699</v>
      </c>
      <c r="C5190">
        <v>58.730998992919901</v>
      </c>
      <c r="D5190">
        <v>58.3914985656738</v>
      </c>
      <c r="E5190">
        <v>58.417999267578097</v>
      </c>
      <c r="F5190">
        <v>58.417999267578097</v>
      </c>
      <c r="G5190">
        <v>31702000</v>
      </c>
      <c r="H5190">
        <f t="shared" si="324"/>
        <v>2017</v>
      </c>
      <c r="I5190">
        <f t="shared" si="325"/>
        <v>12</v>
      </c>
      <c r="J5190" t="str">
        <f t="shared" si="326"/>
        <v>Dec</v>
      </c>
      <c r="K5190" t="str">
        <f t="shared" si="327"/>
        <v>Fri</v>
      </c>
    </row>
    <row r="5191" spans="1:11" x14ac:dyDescent="0.35">
      <c r="A5191" s="1">
        <v>43095</v>
      </c>
      <c r="B5191">
        <v>58.417999267578097</v>
      </c>
      <c r="C5191">
        <v>58.916000366210902</v>
      </c>
      <c r="D5191">
        <v>58.027500152587798</v>
      </c>
      <c r="E5191">
        <v>58.838001251220703</v>
      </c>
      <c r="F5191">
        <v>58.838001251220703</v>
      </c>
      <c r="G5191">
        <v>40104000</v>
      </c>
      <c r="H5191">
        <f t="shared" si="324"/>
        <v>2017</v>
      </c>
      <c r="I5191">
        <f t="shared" si="325"/>
        <v>12</v>
      </c>
      <c r="J5191" t="str">
        <f t="shared" si="326"/>
        <v>Dec</v>
      </c>
      <c r="K5191" t="str">
        <f t="shared" si="327"/>
        <v>Tue</v>
      </c>
    </row>
    <row r="5192" spans="1:11" x14ac:dyDescent="0.35">
      <c r="A5192" s="1">
        <v>43096</v>
      </c>
      <c r="B5192">
        <v>58.995498657226499</v>
      </c>
      <c r="C5192">
        <v>59.364498138427699</v>
      </c>
      <c r="D5192">
        <v>58.780498504638601</v>
      </c>
      <c r="E5192">
        <v>59.112998962402301</v>
      </c>
      <c r="F5192">
        <v>59.112998962402301</v>
      </c>
      <c r="G5192">
        <v>37344000</v>
      </c>
      <c r="H5192">
        <f t="shared" si="324"/>
        <v>2017</v>
      </c>
      <c r="I5192">
        <f t="shared" si="325"/>
        <v>12</v>
      </c>
      <c r="J5192" t="str">
        <f t="shared" si="326"/>
        <v>Dec</v>
      </c>
      <c r="K5192" t="str">
        <f t="shared" si="327"/>
        <v>Wed</v>
      </c>
    </row>
    <row r="5193" spans="1:11" x14ac:dyDescent="0.35">
      <c r="A5193" s="1">
        <v>43097</v>
      </c>
      <c r="B5193">
        <v>59.450000762939403</v>
      </c>
      <c r="C5193">
        <v>59.505001068115199</v>
      </c>
      <c r="D5193">
        <v>59.219001770019503</v>
      </c>
      <c r="E5193">
        <v>59.305000305175703</v>
      </c>
      <c r="F5193">
        <v>59.305000305175703</v>
      </c>
      <c r="G5193">
        <v>36834000</v>
      </c>
      <c r="H5193">
        <f t="shared" si="324"/>
        <v>2017</v>
      </c>
      <c r="I5193">
        <f t="shared" si="325"/>
        <v>12</v>
      </c>
      <c r="J5193" t="str">
        <f t="shared" si="326"/>
        <v>Dec</v>
      </c>
      <c r="K5193" t="str">
        <f t="shared" si="327"/>
        <v>Thu</v>
      </c>
    </row>
    <row r="5194" spans="1:11" x14ac:dyDescent="0.35">
      <c r="A5194" s="1">
        <v>43098</v>
      </c>
      <c r="B5194">
        <v>59.117500305175703</v>
      </c>
      <c r="C5194">
        <v>59.200000762939403</v>
      </c>
      <c r="D5194">
        <v>58.375</v>
      </c>
      <c r="E5194">
        <v>58.473499298095703</v>
      </c>
      <c r="F5194">
        <v>58.473499298095703</v>
      </c>
      <c r="G5194">
        <v>53768000</v>
      </c>
      <c r="H5194">
        <f t="shared" si="324"/>
        <v>2017</v>
      </c>
      <c r="I5194">
        <f t="shared" si="325"/>
        <v>12</v>
      </c>
      <c r="J5194" t="str">
        <f t="shared" si="326"/>
        <v>Dec</v>
      </c>
      <c r="K5194" t="str">
        <f t="shared" si="327"/>
        <v>Fri</v>
      </c>
    </row>
    <row r="5195" spans="1:11" x14ac:dyDescent="0.35">
      <c r="A5195" s="1">
        <v>43102</v>
      </c>
      <c r="B5195">
        <v>58.599998474121001</v>
      </c>
      <c r="C5195">
        <v>59.5</v>
      </c>
      <c r="D5195">
        <v>58.525501251220703</v>
      </c>
      <c r="E5195">
        <v>59.4505004882812</v>
      </c>
      <c r="F5195">
        <v>59.4505004882812</v>
      </c>
      <c r="G5195">
        <v>53890000</v>
      </c>
      <c r="H5195">
        <f t="shared" si="324"/>
        <v>2018</v>
      </c>
      <c r="I5195">
        <f t="shared" si="325"/>
        <v>1</v>
      </c>
      <c r="J5195" t="str">
        <f t="shared" si="326"/>
        <v>Jan</v>
      </c>
      <c r="K5195" t="str">
        <f t="shared" si="327"/>
        <v>Tue</v>
      </c>
    </row>
    <row r="5196" spans="1:11" x14ac:dyDescent="0.35">
      <c r="A5196" s="1">
        <v>43103</v>
      </c>
      <c r="B5196">
        <v>59.415000915527301</v>
      </c>
      <c r="C5196">
        <v>60.274501800537102</v>
      </c>
      <c r="D5196">
        <v>59.415000915527301</v>
      </c>
      <c r="E5196">
        <v>60.209999084472599</v>
      </c>
      <c r="F5196">
        <v>60.209999084472599</v>
      </c>
      <c r="G5196">
        <v>62176000</v>
      </c>
      <c r="H5196">
        <f t="shared" si="324"/>
        <v>2018</v>
      </c>
      <c r="I5196">
        <f t="shared" si="325"/>
        <v>1</v>
      </c>
      <c r="J5196" t="str">
        <f t="shared" si="326"/>
        <v>Jan</v>
      </c>
      <c r="K5196" t="str">
        <f t="shared" si="327"/>
        <v>Wed</v>
      </c>
    </row>
    <row r="5197" spans="1:11" x14ac:dyDescent="0.35">
      <c r="A5197" s="1">
        <v>43104</v>
      </c>
      <c r="B5197">
        <v>60.25</v>
      </c>
      <c r="C5197">
        <v>60.793498992919901</v>
      </c>
      <c r="D5197">
        <v>60.233001708984297</v>
      </c>
      <c r="E5197">
        <v>60.479499816894503</v>
      </c>
      <c r="F5197">
        <v>60.479499816894503</v>
      </c>
      <c r="G5197">
        <v>60442000</v>
      </c>
      <c r="H5197">
        <f t="shared" si="324"/>
        <v>2018</v>
      </c>
      <c r="I5197">
        <f t="shared" si="325"/>
        <v>1</v>
      </c>
      <c r="J5197" t="str">
        <f t="shared" si="326"/>
        <v>Jan</v>
      </c>
      <c r="K5197" t="str">
        <f t="shared" si="327"/>
        <v>Thu</v>
      </c>
    </row>
    <row r="5198" spans="1:11" x14ac:dyDescent="0.35">
      <c r="A5198" s="1">
        <v>43105</v>
      </c>
      <c r="B5198">
        <v>60.875499725341797</v>
      </c>
      <c r="C5198">
        <v>61.457000732421797</v>
      </c>
      <c r="D5198">
        <v>60.5</v>
      </c>
      <c r="E5198">
        <v>61.457000732421797</v>
      </c>
      <c r="F5198">
        <v>61.457000732421797</v>
      </c>
      <c r="G5198">
        <v>70894000</v>
      </c>
      <c r="H5198">
        <f t="shared" si="324"/>
        <v>2018</v>
      </c>
      <c r="I5198">
        <f t="shared" si="325"/>
        <v>1</v>
      </c>
      <c r="J5198" t="str">
        <f t="shared" si="326"/>
        <v>Jan</v>
      </c>
      <c r="K5198" t="str">
        <f t="shared" si="327"/>
        <v>Fri</v>
      </c>
    </row>
    <row r="5199" spans="1:11" x14ac:dyDescent="0.35">
      <c r="A5199" s="1">
        <v>43108</v>
      </c>
      <c r="B5199">
        <v>61.799999237060497</v>
      </c>
      <c r="C5199">
        <v>62.653999328613203</v>
      </c>
      <c r="D5199">
        <v>61.6015014648437</v>
      </c>
      <c r="E5199">
        <v>62.343498229980398</v>
      </c>
      <c r="F5199">
        <v>62.343498229980398</v>
      </c>
      <c r="G5199">
        <v>85590000</v>
      </c>
      <c r="H5199">
        <f t="shared" si="324"/>
        <v>2018</v>
      </c>
      <c r="I5199">
        <f t="shared" si="325"/>
        <v>1</v>
      </c>
      <c r="J5199" t="str">
        <f t="shared" si="326"/>
        <v>Jan</v>
      </c>
      <c r="K5199" t="str">
        <f t="shared" si="327"/>
        <v>Mon</v>
      </c>
    </row>
    <row r="5200" spans="1:11" x14ac:dyDescent="0.35">
      <c r="A5200" s="1">
        <v>43109</v>
      </c>
      <c r="B5200">
        <v>62.845001220703097</v>
      </c>
      <c r="C5200">
        <v>62.966499328613203</v>
      </c>
      <c r="D5200">
        <v>62.088001251220703</v>
      </c>
      <c r="E5200">
        <v>62.634998321533203</v>
      </c>
      <c r="F5200">
        <v>62.634998321533203</v>
      </c>
      <c r="G5200">
        <v>73226000</v>
      </c>
      <c r="H5200">
        <f t="shared" si="324"/>
        <v>2018</v>
      </c>
      <c r="I5200">
        <f t="shared" si="325"/>
        <v>1</v>
      </c>
      <c r="J5200" t="str">
        <f t="shared" si="326"/>
        <v>Jan</v>
      </c>
      <c r="K5200" t="str">
        <f t="shared" si="327"/>
        <v>Tue</v>
      </c>
    </row>
    <row r="5201" spans="1:11" x14ac:dyDescent="0.35">
      <c r="A5201" s="1">
        <v>43110</v>
      </c>
      <c r="B5201">
        <v>62.257499694824197</v>
      </c>
      <c r="C5201">
        <v>62.716499328613203</v>
      </c>
      <c r="D5201">
        <v>61.861499786376903</v>
      </c>
      <c r="E5201">
        <v>62.716499328613203</v>
      </c>
      <c r="F5201">
        <v>62.716499328613203</v>
      </c>
      <c r="G5201">
        <v>53720000</v>
      </c>
      <c r="H5201">
        <f t="shared" si="324"/>
        <v>2018</v>
      </c>
      <c r="I5201">
        <f t="shared" si="325"/>
        <v>1</v>
      </c>
      <c r="J5201" t="str">
        <f t="shared" si="326"/>
        <v>Jan</v>
      </c>
      <c r="K5201" t="str">
        <f t="shared" si="327"/>
        <v>Wed</v>
      </c>
    </row>
    <row r="5202" spans="1:11" x14ac:dyDescent="0.35">
      <c r="A5202" s="1">
        <v>43111</v>
      </c>
      <c r="B5202">
        <v>62.9869995117187</v>
      </c>
      <c r="C5202">
        <v>63.8385009765625</v>
      </c>
      <c r="D5202">
        <v>62.823001861572202</v>
      </c>
      <c r="E5202">
        <v>63.833999633788999</v>
      </c>
      <c r="F5202">
        <v>63.833999633788999</v>
      </c>
      <c r="G5202">
        <v>62500000</v>
      </c>
      <c r="H5202">
        <f t="shared" si="324"/>
        <v>2018</v>
      </c>
      <c r="I5202">
        <f t="shared" si="325"/>
        <v>1</v>
      </c>
      <c r="J5202" t="str">
        <f t="shared" si="326"/>
        <v>Jan</v>
      </c>
      <c r="K5202" t="str">
        <f t="shared" si="327"/>
        <v>Thu</v>
      </c>
    </row>
    <row r="5203" spans="1:11" x14ac:dyDescent="0.35">
      <c r="A5203" s="1">
        <v>43112</v>
      </c>
      <c r="B5203">
        <v>63.669498443603501</v>
      </c>
      <c r="C5203">
        <v>65.288002014160099</v>
      </c>
      <c r="D5203">
        <v>63.669498443603501</v>
      </c>
      <c r="E5203">
        <v>65.260002136230398</v>
      </c>
      <c r="F5203">
        <v>65.260002136230398</v>
      </c>
      <c r="G5203">
        <v>108874000</v>
      </c>
      <c r="H5203">
        <f t="shared" si="324"/>
        <v>2018</v>
      </c>
      <c r="I5203">
        <f t="shared" si="325"/>
        <v>1</v>
      </c>
      <c r="J5203" t="str">
        <f t="shared" si="326"/>
        <v>Jan</v>
      </c>
      <c r="K5203" t="str">
        <f t="shared" si="327"/>
        <v>Fri</v>
      </c>
    </row>
    <row r="5204" spans="1:11" x14ac:dyDescent="0.35">
      <c r="A5204" s="1">
        <v>43116</v>
      </c>
      <c r="B5204">
        <v>66.150001525878906</v>
      </c>
      <c r="C5204">
        <v>66.997001647949205</v>
      </c>
      <c r="D5204">
        <v>64.614997863769503</v>
      </c>
      <c r="E5204">
        <v>65.242996215820298</v>
      </c>
      <c r="F5204">
        <v>65.242996215820298</v>
      </c>
      <c r="G5204">
        <v>144414000</v>
      </c>
      <c r="H5204">
        <f t="shared" si="324"/>
        <v>2018</v>
      </c>
      <c r="I5204">
        <f t="shared" si="325"/>
        <v>1</v>
      </c>
      <c r="J5204" t="str">
        <f t="shared" si="326"/>
        <v>Jan</v>
      </c>
      <c r="K5204" t="str">
        <f t="shared" si="327"/>
        <v>Tue</v>
      </c>
    </row>
    <row r="5205" spans="1:11" x14ac:dyDescent="0.35">
      <c r="A5205" s="1">
        <v>43117</v>
      </c>
      <c r="B5205">
        <v>65.611999511718693</v>
      </c>
      <c r="C5205">
        <v>65.699996948242102</v>
      </c>
      <c r="D5205">
        <v>64.043998718261705</v>
      </c>
      <c r="E5205">
        <v>64.75</v>
      </c>
      <c r="F5205">
        <v>64.75</v>
      </c>
      <c r="G5205">
        <v>105076000</v>
      </c>
      <c r="H5205">
        <f t="shared" si="324"/>
        <v>2018</v>
      </c>
      <c r="I5205">
        <f t="shared" si="325"/>
        <v>1</v>
      </c>
      <c r="J5205" t="str">
        <f t="shared" si="326"/>
        <v>Jan</v>
      </c>
      <c r="K5205" t="str">
        <f t="shared" si="327"/>
        <v>Wed</v>
      </c>
    </row>
    <row r="5206" spans="1:11" x14ac:dyDescent="0.35">
      <c r="A5206" s="1">
        <v>43118</v>
      </c>
      <c r="B5206">
        <v>64.697502136230398</v>
      </c>
      <c r="C5206">
        <v>65.230003356933594</v>
      </c>
      <c r="D5206">
        <v>64.200996398925696</v>
      </c>
      <c r="E5206">
        <v>64.666000366210895</v>
      </c>
      <c r="F5206">
        <v>64.666000366210895</v>
      </c>
      <c r="G5206">
        <v>80538000</v>
      </c>
      <c r="H5206">
        <f t="shared" si="324"/>
        <v>2018</v>
      </c>
      <c r="I5206">
        <f t="shared" si="325"/>
        <v>1</v>
      </c>
      <c r="J5206" t="str">
        <f t="shared" si="326"/>
        <v>Jan</v>
      </c>
      <c r="K5206" t="str">
        <f t="shared" si="327"/>
        <v>Thu</v>
      </c>
    </row>
    <row r="5207" spans="1:11" x14ac:dyDescent="0.35">
      <c r="A5207" s="1">
        <v>43119</v>
      </c>
      <c r="B5207">
        <v>65.599998474121094</v>
      </c>
      <c r="C5207">
        <v>65.650001525878906</v>
      </c>
      <c r="D5207">
        <v>64.649497985839801</v>
      </c>
      <c r="E5207">
        <v>64.728996276855398</v>
      </c>
      <c r="F5207">
        <v>64.728996276855398</v>
      </c>
      <c r="G5207">
        <v>91570000</v>
      </c>
      <c r="H5207">
        <f t="shared" si="324"/>
        <v>2018</v>
      </c>
      <c r="I5207">
        <f t="shared" si="325"/>
        <v>1</v>
      </c>
      <c r="J5207" t="str">
        <f t="shared" si="326"/>
        <v>Jan</v>
      </c>
      <c r="K5207" t="str">
        <f t="shared" si="327"/>
        <v>Fri</v>
      </c>
    </row>
    <row r="5208" spans="1:11" x14ac:dyDescent="0.35">
      <c r="A5208" s="1">
        <v>43122</v>
      </c>
      <c r="B5208">
        <v>64.858497619628906</v>
      </c>
      <c r="C5208">
        <v>66.372497558593693</v>
      </c>
      <c r="D5208">
        <v>64.833000183105398</v>
      </c>
      <c r="E5208">
        <v>66.365501403808594</v>
      </c>
      <c r="F5208">
        <v>66.365501403808594</v>
      </c>
      <c r="G5208">
        <v>82802000</v>
      </c>
      <c r="H5208">
        <f t="shared" si="324"/>
        <v>2018</v>
      </c>
      <c r="I5208">
        <f t="shared" si="325"/>
        <v>1</v>
      </c>
      <c r="J5208" t="str">
        <f t="shared" si="326"/>
        <v>Jan</v>
      </c>
      <c r="K5208" t="str">
        <f t="shared" si="327"/>
        <v>Mon</v>
      </c>
    </row>
    <row r="5209" spans="1:11" x14ac:dyDescent="0.35">
      <c r="A5209" s="1">
        <v>43123</v>
      </c>
      <c r="B5209">
        <v>66.904502868652301</v>
      </c>
      <c r="C5209">
        <v>68.245002746582003</v>
      </c>
      <c r="D5209">
        <v>66.866996765136705</v>
      </c>
      <c r="E5209">
        <v>68.126998901367102</v>
      </c>
      <c r="F5209">
        <v>68.126998901367102</v>
      </c>
      <c r="G5209">
        <v>103386000</v>
      </c>
      <c r="H5209">
        <f t="shared" si="324"/>
        <v>2018</v>
      </c>
      <c r="I5209">
        <f t="shared" si="325"/>
        <v>1</v>
      </c>
      <c r="J5209" t="str">
        <f t="shared" si="326"/>
        <v>Jan</v>
      </c>
      <c r="K5209" t="str">
        <f t="shared" si="327"/>
        <v>Tue</v>
      </c>
    </row>
    <row r="5210" spans="1:11" x14ac:dyDescent="0.35">
      <c r="A5210" s="1">
        <v>43124</v>
      </c>
      <c r="B5210">
        <v>68.740997314453097</v>
      </c>
      <c r="C5210">
        <v>69.407997131347599</v>
      </c>
      <c r="D5210">
        <v>66.900001525878906</v>
      </c>
      <c r="E5210">
        <v>67.875503540039006</v>
      </c>
      <c r="F5210">
        <v>67.875503540039006</v>
      </c>
      <c r="G5210">
        <v>136150000</v>
      </c>
      <c r="H5210">
        <f t="shared" si="324"/>
        <v>2018</v>
      </c>
      <c r="I5210">
        <f t="shared" si="325"/>
        <v>1</v>
      </c>
      <c r="J5210" t="str">
        <f t="shared" si="326"/>
        <v>Jan</v>
      </c>
      <c r="K5210" t="str">
        <f t="shared" si="327"/>
        <v>Wed</v>
      </c>
    </row>
    <row r="5211" spans="1:11" x14ac:dyDescent="0.35">
      <c r="A5211" s="1">
        <v>43125</v>
      </c>
      <c r="B5211">
        <v>68.400001525878906</v>
      </c>
      <c r="C5211">
        <v>68.916999816894503</v>
      </c>
      <c r="D5211">
        <v>67.880996704101506</v>
      </c>
      <c r="E5211">
        <v>68.897499084472599</v>
      </c>
      <c r="F5211">
        <v>68.897499084472599</v>
      </c>
      <c r="G5211">
        <v>95060000</v>
      </c>
      <c r="H5211">
        <f t="shared" si="324"/>
        <v>2018</v>
      </c>
      <c r="I5211">
        <f t="shared" si="325"/>
        <v>1</v>
      </c>
      <c r="J5211" t="str">
        <f t="shared" si="326"/>
        <v>Jan</v>
      </c>
      <c r="K5211" t="str">
        <f t="shared" si="327"/>
        <v>Thu</v>
      </c>
    </row>
    <row r="5212" spans="1:11" x14ac:dyDescent="0.35">
      <c r="A5212" s="1">
        <v>43126</v>
      </c>
      <c r="B5212">
        <v>69.600502014160099</v>
      </c>
      <c r="C5212">
        <v>70.126502990722599</v>
      </c>
      <c r="D5212">
        <v>69.045501708984304</v>
      </c>
      <c r="E5212">
        <v>70.102500915527301</v>
      </c>
      <c r="F5212">
        <v>70.102500915527301</v>
      </c>
      <c r="G5212">
        <v>97146000</v>
      </c>
      <c r="H5212">
        <f t="shared" si="324"/>
        <v>2018</v>
      </c>
      <c r="I5212">
        <f t="shared" si="325"/>
        <v>1</v>
      </c>
      <c r="J5212" t="str">
        <f t="shared" si="326"/>
        <v>Jan</v>
      </c>
      <c r="K5212" t="str">
        <f t="shared" si="327"/>
        <v>Fri</v>
      </c>
    </row>
    <row r="5213" spans="1:11" x14ac:dyDescent="0.35">
      <c r="A5213" s="1">
        <v>43129</v>
      </c>
      <c r="B5213">
        <v>70.458999633789006</v>
      </c>
      <c r="C5213">
        <v>71.569503784179602</v>
      </c>
      <c r="D5213">
        <v>70.022003173828097</v>
      </c>
      <c r="E5213">
        <v>70.884002685546804</v>
      </c>
      <c r="F5213">
        <v>70.884002685546804</v>
      </c>
      <c r="G5213">
        <v>114038000</v>
      </c>
      <c r="H5213">
        <f t="shared" si="324"/>
        <v>2018</v>
      </c>
      <c r="I5213">
        <f t="shared" si="325"/>
        <v>1</v>
      </c>
      <c r="J5213" t="str">
        <f t="shared" si="326"/>
        <v>Jan</v>
      </c>
      <c r="K5213" t="str">
        <f t="shared" si="327"/>
        <v>Mon</v>
      </c>
    </row>
    <row r="5214" spans="1:11" x14ac:dyDescent="0.35">
      <c r="A5214" s="1">
        <v>43130</v>
      </c>
      <c r="B5214">
        <v>70.158500671386705</v>
      </c>
      <c r="C5214">
        <v>71.962501525878906</v>
      </c>
      <c r="D5214">
        <v>69.599998474121094</v>
      </c>
      <c r="E5214">
        <v>71.890998840332003</v>
      </c>
      <c r="F5214">
        <v>71.890998840332003</v>
      </c>
      <c r="G5214">
        <v>117438000</v>
      </c>
      <c r="H5214">
        <f t="shared" si="324"/>
        <v>2018</v>
      </c>
      <c r="I5214">
        <f t="shared" si="325"/>
        <v>1</v>
      </c>
      <c r="J5214" t="str">
        <f t="shared" si="326"/>
        <v>Jan</v>
      </c>
      <c r="K5214" t="str">
        <f t="shared" si="327"/>
        <v>Tue</v>
      </c>
    </row>
    <row r="5215" spans="1:11" x14ac:dyDescent="0.35">
      <c r="A5215" s="1">
        <v>43131</v>
      </c>
      <c r="B5215">
        <v>72.565002441406193</v>
      </c>
      <c r="C5215">
        <v>73.628997802734304</v>
      </c>
      <c r="D5215">
        <v>72.501998901367102</v>
      </c>
      <c r="E5215">
        <v>72.544502258300696</v>
      </c>
      <c r="F5215">
        <v>72.544502258300696</v>
      </c>
      <c r="G5215">
        <v>128494000</v>
      </c>
      <c r="H5215">
        <f t="shared" si="324"/>
        <v>2018</v>
      </c>
      <c r="I5215">
        <f t="shared" si="325"/>
        <v>1</v>
      </c>
      <c r="J5215" t="str">
        <f t="shared" si="326"/>
        <v>Jan</v>
      </c>
      <c r="K5215" t="str">
        <f t="shared" si="327"/>
        <v>Wed</v>
      </c>
    </row>
    <row r="5216" spans="1:11" x14ac:dyDescent="0.35">
      <c r="A5216" s="1">
        <v>43132</v>
      </c>
      <c r="B5216">
        <v>72.25</v>
      </c>
      <c r="C5216">
        <v>72.994003295898395</v>
      </c>
      <c r="D5216">
        <v>69.257003784179602</v>
      </c>
      <c r="E5216">
        <v>69.5</v>
      </c>
      <c r="F5216">
        <v>69.5</v>
      </c>
      <c r="G5216">
        <v>182276000</v>
      </c>
      <c r="H5216">
        <f t="shared" si="324"/>
        <v>2018</v>
      </c>
      <c r="I5216">
        <f t="shared" si="325"/>
        <v>2</v>
      </c>
      <c r="J5216" t="str">
        <f t="shared" si="326"/>
        <v>Feb</v>
      </c>
      <c r="K5216" t="str">
        <f t="shared" si="327"/>
        <v>Thu</v>
      </c>
    </row>
    <row r="5217" spans="1:11" x14ac:dyDescent="0.35">
      <c r="A5217" s="1">
        <v>43133</v>
      </c>
      <c r="B5217">
        <v>73.869499206542898</v>
      </c>
      <c r="C5217">
        <v>74.900001525878906</v>
      </c>
      <c r="D5217">
        <v>70.699996948242102</v>
      </c>
      <c r="E5217">
        <v>71.497497558593693</v>
      </c>
      <c r="F5217">
        <v>71.497497558593693</v>
      </c>
      <c r="G5217">
        <v>222514000</v>
      </c>
      <c r="H5217">
        <f t="shared" si="324"/>
        <v>2018</v>
      </c>
      <c r="I5217">
        <f t="shared" si="325"/>
        <v>2</v>
      </c>
      <c r="J5217" t="str">
        <f t="shared" si="326"/>
        <v>Feb</v>
      </c>
      <c r="K5217" t="str">
        <f t="shared" si="327"/>
        <v>Fri</v>
      </c>
    </row>
    <row r="5218" spans="1:11" x14ac:dyDescent="0.35">
      <c r="A5218" s="1">
        <v>43136</v>
      </c>
      <c r="B5218">
        <v>70.130996704101506</v>
      </c>
      <c r="C5218">
        <v>72.948997497558594</v>
      </c>
      <c r="D5218">
        <v>66.036003112792898</v>
      </c>
      <c r="E5218">
        <v>69.5</v>
      </c>
      <c r="F5218">
        <v>69.5</v>
      </c>
      <c r="G5218">
        <v>229900000</v>
      </c>
      <c r="H5218">
        <f t="shared" si="324"/>
        <v>2018</v>
      </c>
      <c r="I5218">
        <f t="shared" si="325"/>
        <v>2</v>
      </c>
      <c r="J5218" t="str">
        <f t="shared" si="326"/>
        <v>Feb</v>
      </c>
      <c r="K5218" t="str">
        <f t="shared" si="327"/>
        <v>Mon</v>
      </c>
    </row>
    <row r="5219" spans="1:11" x14ac:dyDescent="0.35">
      <c r="A5219" s="1">
        <v>43137</v>
      </c>
      <c r="B5219">
        <v>68.072998046875</v>
      </c>
      <c r="C5219">
        <v>72.199501037597599</v>
      </c>
      <c r="D5219">
        <v>67.589500427246094</v>
      </c>
      <c r="E5219">
        <v>72.141998291015597</v>
      </c>
      <c r="F5219">
        <v>72.141998291015597</v>
      </c>
      <c r="G5219">
        <v>221336000</v>
      </c>
      <c r="H5219">
        <f t="shared" si="324"/>
        <v>2018</v>
      </c>
      <c r="I5219">
        <f t="shared" si="325"/>
        <v>2</v>
      </c>
      <c r="J5219" t="str">
        <f t="shared" si="326"/>
        <v>Feb</v>
      </c>
      <c r="K5219" t="str">
        <f t="shared" si="327"/>
        <v>Tue</v>
      </c>
    </row>
    <row r="5220" spans="1:11" x14ac:dyDescent="0.35">
      <c r="A5220" s="1">
        <v>43138</v>
      </c>
      <c r="B5220">
        <v>72.449996948242102</v>
      </c>
      <c r="C5220">
        <v>73.049499511718693</v>
      </c>
      <c r="D5220">
        <v>70.757499694824205</v>
      </c>
      <c r="E5220">
        <v>70.838996887207003</v>
      </c>
      <c r="F5220">
        <v>70.838996887207003</v>
      </c>
      <c r="G5220">
        <v>143254000</v>
      </c>
      <c r="H5220">
        <f t="shared" si="324"/>
        <v>2018</v>
      </c>
      <c r="I5220">
        <f t="shared" si="325"/>
        <v>2</v>
      </c>
      <c r="J5220" t="str">
        <f t="shared" si="326"/>
        <v>Feb</v>
      </c>
      <c r="K5220" t="str">
        <f t="shared" si="327"/>
        <v>Wed</v>
      </c>
    </row>
    <row r="5221" spans="1:11" x14ac:dyDescent="0.35">
      <c r="A5221" s="1">
        <v>43139</v>
      </c>
      <c r="B5221">
        <v>71.484001159667898</v>
      </c>
      <c r="C5221">
        <v>71.6875</v>
      </c>
      <c r="D5221">
        <v>67.497001647949205</v>
      </c>
      <c r="E5221">
        <v>67.525001525878906</v>
      </c>
      <c r="F5221">
        <v>67.525001525878906</v>
      </c>
      <c r="G5221">
        <v>171572000</v>
      </c>
      <c r="H5221">
        <f t="shared" si="324"/>
        <v>2018</v>
      </c>
      <c r="I5221">
        <f t="shared" si="325"/>
        <v>2</v>
      </c>
      <c r="J5221" t="str">
        <f t="shared" si="326"/>
        <v>Feb</v>
      </c>
      <c r="K5221" t="str">
        <f t="shared" si="327"/>
        <v>Thu</v>
      </c>
    </row>
    <row r="5222" spans="1:11" x14ac:dyDescent="0.35">
      <c r="A5222" s="1">
        <v>43140</v>
      </c>
      <c r="B5222">
        <v>68.674499511718693</v>
      </c>
      <c r="C5222">
        <v>69.175003051757798</v>
      </c>
      <c r="D5222">
        <v>63.296501159667898</v>
      </c>
      <c r="E5222">
        <v>66.980003356933594</v>
      </c>
      <c r="F5222">
        <v>66.980003356933594</v>
      </c>
      <c r="G5222">
        <v>282830000</v>
      </c>
      <c r="H5222">
        <f t="shared" si="324"/>
        <v>2018</v>
      </c>
      <c r="I5222">
        <f t="shared" si="325"/>
        <v>2</v>
      </c>
      <c r="J5222" t="str">
        <f t="shared" si="326"/>
        <v>Feb</v>
      </c>
      <c r="K5222" t="str">
        <f t="shared" si="327"/>
        <v>Fri</v>
      </c>
    </row>
    <row r="5223" spans="1:11" x14ac:dyDescent="0.35">
      <c r="A5223" s="1">
        <v>43143</v>
      </c>
      <c r="B5223">
        <v>68.233497619628906</v>
      </c>
      <c r="C5223">
        <v>69.690498352050696</v>
      </c>
      <c r="D5223">
        <v>67.200500488281193</v>
      </c>
      <c r="E5223">
        <v>69.311500549316406</v>
      </c>
      <c r="F5223">
        <v>69.311500549316406</v>
      </c>
      <c r="G5223">
        <v>134778000</v>
      </c>
      <c r="H5223">
        <f t="shared" si="324"/>
        <v>2018</v>
      </c>
      <c r="I5223">
        <f t="shared" si="325"/>
        <v>2</v>
      </c>
      <c r="J5223" t="str">
        <f t="shared" si="326"/>
        <v>Feb</v>
      </c>
      <c r="K5223" t="str">
        <f t="shared" si="327"/>
        <v>Mon</v>
      </c>
    </row>
    <row r="5224" spans="1:11" x14ac:dyDescent="0.35">
      <c r="A5224" s="1">
        <v>43144</v>
      </c>
      <c r="B5224">
        <v>69.296501159667898</v>
      </c>
      <c r="C5224">
        <v>70.986000061035099</v>
      </c>
      <c r="D5224">
        <v>69.176498413085895</v>
      </c>
      <c r="E5224">
        <v>70.725502014160099</v>
      </c>
      <c r="F5224">
        <v>70.725502014160099</v>
      </c>
      <c r="G5224">
        <v>118358000</v>
      </c>
      <c r="H5224">
        <f t="shared" si="324"/>
        <v>2018</v>
      </c>
      <c r="I5224">
        <f t="shared" si="325"/>
        <v>2</v>
      </c>
      <c r="J5224" t="str">
        <f t="shared" si="326"/>
        <v>Feb</v>
      </c>
      <c r="K5224" t="str">
        <f t="shared" si="327"/>
        <v>Tue</v>
      </c>
    </row>
    <row r="5225" spans="1:11" x14ac:dyDescent="0.35">
      <c r="A5225" s="1">
        <v>43145</v>
      </c>
      <c r="B5225">
        <v>70.3125</v>
      </c>
      <c r="C5225">
        <v>72.602996826171804</v>
      </c>
      <c r="D5225">
        <v>70.167999267578097</v>
      </c>
      <c r="E5225">
        <v>72.552497863769503</v>
      </c>
      <c r="F5225">
        <v>72.552497863769503</v>
      </c>
      <c r="G5225">
        <v>119184000</v>
      </c>
      <c r="H5225">
        <f t="shared" si="324"/>
        <v>2018</v>
      </c>
      <c r="I5225">
        <f t="shared" si="325"/>
        <v>2</v>
      </c>
      <c r="J5225" t="str">
        <f t="shared" si="326"/>
        <v>Feb</v>
      </c>
      <c r="K5225" t="str">
        <f t="shared" si="327"/>
        <v>Wed</v>
      </c>
    </row>
    <row r="5226" spans="1:11" x14ac:dyDescent="0.35">
      <c r="A5226" s="1">
        <v>43146</v>
      </c>
      <c r="B5226">
        <v>73.344497680664006</v>
      </c>
      <c r="C5226">
        <v>73.446998596191406</v>
      </c>
      <c r="D5226">
        <v>71.842002868652301</v>
      </c>
      <c r="E5226">
        <v>73.087997436523395</v>
      </c>
      <c r="F5226">
        <v>73.087997436523395</v>
      </c>
      <c r="G5226">
        <v>113054000</v>
      </c>
      <c r="H5226">
        <f t="shared" si="324"/>
        <v>2018</v>
      </c>
      <c r="I5226">
        <f t="shared" si="325"/>
        <v>2</v>
      </c>
      <c r="J5226" t="str">
        <f t="shared" si="326"/>
        <v>Feb</v>
      </c>
      <c r="K5226" t="str">
        <f t="shared" si="327"/>
        <v>Thu</v>
      </c>
    </row>
    <row r="5227" spans="1:11" x14ac:dyDescent="0.35">
      <c r="A5227" s="1">
        <v>43147</v>
      </c>
      <c r="B5227">
        <v>72.868499755859304</v>
      </c>
      <c r="C5227">
        <v>73.290000915527301</v>
      </c>
      <c r="D5227">
        <v>72.3280029296875</v>
      </c>
      <c r="E5227">
        <v>72.434501647949205</v>
      </c>
      <c r="F5227">
        <v>72.434501647949205</v>
      </c>
      <c r="G5227">
        <v>89452000</v>
      </c>
      <c r="H5227">
        <f t="shared" si="324"/>
        <v>2018</v>
      </c>
      <c r="I5227">
        <f t="shared" si="325"/>
        <v>2</v>
      </c>
      <c r="J5227" t="str">
        <f t="shared" si="326"/>
        <v>Feb</v>
      </c>
      <c r="K5227" t="str">
        <f t="shared" si="327"/>
        <v>Fri</v>
      </c>
    </row>
    <row r="5228" spans="1:11" x14ac:dyDescent="0.35">
      <c r="A5228" s="1">
        <v>43151</v>
      </c>
      <c r="B5228">
        <v>72.324501037597599</v>
      </c>
      <c r="C5228">
        <v>74.438499450683594</v>
      </c>
      <c r="D5228">
        <v>72.324501037597599</v>
      </c>
      <c r="E5228">
        <v>73.417503356933594</v>
      </c>
      <c r="F5228">
        <v>73.417503356933594</v>
      </c>
      <c r="G5228">
        <v>129984000</v>
      </c>
      <c r="H5228">
        <f t="shared" si="324"/>
        <v>2018</v>
      </c>
      <c r="I5228">
        <f t="shared" si="325"/>
        <v>2</v>
      </c>
      <c r="J5228" t="str">
        <f t="shared" si="326"/>
        <v>Feb</v>
      </c>
      <c r="K5228" t="str">
        <f t="shared" si="327"/>
        <v>Tue</v>
      </c>
    </row>
    <row r="5229" spans="1:11" x14ac:dyDescent="0.35">
      <c r="A5229" s="1">
        <v>43152</v>
      </c>
      <c r="B5229">
        <v>74.25</v>
      </c>
      <c r="C5229">
        <v>75.174499511718693</v>
      </c>
      <c r="D5229">
        <v>73.945999145507798</v>
      </c>
      <c r="E5229">
        <v>74.146003723144503</v>
      </c>
      <c r="F5229">
        <v>74.146003723144503</v>
      </c>
      <c r="G5229">
        <v>126088000</v>
      </c>
      <c r="H5229">
        <f t="shared" si="324"/>
        <v>2018</v>
      </c>
      <c r="I5229">
        <f t="shared" si="325"/>
        <v>2</v>
      </c>
      <c r="J5229" t="str">
        <f t="shared" si="326"/>
        <v>Feb</v>
      </c>
      <c r="K5229" t="str">
        <f t="shared" si="327"/>
        <v>Wed</v>
      </c>
    </row>
    <row r="5230" spans="1:11" x14ac:dyDescent="0.35">
      <c r="A5230" s="1">
        <v>43153</v>
      </c>
      <c r="B5230">
        <v>74.767997741699205</v>
      </c>
      <c r="C5230">
        <v>75.126998901367102</v>
      </c>
      <c r="D5230">
        <v>73.788002014160099</v>
      </c>
      <c r="E5230">
        <v>74.266998291015597</v>
      </c>
      <c r="F5230">
        <v>74.266998291015597</v>
      </c>
      <c r="G5230">
        <v>97162000</v>
      </c>
      <c r="H5230">
        <f t="shared" si="324"/>
        <v>2018</v>
      </c>
      <c r="I5230">
        <f t="shared" si="325"/>
        <v>2</v>
      </c>
      <c r="J5230" t="str">
        <f t="shared" si="326"/>
        <v>Feb</v>
      </c>
      <c r="K5230" t="str">
        <f t="shared" si="327"/>
        <v>Thu</v>
      </c>
    </row>
    <row r="5231" spans="1:11" x14ac:dyDescent="0.35">
      <c r="A5231" s="1">
        <v>43154</v>
      </c>
      <c r="B5231">
        <v>74.766998291015597</v>
      </c>
      <c r="C5231">
        <v>75</v>
      </c>
      <c r="D5231">
        <v>74.324996948242102</v>
      </c>
      <c r="E5231">
        <v>75</v>
      </c>
      <c r="F5231">
        <v>75</v>
      </c>
      <c r="G5231">
        <v>88362000</v>
      </c>
      <c r="H5231">
        <f t="shared" si="324"/>
        <v>2018</v>
      </c>
      <c r="I5231">
        <f t="shared" si="325"/>
        <v>2</v>
      </c>
      <c r="J5231" t="str">
        <f t="shared" si="326"/>
        <v>Feb</v>
      </c>
      <c r="K5231" t="str">
        <f t="shared" si="327"/>
        <v>Fri</v>
      </c>
    </row>
    <row r="5232" spans="1:11" x14ac:dyDescent="0.35">
      <c r="A5232" s="1">
        <v>43157</v>
      </c>
      <c r="B5232">
        <v>75.459999084472599</v>
      </c>
      <c r="C5232">
        <v>76.141998291015597</v>
      </c>
      <c r="D5232">
        <v>75.349998474121094</v>
      </c>
      <c r="E5232">
        <v>76.097503662109304</v>
      </c>
      <c r="F5232">
        <v>76.097503662109304</v>
      </c>
      <c r="G5232">
        <v>99100000</v>
      </c>
      <c r="H5232">
        <f t="shared" si="324"/>
        <v>2018</v>
      </c>
      <c r="I5232">
        <f t="shared" si="325"/>
        <v>2</v>
      </c>
      <c r="J5232" t="str">
        <f t="shared" si="326"/>
        <v>Feb</v>
      </c>
      <c r="K5232" t="str">
        <f t="shared" si="327"/>
        <v>Mon</v>
      </c>
    </row>
    <row r="5233" spans="1:11" x14ac:dyDescent="0.35">
      <c r="A5233" s="1">
        <v>43158</v>
      </c>
      <c r="B5233">
        <v>76.224998474121094</v>
      </c>
      <c r="C5233">
        <v>76.338996887207003</v>
      </c>
      <c r="D5233">
        <v>75.360496520996094</v>
      </c>
      <c r="E5233">
        <v>75.5989990234375</v>
      </c>
      <c r="F5233">
        <v>75.5989990234375</v>
      </c>
      <c r="G5233">
        <v>96176000</v>
      </c>
      <c r="H5233">
        <f t="shared" si="324"/>
        <v>2018</v>
      </c>
      <c r="I5233">
        <f t="shared" si="325"/>
        <v>2</v>
      </c>
      <c r="J5233" t="str">
        <f t="shared" si="326"/>
        <v>Feb</v>
      </c>
      <c r="K5233" t="str">
        <f t="shared" si="327"/>
        <v>Tue</v>
      </c>
    </row>
    <row r="5234" spans="1:11" x14ac:dyDescent="0.35">
      <c r="A5234" s="1">
        <v>43159</v>
      </c>
      <c r="B5234">
        <v>75.975502014160099</v>
      </c>
      <c r="C5234">
        <v>76.434997558593693</v>
      </c>
      <c r="D5234">
        <v>75.599998474121094</v>
      </c>
      <c r="E5234">
        <v>75.622497558593693</v>
      </c>
      <c r="F5234">
        <v>75.622497558593693</v>
      </c>
      <c r="G5234">
        <v>90300000</v>
      </c>
      <c r="H5234">
        <f t="shared" si="324"/>
        <v>2018</v>
      </c>
      <c r="I5234">
        <f t="shared" si="325"/>
        <v>2</v>
      </c>
      <c r="J5234" t="str">
        <f t="shared" si="326"/>
        <v>Feb</v>
      </c>
      <c r="K5234" t="str">
        <f t="shared" si="327"/>
        <v>Wed</v>
      </c>
    </row>
    <row r="5235" spans="1:11" x14ac:dyDescent="0.35">
      <c r="A5235" s="1">
        <v>43160</v>
      </c>
      <c r="B5235">
        <v>75.680000305175696</v>
      </c>
      <c r="C5235">
        <v>75.924499511718693</v>
      </c>
      <c r="D5235">
        <v>73.25</v>
      </c>
      <c r="E5235">
        <v>74.672500610351506</v>
      </c>
      <c r="F5235">
        <v>74.672500610351506</v>
      </c>
      <c r="G5235">
        <v>136704000</v>
      </c>
      <c r="H5235">
        <f t="shared" si="324"/>
        <v>2018</v>
      </c>
      <c r="I5235">
        <f t="shared" si="325"/>
        <v>3</v>
      </c>
      <c r="J5235" t="str">
        <f t="shared" si="326"/>
        <v>Mar</v>
      </c>
      <c r="K5235" t="str">
        <f t="shared" si="327"/>
        <v>Thu</v>
      </c>
    </row>
    <row r="5236" spans="1:11" x14ac:dyDescent="0.35">
      <c r="A5236" s="1">
        <v>43161</v>
      </c>
      <c r="B5236">
        <v>73.455001831054602</v>
      </c>
      <c r="C5236">
        <v>75.052497863769503</v>
      </c>
      <c r="D5236">
        <v>72.750503540039006</v>
      </c>
      <c r="E5236">
        <v>75.012496948242102</v>
      </c>
      <c r="F5236">
        <v>75.012496948242102</v>
      </c>
      <c r="G5236">
        <v>131752000</v>
      </c>
      <c r="H5236">
        <f t="shared" si="324"/>
        <v>2018</v>
      </c>
      <c r="I5236">
        <f t="shared" si="325"/>
        <v>3</v>
      </c>
      <c r="J5236" t="str">
        <f t="shared" si="326"/>
        <v>Mar</v>
      </c>
      <c r="K5236" t="str">
        <f t="shared" si="327"/>
        <v>Fri</v>
      </c>
    </row>
    <row r="5237" spans="1:11" x14ac:dyDescent="0.35">
      <c r="A5237" s="1">
        <v>43164</v>
      </c>
      <c r="B5237">
        <v>74.711997985839801</v>
      </c>
      <c r="C5237">
        <v>76.268997192382798</v>
      </c>
      <c r="D5237">
        <v>74.050003051757798</v>
      </c>
      <c r="E5237">
        <v>76.180496215820298</v>
      </c>
      <c r="F5237">
        <v>76.180496215820298</v>
      </c>
      <c r="G5237">
        <v>104678000</v>
      </c>
      <c r="H5237">
        <f t="shared" si="324"/>
        <v>2018</v>
      </c>
      <c r="I5237">
        <f t="shared" si="325"/>
        <v>3</v>
      </c>
      <c r="J5237" t="str">
        <f t="shared" si="326"/>
        <v>Mar</v>
      </c>
      <c r="K5237" t="str">
        <f t="shared" si="327"/>
        <v>Mon</v>
      </c>
    </row>
    <row r="5238" spans="1:11" x14ac:dyDescent="0.35">
      <c r="A5238" s="1">
        <v>43165</v>
      </c>
      <c r="B5238">
        <v>76.660003662109304</v>
      </c>
      <c r="C5238">
        <v>77.106498718261705</v>
      </c>
      <c r="D5238">
        <v>76.400001525878906</v>
      </c>
      <c r="E5238">
        <v>76.882003784179602</v>
      </c>
      <c r="F5238">
        <v>76.882003784179602</v>
      </c>
      <c r="G5238">
        <v>91234000</v>
      </c>
      <c r="H5238">
        <f t="shared" si="324"/>
        <v>2018</v>
      </c>
      <c r="I5238">
        <f t="shared" si="325"/>
        <v>3</v>
      </c>
      <c r="J5238" t="str">
        <f t="shared" si="326"/>
        <v>Mar</v>
      </c>
      <c r="K5238" t="str">
        <f t="shared" si="327"/>
        <v>Tue</v>
      </c>
    </row>
    <row r="5239" spans="1:11" x14ac:dyDescent="0.35">
      <c r="A5239" s="1">
        <v>43166</v>
      </c>
      <c r="B5239">
        <v>76.325996398925696</v>
      </c>
      <c r="C5239">
        <v>77.294998168945298</v>
      </c>
      <c r="D5239">
        <v>76.125503540039006</v>
      </c>
      <c r="E5239">
        <v>77.25</v>
      </c>
      <c r="F5239">
        <v>77.25</v>
      </c>
      <c r="G5239">
        <v>83482000</v>
      </c>
      <c r="H5239">
        <f t="shared" si="324"/>
        <v>2018</v>
      </c>
      <c r="I5239">
        <f t="shared" si="325"/>
        <v>3</v>
      </c>
      <c r="J5239" t="str">
        <f t="shared" si="326"/>
        <v>Mar</v>
      </c>
      <c r="K5239" t="str">
        <f t="shared" si="327"/>
        <v>Wed</v>
      </c>
    </row>
    <row r="5240" spans="1:11" x14ac:dyDescent="0.35">
      <c r="A5240" s="1">
        <v>43167</v>
      </c>
      <c r="B5240">
        <v>77.5</v>
      </c>
      <c r="C5240">
        <v>77.744003295898395</v>
      </c>
      <c r="D5240">
        <v>77.262496948242102</v>
      </c>
      <c r="E5240">
        <v>77.593002319335895</v>
      </c>
      <c r="F5240">
        <v>77.593002319335895</v>
      </c>
      <c r="G5240">
        <v>77252000</v>
      </c>
      <c r="H5240">
        <f t="shared" si="324"/>
        <v>2018</v>
      </c>
      <c r="I5240">
        <f t="shared" si="325"/>
        <v>3</v>
      </c>
      <c r="J5240" t="str">
        <f t="shared" si="326"/>
        <v>Mar</v>
      </c>
      <c r="K5240" t="str">
        <f t="shared" si="327"/>
        <v>Thu</v>
      </c>
    </row>
    <row r="5241" spans="1:11" x14ac:dyDescent="0.35">
      <c r="A5241" s="1">
        <v>43168</v>
      </c>
      <c r="B5241">
        <v>78.175003051757798</v>
      </c>
      <c r="C5241">
        <v>78.946998596191406</v>
      </c>
      <c r="D5241">
        <v>77.954002380371094</v>
      </c>
      <c r="E5241">
        <v>78.944503784179602</v>
      </c>
      <c r="F5241">
        <v>78.944503784179602</v>
      </c>
      <c r="G5241">
        <v>90686000</v>
      </c>
      <c r="H5241">
        <f t="shared" si="324"/>
        <v>2018</v>
      </c>
      <c r="I5241">
        <f t="shared" si="325"/>
        <v>3</v>
      </c>
      <c r="J5241" t="str">
        <f t="shared" si="326"/>
        <v>Mar</v>
      </c>
      <c r="K5241" t="str">
        <f t="shared" si="327"/>
        <v>Fri</v>
      </c>
    </row>
    <row r="5242" spans="1:11" x14ac:dyDescent="0.35">
      <c r="A5242" s="1">
        <v>43171</v>
      </c>
      <c r="B5242">
        <v>79.629997253417898</v>
      </c>
      <c r="C5242">
        <v>80.266502380371094</v>
      </c>
      <c r="D5242">
        <v>79.334999084472599</v>
      </c>
      <c r="E5242">
        <v>79.919502258300696</v>
      </c>
      <c r="F5242">
        <v>79.919502258300696</v>
      </c>
      <c r="G5242">
        <v>103484000</v>
      </c>
      <c r="H5242">
        <f t="shared" si="324"/>
        <v>2018</v>
      </c>
      <c r="I5242">
        <f t="shared" si="325"/>
        <v>3</v>
      </c>
      <c r="J5242" t="str">
        <f t="shared" si="326"/>
        <v>Mar</v>
      </c>
      <c r="K5242" t="str">
        <f t="shared" si="327"/>
        <v>Mon</v>
      </c>
    </row>
    <row r="5243" spans="1:11" x14ac:dyDescent="0.35">
      <c r="A5243" s="1">
        <v>43172</v>
      </c>
      <c r="B5243">
        <v>80.797996520996094</v>
      </c>
      <c r="C5243">
        <v>80.876998901367102</v>
      </c>
      <c r="D5243">
        <v>78.900497436523395</v>
      </c>
      <c r="E5243">
        <v>79.408996582031193</v>
      </c>
      <c r="F5243">
        <v>79.408996582031193</v>
      </c>
      <c r="G5243">
        <v>130638000</v>
      </c>
      <c r="H5243">
        <f t="shared" si="324"/>
        <v>2018</v>
      </c>
      <c r="I5243">
        <f t="shared" si="325"/>
        <v>3</v>
      </c>
      <c r="J5243" t="str">
        <f t="shared" si="326"/>
        <v>Mar</v>
      </c>
      <c r="K5243" t="str">
        <f t="shared" si="327"/>
        <v>Tue</v>
      </c>
    </row>
    <row r="5244" spans="1:11" x14ac:dyDescent="0.35">
      <c r="A5244" s="1">
        <v>43173</v>
      </c>
      <c r="B5244">
        <v>79.849998474121094</v>
      </c>
      <c r="C5244">
        <v>80.321998596191406</v>
      </c>
      <c r="D5244">
        <v>79.544502258300696</v>
      </c>
      <c r="E5244">
        <v>79.550003051757798</v>
      </c>
      <c r="F5244">
        <v>79.550003051757798</v>
      </c>
      <c r="G5244">
        <v>85188000</v>
      </c>
      <c r="H5244">
        <f t="shared" si="324"/>
        <v>2018</v>
      </c>
      <c r="I5244">
        <f t="shared" si="325"/>
        <v>3</v>
      </c>
      <c r="J5244" t="str">
        <f t="shared" si="326"/>
        <v>Mar</v>
      </c>
      <c r="K5244" t="str">
        <f t="shared" si="327"/>
        <v>Wed</v>
      </c>
    </row>
    <row r="5245" spans="1:11" x14ac:dyDescent="0.35">
      <c r="A5245" s="1">
        <v>43174</v>
      </c>
      <c r="B5245">
        <v>79.75</v>
      </c>
      <c r="C5245">
        <v>79.845497131347599</v>
      </c>
      <c r="D5245">
        <v>78.905502319335895</v>
      </c>
      <c r="E5245">
        <v>79.115997314453097</v>
      </c>
      <c r="F5245">
        <v>79.115997314453097</v>
      </c>
      <c r="G5245">
        <v>81394000</v>
      </c>
      <c r="H5245">
        <f t="shared" si="324"/>
        <v>2018</v>
      </c>
      <c r="I5245">
        <f t="shared" si="325"/>
        <v>3</v>
      </c>
      <c r="J5245" t="str">
        <f t="shared" si="326"/>
        <v>Mar</v>
      </c>
      <c r="K5245" t="str">
        <f t="shared" si="327"/>
        <v>Thu</v>
      </c>
    </row>
    <row r="5246" spans="1:11" x14ac:dyDescent="0.35">
      <c r="A5246" s="1">
        <v>43175</v>
      </c>
      <c r="B5246">
        <v>79.172500610351506</v>
      </c>
      <c r="C5246">
        <v>79.472000122070298</v>
      </c>
      <c r="D5246">
        <v>78.375</v>
      </c>
      <c r="E5246">
        <v>78.583999633789006</v>
      </c>
      <c r="F5246">
        <v>78.583999633789006</v>
      </c>
      <c r="G5246">
        <v>108500000</v>
      </c>
      <c r="H5246">
        <f t="shared" si="324"/>
        <v>2018</v>
      </c>
      <c r="I5246">
        <f t="shared" si="325"/>
        <v>3</v>
      </c>
      <c r="J5246" t="str">
        <f t="shared" si="326"/>
        <v>Mar</v>
      </c>
      <c r="K5246" t="str">
        <f t="shared" si="327"/>
        <v>Fri</v>
      </c>
    </row>
    <row r="5247" spans="1:11" x14ac:dyDescent="0.35">
      <c r="A5247" s="1">
        <v>43178</v>
      </c>
      <c r="B5247">
        <v>77.726501464843693</v>
      </c>
      <c r="C5247">
        <v>78.083000183105398</v>
      </c>
      <c r="D5247">
        <v>76.267501831054602</v>
      </c>
      <c r="E5247">
        <v>77.246498107910099</v>
      </c>
      <c r="F5247">
        <v>77.246498107910099</v>
      </c>
      <c r="G5247">
        <v>131616000</v>
      </c>
      <c r="H5247">
        <f t="shared" si="324"/>
        <v>2018</v>
      </c>
      <c r="I5247">
        <f t="shared" si="325"/>
        <v>3</v>
      </c>
      <c r="J5247" t="str">
        <f t="shared" si="326"/>
        <v>Mar</v>
      </c>
      <c r="K5247" t="str">
        <f t="shared" si="327"/>
        <v>Mon</v>
      </c>
    </row>
    <row r="5248" spans="1:11" x14ac:dyDescent="0.35">
      <c r="A5248" s="1">
        <v>43179</v>
      </c>
      <c r="B5248">
        <v>77.516998291015597</v>
      </c>
      <c r="C5248">
        <v>79.349998474121094</v>
      </c>
      <c r="D5248">
        <v>77.270500183105398</v>
      </c>
      <c r="E5248">
        <v>79.325500488281193</v>
      </c>
      <c r="F5248">
        <v>79.325500488281193</v>
      </c>
      <c r="G5248">
        <v>91632000</v>
      </c>
      <c r="H5248">
        <f t="shared" si="324"/>
        <v>2018</v>
      </c>
      <c r="I5248">
        <f t="shared" si="325"/>
        <v>3</v>
      </c>
      <c r="J5248" t="str">
        <f t="shared" si="326"/>
        <v>Mar</v>
      </c>
      <c r="K5248" t="str">
        <f t="shared" si="327"/>
        <v>Tue</v>
      </c>
    </row>
    <row r="5249" spans="1:11" x14ac:dyDescent="0.35">
      <c r="A5249" s="1">
        <v>43180</v>
      </c>
      <c r="B5249">
        <v>79.322502136230398</v>
      </c>
      <c r="C5249">
        <v>79.5</v>
      </c>
      <c r="D5249">
        <v>78.158500671386705</v>
      </c>
      <c r="E5249">
        <v>79.093002319335895</v>
      </c>
      <c r="F5249">
        <v>79.093002319335895</v>
      </c>
      <c r="G5249">
        <v>95016000</v>
      </c>
      <c r="H5249">
        <f t="shared" si="324"/>
        <v>2018</v>
      </c>
      <c r="I5249">
        <f t="shared" si="325"/>
        <v>3</v>
      </c>
      <c r="J5249" t="str">
        <f t="shared" si="326"/>
        <v>Mar</v>
      </c>
      <c r="K5249" t="str">
        <f t="shared" si="327"/>
        <v>Wed</v>
      </c>
    </row>
    <row r="5250" spans="1:11" x14ac:dyDescent="0.35">
      <c r="A5250" s="1">
        <v>43181</v>
      </c>
      <c r="B5250">
        <v>78.273498535156193</v>
      </c>
      <c r="C5250">
        <v>78.692497253417898</v>
      </c>
      <c r="D5250">
        <v>77.120002746582003</v>
      </c>
      <c r="E5250">
        <v>77.246002197265597</v>
      </c>
      <c r="F5250">
        <v>77.246002197265597</v>
      </c>
      <c r="G5250">
        <v>126412000</v>
      </c>
      <c r="H5250">
        <f t="shared" si="324"/>
        <v>2018</v>
      </c>
      <c r="I5250">
        <f t="shared" si="325"/>
        <v>3</v>
      </c>
      <c r="J5250" t="str">
        <f t="shared" si="326"/>
        <v>Mar</v>
      </c>
      <c r="K5250" t="str">
        <f t="shared" si="327"/>
        <v>Thu</v>
      </c>
    </row>
    <row r="5251" spans="1:11" x14ac:dyDescent="0.35">
      <c r="A5251" s="1">
        <v>43182</v>
      </c>
      <c r="B5251">
        <v>76.950500488281193</v>
      </c>
      <c r="C5251">
        <v>77.450996398925696</v>
      </c>
      <c r="D5251">
        <v>74.767997741699205</v>
      </c>
      <c r="E5251">
        <v>74.777999877929602</v>
      </c>
      <c r="F5251">
        <v>74.777999877929602</v>
      </c>
      <c r="G5251">
        <v>160120000</v>
      </c>
      <c r="H5251">
        <f t="shared" si="324"/>
        <v>2018</v>
      </c>
      <c r="I5251">
        <f t="shared" si="325"/>
        <v>3</v>
      </c>
      <c r="J5251" t="str">
        <f t="shared" si="326"/>
        <v>Mar</v>
      </c>
      <c r="K5251" t="str">
        <f t="shared" si="327"/>
        <v>Fri</v>
      </c>
    </row>
    <row r="5252" spans="1:11" x14ac:dyDescent="0.35">
      <c r="A5252" s="1">
        <v>43185</v>
      </c>
      <c r="B5252">
        <v>76.5</v>
      </c>
      <c r="C5252">
        <v>77.849502563476506</v>
      </c>
      <c r="D5252">
        <v>74.962501525878906</v>
      </c>
      <c r="E5252">
        <v>77.792999267578097</v>
      </c>
      <c r="F5252">
        <v>77.792999267578097</v>
      </c>
      <c r="G5252">
        <v>112494000</v>
      </c>
      <c r="H5252">
        <f t="shared" ref="H5252:H5315" si="328">YEAR($A5252)</f>
        <v>2018</v>
      </c>
      <c r="I5252">
        <f t="shared" ref="I5252:I5315" si="329">MONTH($A5252)</f>
        <v>3</v>
      </c>
      <c r="J5252" t="str">
        <f t="shared" ref="J5252:J5315" si="330">TEXT($A5252,"mmm")</f>
        <v>Mar</v>
      </c>
      <c r="K5252" t="str">
        <f t="shared" ref="K5252:K5315" si="331">TEXT($A5252,"ddd")</f>
        <v>Mon</v>
      </c>
    </row>
    <row r="5253" spans="1:11" x14ac:dyDescent="0.35">
      <c r="A5253" s="1">
        <v>43186</v>
      </c>
      <c r="B5253">
        <v>78.620002746582003</v>
      </c>
      <c r="C5253">
        <v>78.798500061035099</v>
      </c>
      <c r="D5253">
        <v>74.115997314453097</v>
      </c>
      <c r="E5253">
        <v>74.852500915527301</v>
      </c>
      <c r="F5253">
        <v>74.852500915527301</v>
      </c>
      <c r="G5253">
        <v>139992000</v>
      </c>
      <c r="H5253">
        <f t="shared" si="328"/>
        <v>2018</v>
      </c>
      <c r="I5253">
        <f t="shared" si="329"/>
        <v>3</v>
      </c>
      <c r="J5253" t="str">
        <f t="shared" si="330"/>
        <v>Mar</v>
      </c>
      <c r="K5253" t="str">
        <f t="shared" si="331"/>
        <v>Tue</v>
      </c>
    </row>
    <row r="5254" spans="1:11" x14ac:dyDescent="0.35">
      <c r="A5254" s="1">
        <v>43187</v>
      </c>
      <c r="B5254">
        <v>72.349998474121094</v>
      </c>
      <c r="C5254">
        <v>72.794998168945298</v>
      </c>
      <c r="D5254">
        <v>69.308502197265597</v>
      </c>
      <c r="E5254">
        <v>71.570999145507798</v>
      </c>
      <c r="F5254">
        <v>71.570999145507798</v>
      </c>
      <c r="G5254">
        <v>274106000</v>
      </c>
      <c r="H5254">
        <f t="shared" si="328"/>
        <v>2018</v>
      </c>
      <c r="I5254">
        <f t="shared" si="329"/>
        <v>3</v>
      </c>
      <c r="J5254" t="str">
        <f t="shared" si="330"/>
        <v>Mar</v>
      </c>
      <c r="K5254" t="str">
        <f t="shared" si="331"/>
        <v>Wed</v>
      </c>
    </row>
    <row r="5255" spans="1:11" x14ac:dyDescent="0.35">
      <c r="A5255" s="1">
        <v>43188</v>
      </c>
      <c r="B5255">
        <v>70.300003051757798</v>
      </c>
      <c r="C5255">
        <v>72.773498535156193</v>
      </c>
      <c r="D5255">
        <v>68.260002136230398</v>
      </c>
      <c r="E5255">
        <v>72.366996765136705</v>
      </c>
      <c r="F5255">
        <v>72.366996765136705</v>
      </c>
      <c r="G5255">
        <v>251622000</v>
      </c>
      <c r="H5255">
        <f t="shared" si="328"/>
        <v>2018</v>
      </c>
      <c r="I5255">
        <f t="shared" si="329"/>
        <v>3</v>
      </c>
      <c r="J5255" t="str">
        <f t="shared" si="330"/>
        <v>Mar</v>
      </c>
      <c r="K5255" t="str">
        <f t="shared" si="331"/>
        <v>Thu</v>
      </c>
    </row>
    <row r="5256" spans="1:11" x14ac:dyDescent="0.35">
      <c r="A5256" s="1">
        <v>43192</v>
      </c>
      <c r="B5256">
        <v>70.880996704101506</v>
      </c>
      <c r="C5256">
        <v>71.068000793457003</v>
      </c>
      <c r="D5256">
        <v>67.75</v>
      </c>
      <c r="E5256">
        <v>68.599502563476506</v>
      </c>
      <c r="F5256">
        <v>68.599502563476506</v>
      </c>
      <c r="G5256">
        <v>209272000</v>
      </c>
      <c r="H5256">
        <f t="shared" si="328"/>
        <v>2018</v>
      </c>
      <c r="I5256">
        <f t="shared" si="329"/>
        <v>4</v>
      </c>
      <c r="J5256" t="str">
        <f t="shared" si="330"/>
        <v>Apr</v>
      </c>
      <c r="K5256" t="str">
        <f t="shared" si="331"/>
        <v>Mon</v>
      </c>
    </row>
    <row r="5257" spans="1:11" x14ac:dyDescent="0.35">
      <c r="A5257" s="1">
        <v>43193</v>
      </c>
      <c r="B5257">
        <v>69.569000244140597</v>
      </c>
      <c r="C5257">
        <v>70.699996948242102</v>
      </c>
      <c r="D5257">
        <v>67.766502380371094</v>
      </c>
      <c r="E5257">
        <v>69.602500915527301</v>
      </c>
      <c r="F5257">
        <v>69.602500915527301</v>
      </c>
      <c r="G5257">
        <v>204624000</v>
      </c>
      <c r="H5257">
        <f t="shared" si="328"/>
        <v>2018</v>
      </c>
      <c r="I5257">
        <f t="shared" si="329"/>
        <v>4</v>
      </c>
      <c r="J5257" t="str">
        <f t="shared" si="330"/>
        <v>Apr</v>
      </c>
      <c r="K5257" t="str">
        <f t="shared" si="331"/>
        <v>Tue</v>
      </c>
    </row>
    <row r="5258" spans="1:11" x14ac:dyDescent="0.35">
      <c r="A5258" s="1">
        <v>43194</v>
      </c>
      <c r="B5258">
        <v>67.912002563476506</v>
      </c>
      <c r="C5258">
        <v>70.769500732421804</v>
      </c>
      <c r="D5258">
        <v>67.643997192382798</v>
      </c>
      <c r="E5258">
        <v>70.528503417968693</v>
      </c>
      <c r="F5258">
        <v>70.528503417968693</v>
      </c>
      <c r="G5258">
        <v>139646000</v>
      </c>
      <c r="H5258">
        <f t="shared" si="328"/>
        <v>2018</v>
      </c>
      <c r="I5258">
        <f t="shared" si="329"/>
        <v>4</v>
      </c>
      <c r="J5258" t="str">
        <f t="shared" si="330"/>
        <v>Apr</v>
      </c>
      <c r="K5258" t="str">
        <f t="shared" si="331"/>
        <v>Wed</v>
      </c>
    </row>
    <row r="5259" spans="1:11" x14ac:dyDescent="0.35">
      <c r="A5259" s="1">
        <v>43195</v>
      </c>
      <c r="B5259">
        <v>72.099502563476506</v>
      </c>
      <c r="C5259">
        <v>72.977996826171804</v>
      </c>
      <c r="D5259">
        <v>71.353500366210895</v>
      </c>
      <c r="E5259">
        <v>72.587501525878906</v>
      </c>
      <c r="F5259">
        <v>72.587501525878906</v>
      </c>
      <c r="G5259">
        <v>128270000</v>
      </c>
      <c r="H5259">
        <f t="shared" si="328"/>
        <v>2018</v>
      </c>
      <c r="I5259">
        <f t="shared" si="329"/>
        <v>4</v>
      </c>
      <c r="J5259" t="str">
        <f t="shared" si="330"/>
        <v>Apr</v>
      </c>
      <c r="K5259" t="str">
        <f t="shared" si="331"/>
        <v>Thu</v>
      </c>
    </row>
    <row r="5260" spans="1:11" x14ac:dyDescent="0.35">
      <c r="A5260" s="1">
        <v>43196</v>
      </c>
      <c r="B5260">
        <v>71.498497009277301</v>
      </c>
      <c r="C5260">
        <v>72.625</v>
      </c>
      <c r="D5260">
        <v>70.013000488281193</v>
      </c>
      <c r="E5260">
        <v>70.261497497558594</v>
      </c>
      <c r="F5260">
        <v>70.261497497558594</v>
      </c>
      <c r="G5260">
        <v>117646000</v>
      </c>
      <c r="H5260">
        <f t="shared" si="328"/>
        <v>2018</v>
      </c>
      <c r="I5260">
        <f t="shared" si="329"/>
        <v>4</v>
      </c>
      <c r="J5260" t="str">
        <f t="shared" si="330"/>
        <v>Apr</v>
      </c>
      <c r="K5260" t="str">
        <f t="shared" si="331"/>
        <v>Fri</v>
      </c>
    </row>
    <row r="5261" spans="1:11" x14ac:dyDescent="0.35">
      <c r="A5261" s="1">
        <v>43199</v>
      </c>
      <c r="B5261">
        <v>71.251502990722599</v>
      </c>
      <c r="C5261">
        <v>71.924003601074205</v>
      </c>
      <c r="D5261">
        <v>70.128501892089801</v>
      </c>
      <c r="E5261">
        <v>70.304000854492102</v>
      </c>
      <c r="F5261">
        <v>70.304000854492102</v>
      </c>
      <c r="G5261">
        <v>84164000</v>
      </c>
      <c r="H5261">
        <f t="shared" si="328"/>
        <v>2018</v>
      </c>
      <c r="I5261">
        <f t="shared" si="329"/>
        <v>4</v>
      </c>
      <c r="J5261" t="str">
        <f t="shared" si="330"/>
        <v>Apr</v>
      </c>
      <c r="K5261" t="str">
        <f t="shared" si="331"/>
        <v>Mon</v>
      </c>
    </row>
    <row r="5262" spans="1:11" x14ac:dyDescent="0.35">
      <c r="A5262" s="1">
        <v>43200</v>
      </c>
      <c r="B5262">
        <v>71.599502563476506</v>
      </c>
      <c r="C5262">
        <v>71.918998718261705</v>
      </c>
      <c r="D5262">
        <v>70.785003662109304</v>
      </c>
      <c r="E5262">
        <v>71.810997009277301</v>
      </c>
      <c r="F5262">
        <v>71.810997009277301</v>
      </c>
      <c r="G5262">
        <v>85082000</v>
      </c>
      <c r="H5262">
        <f t="shared" si="328"/>
        <v>2018</v>
      </c>
      <c r="I5262">
        <f t="shared" si="329"/>
        <v>4</v>
      </c>
      <c r="J5262" t="str">
        <f t="shared" si="330"/>
        <v>Apr</v>
      </c>
      <c r="K5262" t="str">
        <f t="shared" si="331"/>
        <v>Tue</v>
      </c>
    </row>
    <row r="5263" spans="1:11" x14ac:dyDescent="0.35">
      <c r="A5263" s="1">
        <v>43201</v>
      </c>
      <c r="B5263">
        <v>71.972000122070298</v>
      </c>
      <c r="C5263">
        <v>72.439002990722599</v>
      </c>
      <c r="D5263">
        <v>71.244499206542898</v>
      </c>
      <c r="E5263">
        <v>71.352500915527301</v>
      </c>
      <c r="F5263">
        <v>71.352500915527301</v>
      </c>
      <c r="G5263">
        <v>71650000</v>
      </c>
      <c r="H5263">
        <f t="shared" si="328"/>
        <v>2018</v>
      </c>
      <c r="I5263">
        <f t="shared" si="329"/>
        <v>4</v>
      </c>
      <c r="J5263" t="str">
        <f t="shared" si="330"/>
        <v>Apr</v>
      </c>
      <c r="K5263" t="str">
        <f t="shared" si="331"/>
        <v>Wed</v>
      </c>
    </row>
    <row r="5264" spans="1:11" x14ac:dyDescent="0.35">
      <c r="A5264" s="1">
        <v>43202</v>
      </c>
      <c r="B5264">
        <v>71.974998474121094</v>
      </c>
      <c r="C5264">
        <v>72.606002807617102</v>
      </c>
      <c r="D5264">
        <v>71.752998352050696</v>
      </c>
      <c r="E5264">
        <v>72.425003051757798</v>
      </c>
      <c r="F5264">
        <v>72.425003051757798</v>
      </c>
      <c r="G5264">
        <v>62700000</v>
      </c>
      <c r="H5264">
        <f t="shared" si="328"/>
        <v>2018</v>
      </c>
      <c r="I5264">
        <f t="shared" si="329"/>
        <v>4</v>
      </c>
      <c r="J5264" t="str">
        <f t="shared" si="330"/>
        <v>Apr</v>
      </c>
      <c r="K5264" t="str">
        <f t="shared" si="331"/>
        <v>Thu</v>
      </c>
    </row>
    <row r="5265" spans="1:11" x14ac:dyDescent="0.35">
      <c r="A5265" s="1">
        <v>43203</v>
      </c>
      <c r="B5265">
        <v>72.457000732421804</v>
      </c>
      <c r="C5265">
        <v>72.988998413085895</v>
      </c>
      <c r="D5265">
        <v>71.225997924804602</v>
      </c>
      <c r="E5265">
        <v>71.539497375488196</v>
      </c>
      <c r="F5265">
        <v>71.539497375488196</v>
      </c>
      <c r="G5265">
        <v>73706000</v>
      </c>
      <c r="H5265">
        <f t="shared" si="328"/>
        <v>2018</v>
      </c>
      <c r="I5265">
        <f t="shared" si="329"/>
        <v>4</v>
      </c>
      <c r="J5265" t="str">
        <f t="shared" si="330"/>
        <v>Apr</v>
      </c>
      <c r="K5265" t="str">
        <f t="shared" si="331"/>
        <v>Fri</v>
      </c>
    </row>
    <row r="5266" spans="1:11" x14ac:dyDescent="0.35">
      <c r="A5266" s="1">
        <v>43206</v>
      </c>
      <c r="B5266">
        <v>72.25</v>
      </c>
      <c r="C5266">
        <v>72.349998474121094</v>
      </c>
      <c r="D5266">
        <v>71.374000549316406</v>
      </c>
      <c r="E5266">
        <v>72.074996948242102</v>
      </c>
      <c r="F5266">
        <v>72.074996948242102</v>
      </c>
      <c r="G5266">
        <v>56172000</v>
      </c>
      <c r="H5266">
        <f t="shared" si="328"/>
        <v>2018</v>
      </c>
      <c r="I5266">
        <f t="shared" si="329"/>
        <v>4</v>
      </c>
      <c r="J5266" t="str">
        <f t="shared" si="330"/>
        <v>Apr</v>
      </c>
      <c r="K5266" t="str">
        <f t="shared" si="331"/>
        <v>Mon</v>
      </c>
    </row>
    <row r="5267" spans="1:11" x14ac:dyDescent="0.35">
      <c r="A5267" s="1">
        <v>43207</v>
      </c>
      <c r="B5267">
        <v>73.114997863769503</v>
      </c>
      <c r="C5267">
        <v>75.3594970703125</v>
      </c>
      <c r="D5267">
        <v>72.850997924804602</v>
      </c>
      <c r="E5267">
        <v>75.191497802734304</v>
      </c>
      <c r="F5267">
        <v>75.191497802734304</v>
      </c>
      <c r="G5267">
        <v>102288000</v>
      </c>
      <c r="H5267">
        <f t="shared" si="328"/>
        <v>2018</v>
      </c>
      <c r="I5267">
        <f t="shared" si="329"/>
        <v>4</v>
      </c>
      <c r="J5267" t="str">
        <f t="shared" si="330"/>
        <v>Apr</v>
      </c>
      <c r="K5267" t="str">
        <f t="shared" si="331"/>
        <v>Tue</v>
      </c>
    </row>
    <row r="5268" spans="1:11" x14ac:dyDescent="0.35">
      <c r="A5268" s="1">
        <v>43208</v>
      </c>
      <c r="B5268">
        <v>75.732498168945298</v>
      </c>
      <c r="C5268">
        <v>76.690002441406193</v>
      </c>
      <c r="D5268">
        <v>75.205497741699205</v>
      </c>
      <c r="E5268">
        <v>76.391998291015597</v>
      </c>
      <c r="F5268">
        <v>76.391998291015597</v>
      </c>
      <c r="G5268">
        <v>104550000</v>
      </c>
      <c r="H5268">
        <f t="shared" si="328"/>
        <v>2018</v>
      </c>
      <c r="I5268">
        <f t="shared" si="329"/>
        <v>4</v>
      </c>
      <c r="J5268" t="str">
        <f t="shared" si="330"/>
        <v>Apr</v>
      </c>
      <c r="K5268" t="str">
        <f t="shared" si="331"/>
        <v>Wed</v>
      </c>
    </row>
    <row r="5269" spans="1:11" x14ac:dyDescent="0.35">
      <c r="A5269" s="1">
        <v>43209</v>
      </c>
      <c r="B5269">
        <v>77.161003112792898</v>
      </c>
      <c r="C5269">
        <v>78.426002502441406</v>
      </c>
      <c r="D5269">
        <v>76.9530029296875</v>
      </c>
      <c r="E5269">
        <v>77.845497131347599</v>
      </c>
      <c r="F5269">
        <v>77.845497131347599</v>
      </c>
      <c r="G5269">
        <v>130474000</v>
      </c>
      <c r="H5269">
        <f t="shared" si="328"/>
        <v>2018</v>
      </c>
      <c r="I5269">
        <f t="shared" si="329"/>
        <v>4</v>
      </c>
      <c r="J5269" t="str">
        <f t="shared" si="330"/>
        <v>Apr</v>
      </c>
      <c r="K5269" t="str">
        <f t="shared" si="331"/>
        <v>Thu</v>
      </c>
    </row>
    <row r="5270" spans="1:11" x14ac:dyDescent="0.35">
      <c r="A5270" s="1">
        <v>43210</v>
      </c>
      <c r="B5270">
        <v>78.059997558593693</v>
      </c>
      <c r="C5270">
        <v>78.059997558593693</v>
      </c>
      <c r="D5270">
        <v>75.804496765136705</v>
      </c>
      <c r="E5270">
        <v>76.374496459960895</v>
      </c>
      <c r="F5270">
        <v>76.374496459960895</v>
      </c>
      <c r="G5270">
        <v>110832000</v>
      </c>
      <c r="H5270">
        <f t="shared" si="328"/>
        <v>2018</v>
      </c>
      <c r="I5270">
        <f t="shared" si="329"/>
        <v>4</v>
      </c>
      <c r="J5270" t="str">
        <f t="shared" si="330"/>
        <v>Apr</v>
      </c>
      <c r="K5270" t="str">
        <f t="shared" si="331"/>
        <v>Fri</v>
      </c>
    </row>
    <row r="5271" spans="1:11" x14ac:dyDescent="0.35">
      <c r="A5271" s="1">
        <v>43213</v>
      </c>
      <c r="B5271">
        <v>77.334503173828097</v>
      </c>
      <c r="C5271">
        <v>77.400001525878906</v>
      </c>
      <c r="D5271">
        <v>75.170501708984304</v>
      </c>
      <c r="E5271">
        <v>75.892997741699205</v>
      </c>
      <c r="F5271">
        <v>75.892997741699205</v>
      </c>
      <c r="G5271">
        <v>89308000</v>
      </c>
      <c r="H5271">
        <f t="shared" si="328"/>
        <v>2018</v>
      </c>
      <c r="I5271">
        <f t="shared" si="329"/>
        <v>4</v>
      </c>
      <c r="J5271" t="str">
        <f t="shared" si="330"/>
        <v>Apr</v>
      </c>
      <c r="K5271" t="str">
        <f t="shared" si="331"/>
        <v>Mon</v>
      </c>
    </row>
    <row r="5272" spans="1:11" x14ac:dyDescent="0.35">
      <c r="A5272" s="1">
        <v>43214</v>
      </c>
      <c r="B5272">
        <v>76.790000915527301</v>
      </c>
      <c r="C5272">
        <v>76.974998474121094</v>
      </c>
      <c r="D5272">
        <v>72.422500610351506</v>
      </c>
      <c r="E5272">
        <v>73.004501342773395</v>
      </c>
      <c r="F5272">
        <v>73.004501342773395</v>
      </c>
      <c r="G5272">
        <v>149894000</v>
      </c>
      <c r="H5272">
        <f t="shared" si="328"/>
        <v>2018</v>
      </c>
      <c r="I5272">
        <f t="shared" si="329"/>
        <v>4</v>
      </c>
      <c r="J5272" t="str">
        <f t="shared" si="330"/>
        <v>Apr</v>
      </c>
      <c r="K5272" t="str">
        <f t="shared" si="331"/>
        <v>Tue</v>
      </c>
    </row>
    <row r="5273" spans="1:11" x14ac:dyDescent="0.35">
      <c r="A5273" s="1">
        <v>43215</v>
      </c>
      <c r="B5273">
        <v>72.900001525878906</v>
      </c>
      <c r="C5273">
        <v>73.499496459960895</v>
      </c>
      <c r="D5273">
        <v>70.750999450683594</v>
      </c>
      <c r="E5273">
        <v>73.008499145507798</v>
      </c>
      <c r="F5273">
        <v>73.008499145507798</v>
      </c>
      <c r="G5273">
        <v>131746000</v>
      </c>
      <c r="H5273">
        <f t="shared" si="328"/>
        <v>2018</v>
      </c>
      <c r="I5273">
        <f t="shared" si="329"/>
        <v>4</v>
      </c>
      <c r="J5273" t="str">
        <f t="shared" si="330"/>
        <v>Apr</v>
      </c>
      <c r="K5273" t="str">
        <f t="shared" si="331"/>
        <v>Wed</v>
      </c>
    </row>
    <row r="5274" spans="1:11" x14ac:dyDescent="0.35">
      <c r="A5274" s="1">
        <v>43216</v>
      </c>
      <c r="B5274">
        <v>74.250503540039006</v>
      </c>
      <c r="C5274">
        <v>76.471000671386705</v>
      </c>
      <c r="D5274">
        <v>73.925003051757798</v>
      </c>
      <c r="E5274">
        <v>75.898002624511705</v>
      </c>
      <c r="F5274">
        <v>75.898002624511705</v>
      </c>
      <c r="G5274">
        <v>176022000</v>
      </c>
      <c r="H5274">
        <f t="shared" si="328"/>
        <v>2018</v>
      </c>
      <c r="I5274">
        <f t="shared" si="329"/>
        <v>4</v>
      </c>
      <c r="J5274" t="str">
        <f t="shared" si="330"/>
        <v>Apr</v>
      </c>
      <c r="K5274" t="str">
        <f t="shared" si="331"/>
        <v>Thu</v>
      </c>
    </row>
    <row r="5275" spans="1:11" x14ac:dyDescent="0.35">
      <c r="A5275" s="1">
        <v>43217</v>
      </c>
      <c r="B5275">
        <v>81.700500488281193</v>
      </c>
      <c r="C5275">
        <v>81.904998779296804</v>
      </c>
      <c r="D5275">
        <v>78.369499206542898</v>
      </c>
      <c r="E5275">
        <v>78.630996704101506</v>
      </c>
      <c r="F5275">
        <v>78.630996704101506</v>
      </c>
      <c r="G5275">
        <v>261064000</v>
      </c>
      <c r="H5275">
        <f t="shared" si="328"/>
        <v>2018</v>
      </c>
      <c r="I5275">
        <f t="shared" si="329"/>
        <v>4</v>
      </c>
      <c r="J5275" t="str">
        <f t="shared" si="330"/>
        <v>Apr</v>
      </c>
      <c r="K5275" t="str">
        <f t="shared" si="331"/>
        <v>Fri</v>
      </c>
    </row>
    <row r="5276" spans="1:11" x14ac:dyDescent="0.35">
      <c r="A5276" s="1">
        <v>43220</v>
      </c>
      <c r="B5276">
        <v>79.125</v>
      </c>
      <c r="C5276">
        <v>79.800003051757798</v>
      </c>
      <c r="D5276">
        <v>78.0469970703125</v>
      </c>
      <c r="E5276">
        <v>78.306503295898395</v>
      </c>
      <c r="F5276">
        <v>78.306503295898395</v>
      </c>
      <c r="G5276">
        <v>109282000</v>
      </c>
      <c r="H5276">
        <f t="shared" si="328"/>
        <v>2018</v>
      </c>
      <c r="I5276">
        <f t="shared" si="329"/>
        <v>4</v>
      </c>
      <c r="J5276" t="str">
        <f t="shared" si="330"/>
        <v>Apr</v>
      </c>
      <c r="K5276" t="str">
        <f t="shared" si="331"/>
        <v>Mon</v>
      </c>
    </row>
    <row r="5277" spans="1:11" x14ac:dyDescent="0.35">
      <c r="A5277" s="1">
        <v>43221</v>
      </c>
      <c r="B5277">
        <v>78.161003112792898</v>
      </c>
      <c r="C5277">
        <v>79.25</v>
      </c>
      <c r="D5277">
        <v>77.609001159667898</v>
      </c>
      <c r="E5277">
        <v>79.112998962402301</v>
      </c>
      <c r="F5277">
        <v>79.112998962402301</v>
      </c>
      <c r="G5277">
        <v>91442000</v>
      </c>
      <c r="H5277">
        <f t="shared" si="328"/>
        <v>2018</v>
      </c>
      <c r="I5277">
        <f t="shared" si="329"/>
        <v>5</v>
      </c>
      <c r="J5277" t="str">
        <f t="shared" si="330"/>
        <v>May</v>
      </c>
      <c r="K5277" t="str">
        <f t="shared" si="331"/>
        <v>Tue</v>
      </c>
    </row>
    <row r="5278" spans="1:11" x14ac:dyDescent="0.35">
      <c r="A5278" s="1">
        <v>43222</v>
      </c>
      <c r="B5278">
        <v>79.049003601074205</v>
      </c>
      <c r="C5278">
        <v>79.425003051757798</v>
      </c>
      <c r="D5278">
        <v>78.318000793457003</v>
      </c>
      <c r="E5278">
        <v>78.484001159667898</v>
      </c>
      <c r="F5278">
        <v>78.484001159667898</v>
      </c>
      <c r="G5278">
        <v>87206000</v>
      </c>
      <c r="H5278">
        <f t="shared" si="328"/>
        <v>2018</v>
      </c>
      <c r="I5278">
        <f t="shared" si="329"/>
        <v>5</v>
      </c>
      <c r="J5278" t="str">
        <f t="shared" si="330"/>
        <v>May</v>
      </c>
      <c r="K5278" t="str">
        <f t="shared" si="331"/>
        <v>Wed</v>
      </c>
    </row>
    <row r="5279" spans="1:11" x14ac:dyDescent="0.35">
      <c r="A5279" s="1">
        <v>43223</v>
      </c>
      <c r="B5279">
        <v>78.000503540039006</v>
      </c>
      <c r="C5279">
        <v>78.739997863769503</v>
      </c>
      <c r="D5279">
        <v>77.301002502441406</v>
      </c>
      <c r="E5279">
        <v>78.603996276855398</v>
      </c>
      <c r="F5279">
        <v>78.603996276855398</v>
      </c>
      <c r="G5279">
        <v>85038000</v>
      </c>
      <c r="H5279">
        <f t="shared" si="328"/>
        <v>2018</v>
      </c>
      <c r="I5279">
        <f t="shared" si="329"/>
        <v>5</v>
      </c>
      <c r="J5279" t="str">
        <f t="shared" si="330"/>
        <v>May</v>
      </c>
      <c r="K5279" t="str">
        <f t="shared" si="331"/>
        <v>Thu</v>
      </c>
    </row>
    <row r="5280" spans="1:11" x14ac:dyDescent="0.35">
      <c r="A5280" s="1">
        <v>43224</v>
      </c>
      <c r="B5280">
        <v>78.122497558593693</v>
      </c>
      <c r="C5280">
        <v>79.245002746582003</v>
      </c>
      <c r="D5280">
        <v>78.1094970703125</v>
      </c>
      <c r="E5280">
        <v>79.047500610351506</v>
      </c>
      <c r="F5280">
        <v>79.047500610351506</v>
      </c>
      <c r="G5280">
        <v>68872000</v>
      </c>
      <c r="H5280">
        <f t="shared" si="328"/>
        <v>2018</v>
      </c>
      <c r="I5280">
        <f t="shared" si="329"/>
        <v>5</v>
      </c>
      <c r="J5280" t="str">
        <f t="shared" si="330"/>
        <v>May</v>
      </c>
      <c r="K5280" t="str">
        <f t="shared" si="331"/>
        <v>Fri</v>
      </c>
    </row>
    <row r="5281" spans="1:11" x14ac:dyDescent="0.35">
      <c r="A5281" s="1">
        <v>43227</v>
      </c>
      <c r="B5281">
        <v>79.467002868652301</v>
      </c>
      <c r="C5281">
        <v>80.347503662109304</v>
      </c>
      <c r="D5281">
        <v>79.391502380371094</v>
      </c>
      <c r="E5281">
        <v>80.007003784179602</v>
      </c>
      <c r="F5281">
        <v>80.007003784179602</v>
      </c>
      <c r="G5281">
        <v>76038000</v>
      </c>
      <c r="H5281">
        <f t="shared" si="328"/>
        <v>2018</v>
      </c>
      <c r="I5281">
        <f t="shared" si="329"/>
        <v>5</v>
      </c>
      <c r="J5281" t="str">
        <f t="shared" si="330"/>
        <v>May</v>
      </c>
      <c r="K5281" t="str">
        <f t="shared" si="331"/>
        <v>Mon</v>
      </c>
    </row>
    <row r="5282" spans="1:11" x14ac:dyDescent="0.35">
      <c r="A5282" s="1">
        <v>43228</v>
      </c>
      <c r="B5282">
        <v>79.75</v>
      </c>
      <c r="C5282">
        <v>79.844001770019503</v>
      </c>
      <c r="D5282">
        <v>79.125503540039006</v>
      </c>
      <c r="E5282">
        <v>79.619499206542898</v>
      </c>
      <c r="F5282">
        <v>79.619499206542898</v>
      </c>
      <c r="G5282">
        <v>61358000</v>
      </c>
      <c r="H5282">
        <f t="shared" si="328"/>
        <v>2018</v>
      </c>
      <c r="I5282">
        <f t="shared" si="329"/>
        <v>5</v>
      </c>
      <c r="J5282" t="str">
        <f t="shared" si="330"/>
        <v>May</v>
      </c>
      <c r="K5282" t="str">
        <f t="shared" si="331"/>
        <v>Tue</v>
      </c>
    </row>
    <row r="5283" spans="1:11" x14ac:dyDescent="0.35">
      <c r="A5283" s="1">
        <v>43229</v>
      </c>
      <c r="B5283">
        <v>80</v>
      </c>
      <c r="C5283">
        <v>80.400001525878906</v>
      </c>
      <c r="D5283">
        <v>79.599998474121094</v>
      </c>
      <c r="E5283">
        <v>80.400001525878906</v>
      </c>
      <c r="F5283">
        <v>80.400001525878906</v>
      </c>
      <c r="G5283">
        <v>72746000</v>
      </c>
      <c r="H5283">
        <f t="shared" si="328"/>
        <v>2018</v>
      </c>
      <c r="I5283">
        <f t="shared" si="329"/>
        <v>5</v>
      </c>
      <c r="J5283" t="str">
        <f t="shared" si="330"/>
        <v>May</v>
      </c>
      <c r="K5283" t="str">
        <f t="shared" si="331"/>
        <v>Wed</v>
      </c>
    </row>
    <row r="5284" spans="1:11" x14ac:dyDescent="0.35">
      <c r="A5284" s="1">
        <v>43230</v>
      </c>
      <c r="B5284">
        <v>80.424003601074205</v>
      </c>
      <c r="C5284">
        <v>80.779998779296804</v>
      </c>
      <c r="D5284">
        <v>80.1719970703125</v>
      </c>
      <c r="E5284">
        <v>80.454002380371094</v>
      </c>
      <c r="F5284">
        <v>80.454002380371094</v>
      </c>
      <c r="G5284">
        <v>56350000</v>
      </c>
      <c r="H5284">
        <f t="shared" si="328"/>
        <v>2018</v>
      </c>
      <c r="I5284">
        <f t="shared" si="329"/>
        <v>5</v>
      </c>
      <c r="J5284" t="str">
        <f t="shared" si="330"/>
        <v>May</v>
      </c>
      <c r="K5284" t="str">
        <f t="shared" si="331"/>
        <v>Thu</v>
      </c>
    </row>
    <row r="5285" spans="1:11" x14ac:dyDescent="0.35">
      <c r="A5285" s="1">
        <v>43231</v>
      </c>
      <c r="B5285">
        <v>80.549499511718693</v>
      </c>
      <c r="C5285">
        <v>80.555000305175696</v>
      </c>
      <c r="D5285">
        <v>79.894500732421804</v>
      </c>
      <c r="E5285">
        <v>80.145500183105398</v>
      </c>
      <c r="F5285">
        <v>80.145500183105398</v>
      </c>
      <c r="G5285">
        <v>45278000</v>
      </c>
      <c r="H5285">
        <f t="shared" si="328"/>
        <v>2018</v>
      </c>
      <c r="I5285">
        <f t="shared" si="329"/>
        <v>5</v>
      </c>
      <c r="J5285" t="str">
        <f t="shared" si="330"/>
        <v>May</v>
      </c>
      <c r="K5285" t="str">
        <f t="shared" si="331"/>
        <v>Fri</v>
      </c>
    </row>
    <row r="5286" spans="1:11" x14ac:dyDescent="0.35">
      <c r="A5286" s="1">
        <v>43234</v>
      </c>
      <c r="B5286">
        <v>80.199996948242102</v>
      </c>
      <c r="C5286">
        <v>80.558998107910099</v>
      </c>
      <c r="D5286">
        <v>80.002502441406193</v>
      </c>
      <c r="E5286">
        <v>80.077003479003906</v>
      </c>
      <c r="F5286">
        <v>80.077003479003906</v>
      </c>
      <c r="G5286">
        <v>50190000</v>
      </c>
      <c r="H5286">
        <f t="shared" si="328"/>
        <v>2018</v>
      </c>
      <c r="I5286">
        <f t="shared" si="329"/>
        <v>5</v>
      </c>
      <c r="J5286" t="str">
        <f t="shared" si="330"/>
        <v>May</v>
      </c>
      <c r="K5286" t="str">
        <f t="shared" si="331"/>
        <v>Mon</v>
      </c>
    </row>
    <row r="5287" spans="1:11" x14ac:dyDescent="0.35">
      <c r="A5287" s="1">
        <v>43235</v>
      </c>
      <c r="B5287">
        <v>79.389999389648395</v>
      </c>
      <c r="C5287">
        <v>79.389999389648395</v>
      </c>
      <c r="D5287">
        <v>78.261001586914006</v>
      </c>
      <c r="E5287">
        <v>78.805999755859304</v>
      </c>
      <c r="F5287">
        <v>78.805999755859304</v>
      </c>
      <c r="G5287">
        <v>101550000</v>
      </c>
      <c r="H5287">
        <f t="shared" si="328"/>
        <v>2018</v>
      </c>
      <c r="I5287">
        <f t="shared" si="329"/>
        <v>5</v>
      </c>
      <c r="J5287" t="str">
        <f t="shared" si="330"/>
        <v>May</v>
      </c>
      <c r="K5287" t="str">
        <f t="shared" si="331"/>
        <v>Tue</v>
      </c>
    </row>
    <row r="5288" spans="1:11" x14ac:dyDescent="0.35">
      <c r="A5288" s="1">
        <v>43236</v>
      </c>
      <c r="B5288">
        <v>78.875</v>
      </c>
      <c r="C5288">
        <v>79.721496582031193</v>
      </c>
      <c r="D5288">
        <v>78.833503723144503</v>
      </c>
      <c r="E5288">
        <v>79.363998413085895</v>
      </c>
      <c r="F5288">
        <v>79.363998413085895</v>
      </c>
      <c r="G5288">
        <v>51412000</v>
      </c>
      <c r="H5288">
        <f t="shared" si="328"/>
        <v>2018</v>
      </c>
      <c r="I5288">
        <f t="shared" si="329"/>
        <v>5</v>
      </c>
      <c r="J5288" t="str">
        <f t="shared" si="330"/>
        <v>May</v>
      </c>
      <c r="K5288" t="str">
        <f t="shared" si="331"/>
        <v>Wed</v>
      </c>
    </row>
    <row r="5289" spans="1:11" x14ac:dyDescent="0.35">
      <c r="A5289" s="1">
        <v>43237</v>
      </c>
      <c r="B5289">
        <v>79.027999877929602</v>
      </c>
      <c r="C5289">
        <v>79.702003479003906</v>
      </c>
      <c r="D5289">
        <v>78.650001525878906</v>
      </c>
      <c r="E5289">
        <v>79.087997436523395</v>
      </c>
      <c r="F5289">
        <v>79.087997436523395</v>
      </c>
      <c r="G5289">
        <v>42952000</v>
      </c>
      <c r="H5289">
        <f t="shared" si="328"/>
        <v>2018</v>
      </c>
      <c r="I5289">
        <f t="shared" si="329"/>
        <v>5</v>
      </c>
      <c r="J5289" t="str">
        <f t="shared" si="330"/>
        <v>May</v>
      </c>
      <c r="K5289" t="str">
        <f t="shared" si="331"/>
        <v>Thu</v>
      </c>
    </row>
    <row r="5290" spans="1:11" x14ac:dyDescent="0.35">
      <c r="A5290" s="1">
        <v>43238</v>
      </c>
      <c r="B5290">
        <v>79.066497802734304</v>
      </c>
      <c r="C5290">
        <v>79.179496765136705</v>
      </c>
      <c r="D5290">
        <v>78.605003356933594</v>
      </c>
      <c r="E5290">
        <v>78.718498229980398</v>
      </c>
      <c r="F5290">
        <v>78.718498229980398</v>
      </c>
      <c r="G5290">
        <v>52852000</v>
      </c>
      <c r="H5290">
        <f t="shared" si="328"/>
        <v>2018</v>
      </c>
      <c r="I5290">
        <f t="shared" si="329"/>
        <v>5</v>
      </c>
      <c r="J5290" t="str">
        <f t="shared" si="330"/>
        <v>May</v>
      </c>
      <c r="K5290" t="str">
        <f t="shared" si="331"/>
        <v>Fri</v>
      </c>
    </row>
    <row r="5291" spans="1:11" x14ac:dyDescent="0.35">
      <c r="A5291" s="1">
        <v>43241</v>
      </c>
      <c r="B5291">
        <v>79.25</v>
      </c>
      <c r="C5291">
        <v>79.602500915527301</v>
      </c>
      <c r="D5291">
        <v>78.75</v>
      </c>
      <c r="E5291">
        <v>79.273002624511705</v>
      </c>
      <c r="F5291">
        <v>79.273002624511705</v>
      </c>
      <c r="G5291">
        <v>58504000</v>
      </c>
      <c r="H5291">
        <f t="shared" si="328"/>
        <v>2018</v>
      </c>
      <c r="I5291">
        <f t="shared" si="329"/>
        <v>5</v>
      </c>
      <c r="J5291" t="str">
        <f t="shared" si="330"/>
        <v>May</v>
      </c>
      <c r="K5291" t="str">
        <f t="shared" si="331"/>
        <v>Mon</v>
      </c>
    </row>
    <row r="5292" spans="1:11" x14ac:dyDescent="0.35">
      <c r="A5292" s="1">
        <v>43242</v>
      </c>
      <c r="B5292">
        <v>79.494499206542898</v>
      </c>
      <c r="C5292">
        <v>79.494499206542898</v>
      </c>
      <c r="D5292">
        <v>78.762496948242102</v>
      </c>
      <c r="E5292">
        <v>79.069999694824205</v>
      </c>
      <c r="F5292">
        <v>79.069999694824205</v>
      </c>
      <c r="G5292">
        <v>42312000</v>
      </c>
      <c r="H5292">
        <f t="shared" si="328"/>
        <v>2018</v>
      </c>
      <c r="I5292">
        <f t="shared" si="329"/>
        <v>5</v>
      </c>
      <c r="J5292" t="str">
        <f t="shared" si="330"/>
        <v>May</v>
      </c>
      <c r="K5292" t="str">
        <f t="shared" si="331"/>
        <v>Tue</v>
      </c>
    </row>
    <row r="5293" spans="1:11" x14ac:dyDescent="0.35">
      <c r="A5293" s="1">
        <v>43243</v>
      </c>
      <c r="B5293">
        <v>78.552497863769503</v>
      </c>
      <c r="C5293">
        <v>80.093002319335895</v>
      </c>
      <c r="D5293">
        <v>78.317001342773395</v>
      </c>
      <c r="E5293">
        <v>80.093002319335895</v>
      </c>
      <c r="F5293">
        <v>80.093002319335895</v>
      </c>
      <c r="G5293">
        <v>67238000</v>
      </c>
      <c r="H5293">
        <f t="shared" si="328"/>
        <v>2018</v>
      </c>
      <c r="I5293">
        <f t="shared" si="329"/>
        <v>5</v>
      </c>
      <c r="J5293" t="str">
        <f t="shared" si="330"/>
        <v>May</v>
      </c>
      <c r="K5293" t="str">
        <f t="shared" si="331"/>
        <v>Wed</v>
      </c>
    </row>
    <row r="5294" spans="1:11" x14ac:dyDescent="0.35">
      <c r="A5294" s="1">
        <v>43244</v>
      </c>
      <c r="B5294">
        <v>79.901496887207003</v>
      </c>
      <c r="C5294">
        <v>80.412002563476506</v>
      </c>
      <c r="D5294">
        <v>79.418998718261705</v>
      </c>
      <c r="E5294">
        <v>80.153503417968693</v>
      </c>
      <c r="F5294">
        <v>80.153503417968693</v>
      </c>
      <c r="G5294">
        <v>68600000</v>
      </c>
      <c r="H5294">
        <f t="shared" si="328"/>
        <v>2018</v>
      </c>
      <c r="I5294">
        <f t="shared" si="329"/>
        <v>5</v>
      </c>
      <c r="J5294" t="str">
        <f t="shared" si="330"/>
        <v>May</v>
      </c>
      <c r="K5294" t="str">
        <f t="shared" si="331"/>
        <v>Thu</v>
      </c>
    </row>
    <row r="5295" spans="1:11" x14ac:dyDescent="0.35">
      <c r="A5295" s="1">
        <v>43245</v>
      </c>
      <c r="B5295">
        <v>80.150001525878906</v>
      </c>
      <c r="C5295">
        <v>80.706001281738196</v>
      </c>
      <c r="D5295">
        <v>80.022499084472599</v>
      </c>
      <c r="E5295">
        <v>80.507499694824205</v>
      </c>
      <c r="F5295">
        <v>80.507499694824205</v>
      </c>
      <c r="G5295">
        <v>53968000</v>
      </c>
      <c r="H5295">
        <f t="shared" si="328"/>
        <v>2018</v>
      </c>
      <c r="I5295">
        <f t="shared" si="329"/>
        <v>5</v>
      </c>
      <c r="J5295" t="str">
        <f t="shared" si="330"/>
        <v>May</v>
      </c>
      <c r="K5295" t="str">
        <f t="shared" si="331"/>
        <v>Fri</v>
      </c>
    </row>
    <row r="5296" spans="1:11" x14ac:dyDescent="0.35">
      <c r="A5296" s="1">
        <v>43249</v>
      </c>
      <c r="B5296">
        <v>80.035499572753906</v>
      </c>
      <c r="C5296">
        <v>81.089500427246094</v>
      </c>
      <c r="D5296">
        <v>80.007499694824205</v>
      </c>
      <c r="E5296">
        <v>80.643501281738196</v>
      </c>
      <c r="F5296">
        <v>80.643501281738196</v>
      </c>
      <c r="G5296">
        <v>76930000</v>
      </c>
      <c r="H5296">
        <f t="shared" si="328"/>
        <v>2018</v>
      </c>
      <c r="I5296">
        <f t="shared" si="329"/>
        <v>5</v>
      </c>
      <c r="J5296" t="str">
        <f t="shared" si="330"/>
        <v>May</v>
      </c>
      <c r="K5296" t="str">
        <f t="shared" si="331"/>
        <v>Tue</v>
      </c>
    </row>
    <row r="5297" spans="1:11" x14ac:dyDescent="0.35">
      <c r="A5297" s="1">
        <v>43250</v>
      </c>
      <c r="B5297">
        <v>80.904998779296804</v>
      </c>
      <c r="C5297">
        <v>81.300003051757798</v>
      </c>
      <c r="D5297">
        <v>80.646499633789006</v>
      </c>
      <c r="E5297">
        <v>81.244499206542898</v>
      </c>
      <c r="F5297">
        <v>81.244499206542898</v>
      </c>
      <c r="G5297">
        <v>58148000</v>
      </c>
      <c r="H5297">
        <f t="shared" si="328"/>
        <v>2018</v>
      </c>
      <c r="I5297">
        <f t="shared" si="329"/>
        <v>5</v>
      </c>
      <c r="J5297" t="str">
        <f t="shared" si="330"/>
        <v>May</v>
      </c>
      <c r="K5297" t="str">
        <f t="shared" si="331"/>
        <v>Wed</v>
      </c>
    </row>
    <row r="5298" spans="1:11" x14ac:dyDescent="0.35">
      <c r="A5298" s="1">
        <v>43251</v>
      </c>
      <c r="B5298">
        <v>81.150001525878906</v>
      </c>
      <c r="C5298">
        <v>81.75</v>
      </c>
      <c r="D5298">
        <v>81.067497253417898</v>
      </c>
      <c r="E5298">
        <v>81.481002807617102</v>
      </c>
      <c r="F5298">
        <v>81.481002807617102</v>
      </c>
      <c r="G5298">
        <v>63326000</v>
      </c>
      <c r="H5298">
        <f t="shared" si="328"/>
        <v>2018</v>
      </c>
      <c r="I5298">
        <f t="shared" si="329"/>
        <v>5</v>
      </c>
      <c r="J5298" t="str">
        <f t="shared" si="330"/>
        <v>May</v>
      </c>
      <c r="K5298" t="str">
        <f t="shared" si="331"/>
        <v>Thu</v>
      </c>
    </row>
    <row r="5299" spans="1:11" x14ac:dyDescent="0.35">
      <c r="A5299" s="1">
        <v>43252</v>
      </c>
      <c r="B5299">
        <v>81.851501464843693</v>
      </c>
      <c r="C5299">
        <v>82.336502075195298</v>
      </c>
      <c r="D5299">
        <v>81.754501342773395</v>
      </c>
      <c r="E5299">
        <v>82.077003479003906</v>
      </c>
      <c r="F5299">
        <v>82.077003479003906</v>
      </c>
      <c r="G5299">
        <v>66268000</v>
      </c>
      <c r="H5299">
        <f t="shared" si="328"/>
        <v>2018</v>
      </c>
      <c r="I5299">
        <f t="shared" si="329"/>
        <v>6</v>
      </c>
      <c r="J5299" t="str">
        <f t="shared" si="330"/>
        <v>Jun</v>
      </c>
      <c r="K5299" t="str">
        <f t="shared" si="331"/>
        <v>Fri</v>
      </c>
    </row>
    <row r="5300" spans="1:11" x14ac:dyDescent="0.35">
      <c r="A5300" s="1">
        <v>43255</v>
      </c>
      <c r="B5300">
        <v>82.444999694824205</v>
      </c>
      <c r="C5300">
        <v>83.283996582031193</v>
      </c>
      <c r="D5300">
        <v>82.274497985839801</v>
      </c>
      <c r="E5300">
        <v>83.263496398925696</v>
      </c>
      <c r="F5300">
        <v>83.263496398925696</v>
      </c>
      <c r="G5300">
        <v>63754000</v>
      </c>
      <c r="H5300">
        <f t="shared" si="328"/>
        <v>2018</v>
      </c>
      <c r="I5300">
        <f t="shared" si="329"/>
        <v>6</v>
      </c>
      <c r="J5300" t="str">
        <f t="shared" si="330"/>
        <v>Jun</v>
      </c>
      <c r="K5300" t="str">
        <f t="shared" si="331"/>
        <v>Mon</v>
      </c>
    </row>
    <row r="5301" spans="1:11" x14ac:dyDescent="0.35">
      <c r="A5301" s="1">
        <v>43256</v>
      </c>
      <c r="B5301">
        <v>83.649497985839801</v>
      </c>
      <c r="C5301">
        <v>84.949996948242102</v>
      </c>
      <c r="D5301">
        <v>83.502998352050696</v>
      </c>
      <c r="E5301">
        <v>84.817497253417898</v>
      </c>
      <c r="F5301">
        <v>84.817497253417898</v>
      </c>
      <c r="G5301">
        <v>95644000</v>
      </c>
      <c r="H5301">
        <f t="shared" si="328"/>
        <v>2018</v>
      </c>
      <c r="I5301">
        <f t="shared" si="329"/>
        <v>6</v>
      </c>
      <c r="J5301" t="str">
        <f t="shared" si="330"/>
        <v>Jun</v>
      </c>
      <c r="K5301" t="str">
        <f t="shared" si="331"/>
        <v>Tue</v>
      </c>
    </row>
    <row r="5302" spans="1:11" x14ac:dyDescent="0.35">
      <c r="A5302" s="1">
        <v>43257</v>
      </c>
      <c r="B5302">
        <v>85.225502014160099</v>
      </c>
      <c r="C5302">
        <v>85.724998474121094</v>
      </c>
      <c r="D5302">
        <v>84.323501586914006</v>
      </c>
      <c r="E5302">
        <v>84.787498474121094</v>
      </c>
      <c r="F5302">
        <v>84.787498474121094</v>
      </c>
      <c r="G5302">
        <v>109464000</v>
      </c>
      <c r="H5302">
        <f t="shared" si="328"/>
        <v>2018</v>
      </c>
      <c r="I5302">
        <f t="shared" si="329"/>
        <v>6</v>
      </c>
      <c r="J5302" t="str">
        <f t="shared" si="330"/>
        <v>Jun</v>
      </c>
      <c r="K5302" t="str">
        <f t="shared" si="331"/>
        <v>Wed</v>
      </c>
    </row>
    <row r="5303" spans="1:11" x14ac:dyDescent="0.35">
      <c r="A5303" s="1">
        <v>43258</v>
      </c>
      <c r="B5303">
        <v>84.928001403808594</v>
      </c>
      <c r="C5303">
        <v>84.995002746582003</v>
      </c>
      <c r="D5303">
        <v>83.805496215820298</v>
      </c>
      <c r="E5303">
        <v>84.464996337890597</v>
      </c>
      <c r="F5303">
        <v>84.464996337890597</v>
      </c>
      <c r="G5303">
        <v>75314000</v>
      </c>
      <c r="H5303">
        <f t="shared" si="328"/>
        <v>2018</v>
      </c>
      <c r="I5303">
        <f t="shared" si="329"/>
        <v>6</v>
      </c>
      <c r="J5303" t="str">
        <f t="shared" si="330"/>
        <v>Jun</v>
      </c>
      <c r="K5303" t="str">
        <f t="shared" si="331"/>
        <v>Thu</v>
      </c>
    </row>
    <row r="5304" spans="1:11" x14ac:dyDescent="0.35">
      <c r="A5304" s="1">
        <v>43259</v>
      </c>
      <c r="B5304">
        <v>84.055999755859304</v>
      </c>
      <c r="C5304">
        <v>84.472000122070298</v>
      </c>
      <c r="D5304">
        <v>83.650497436523395</v>
      </c>
      <c r="E5304">
        <v>84.199501037597599</v>
      </c>
      <c r="F5304">
        <v>84.199501037597599</v>
      </c>
      <c r="G5304">
        <v>59102000</v>
      </c>
      <c r="H5304">
        <f t="shared" si="328"/>
        <v>2018</v>
      </c>
      <c r="I5304">
        <f t="shared" si="329"/>
        <v>6</v>
      </c>
      <c r="J5304" t="str">
        <f t="shared" si="330"/>
        <v>Jun</v>
      </c>
      <c r="K5304" t="str">
        <f t="shared" si="331"/>
        <v>Fri</v>
      </c>
    </row>
    <row r="5305" spans="1:11" x14ac:dyDescent="0.35">
      <c r="A5305" s="1">
        <v>43262</v>
      </c>
      <c r="B5305">
        <v>84.075500488281193</v>
      </c>
      <c r="C5305">
        <v>84.711997985839801</v>
      </c>
      <c r="D5305">
        <v>84.029502868652301</v>
      </c>
      <c r="E5305">
        <v>84.456001281738196</v>
      </c>
      <c r="F5305">
        <v>84.456001281738196</v>
      </c>
      <c r="G5305">
        <v>46710000</v>
      </c>
      <c r="H5305">
        <f t="shared" si="328"/>
        <v>2018</v>
      </c>
      <c r="I5305">
        <f t="shared" si="329"/>
        <v>6</v>
      </c>
      <c r="J5305" t="str">
        <f t="shared" si="330"/>
        <v>Jun</v>
      </c>
      <c r="K5305" t="str">
        <f t="shared" si="331"/>
        <v>Mon</v>
      </c>
    </row>
    <row r="5306" spans="1:11" x14ac:dyDescent="0.35">
      <c r="A5306" s="1">
        <v>43263</v>
      </c>
      <c r="B5306">
        <v>84.650001525878906</v>
      </c>
      <c r="C5306">
        <v>84.975502014160099</v>
      </c>
      <c r="D5306">
        <v>84.575996398925696</v>
      </c>
      <c r="E5306">
        <v>84.9375</v>
      </c>
      <c r="F5306">
        <v>84.9375</v>
      </c>
      <c r="G5306">
        <v>45184000</v>
      </c>
      <c r="H5306">
        <f t="shared" si="328"/>
        <v>2018</v>
      </c>
      <c r="I5306">
        <f t="shared" si="329"/>
        <v>6</v>
      </c>
      <c r="J5306" t="str">
        <f t="shared" si="330"/>
        <v>Jun</v>
      </c>
      <c r="K5306" t="str">
        <f t="shared" si="331"/>
        <v>Tue</v>
      </c>
    </row>
    <row r="5307" spans="1:11" x14ac:dyDescent="0.35">
      <c r="A5307" s="1">
        <v>43264</v>
      </c>
      <c r="B5307">
        <v>85.1405029296875</v>
      </c>
      <c r="C5307">
        <v>85.6875</v>
      </c>
      <c r="D5307">
        <v>85.005996704101506</v>
      </c>
      <c r="E5307">
        <v>85.242996215820298</v>
      </c>
      <c r="F5307">
        <v>85.242996215820298</v>
      </c>
      <c r="G5307">
        <v>66550000</v>
      </c>
      <c r="H5307">
        <f t="shared" si="328"/>
        <v>2018</v>
      </c>
      <c r="I5307">
        <f t="shared" si="329"/>
        <v>6</v>
      </c>
      <c r="J5307" t="str">
        <f t="shared" si="330"/>
        <v>Jun</v>
      </c>
      <c r="K5307" t="str">
        <f t="shared" si="331"/>
        <v>Wed</v>
      </c>
    </row>
    <row r="5308" spans="1:11" x14ac:dyDescent="0.35">
      <c r="A5308" s="1">
        <v>43265</v>
      </c>
      <c r="B5308">
        <v>85.674003601074205</v>
      </c>
      <c r="C5308">
        <v>86.239997863769503</v>
      </c>
      <c r="D5308">
        <v>85.443496704101506</v>
      </c>
      <c r="E5308">
        <v>86.193000793457003</v>
      </c>
      <c r="F5308">
        <v>86.193000793457003</v>
      </c>
      <c r="G5308">
        <v>63488000</v>
      </c>
      <c r="H5308">
        <f t="shared" si="328"/>
        <v>2018</v>
      </c>
      <c r="I5308">
        <f t="shared" si="329"/>
        <v>6</v>
      </c>
      <c r="J5308" t="str">
        <f t="shared" si="330"/>
        <v>Jun</v>
      </c>
      <c r="K5308" t="str">
        <f t="shared" si="331"/>
        <v>Thu</v>
      </c>
    </row>
    <row r="5309" spans="1:11" x14ac:dyDescent="0.35">
      <c r="A5309" s="1">
        <v>43266</v>
      </c>
      <c r="B5309">
        <v>85.699996948242102</v>
      </c>
      <c r="C5309">
        <v>86.043502807617102</v>
      </c>
      <c r="D5309">
        <v>85.426002502441406</v>
      </c>
      <c r="E5309">
        <v>85.798500061035099</v>
      </c>
      <c r="F5309">
        <v>85.798500061035099</v>
      </c>
      <c r="G5309">
        <v>95552000</v>
      </c>
      <c r="H5309">
        <f t="shared" si="328"/>
        <v>2018</v>
      </c>
      <c r="I5309">
        <f t="shared" si="329"/>
        <v>6</v>
      </c>
      <c r="J5309" t="str">
        <f t="shared" si="330"/>
        <v>Jun</v>
      </c>
      <c r="K5309" t="str">
        <f t="shared" si="331"/>
        <v>Fri</v>
      </c>
    </row>
    <row r="5310" spans="1:11" x14ac:dyDescent="0.35">
      <c r="A5310" s="1">
        <v>43269</v>
      </c>
      <c r="B5310">
        <v>85.313003540039006</v>
      </c>
      <c r="C5310">
        <v>86.336997985839801</v>
      </c>
      <c r="D5310">
        <v>85.127998352050696</v>
      </c>
      <c r="E5310">
        <v>86.189498901367102</v>
      </c>
      <c r="F5310">
        <v>86.189498901367102</v>
      </c>
      <c r="G5310">
        <v>62154000</v>
      </c>
      <c r="H5310">
        <f t="shared" si="328"/>
        <v>2018</v>
      </c>
      <c r="I5310">
        <f t="shared" si="329"/>
        <v>6</v>
      </c>
      <c r="J5310" t="str">
        <f t="shared" si="330"/>
        <v>Jun</v>
      </c>
      <c r="K5310" t="str">
        <f t="shared" si="331"/>
        <v>Mon</v>
      </c>
    </row>
    <row r="5311" spans="1:11" x14ac:dyDescent="0.35">
      <c r="A5311" s="1">
        <v>43270</v>
      </c>
      <c r="B5311">
        <v>85.452003479003906</v>
      </c>
      <c r="C5311">
        <v>86.805496215820298</v>
      </c>
      <c r="D5311">
        <v>85.019500732421804</v>
      </c>
      <c r="E5311">
        <v>86.738998413085895</v>
      </c>
      <c r="F5311">
        <v>86.738998413085895</v>
      </c>
      <c r="G5311">
        <v>85802000</v>
      </c>
      <c r="H5311">
        <f t="shared" si="328"/>
        <v>2018</v>
      </c>
      <c r="I5311">
        <f t="shared" si="329"/>
        <v>6</v>
      </c>
      <c r="J5311" t="str">
        <f t="shared" si="330"/>
        <v>Jun</v>
      </c>
      <c r="K5311" t="str">
        <f t="shared" si="331"/>
        <v>Tue</v>
      </c>
    </row>
    <row r="5312" spans="1:11" x14ac:dyDescent="0.35">
      <c r="A5312" s="1">
        <v>43271</v>
      </c>
      <c r="B5312">
        <v>87.125</v>
      </c>
      <c r="C5312">
        <v>88.146499633789006</v>
      </c>
      <c r="D5312">
        <v>87.068000793457003</v>
      </c>
      <c r="E5312">
        <v>87.503997802734304</v>
      </c>
      <c r="F5312">
        <v>87.503997802734304</v>
      </c>
      <c r="G5312">
        <v>86652000</v>
      </c>
      <c r="H5312">
        <f t="shared" si="328"/>
        <v>2018</v>
      </c>
      <c r="I5312">
        <f t="shared" si="329"/>
        <v>6</v>
      </c>
      <c r="J5312" t="str">
        <f t="shared" si="330"/>
        <v>Jun</v>
      </c>
      <c r="K5312" t="str">
        <f t="shared" si="331"/>
        <v>Wed</v>
      </c>
    </row>
    <row r="5313" spans="1:11" x14ac:dyDescent="0.35">
      <c r="A5313" s="1">
        <v>43272</v>
      </c>
      <c r="B5313">
        <v>88</v>
      </c>
      <c r="C5313">
        <v>88.154998779296804</v>
      </c>
      <c r="D5313">
        <v>85.877998352050696</v>
      </c>
      <c r="E5313">
        <v>86.511001586914006</v>
      </c>
      <c r="F5313">
        <v>86.511001586914006</v>
      </c>
      <c r="G5313">
        <v>98822000</v>
      </c>
      <c r="H5313">
        <f t="shared" si="328"/>
        <v>2018</v>
      </c>
      <c r="I5313">
        <f t="shared" si="329"/>
        <v>6</v>
      </c>
      <c r="J5313" t="str">
        <f t="shared" si="330"/>
        <v>Jun</v>
      </c>
      <c r="K5313" t="str">
        <f t="shared" si="331"/>
        <v>Thu</v>
      </c>
    </row>
    <row r="5314" spans="1:11" x14ac:dyDescent="0.35">
      <c r="A5314" s="1">
        <v>43273</v>
      </c>
      <c r="B5314">
        <v>87.130996704101506</v>
      </c>
      <c r="C5314">
        <v>87.150001525878906</v>
      </c>
      <c r="D5314">
        <v>85.595001220703097</v>
      </c>
      <c r="E5314">
        <v>85.783500671386705</v>
      </c>
      <c r="F5314">
        <v>85.783500671386705</v>
      </c>
      <c r="G5314">
        <v>81502000</v>
      </c>
      <c r="H5314">
        <f t="shared" si="328"/>
        <v>2018</v>
      </c>
      <c r="I5314">
        <f t="shared" si="329"/>
        <v>6</v>
      </c>
      <c r="J5314" t="str">
        <f t="shared" si="330"/>
        <v>Jun</v>
      </c>
      <c r="K5314" t="str">
        <f t="shared" si="331"/>
        <v>Fri</v>
      </c>
    </row>
    <row r="5315" spans="1:11" x14ac:dyDescent="0.35">
      <c r="A5315" s="1">
        <v>43276</v>
      </c>
      <c r="B5315">
        <v>85.125503540039006</v>
      </c>
      <c r="C5315">
        <v>85.25</v>
      </c>
      <c r="D5315">
        <v>82.315498352050696</v>
      </c>
      <c r="E5315">
        <v>83.157501220703097</v>
      </c>
      <c r="F5315">
        <v>83.157501220703097</v>
      </c>
      <c r="G5315">
        <v>150224000</v>
      </c>
      <c r="H5315">
        <f t="shared" si="328"/>
        <v>2018</v>
      </c>
      <c r="I5315">
        <f t="shared" si="329"/>
        <v>6</v>
      </c>
      <c r="J5315" t="str">
        <f t="shared" si="330"/>
        <v>Jun</v>
      </c>
      <c r="K5315" t="str">
        <f t="shared" si="331"/>
        <v>Mon</v>
      </c>
    </row>
    <row r="5316" spans="1:11" x14ac:dyDescent="0.35">
      <c r="A5316" s="1">
        <v>43277</v>
      </c>
      <c r="B5316">
        <v>83.618499755859304</v>
      </c>
      <c r="C5316">
        <v>85.078498840332003</v>
      </c>
      <c r="D5316">
        <v>83.166999816894503</v>
      </c>
      <c r="E5316">
        <v>84.554496765136705</v>
      </c>
      <c r="F5316">
        <v>84.554496765136705</v>
      </c>
      <c r="G5316">
        <v>87732000</v>
      </c>
      <c r="H5316">
        <f t="shared" ref="H5316:H5379" si="332">YEAR($A5316)</f>
        <v>2018</v>
      </c>
      <c r="I5316">
        <f t="shared" ref="I5316:I5379" si="333">MONTH($A5316)</f>
        <v>6</v>
      </c>
      <c r="J5316" t="str">
        <f t="shared" ref="J5316:J5379" si="334">TEXT($A5316,"mmm")</f>
        <v>Jun</v>
      </c>
      <c r="K5316" t="str">
        <f t="shared" ref="K5316:K5379" si="335">TEXT($A5316,"ddd")</f>
        <v>Tue</v>
      </c>
    </row>
    <row r="5317" spans="1:11" x14ac:dyDescent="0.35">
      <c r="A5317" s="1">
        <v>43278</v>
      </c>
      <c r="B5317">
        <v>85.405502319335895</v>
      </c>
      <c r="C5317">
        <v>85.597503662109304</v>
      </c>
      <c r="D5317">
        <v>83</v>
      </c>
      <c r="E5317">
        <v>83.025497436523395</v>
      </c>
      <c r="F5317">
        <v>83.025497436523395</v>
      </c>
      <c r="G5317">
        <v>97444000</v>
      </c>
      <c r="H5317">
        <f t="shared" si="332"/>
        <v>2018</v>
      </c>
      <c r="I5317">
        <f t="shared" si="333"/>
        <v>6</v>
      </c>
      <c r="J5317" t="str">
        <f t="shared" si="334"/>
        <v>Jun</v>
      </c>
      <c r="K5317" t="str">
        <f t="shared" si="335"/>
        <v>Wed</v>
      </c>
    </row>
    <row r="5318" spans="1:11" x14ac:dyDescent="0.35">
      <c r="A5318" s="1">
        <v>43279</v>
      </c>
      <c r="B5318">
        <v>83.626998901367102</v>
      </c>
      <c r="C5318">
        <v>85.275001525878906</v>
      </c>
      <c r="D5318">
        <v>83.058502197265597</v>
      </c>
      <c r="E5318">
        <v>85.072502136230398</v>
      </c>
      <c r="F5318">
        <v>85.072502136230398</v>
      </c>
      <c r="G5318">
        <v>90594000</v>
      </c>
      <c r="H5318">
        <f t="shared" si="332"/>
        <v>2018</v>
      </c>
      <c r="I5318">
        <f t="shared" si="333"/>
        <v>6</v>
      </c>
      <c r="J5318" t="str">
        <f t="shared" si="334"/>
        <v>Jun</v>
      </c>
      <c r="K5318" t="str">
        <f t="shared" si="335"/>
        <v>Thu</v>
      </c>
    </row>
    <row r="5319" spans="1:11" x14ac:dyDescent="0.35">
      <c r="A5319" s="1">
        <v>43280</v>
      </c>
      <c r="B5319">
        <v>85.849998474121094</v>
      </c>
      <c r="C5319">
        <v>86.170501708984304</v>
      </c>
      <c r="D5319">
        <v>84.716003417968693</v>
      </c>
      <c r="E5319">
        <v>84.989997863769503</v>
      </c>
      <c r="F5319">
        <v>84.989997863769503</v>
      </c>
      <c r="G5319">
        <v>90870000</v>
      </c>
      <c r="H5319">
        <f t="shared" si="332"/>
        <v>2018</v>
      </c>
      <c r="I5319">
        <f t="shared" si="333"/>
        <v>6</v>
      </c>
      <c r="J5319" t="str">
        <f t="shared" si="334"/>
        <v>Jun</v>
      </c>
      <c r="K5319" t="str">
        <f t="shared" si="335"/>
        <v>Fri</v>
      </c>
    </row>
    <row r="5320" spans="1:11" x14ac:dyDescent="0.35">
      <c r="A5320" s="1">
        <v>43283</v>
      </c>
      <c r="B5320">
        <v>84.135002136230398</v>
      </c>
      <c r="C5320">
        <v>85.694503784179602</v>
      </c>
      <c r="D5320">
        <v>83.902999877929602</v>
      </c>
      <c r="E5320">
        <v>85.689002990722599</v>
      </c>
      <c r="F5320">
        <v>85.689002990722599</v>
      </c>
      <c r="G5320">
        <v>63714000</v>
      </c>
      <c r="H5320">
        <f t="shared" si="332"/>
        <v>2018</v>
      </c>
      <c r="I5320">
        <f t="shared" si="333"/>
        <v>7</v>
      </c>
      <c r="J5320" t="str">
        <f t="shared" si="334"/>
        <v>Jul</v>
      </c>
      <c r="K5320" t="str">
        <f t="shared" si="335"/>
        <v>Mon</v>
      </c>
    </row>
    <row r="5321" spans="1:11" x14ac:dyDescent="0.35">
      <c r="A5321" s="1">
        <v>43284</v>
      </c>
      <c r="B5321">
        <v>86.197998046875</v>
      </c>
      <c r="C5321">
        <v>86.25</v>
      </c>
      <c r="D5321">
        <v>84.624000549316406</v>
      </c>
      <c r="E5321">
        <v>84.697998046875</v>
      </c>
      <c r="F5321">
        <v>84.697998046875</v>
      </c>
      <c r="G5321">
        <v>43546000</v>
      </c>
      <c r="H5321">
        <f t="shared" si="332"/>
        <v>2018</v>
      </c>
      <c r="I5321">
        <f t="shared" si="333"/>
        <v>7</v>
      </c>
      <c r="J5321" t="str">
        <f t="shared" si="334"/>
        <v>Jul</v>
      </c>
      <c r="K5321" t="str">
        <f t="shared" si="335"/>
        <v>Tue</v>
      </c>
    </row>
    <row r="5322" spans="1:11" x14ac:dyDescent="0.35">
      <c r="A5322" s="1">
        <v>43286</v>
      </c>
      <c r="B5322">
        <v>85.268997192382798</v>
      </c>
      <c r="C5322">
        <v>85.534500122070298</v>
      </c>
      <c r="D5322">
        <v>84.107498168945298</v>
      </c>
      <c r="E5322">
        <v>84.986503601074205</v>
      </c>
      <c r="F5322">
        <v>84.986503601074205</v>
      </c>
      <c r="G5322">
        <v>59662000</v>
      </c>
      <c r="H5322">
        <f t="shared" si="332"/>
        <v>2018</v>
      </c>
      <c r="I5322">
        <f t="shared" si="333"/>
        <v>7</v>
      </c>
      <c r="J5322" t="str">
        <f t="shared" si="334"/>
        <v>Jul</v>
      </c>
      <c r="K5322" t="str">
        <f t="shared" si="335"/>
        <v>Thu</v>
      </c>
    </row>
    <row r="5323" spans="1:11" x14ac:dyDescent="0.35">
      <c r="A5323" s="1">
        <v>43287</v>
      </c>
      <c r="B5323">
        <v>84.800003051757798</v>
      </c>
      <c r="C5323">
        <v>85.763496398925696</v>
      </c>
      <c r="D5323">
        <v>84.583503723144503</v>
      </c>
      <c r="E5323">
        <v>85.531501770019503</v>
      </c>
      <c r="F5323">
        <v>85.531501770019503</v>
      </c>
      <c r="G5323">
        <v>53006000</v>
      </c>
      <c r="H5323">
        <f t="shared" si="332"/>
        <v>2018</v>
      </c>
      <c r="I5323">
        <f t="shared" si="333"/>
        <v>7</v>
      </c>
      <c r="J5323" t="str">
        <f t="shared" si="334"/>
        <v>Jul</v>
      </c>
      <c r="K5323" t="str">
        <f t="shared" si="335"/>
        <v>Fri</v>
      </c>
    </row>
    <row r="5324" spans="1:11" x14ac:dyDescent="0.35">
      <c r="A5324" s="1">
        <v>43290</v>
      </c>
      <c r="B5324">
        <v>86.202499389648395</v>
      </c>
      <c r="C5324">
        <v>86.977996826171804</v>
      </c>
      <c r="D5324">
        <v>85.811500549316406</v>
      </c>
      <c r="E5324">
        <v>86.950996398925696</v>
      </c>
      <c r="F5324">
        <v>86.950996398925696</v>
      </c>
      <c r="G5324">
        <v>60240000</v>
      </c>
      <c r="H5324">
        <f t="shared" si="332"/>
        <v>2018</v>
      </c>
      <c r="I5324">
        <f t="shared" si="333"/>
        <v>7</v>
      </c>
      <c r="J5324" t="str">
        <f t="shared" si="334"/>
        <v>Jul</v>
      </c>
      <c r="K5324" t="str">
        <f t="shared" si="335"/>
        <v>Mon</v>
      </c>
    </row>
    <row r="5325" spans="1:11" x14ac:dyDescent="0.35">
      <c r="A5325" s="1">
        <v>43291</v>
      </c>
      <c r="B5325">
        <v>86.926498413085895</v>
      </c>
      <c r="C5325">
        <v>87.5</v>
      </c>
      <c r="D5325">
        <v>86.550003051757798</v>
      </c>
      <c r="E5325">
        <v>87.153503417968693</v>
      </c>
      <c r="F5325">
        <v>87.153503417968693</v>
      </c>
      <c r="G5325">
        <v>60058000</v>
      </c>
      <c r="H5325">
        <f t="shared" si="332"/>
        <v>2018</v>
      </c>
      <c r="I5325">
        <f t="shared" si="333"/>
        <v>7</v>
      </c>
      <c r="J5325" t="str">
        <f t="shared" si="334"/>
        <v>Jul</v>
      </c>
      <c r="K5325" t="str">
        <f t="shared" si="335"/>
        <v>Tue</v>
      </c>
    </row>
    <row r="5326" spans="1:11" x14ac:dyDescent="0.35">
      <c r="A5326" s="1">
        <v>43292</v>
      </c>
      <c r="B5326">
        <v>86.899497985839801</v>
      </c>
      <c r="C5326">
        <v>87.847999572753906</v>
      </c>
      <c r="D5326">
        <v>86.699996948242102</v>
      </c>
      <c r="E5326">
        <v>87.75</v>
      </c>
      <c r="F5326">
        <v>87.75</v>
      </c>
      <c r="G5326">
        <v>64196000</v>
      </c>
      <c r="H5326">
        <f t="shared" si="332"/>
        <v>2018</v>
      </c>
      <c r="I5326">
        <f t="shared" si="333"/>
        <v>7</v>
      </c>
      <c r="J5326" t="str">
        <f t="shared" si="334"/>
        <v>Jul</v>
      </c>
      <c r="K5326" t="str">
        <f t="shared" si="335"/>
        <v>Wed</v>
      </c>
    </row>
    <row r="5327" spans="1:11" x14ac:dyDescent="0.35">
      <c r="A5327" s="1">
        <v>43293</v>
      </c>
      <c r="B5327">
        <v>88.225502014160099</v>
      </c>
      <c r="C5327">
        <v>89.900001525878906</v>
      </c>
      <c r="D5327">
        <v>88.109001159667898</v>
      </c>
      <c r="E5327">
        <v>89.831001281738196</v>
      </c>
      <c r="F5327">
        <v>89.831001281738196</v>
      </c>
      <c r="G5327">
        <v>90654000</v>
      </c>
      <c r="H5327">
        <f t="shared" si="332"/>
        <v>2018</v>
      </c>
      <c r="I5327">
        <f t="shared" si="333"/>
        <v>7</v>
      </c>
      <c r="J5327" t="str">
        <f t="shared" si="334"/>
        <v>Jul</v>
      </c>
      <c r="K5327" t="str">
        <f t="shared" si="335"/>
        <v>Thu</v>
      </c>
    </row>
    <row r="5328" spans="1:11" x14ac:dyDescent="0.35">
      <c r="A5328" s="1">
        <v>43294</v>
      </c>
      <c r="B5328">
        <v>90.196502685546804</v>
      </c>
      <c r="C5328">
        <v>90.764999389648395</v>
      </c>
      <c r="D5328">
        <v>89.761497497558594</v>
      </c>
      <c r="E5328">
        <v>90.651496887207003</v>
      </c>
      <c r="F5328">
        <v>90.651496887207003</v>
      </c>
      <c r="G5328">
        <v>87664000</v>
      </c>
      <c r="H5328">
        <f t="shared" si="332"/>
        <v>2018</v>
      </c>
      <c r="I5328">
        <f t="shared" si="333"/>
        <v>7</v>
      </c>
      <c r="J5328" t="str">
        <f t="shared" si="334"/>
        <v>Jul</v>
      </c>
      <c r="K5328" t="str">
        <f t="shared" si="335"/>
        <v>Fri</v>
      </c>
    </row>
    <row r="5329" spans="1:11" x14ac:dyDescent="0.35">
      <c r="A5329" s="1">
        <v>43297</v>
      </c>
      <c r="B5329">
        <v>91.097503662109304</v>
      </c>
      <c r="C5329">
        <v>92.097503662109304</v>
      </c>
      <c r="D5329">
        <v>90.722503662109304</v>
      </c>
      <c r="E5329">
        <v>91.124496459960895</v>
      </c>
      <c r="F5329">
        <v>91.124496459960895</v>
      </c>
      <c r="G5329">
        <v>109324000</v>
      </c>
      <c r="H5329">
        <f t="shared" si="332"/>
        <v>2018</v>
      </c>
      <c r="I5329">
        <f t="shared" si="333"/>
        <v>7</v>
      </c>
      <c r="J5329" t="str">
        <f t="shared" si="334"/>
        <v>Jul</v>
      </c>
      <c r="K5329" t="str">
        <f t="shared" si="335"/>
        <v>Mon</v>
      </c>
    </row>
    <row r="5330" spans="1:11" x14ac:dyDescent="0.35">
      <c r="A5330" s="1">
        <v>43298</v>
      </c>
      <c r="B5330">
        <v>90.5780029296875</v>
      </c>
      <c r="C5330">
        <v>92.584503173828097</v>
      </c>
      <c r="D5330">
        <v>89.869003295898395</v>
      </c>
      <c r="E5330">
        <v>92.196502685546804</v>
      </c>
      <c r="F5330">
        <v>92.196502685546804</v>
      </c>
      <c r="G5330">
        <v>113658000</v>
      </c>
      <c r="H5330">
        <f t="shared" si="332"/>
        <v>2018</v>
      </c>
      <c r="I5330">
        <f t="shared" si="333"/>
        <v>7</v>
      </c>
      <c r="J5330" t="str">
        <f t="shared" si="334"/>
        <v>Jul</v>
      </c>
      <c r="K5330" t="str">
        <f t="shared" si="335"/>
        <v>Tue</v>
      </c>
    </row>
    <row r="5331" spans="1:11" x14ac:dyDescent="0.35">
      <c r="A5331" s="1">
        <v>43299</v>
      </c>
      <c r="B5331">
        <v>92.400001525878906</v>
      </c>
      <c r="C5331">
        <v>92.944000244140597</v>
      </c>
      <c r="D5331">
        <v>91.563499450683594</v>
      </c>
      <c r="E5331">
        <v>92.146003723144503</v>
      </c>
      <c r="F5331">
        <v>92.146003723144503</v>
      </c>
      <c r="G5331">
        <v>97238000</v>
      </c>
      <c r="H5331">
        <f t="shared" si="332"/>
        <v>2018</v>
      </c>
      <c r="I5331">
        <f t="shared" si="333"/>
        <v>7</v>
      </c>
      <c r="J5331" t="str">
        <f t="shared" si="334"/>
        <v>Jul</v>
      </c>
      <c r="K5331" t="str">
        <f t="shared" si="335"/>
        <v>Wed</v>
      </c>
    </row>
    <row r="5332" spans="1:11" x14ac:dyDescent="0.35">
      <c r="A5332" s="1">
        <v>43300</v>
      </c>
      <c r="B5332">
        <v>91.472999572753906</v>
      </c>
      <c r="C5332">
        <v>92.050003051757798</v>
      </c>
      <c r="D5332">
        <v>90.563499450683594</v>
      </c>
      <c r="E5332">
        <v>90.648498535156193</v>
      </c>
      <c r="F5332">
        <v>90.648498535156193</v>
      </c>
      <c r="G5332">
        <v>93538000</v>
      </c>
      <c r="H5332">
        <f t="shared" si="332"/>
        <v>2018</v>
      </c>
      <c r="I5332">
        <f t="shared" si="333"/>
        <v>7</v>
      </c>
      <c r="J5332" t="str">
        <f t="shared" si="334"/>
        <v>Jul</v>
      </c>
      <c r="K5332" t="str">
        <f t="shared" si="335"/>
        <v>Thu</v>
      </c>
    </row>
    <row r="5333" spans="1:11" x14ac:dyDescent="0.35">
      <c r="A5333" s="1">
        <v>43301</v>
      </c>
      <c r="B5333">
        <v>91.250503540039006</v>
      </c>
      <c r="C5333">
        <v>91.741996765136705</v>
      </c>
      <c r="D5333">
        <v>90.502998352050696</v>
      </c>
      <c r="E5333">
        <v>90.684997558593693</v>
      </c>
      <c r="F5333">
        <v>90.684997558593693</v>
      </c>
      <c r="G5333">
        <v>77688000</v>
      </c>
      <c r="H5333">
        <f t="shared" si="332"/>
        <v>2018</v>
      </c>
      <c r="I5333">
        <f t="shared" si="333"/>
        <v>7</v>
      </c>
      <c r="J5333" t="str">
        <f t="shared" si="334"/>
        <v>Jul</v>
      </c>
      <c r="K5333" t="str">
        <f t="shared" si="335"/>
        <v>Fri</v>
      </c>
    </row>
    <row r="5334" spans="1:11" x14ac:dyDescent="0.35">
      <c r="A5334" s="1">
        <v>43304</v>
      </c>
      <c r="B5334">
        <v>90.610496520996094</v>
      </c>
      <c r="C5334">
        <v>90.949996948242102</v>
      </c>
      <c r="D5334">
        <v>88.499496459960895</v>
      </c>
      <c r="E5334">
        <v>90.099998474121094</v>
      </c>
      <c r="F5334">
        <v>90.099998474121094</v>
      </c>
      <c r="G5334">
        <v>77770000</v>
      </c>
      <c r="H5334">
        <f t="shared" si="332"/>
        <v>2018</v>
      </c>
      <c r="I5334">
        <f t="shared" si="333"/>
        <v>7</v>
      </c>
      <c r="J5334" t="str">
        <f t="shared" si="334"/>
        <v>Jul</v>
      </c>
      <c r="K5334" t="str">
        <f t="shared" si="335"/>
        <v>Mon</v>
      </c>
    </row>
    <row r="5335" spans="1:11" x14ac:dyDescent="0.35">
      <c r="A5335" s="1">
        <v>43305</v>
      </c>
      <c r="B5335">
        <v>91.450500488281193</v>
      </c>
      <c r="C5335">
        <v>92</v>
      </c>
      <c r="D5335">
        <v>90.469001770019503</v>
      </c>
      <c r="E5335">
        <v>91.461997985839801</v>
      </c>
      <c r="F5335">
        <v>91.461997985839801</v>
      </c>
      <c r="G5335">
        <v>85574000</v>
      </c>
      <c r="H5335">
        <f t="shared" si="332"/>
        <v>2018</v>
      </c>
      <c r="I5335">
        <f t="shared" si="333"/>
        <v>7</v>
      </c>
      <c r="J5335" t="str">
        <f t="shared" si="334"/>
        <v>Jul</v>
      </c>
      <c r="K5335" t="str">
        <f t="shared" si="335"/>
        <v>Tue</v>
      </c>
    </row>
    <row r="5336" spans="1:11" x14ac:dyDescent="0.35">
      <c r="A5336" s="1">
        <v>43306</v>
      </c>
      <c r="B5336">
        <v>91.464996337890597</v>
      </c>
      <c r="C5336">
        <v>93.192001342773395</v>
      </c>
      <c r="D5336">
        <v>91.132003784179602</v>
      </c>
      <c r="E5336">
        <v>93.180496215820298</v>
      </c>
      <c r="F5336">
        <v>93.180496215820298</v>
      </c>
      <c r="G5336">
        <v>74764000</v>
      </c>
      <c r="H5336">
        <f t="shared" si="332"/>
        <v>2018</v>
      </c>
      <c r="I5336">
        <f t="shared" si="333"/>
        <v>7</v>
      </c>
      <c r="J5336" t="str">
        <f t="shared" si="334"/>
        <v>Jul</v>
      </c>
      <c r="K5336" t="str">
        <f t="shared" si="335"/>
        <v>Wed</v>
      </c>
    </row>
    <row r="5337" spans="1:11" x14ac:dyDescent="0.35">
      <c r="A5337" s="1">
        <v>43307</v>
      </c>
      <c r="B5337">
        <v>91.949996948242102</v>
      </c>
      <c r="C5337">
        <v>92.234001159667898</v>
      </c>
      <c r="D5337">
        <v>90.224998474121094</v>
      </c>
      <c r="E5337">
        <v>90.400001525878906</v>
      </c>
      <c r="F5337">
        <v>90.400001525878906</v>
      </c>
      <c r="G5337">
        <v>198488000</v>
      </c>
      <c r="H5337">
        <f t="shared" si="332"/>
        <v>2018</v>
      </c>
      <c r="I5337">
        <f t="shared" si="333"/>
        <v>7</v>
      </c>
      <c r="J5337" t="str">
        <f t="shared" si="334"/>
        <v>Jul</v>
      </c>
      <c r="K5337" t="str">
        <f t="shared" si="335"/>
        <v>Thu</v>
      </c>
    </row>
    <row r="5338" spans="1:11" x14ac:dyDescent="0.35">
      <c r="A5338" s="1">
        <v>43308</v>
      </c>
      <c r="B5338">
        <v>93.802497863769503</v>
      </c>
      <c r="C5338">
        <v>94.002502441406193</v>
      </c>
      <c r="D5338">
        <v>90.326499938964801</v>
      </c>
      <c r="E5338">
        <v>90.863502502441406</v>
      </c>
      <c r="F5338">
        <v>90.863502502441406</v>
      </c>
      <c r="G5338">
        <v>193620000</v>
      </c>
      <c r="H5338">
        <f t="shared" si="332"/>
        <v>2018</v>
      </c>
      <c r="I5338">
        <f t="shared" si="333"/>
        <v>7</v>
      </c>
      <c r="J5338" t="str">
        <f t="shared" si="334"/>
        <v>Jul</v>
      </c>
      <c r="K5338" t="str">
        <f t="shared" si="335"/>
        <v>Fri</v>
      </c>
    </row>
    <row r="5339" spans="1:11" x14ac:dyDescent="0.35">
      <c r="A5339" s="1">
        <v>43311</v>
      </c>
      <c r="B5339">
        <v>91.366500854492102</v>
      </c>
      <c r="C5339">
        <v>91.474998474121094</v>
      </c>
      <c r="D5339">
        <v>88.301002502441406</v>
      </c>
      <c r="E5339">
        <v>88.960998535156193</v>
      </c>
      <c r="F5339">
        <v>88.960998535156193</v>
      </c>
      <c r="G5339">
        <v>131246000</v>
      </c>
      <c r="H5339">
        <f t="shared" si="332"/>
        <v>2018</v>
      </c>
      <c r="I5339">
        <f t="shared" si="333"/>
        <v>7</v>
      </c>
      <c r="J5339" t="str">
        <f t="shared" si="334"/>
        <v>Jul</v>
      </c>
      <c r="K5339" t="str">
        <f t="shared" si="335"/>
        <v>Mon</v>
      </c>
    </row>
    <row r="5340" spans="1:11" x14ac:dyDescent="0.35">
      <c r="A5340" s="1">
        <v>43312</v>
      </c>
      <c r="B5340">
        <v>89.324501037597599</v>
      </c>
      <c r="C5340">
        <v>90.091499328613196</v>
      </c>
      <c r="D5340">
        <v>86.966003417968693</v>
      </c>
      <c r="E5340">
        <v>88.872001647949205</v>
      </c>
      <c r="F5340">
        <v>88.872001647949205</v>
      </c>
      <c r="G5340">
        <v>114774000</v>
      </c>
      <c r="H5340">
        <f t="shared" si="332"/>
        <v>2018</v>
      </c>
      <c r="I5340">
        <f t="shared" si="333"/>
        <v>7</v>
      </c>
      <c r="J5340" t="str">
        <f t="shared" si="334"/>
        <v>Jul</v>
      </c>
      <c r="K5340" t="str">
        <f t="shared" si="335"/>
        <v>Tue</v>
      </c>
    </row>
    <row r="5341" spans="1:11" x14ac:dyDescent="0.35">
      <c r="A5341" s="1">
        <v>43313</v>
      </c>
      <c r="B5341">
        <v>89.199996948242102</v>
      </c>
      <c r="C5341">
        <v>89.9219970703125</v>
      </c>
      <c r="D5341">
        <v>88.801002502441406</v>
      </c>
      <c r="E5341">
        <v>89.858497619628906</v>
      </c>
      <c r="F5341">
        <v>89.858497619628906</v>
      </c>
      <c r="G5341">
        <v>83062000</v>
      </c>
      <c r="H5341">
        <f t="shared" si="332"/>
        <v>2018</v>
      </c>
      <c r="I5341">
        <f t="shared" si="333"/>
        <v>8</v>
      </c>
      <c r="J5341" t="str">
        <f t="shared" si="334"/>
        <v>Aug</v>
      </c>
      <c r="K5341" t="str">
        <f t="shared" si="335"/>
        <v>Wed</v>
      </c>
    </row>
    <row r="5342" spans="1:11" x14ac:dyDescent="0.35">
      <c r="A5342" s="1">
        <v>43314</v>
      </c>
      <c r="B5342">
        <v>89.438499450683594</v>
      </c>
      <c r="C5342">
        <v>91.8280029296875</v>
      </c>
      <c r="D5342">
        <v>89.300003051757798</v>
      </c>
      <c r="E5342">
        <v>91.716499328613196</v>
      </c>
      <c r="F5342">
        <v>91.716499328613196</v>
      </c>
      <c r="G5342">
        <v>87094000</v>
      </c>
      <c r="H5342">
        <f t="shared" si="332"/>
        <v>2018</v>
      </c>
      <c r="I5342">
        <f t="shared" si="333"/>
        <v>8</v>
      </c>
      <c r="J5342" t="str">
        <f t="shared" si="334"/>
        <v>Aug</v>
      </c>
      <c r="K5342" t="str">
        <f t="shared" si="335"/>
        <v>Thu</v>
      </c>
    </row>
    <row r="5343" spans="1:11" x14ac:dyDescent="0.35">
      <c r="A5343" s="1">
        <v>43315</v>
      </c>
      <c r="B5343">
        <v>91.887001037597599</v>
      </c>
      <c r="C5343">
        <v>92.050003051757798</v>
      </c>
      <c r="D5343">
        <v>91.074996948242102</v>
      </c>
      <c r="E5343">
        <v>91.164497375488196</v>
      </c>
      <c r="F5343">
        <v>91.164497375488196</v>
      </c>
      <c r="G5343">
        <v>69210000</v>
      </c>
      <c r="H5343">
        <f t="shared" si="332"/>
        <v>2018</v>
      </c>
      <c r="I5343">
        <f t="shared" si="333"/>
        <v>8</v>
      </c>
      <c r="J5343" t="str">
        <f t="shared" si="334"/>
        <v>Aug</v>
      </c>
      <c r="K5343" t="str">
        <f t="shared" si="335"/>
        <v>Fri</v>
      </c>
    </row>
    <row r="5344" spans="1:11" x14ac:dyDescent="0.35">
      <c r="A5344" s="1">
        <v>43318</v>
      </c>
      <c r="B5344">
        <v>91.290496826171804</v>
      </c>
      <c r="C5344">
        <v>92.388496398925696</v>
      </c>
      <c r="D5344">
        <v>90.945999145507798</v>
      </c>
      <c r="E5344">
        <v>92.387496948242102</v>
      </c>
      <c r="F5344">
        <v>92.387496948242102</v>
      </c>
      <c r="G5344">
        <v>67836000</v>
      </c>
      <c r="H5344">
        <f t="shared" si="332"/>
        <v>2018</v>
      </c>
      <c r="I5344">
        <f t="shared" si="333"/>
        <v>8</v>
      </c>
      <c r="J5344" t="str">
        <f t="shared" si="334"/>
        <v>Aug</v>
      </c>
      <c r="K5344" t="str">
        <f t="shared" si="335"/>
        <v>Mon</v>
      </c>
    </row>
    <row r="5345" spans="1:11" x14ac:dyDescent="0.35">
      <c r="A5345" s="1">
        <v>43319</v>
      </c>
      <c r="B5345">
        <v>92.726501464843693</v>
      </c>
      <c r="C5345">
        <v>93.486000061035099</v>
      </c>
      <c r="D5345">
        <v>92.313499450683594</v>
      </c>
      <c r="E5345">
        <v>93.124000549316406</v>
      </c>
      <c r="F5345">
        <v>93.124000549316406</v>
      </c>
      <c r="G5345">
        <v>67550000</v>
      </c>
      <c r="H5345">
        <f t="shared" si="332"/>
        <v>2018</v>
      </c>
      <c r="I5345">
        <f t="shared" si="333"/>
        <v>8</v>
      </c>
      <c r="J5345" t="str">
        <f t="shared" si="334"/>
        <v>Aug</v>
      </c>
      <c r="K5345" t="str">
        <f t="shared" si="335"/>
        <v>Tue</v>
      </c>
    </row>
    <row r="5346" spans="1:11" x14ac:dyDescent="0.35">
      <c r="A5346" s="1">
        <v>43320</v>
      </c>
      <c r="B5346">
        <v>93.050003051757798</v>
      </c>
      <c r="C5346">
        <v>94.575500488281193</v>
      </c>
      <c r="D5346">
        <v>92.724998474121094</v>
      </c>
      <c r="E5346">
        <v>94.325996398925696</v>
      </c>
      <c r="F5346">
        <v>94.325996398925696</v>
      </c>
      <c r="G5346">
        <v>79260000</v>
      </c>
      <c r="H5346">
        <f t="shared" si="332"/>
        <v>2018</v>
      </c>
      <c r="I5346">
        <f t="shared" si="333"/>
        <v>8</v>
      </c>
      <c r="J5346" t="str">
        <f t="shared" si="334"/>
        <v>Aug</v>
      </c>
      <c r="K5346" t="str">
        <f t="shared" si="335"/>
        <v>Wed</v>
      </c>
    </row>
    <row r="5347" spans="1:11" x14ac:dyDescent="0.35">
      <c r="A5347" s="1">
        <v>43321</v>
      </c>
      <c r="B5347">
        <v>94.099998474121094</v>
      </c>
      <c r="C5347">
        <v>95.728500366210895</v>
      </c>
      <c r="D5347">
        <v>93.874000549316406</v>
      </c>
      <c r="E5347">
        <v>94.926002502441406</v>
      </c>
      <c r="F5347">
        <v>94.926002502441406</v>
      </c>
      <c r="G5347">
        <v>97208000</v>
      </c>
      <c r="H5347">
        <f t="shared" si="332"/>
        <v>2018</v>
      </c>
      <c r="I5347">
        <f t="shared" si="333"/>
        <v>8</v>
      </c>
      <c r="J5347" t="str">
        <f t="shared" si="334"/>
        <v>Aug</v>
      </c>
      <c r="K5347" t="str">
        <f t="shared" si="335"/>
        <v>Thu</v>
      </c>
    </row>
    <row r="5348" spans="1:11" x14ac:dyDescent="0.35">
      <c r="A5348" s="1">
        <v>43322</v>
      </c>
      <c r="B5348">
        <v>94.425498962402301</v>
      </c>
      <c r="C5348">
        <v>94.974998474121094</v>
      </c>
      <c r="D5348">
        <v>93.910499572753906</v>
      </c>
      <c r="E5348">
        <v>94.315002441406193</v>
      </c>
      <c r="F5348">
        <v>94.315002441406193</v>
      </c>
      <c r="G5348">
        <v>72798000</v>
      </c>
      <c r="H5348">
        <f t="shared" si="332"/>
        <v>2018</v>
      </c>
      <c r="I5348">
        <f t="shared" si="333"/>
        <v>8</v>
      </c>
      <c r="J5348" t="str">
        <f t="shared" si="334"/>
        <v>Aug</v>
      </c>
      <c r="K5348" t="str">
        <f t="shared" si="335"/>
        <v>Fri</v>
      </c>
    </row>
    <row r="5349" spans="1:11" x14ac:dyDescent="0.35">
      <c r="A5349" s="1">
        <v>43325</v>
      </c>
      <c r="B5349">
        <v>94.925003051757798</v>
      </c>
      <c r="C5349">
        <v>96.25</v>
      </c>
      <c r="D5349">
        <v>94.683502197265597</v>
      </c>
      <c r="E5349">
        <v>94.809997558593693</v>
      </c>
      <c r="F5349">
        <v>94.809997558593693</v>
      </c>
      <c r="G5349">
        <v>110630000</v>
      </c>
      <c r="H5349">
        <f t="shared" si="332"/>
        <v>2018</v>
      </c>
      <c r="I5349">
        <f t="shared" si="333"/>
        <v>8</v>
      </c>
      <c r="J5349" t="str">
        <f t="shared" si="334"/>
        <v>Aug</v>
      </c>
      <c r="K5349" t="str">
        <f t="shared" si="335"/>
        <v>Mon</v>
      </c>
    </row>
    <row r="5350" spans="1:11" x14ac:dyDescent="0.35">
      <c r="A5350" s="1">
        <v>43326</v>
      </c>
      <c r="B5350">
        <v>95.969497680664006</v>
      </c>
      <c r="C5350">
        <v>96.050498962402301</v>
      </c>
      <c r="D5350">
        <v>95</v>
      </c>
      <c r="E5350">
        <v>95.982498168945298</v>
      </c>
      <c r="F5350">
        <v>95.982498168945298</v>
      </c>
      <c r="G5350">
        <v>79722000</v>
      </c>
      <c r="H5350">
        <f t="shared" si="332"/>
        <v>2018</v>
      </c>
      <c r="I5350">
        <f t="shared" si="333"/>
        <v>8</v>
      </c>
      <c r="J5350" t="str">
        <f t="shared" si="334"/>
        <v>Aug</v>
      </c>
      <c r="K5350" t="str">
        <f t="shared" si="335"/>
        <v>Tue</v>
      </c>
    </row>
    <row r="5351" spans="1:11" x14ac:dyDescent="0.35">
      <c r="A5351" s="1">
        <v>43327</v>
      </c>
      <c r="B5351">
        <v>95.477500915527301</v>
      </c>
      <c r="C5351">
        <v>95.810501098632798</v>
      </c>
      <c r="D5351">
        <v>93.489501953125</v>
      </c>
      <c r="E5351">
        <v>94.130996704101506</v>
      </c>
      <c r="F5351">
        <v>94.130996704101506</v>
      </c>
      <c r="G5351">
        <v>154014000</v>
      </c>
      <c r="H5351">
        <f t="shared" si="332"/>
        <v>2018</v>
      </c>
      <c r="I5351">
        <f t="shared" si="333"/>
        <v>8</v>
      </c>
      <c r="J5351" t="str">
        <f t="shared" si="334"/>
        <v>Aug</v>
      </c>
      <c r="K5351" t="str">
        <f t="shared" si="335"/>
        <v>Wed</v>
      </c>
    </row>
    <row r="5352" spans="1:11" x14ac:dyDescent="0.35">
      <c r="A5352" s="1">
        <v>43328</v>
      </c>
      <c r="B5352">
        <v>95.196998596191406</v>
      </c>
      <c r="C5352">
        <v>95.25</v>
      </c>
      <c r="D5352">
        <v>94.177497863769503</v>
      </c>
      <c r="E5352">
        <v>94.325996398925696</v>
      </c>
      <c r="F5352">
        <v>94.325996398925696</v>
      </c>
      <c r="G5352">
        <v>79142000</v>
      </c>
      <c r="H5352">
        <f t="shared" si="332"/>
        <v>2018</v>
      </c>
      <c r="I5352">
        <f t="shared" si="333"/>
        <v>8</v>
      </c>
      <c r="J5352" t="str">
        <f t="shared" si="334"/>
        <v>Aug</v>
      </c>
      <c r="K5352" t="str">
        <f t="shared" si="335"/>
        <v>Thu</v>
      </c>
    </row>
    <row r="5353" spans="1:11" x14ac:dyDescent="0.35">
      <c r="A5353" s="1">
        <v>43329</v>
      </c>
      <c r="B5353">
        <v>94.290000915527301</v>
      </c>
      <c r="C5353">
        <v>94.400001525878906</v>
      </c>
      <c r="D5353">
        <v>92.777496337890597</v>
      </c>
      <c r="E5353">
        <v>94.111000061035099</v>
      </c>
      <c r="F5353">
        <v>94.111000061035099</v>
      </c>
      <c r="G5353">
        <v>82086000</v>
      </c>
      <c r="H5353">
        <f t="shared" si="332"/>
        <v>2018</v>
      </c>
      <c r="I5353">
        <f t="shared" si="333"/>
        <v>8</v>
      </c>
      <c r="J5353" t="str">
        <f t="shared" si="334"/>
        <v>Aug</v>
      </c>
      <c r="K5353" t="str">
        <f t="shared" si="335"/>
        <v>Fri</v>
      </c>
    </row>
    <row r="5354" spans="1:11" x14ac:dyDescent="0.35">
      <c r="A5354" s="1">
        <v>43332</v>
      </c>
      <c r="B5354">
        <v>94.528503417968693</v>
      </c>
      <c r="C5354">
        <v>94.587501525878906</v>
      </c>
      <c r="D5354">
        <v>93.303001403808594</v>
      </c>
      <c r="E5354">
        <v>93.835502624511705</v>
      </c>
      <c r="F5354">
        <v>93.835502624511705</v>
      </c>
      <c r="G5354">
        <v>57240000</v>
      </c>
      <c r="H5354">
        <f t="shared" si="332"/>
        <v>2018</v>
      </c>
      <c r="I5354">
        <f t="shared" si="333"/>
        <v>8</v>
      </c>
      <c r="J5354" t="str">
        <f t="shared" si="334"/>
        <v>Aug</v>
      </c>
      <c r="K5354" t="str">
        <f t="shared" si="335"/>
        <v>Mon</v>
      </c>
    </row>
    <row r="5355" spans="1:11" x14ac:dyDescent="0.35">
      <c r="A5355" s="1">
        <v>43333</v>
      </c>
      <c r="B5355">
        <v>94</v>
      </c>
      <c r="C5355">
        <v>94.887496948242102</v>
      </c>
      <c r="D5355">
        <v>93.720497131347599</v>
      </c>
      <c r="E5355">
        <v>94.170997619628906</v>
      </c>
      <c r="F5355">
        <v>94.170997619628906</v>
      </c>
      <c r="G5355">
        <v>62112000</v>
      </c>
      <c r="H5355">
        <f t="shared" si="332"/>
        <v>2018</v>
      </c>
      <c r="I5355">
        <f t="shared" si="333"/>
        <v>8</v>
      </c>
      <c r="J5355" t="str">
        <f t="shared" si="334"/>
        <v>Aug</v>
      </c>
      <c r="K5355" t="str">
        <f t="shared" si="335"/>
        <v>Tue</v>
      </c>
    </row>
    <row r="5356" spans="1:11" x14ac:dyDescent="0.35">
      <c r="A5356" s="1">
        <v>43334</v>
      </c>
      <c r="B5356">
        <v>93.832000732421804</v>
      </c>
      <c r="C5356">
        <v>95.290000915527301</v>
      </c>
      <c r="D5356">
        <v>93.832000732421804</v>
      </c>
      <c r="E5356">
        <v>95.245002746582003</v>
      </c>
      <c r="F5356">
        <v>95.245002746582003</v>
      </c>
      <c r="G5356">
        <v>61610000</v>
      </c>
      <c r="H5356">
        <f t="shared" si="332"/>
        <v>2018</v>
      </c>
      <c r="I5356">
        <f t="shared" si="333"/>
        <v>8</v>
      </c>
      <c r="J5356" t="str">
        <f t="shared" si="334"/>
        <v>Aug</v>
      </c>
      <c r="K5356" t="str">
        <f t="shared" si="335"/>
        <v>Wed</v>
      </c>
    </row>
    <row r="5357" spans="1:11" x14ac:dyDescent="0.35">
      <c r="A5357" s="1">
        <v>43335</v>
      </c>
      <c r="B5357">
        <v>95.358497619628906</v>
      </c>
      <c r="C5357">
        <v>95.974998474121094</v>
      </c>
      <c r="D5357">
        <v>95.038002014160099</v>
      </c>
      <c r="E5357">
        <v>95.144996643066406</v>
      </c>
      <c r="F5357">
        <v>95.144996643066406</v>
      </c>
      <c r="G5357">
        <v>71260000</v>
      </c>
      <c r="H5357">
        <f t="shared" si="332"/>
        <v>2018</v>
      </c>
      <c r="I5357">
        <f t="shared" si="333"/>
        <v>8</v>
      </c>
      <c r="J5357" t="str">
        <f t="shared" si="334"/>
        <v>Aug</v>
      </c>
      <c r="K5357" t="str">
        <f t="shared" si="335"/>
        <v>Thu</v>
      </c>
    </row>
    <row r="5358" spans="1:11" x14ac:dyDescent="0.35">
      <c r="A5358" s="1">
        <v>43336</v>
      </c>
      <c r="B5358">
        <v>95.525497436523395</v>
      </c>
      <c r="C5358">
        <v>95.800498962402301</v>
      </c>
      <c r="D5358">
        <v>95.126998901367102</v>
      </c>
      <c r="E5358">
        <v>95.269500732421804</v>
      </c>
      <c r="F5358">
        <v>95.269500732421804</v>
      </c>
      <c r="G5358">
        <v>56018000</v>
      </c>
      <c r="H5358">
        <f t="shared" si="332"/>
        <v>2018</v>
      </c>
      <c r="I5358">
        <f t="shared" si="333"/>
        <v>8</v>
      </c>
      <c r="J5358" t="str">
        <f t="shared" si="334"/>
        <v>Aug</v>
      </c>
      <c r="K5358" t="str">
        <f t="shared" si="335"/>
        <v>Fri</v>
      </c>
    </row>
    <row r="5359" spans="1:11" x14ac:dyDescent="0.35">
      <c r="A5359" s="1">
        <v>43339</v>
      </c>
      <c r="B5359">
        <v>95.75</v>
      </c>
      <c r="C5359">
        <v>96.385002136230398</v>
      </c>
      <c r="D5359">
        <v>95.463996887207003</v>
      </c>
      <c r="E5359">
        <v>96.384002685546804</v>
      </c>
      <c r="F5359">
        <v>96.384002685546804</v>
      </c>
      <c r="G5359">
        <v>71380000</v>
      </c>
      <c r="H5359">
        <f t="shared" si="332"/>
        <v>2018</v>
      </c>
      <c r="I5359">
        <f t="shared" si="333"/>
        <v>8</v>
      </c>
      <c r="J5359" t="str">
        <f t="shared" si="334"/>
        <v>Aug</v>
      </c>
      <c r="K5359" t="str">
        <f t="shared" si="335"/>
        <v>Mon</v>
      </c>
    </row>
    <row r="5360" spans="1:11" x14ac:dyDescent="0.35">
      <c r="A5360" s="1">
        <v>43340</v>
      </c>
      <c r="B5360">
        <v>96.886497497558594</v>
      </c>
      <c r="C5360">
        <v>97.088996887207003</v>
      </c>
      <c r="D5360">
        <v>96.441001892089801</v>
      </c>
      <c r="E5360">
        <v>96.640998840332003</v>
      </c>
      <c r="F5360">
        <v>96.640998840332003</v>
      </c>
      <c r="G5360">
        <v>62014000</v>
      </c>
      <c r="H5360">
        <f t="shared" si="332"/>
        <v>2018</v>
      </c>
      <c r="I5360">
        <f t="shared" si="333"/>
        <v>8</v>
      </c>
      <c r="J5360" t="str">
        <f t="shared" si="334"/>
        <v>Aug</v>
      </c>
      <c r="K5360" t="str">
        <f t="shared" si="335"/>
        <v>Tue</v>
      </c>
    </row>
    <row r="5361" spans="1:11" x14ac:dyDescent="0.35">
      <c r="A5361" s="1">
        <v>43341</v>
      </c>
      <c r="B5361">
        <v>97.672500610351506</v>
      </c>
      <c r="C5361">
        <v>99.934501647949205</v>
      </c>
      <c r="D5361">
        <v>97.446998596191406</v>
      </c>
      <c r="E5361">
        <v>99.904998779296804</v>
      </c>
      <c r="F5361">
        <v>99.904998779296804</v>
      </c>
      <c r="G5361">
        <v>130636000</v>
      </c>
      <c r="H5361">
        <f t="shared" si="332"/>
        <v>2018</v>
      </c>
      <c r="I5361">
        <f t="shared" si="333"/>
        <v>8</v>
      </c>
      <c r="J5361" t="str">
        <f t="shared" si="334"/>
        <v>Aug</v>
      </c>
      <c r="K5361" t="str">
        <f t="shared" si="335"/>
        <v>Wed</v>
      </c>
    </row>
    <row r="5362" spans="1:11" x14ac:dyDescent="0.35">
      <c r="A5362" s="1">
        <v>43342</v>
      </c>
      <c r="B5362">
        <v>99.871002197265597</v>
      </c>
      <c r="C5362">
        <v>101.278503417968</v>
      </c>
      <c r="D5362">
        <v>99.345001220703097</v>
      </c>
      <c r="E5362">
        <v>100.119003295898</v>
      </c>
      <c r="F5362">
        <v>100.119003295898</v>
      </c>
      <c r="G5362">
        <v>145546000</v>
      </c>
      <c r="H5362">
        <f t="shared" si="332"/>
        <v>2018</v>
      </c>
      <c r="I5362">
        <f t="shared" si="333"/>
        <v>8</v>
      </c>
      <c r="J5362" t="str">
        <f t="shared" si="334"/>
        <v>Aug</v>
      </c>
      <c r="K5362" t="str">
        <f t="shared" si="335"/>
        <v>Thu</v>
      </c>
    </row>
    <row r="5363" spans="1:11" x14ac:dyDescent="0.35">
      <c r="A5363" s="1">
        <v>43343</v>
      </c>
      <c r="B5363">
        <v>100.34999847412099</v>
      </c>
      <c r="C5363">
        <v>101.119003295898</v>
      </c>
      <c r="D5363">
        <v>100.236999511718</v>
      </c>
      <c r="E5363">
        <v>100.635498046875</v>
      </c>
      <c r="F5363">
        <v>100.635498046875</v>
      </c>
      <c r="G5363">
        <v>84088000</v>
      </c>
      <c r="H5363">
        <f t="shared" si="332"/>
        <v>2018</v>
      </c>
      <c r="I5363">
        <f t="shared" si="333"/>
        <v>8</v>
      </c>
      <c r="J5363" t="str">
        <f t="shared" si="334"/>
        <v>Aug</v>
      </c>
      <c r="K5363" t="str">
        <f t="shared" si="335"/>
        <v>Fri</v>
      </c>
    </row>
    <row r="5364" spans="1:11" x14ac:dyDescent="0.35">
      <c r="A5364" s="1">
        <v>43347</v>
      </c>
      <c r="B5364">
        <v>101.324996948242</v>
      </c>
      <c r="C5364">
        <v>102.525001525878</v>
      </c>
      <c r="D5364">
        <v>100.650001525878</v>
      </c>
      <c r="E5364">
        <v>101.97550201416</v>
      </c>
      <c r="F5364">
        <v>101.97550201416</v>
      </c>
      <c r="G5364">
        <v>114422000</v>
      </c>
      <c r="H5364">
        <f t="shared" si="332"/>
        <v>2018</v>
      </c>
      <c r="I5364">
        <f t="shared" si="333"/>
        <v>9</v>
      </c>
      <c r="J5364" t="str">
        <f t="shared" si="334"/>
        <v>Sep</v>
      </c>
      <c r="K5364" t="str">
        <f t="shared" si="335"/>
        <v>Tue</v>
      </c>
    </row>
    <row r="5365" spans="1:11" x14ac:dyDescent="0.35">
      <c r="A5365" s="1">
        <v>43348</v>
      </c>
      <c r="B5365">
        <v>101.905502319335</v>
      </c>
      <c r="C5365">
        <v>102.018997192382</v>
      </c>
      <c r="D5365">
        <v>99.494499206542898</v>
      </c>
      <c r="E5365">
        <v>99.740997314453097</v>
      </c>
      <c r="F5365">
        <v>99.740997314453097</v>
      </c>
      <c r="G5365">
        <v>164412000</v>
      </c>
      <c r="H5365">
        <f t="shared" si="332"/>
        <v>2018</v>
      </c>
      <c r="I5365">
        <f t="shared" si="333"/>
        <v>9</v>
      </c>
      <c r="J5365" t="str">
        <f t="shared" si="334"/>
        <v>Sep</v>
      </c>
      <c r="K5365" t="str">
        <f t="shared" si="335"/>
        <v>Wed</v>
      </c>
    </row>
    <row r="5366" spans="1:11" x14ac:dyDescent="0.35">
      <c r="A5366" s="1">
        <v>43349</v>
      </c>
      <c r="B5366">
        <v>100.32550048828099</v>
      </c>
      <c r="C5366">
        <v>100.375</v>
      </c>
      <c r="D5366">
        <v>96.760498046875</v>
      </c>
      <c r="E5366">
        <v>97.915496826171804</v>
      </c>
      <c r="F5366">
        <v>97.915496826171804</v>
      </c>
      <c r="G5366">
        <v>149774000</v>
      </c>
      <c r="H5366">
        <f t="shared" si="332"/>
        <v>2018</v>
      </c>
      <c r="I5366">
        <f t="shared" si="333"/>
        <v>9</v>
      </c>
      <c r="J5366" t="str">
        <f t="shared" si="334"/>
        <v>Sep</v>
      </c>
      <c r="K5366" t="str">
        <f t="shared" si="335"/>
        <v>Thu</v>
      </c>
    </row>
    <row r="5367" spans="1:11" x14ac:dyDescent="0.35">
      <c r="A5367" s="1">
        <v>43350</v>
      </c>
      <c r="B5367">
        <v>96.935501098632798</v>
      </c>
      <c r="C5367">
        <v>98.760002136230398</v>
      </c>
      <c r="D5367">
        <v>96.867500305175696</v>
      </c>
      <c r="E5367">
        <v>97.603500366210895</v>
      </c>
      <c r="F5367">
        <v>97.603500366210895</v>
      </c>
      <c r="G5367">
        <v>97852000</v>
      </c>
      <c r="H5367">
        <f t="shared" si="332"/>
        <v>2018</v>
      </c>
      <c r="I5367">
        <f t="shared" si="333"/>
        <v>9</v>
      </c>
      <c r="J5367" t="str">
        <f t="shared" si="334"/>
        <v>Sep</v>
      </c>
      <c r="K5367" t="str">
        <f t="shared" si="335"/>
        <v>Fri</v>
      </c>
    </row>
    <row r="5368" spans="1:11" x14ac:dyDescent="0.35">
      <c r="A5368" s="1">
        <v>43353</v>
      </c>
      <c r="B5368">
        <v>98.550003051757798</v>
      </c>
      <c r="C5368">
        <v>98.652000427246094</v>
      </c>
      <c r="D5368">
        <v>96.575996398925696</v>
      </c>
      <c r="E5368">
        <v>96.950500488281193</v>
      </c>
      <c r="F5368">
        <v>96.950500488281193</v>
      </c>
      <c r="G5368">
        <v>90896000</v>
      </c>
      <c r="H5368">
        <f t="shared" si="332"/>
        <v>2018</v>
      </c>
      <c r="I5368">
        <f t="shared" si="333"/>
        <v>9</v>
      </c>
      <c r="J5368" t="str">
        <f t="shared" si="334"/>
        <v>Sep</v>
      </c>
      <c r="K5368" t="str">
        <f t="shared" si="335"/>
        <v>Mon</v>
      </c>
    </row>
    <row r="5369" spans="1:11" x14ac:dyDescent="0.35">
      <c r="A5369" s="1">
        <v>43354</v>
      </c>
      <c r="B5369">
        <v>96.413497924804602</v>
      </c>
      <c r="C5369">
        <v>99.444000244140597</v>
      </c>
      <c r="D5369">
        <v>95.849998474121094</v>
      </c>
      <c r="E5369">
        <v>99.357498168945298</v>
      </c>
      <c r="F5369">
        <v>99.357498168945298</v>
      </c>
      <c r="G5369">
        <v>100672000</v>
      </c>
      <c r="H5369">
        <f t="shared" si="332"/>
        <v>2018</v>
      </c>
      <c r="I5369">
        <f t="shared" si="333"/>
        <v>9</v>
      </c>
      <c r="J5369" t="str">
        <f t="shared" si="334"/>
        <v>Sep</v>
      </c>
      <c r="K5369" t="str">
        <f t="shared" si="335"/>
        <v>Tue</v>
      </c>
    </row>
    <row r="5370" spans="1:11" x14ac:dyDescent="0.35">
      <c r="A5370" s="1">
        <v>43355</v>
      </c>
      <c r="B5370">
        <v>99.699996948242102</v>
      </c>
      <c r="C5370">
        <v>100</v>
      </c>
      <c r="D5370">
        <v>98.122001647949205</v>
      </c>
      <c r="E5370">
        <v>99.5</v>
      </c>
      <c r="F5370">
        <v>99.5</v>
      </c>
      <c r="G5370">
        <v>88280000</v>
      </c>
      <c r="H5370">
        <f t="shared" si="332"/>
        <v>2018</v>
      </c>
      <c r="I5370">
        <f t="shared" si="333"/>
        <v>9</v>
      </c>
      <c r="J5370" t="str">
        <f t="shared" si="334"/>
        <v>Sep</v>
      </c>
      <c r="K5370" t="str">
        <f t="shared" si="335"/>
        <v>Wed</v>
      </c>
    </row>
    <row r="5371" spans="1:11" x14ac:dyDescent="0.35">
      <c r="A5371" s="1">
        <v>43356</v>
      </c>
      <c r="B5371">
        <v>100</v>
      </c>
      <c r="C5371">
        <v>100.43800354003901</v>
      </c>
      <c r="D5371">
        <v>99.101501464843693</v>
      </c>
      <c r="E5371">
        <v>99.493499755859304</v>
      </c>
      <c r="F5371">
        <v>99.493499755859304</v>
      </c>
      <c r="G5371">
        <v>72430000</v>
      </c>
      <c r="H5371">
        <f t="shared" si="332"/>
        <v>2018</v>
      </c>
      <c r="I5371">
        <f t="shared" si="333"/>
        <v>9</v>
      </c>
      <c r="J5371" t="str">
        <f t="shared" si="334"/>
        <v>Sep</v>
      </c>
      <c r="K5371" t="str">
        <f t="shared" si="335"/>
        <v>Thu</v>
      </c>
    </row>
    <row r="5372" spans="1:11" x14ac:dyDescent="0.35">
      <c r="A5372" s="1">
        <v>43357</v>
      </c>
      <c r="B5372">
        <v>99.646499633789006</v>
      </c>
      <c r="C5372">
        <v>99.682502746582003</v>
      </c>
      <c r="D5372">
        <v>97.960998535156193</v>
      </c>
      <c r="E5372">
        <v>98.509498596191406</v>
      </c>
      <c r="F5372">
        <v>98.509498596191406</v>
      </c>
      <c r="G5372">
        <v>72840000</v>
      </c>
      <c r="H5372">
        <f t="shared" si="332"/>
        <v>2018</v>
      </c>
      <c r="I5372">
        <f t="shared" si="333"/>
        <v>9</v>
      </c>
      <c r="J5372" t="str">
        <f t="shared" si="334"/>
        <v>Sep</v>
      </c>
      <c r="K5372" t="str">
        <f t="shared" si="335"/>
        <v>Fri</v>
      </c>
    </row>
    <row r="5373" spans="1:11" x14ac:dyDescent="0.35">
      <c r="A5373" s="1">
        <v>43360</v>
      </c>
      <c r="B5373">
        <v>97.736503601074205</v>
      </c>
      <c r="C5373">
        <v>97.841003417968693</v>
      </c>
      <c r="D5373">
        <v>94.370498657226506</v>
      </c>
      <c r="E5373">
        <v>95.401496887207003</v>
      </c>
      <c r="F5373">
        <v>95.401496887207003</v>
      </c>
      <c r="G5373">
        <v>141004000</v>
      </c>
      <c r="H5373">
        <f t="shared" si="332"/>
        <v>2018</v>
      </c>
      <c r="I5373">
        <f t="shared" si="333"/>
        <v>9</v>
      </c>
      <c r="J5373" t="str">
        <f t="shared" si="334"/>
        <v>Sep</v>
      </c>
      <c r="K5373" t="str">
        <f t="shared" si="335"/>
        <v>Mon</v>
      </c>
    </row>
    <row r="5374" spans="1:11" x14ac:dyDescent="0.35">
      <c r="A5374" s="1">
        <v>43361</v>
      </c>
      <c r="B5374">
        <v>95.932502746582003</v>
      </c>
      <c r="C5374">
        <v>97.910003662109304</v>
      </c>
      <c r="D5374">
        <v>95.772003173828097</v>
      </c>
      <c r="E5374">
        <v>97.052497863769503</v>
      </c>
      <c r="F5374">
        <v>97.052497863769503</v>
      </c>
      <c r="G5374">
        <v>85374000</v>
      </c>
      <c r="H5374">
        <f t="shared" si="332"/>
        <v>2018</v>
      </c>
      <c r="I5374">
        <f t="shared" si="333"/>
        <v>9</v>
      </c>
      <c r="J5374" t="str">
        <f t="shared" si="334"/>
        <v>Sep</v>
      </c>
      <c r="K5374" t="str">
        <f t="shared" si="335"/>
        <v>Tue</v>
      </c>
    </row>
    <row r="5375" spans="1:11" x14ac:dyDescent="0.35">
      <c r="A5375" s="1">
        <v>43362</v>
      </c>
      <c r="B5375">
        <v>97.025001525878906</v>
      </c>
      <c r="C5375">
        <v>97.041496276855398</v>
      </c>
      <c r="D5375">
        <v>95.245002746582003</v>
      </c>
      <c r="E5375">
        <v>96.320999145507798</v>
      </c>
      <c r="F5375">
        <v>96.320999145507798</v>
      </c>
      <c r="G5375">
        <v>81136000</v>
      </c>
      <c r="H5375">
        <f t="shared" si="332"/>
        <v>2018</v>
      </c>
      <c r="I5375">
        <f t="shared" si="333"/>
        <v>9</v>
      </c>
      <c r="J5375" t="str">
        <f t="shared" si="334"/>
        <v>Sep</v>
      </c>
      <c r="K5375" t="str">
        <f t="shared" si="335"/>
        <v>Wed</v>
      </c>
    </row>
    <row r="5376" spans="1:11" x14ac:dyDescent="0.35">
      <c r="A5376" s="1">
        <v>43363</v>
      </c>
      <c r="B5376">
        <v>96.929000854492102</v>
      </c>
      <c r="C5376">
        <v>97.75</v>
      </c>
      <c r="D5376">
        <v>96.612503051757798</v>
      </c>
      <c r="E5376">
        <v>97.214996337890597</v>
      </c>
      <c r="F5376">
        <v>97.214996337890597</v>
      </c>
      <c r="G5376">
        <v>63098000</v>
      </c>
      <c r="H5376">
        <f t="shared" si="332"/>
        <v>2018</v>
      </c>
      <c r="I5376">
        <f t="shared" si="333"/>
        <v>9</v>
      </c>
      <c r="J5376" t="str">
        <f t="shared" si="334"/>
        <v>Sep</v>
      </c>
      <c r="K5376" t="str">
        <f t="shared" si="335"/>
        <v>Thu</v>
      </c>
    </row>
    <row r="5377" spans="1:11" x14ac:dyDescent="0.35">
      <c r="A5377" s="1">
        <v>43364</v>
      </c>
      <c r="B5377">
        <v>97.710998535156193</v>
      </c>
      <c r="C5377">
        <v>97.865501403808594</v>
      </c>
      <c r="D5377">
        <v>95.525001525878906</v>
      </c>
      <c r="E5377">
        <v>95.750503540039006</v>
      </c>
      <c r="F5377">
        <v>95.750503540039006</v>
      </c>
      <c r="G5377">
        <v>137118000</v>
      </c>
      <c r="H5377">
        <f t="shared" si="332"/>
        <v>2018</v>
      </c>
      <c r="I5377">
        <f t="shared" si="333"/>
        <v>9</v>
      </c>
      <c r="J5377" t="str">
        <f t="shared" si="334"/>
        <v>Sep</v>
      </c>
      <c r="K5377" t="str">
        <f t="shared" si="335"/>
        <v>Fri</v>
      </c>
    </row>
    <row r="5378" spans="1:11" x14ac:dyDescent="0.35">
      <c r="A5378" s="1">
        <v>43367</v>
      </c>
      <c r="B5378">
        <v>95.189498901367102</v>
      </c>
      <c r="C5378">
        <v>96.844001770019503</v>
      </c>
      <c r="D5378">
        <v>93.25</v>
      </c>
      <c r="E5378">
        <v>96.718002319335895</v>
      </c>
      <c r="F5378">
        <v>96.718002319335895</v>
      </c>
      <c r="G5378">
        <v>84274000</v>
      </c>
      <c r="H5378">
        <f t="shared" si="332"/>
        <v>2018</v>
      </c>
      <c r="I5378">
        <f t="shared" si="333"/>
        <v>9</v>
      </c>
      <c r="J5378" t="str">
        <f t="shared" si="334"/>
        <v>Sep</v>
      </c>
      <c r="K5378" t="str">
        <f t="shared" si="335"/>
        <v>Mon</v>
      </c>
    </row>
    <row r="5379" spans="1:11" x14ac:dyDescent="0.35">
      <c r="A5379" s="1">
        <v>43368</v>
      </c>
      <c r="B5379">
        <v>97.144996643066406</v>
      </c>
      <c r="C5379">
        <v>98.795501708984304</v>
      </c>
      <c r="D5379">
        <v>96.942497253417898</v>
      </c>
      <c r="E5379">
        <v>98.727500915527301</v>
      </c>
      <c r="F5379">
        <v>98.727500915527301</v>
      </c>
      <c r="G5379">
        <v>90768000</v>
      </c>
      <c r="H5379">
        <f t="shared" si="332"/>
        <v>2018</v>
      </c>
      <c r="I5379">
        <f t="shared" si="333"/>
        <v>9</v>
      </c>
      <c r="J5379" t="str">
        <f t="shared" si="334"/>
        <v>Sep</v>
      </c>
      <c r="K5379" t="str">
        <f t="shared" si="335"/>
        <v>Tue</v>
      </c>
    </row>
    <row r="5380" spans="1:11" x14ac:dyDescent="0.35">
      <c r="A5380" s="1">
        <v>43369</v>
      </c>
      <c r="B5380">
        <v>98.425003051757798</v>
      </c>
      <c r="C5380">
        <v>99.762496948242102</v>
      </c>
      <c r="D5380">
        <v>98.075996398925696</v>
      </c>
      <c r="E5380">
        <v>98.742500305175696</v>
      </c>
      <c r="F5380">
        <v>98.742500305175696</v>
      </c>
      <c r="G5380">
        <v>86270000</v>
      </c>
      <c r="H5380">
        <f t="shared" ref="H5380:H5443" si="336">YEAR($A5380)</f>
        <v>2018</v>
      </c>
      <c r="I5380">
        <f t="shared" ref="I5380:I5443" si="337">MONTH($A5380)</f>
        <v>9</v>
      </c>
      <c r="J5380" t="str">
        <f t="shared" ref="J5380:J5443" si="338">TEXT($A5380,"mmm")</f>
        <v>Sep</v>
      </c>
      <c r="K5380" t="str">
        <f t="shared" ref="K5380:K5443" si="339">TEXT($A5380,"ddd")</f>
        <v>Wed</v>
      </c>
    </row>
    <row r="5381" spans="1:11" x14ac:dyDescent="0.35">
      <c r="A5381" s="1">
        <v>43370</v>
      </c>
      <c r="B5381">
        <v>99.662002563476506</v>
      </c>
      <c r="C5381">
        <v>100.80799865722599</v>
      </c>
      <c r="D5381">
        <v>99.429000854492102</v>
      </c>
      <c r="E5381">
        <v>100.649002075195</v>
      </c>
      <c r="F5381">
        <v>100.649002075195</v>
      </c>
      <c r="G5381">
        <v>86588000</v>
      </c>
      <c r="H5381">
        <f t="shared" si="336"/>
        <v>2018</v>
      </c>
      <c r="I5381">
        <f t="shared" si="337"/>
        <v>9</v>
      </c>
      <c r="J5381" t="str">
        <f t="shared" si="338"/>
        <v>Sep</v>
      </c>
      <c r="K5381" t="str">
        <f t="shared" si="339"/>
        <v>Thu</v>
      </c>
    </row>
    <row r="5382" spans="1:11" x14ac:dyDescent="0.35">
      <c r="A5382" s="1">
        <v>43371</v>
      </c>
      <c r="B5382">
        <v>100.220497131347</v>
      </c>
      <c r="C5382">
        <v>101.325996398925</v>
      </c>
      <c r="D5382">
        <v>99.822998046875</v>
      </c>
      <c r="E5382">
        <v>100.150001525878</v>
      </c>
      <c r="F5382">
        <v>100.150001525878</v>
      </c>
      <c r="G5382">
        <v>81702000</v>
      </c>
      <c r="H5382">
        <f t="shared" si="336"/>
        <v>2018</v>
      </c>
      <c r="I5382">
        <f t="shared" si="337"/>
        <v>9</v>
      </c>
      <c r="J5382" t="str">
        <f t="shared" si="338"/>
        <v>Sep</v>
      </c>
      <c r="K5382" t="str">
        <f t="shared" si="339"/>
        <v>Fri</v>
      </c>
    </row>
    <row r="5383" spans="1:11" x14ac:dyDescent="0.35">
      <c r="A5383" s="1">
        <v>43374</v>
      </c>
      <c r="B5383">
        <v>101.09950256347599</v>
      </c>
      <c r="C5383">
        <v>101.65950012207</v>
      </c>
      <c r="D5383">
        <v>100.180000305175</v>
      </c>
      <c r="E5383">
        <v>100.218002319335</v>
      </c>
      <c r="F5383">
        <v>100.218002319335</v>
      </c>
      <c r="G5383">
        <v>69210000</v>
      </c>
      <c r="H5383">
        <f t="shared" si="336"/>
        <v>2018</v>
      </c>
      <c r="I5383">
        <f t="shared" si="337"/>
        <v>10</v>
      </c>
      <c r="J5383" t="str">
        <f t="shared" si="338"/>
        <v>Oct</v>
      </c>
      <c r="K5383" t="str">
        <f t="shared" si="339"/>
        <v>Mon</v>
      </c>
    </row>
    <row r="5384" spans="1:11" x14ac:dyDescent="0.35">
      <c r="A5384" s="1">
        <v>43375</v>
      </c>
      <c r="B5384">
        <v>99.999496459960895</v>
      </c>
      <c r="C5384">
        <v>100.6695022583</v>
      </c>
      <c r="D5384">
        <v>98.288497924804602</v>
      </c>
      <c r="E5384">
        <v>98.565498352050696</v>
      </c>
      <c r="F5384">
        <v>98.565498352050696</v>
      </c>
      <c r="G5384">
        <v>108014000</v>
      </c>
      <c r="H5384">
        <f t="shared" si="336"/>
        <v>2018</v>
      </c>
      <c r="I5384">
        <f t="shared" si="337"/>
        <v>10</v>
      </c>
      <c r="J5384" t="str">
        <f t="shared" si="338"/>
        <v>Oct</v>
      </c>
      <c r="K5384" t="str">
        <f t="shared" si="339"/>
        <v>Tue</v>
      </c>
    </row>
    <row r="5385" spans="1:11" x14ac:dyDescent="0.35">
      <c r="A5385" s="1">
        <v>43376</v>
      </c>
      <c r="B5385">
        <v>99.084999084472599</v>
      </c>
      <c r="C5385">
        <v>99.485000610351506</v>
      </c>
      <c r="D5385">
        <v>97.490501403808594</v>
      </c>
      <c r="E5385">
        <v>97.638000488281193</v>
      </c>
      <c r="F5385">
        <v>97.638000488281193</v>
      </c>
      <c r="G5385">
        <v>105062000</v>
      </c>
      <c r="H5385">
        <f t="shared" si="336"/>
        <v>2018</v>
      </c>
      <c r="I5385">
        <f t="shared" si="337"/>
        <v>10</v>
      </c>
      <c r="J5385" t="str">
        <f t="shared" si="338"/>
        <v>Oct</v>
      </c>
      <c r="K5385" t="str">
        <f t="shared" si="339"/>
        <v>Wed</v>
      </c>
    </row>
    <row r="5386" spans="1:11" x14ac:dyDescent="0.35">
      <c r="A5386" s="1">
        <v>43377</v>
      </c>
      <c r="B5386">
        <v>97.449996948242102</v>
      </c>
      <c r="C5386">
        <v>97.800003051757798</v>
      </c>
      <c r="D5386">
        <v>94.828498840332003</v>
      </c>
      <c r="E5386">
        <v>95.471000671386705</v>
      </c>
      <c r="F5386">
        <v>95.471000671386705</v>
      </c>
      <c r="G5386">
        <v>145140000</v>
      </c>
      <c r="H5386">
        <f t="shared" si="336"/>
        <v>2018</v>
      </c>
      <c r="I5386">
        <f t="shared" si="337"/>
        <v>10</v>
      </c>
      <c r="J5386" t="str">
        <f t="shared" si="338"/>
        <v>Oct</v>
      </c>
      <c r="K5386" t="str">
        <f t="shared" si="339"/>
        <v>Thu</v>
      </c>
    </row>
    <row r="5387" spans="1:11" x14ac:dyDescent="0.35">
      <c r="A5387" s="1">
        <v>43378</v>
      </c>
      <c r="B5387">
        <v>95.899497985839801</v>
      </c>
      <c r="C5387">
        <v>96.454002380371094</v>
      </c>
      <c r="D5387">
        <v>93.141502380371094</v>
      </c>
      <c r="E5387">
        <v>94.482498168945298</v>
      </c>
      <c r="F5387">
        <v>94.482498168945298</v>
      </c>
      <c r="G5387">
        <v>136446000</v>
      </c>
      <c r="H5387">
        <f t="shared" si="336"/>
        <v>2018</v>
      </c>
      <c r="I5387">
        <f t="shared" si="337"/>
        <v>10</v>
      </c>
      <c r="J5387" t="str">
        <f t="shared" si="338"/>
        <v>Oct</v>
      </c>
      <c r="K5387" t="str">
        <f t="shared" si="339"/>
        <v>Fri</v>
      </c>
    </row>
    <row r="5388" spans="1:11" x14ac:dyDescent="0.35">
      <c r="A5388" s="1">
        <v>43381</v>
      </c>
      <c r="B5388">
        <v>93.699996948242102</v>
      </c>
      <c r="C5388">
        <v>95.099998474121094</v>
      </c>
      <c r="D5388">
        <v>91.532997131347599</v>
      </c>
      <c r="E5388">
        <v>93.221000671386705</v>
      </c>
      <c r="F5388">
        <v>93.221000671386705</v>
      </c>
      <c r="G5388">
        <v>147864000</v>
      </c>
      <c r="H5388">
        <f t="shared" si="336"/>
        <v>2018</v>
      </c>
      <c r="I5388">
        <f t="shared" si="337"/>
        <v>10</v>
      </c>
      <c r="J5388" t="str">
        <f t="shared" si="338"/>
        <v>Oct</v>
      </c>
      <c r="K5388" t="str">
        <f t="shared" si="339"/>
        <v>Mon</v>
      </c>
    </row>
    <row r="5389" spans="1:11" x14ac:dyDescent="0.35">
      <c r="A5389" s="1">
        <v>43382</v>
      </c>
      <c r="B5389">
        <v>92.999496459960895</v>
      </c>
      <c r="C5389">
        <v>94.833999633789006</v>
      </c>
      <c r="D5389">
        <v>92.615997314453097</v>
      </c>
      <c r="E5389">
        <v>93.515998840332003</v>
      </c>
      <c r="F5389">
        <v>93.515998840332003</v>
      </c>
      <c r="G5389">
        <v>95458000</v>
      </c>
      <c r="H5389">
        <f t="shared" si="336"/>
        <v>2018</v>
      </c>
      <c r="I5389">
        <f t="shared" si="337"/>
        <v>10</v>
      </c>
      <c r="J5389" t="str">
        <f t="shared" si="338"/>
        <v>Oct</v>
      </c>
      <c r="K5389" t="str">
        <f t="shared" si="339"/>
        <v>Tue</v>
      </c>
    </row>
    <row r="5390" spans="1:11" x14ac:dyDescent="0.35">
      <c r="A5390" s="1">
        <v>43383</v>
      </c>
      <c r="B5390">
        <v>92.894500732421804</v>
      </c>
      <c r="C5390">
        <v>92.928001403808594</v>
      </c>
      <c r="D5390">
        <v>87.720497131347599</v>
      </c>
      <c r="E5390">
        <v>87.762496948242102</v>
      </c>
      <c r="F5390">
        <v>87.762496948242102</v>
      </c>
      <c r="G5390">
        <v>219778000</v>
      </c>
      <c r="H5390">
        <f t="shared" si="336"/>
        <v>2018</v>
      </c>
      <c r="I5390">
        <f t="shared" si="337"/>
        <v>10</v>
      </c>
      <c r="J5390" t="str">
        <f t="shared" si="338"/>
        <v>Oct</v>
      </c>
      <c r="K5390" t="str">
        <f t="shared" si="339"/>
        <v>Wed</v>
      </c>
    </row>
    <row r="5391" spans="1:11" x14ac:dyDescent="0.35">
      <c r="A5391" s="1">
        <v>43384</v>
      </c>
      <c r="B5391">
        <v>86.199996948242102</v>
      </c>
      <c r="C5391">
        <v>87.769996643066406</v>
      </c>
      <c r="D5391">
        <v>84.254997253417898</v>
      </c>
      <c r="E5391">
        <v>85.968002319335895</v>
      </c>
      <c r="F5391">
        <v>85.968002319335895</v>
      </c>
      <c r="G5391">
        <v>278718000</v>
      </c>
      <c r="H5391">
        <f t="shared" si="336"/>
        <v>2018</v>
      </c>
      <c r="I5391">
        <f t="shared" si="337"/>
        <v>10</v>
      </c>
      <c r="J5391" t="str">
        <f t="shared" si="338"/>
        <v>Oct</v>
      </c>
      <c r="K5391" t="str">
        <f t="shared" si="339"/>
        <v>Thu</v>
      </c>
    </row>
    <row r="5392" spans="1:11" x14ac:dyDescent="0.35">
      <c r="A5392" s="1">
        <v>43385</v>
      </c>
      <c r="B5392">
        <v>90.400001525878906</v>
      </c>
      <c r="C5392">
        <v>90.447502136230398</v>
      </c>
      <c r="D5392">
        <v>87.126502990722599</v>
      </c>
      <c r="E5392">
        <v>89.430496215820298</v>
      </c>
      <c r="F5392">
        <v>89.430496215820298</v>
      </c>
      <c r="G5392">
        <v>188892000</v>
      </c>
      <c r="H5392">
        <f t="shared" si="336"/>
        <v>2018</v>
      </c>
      <c r="I5392">
        <f t="shared" si="337"/>
        <v>10</v>
      </c>
      <c r="J5392" t="str">
        <f t="shared" si="338"/>
        <v>Oct</v>
      </c>
      <c r="K5392" t="str">
        <f t="shared" si="339"/>
        <v>Fri</v>
      </c>
    </row>
    <row r="5393" spans="1:11" x14ac:dyDescent="0.35">
      <c r="A5393" s="1">
        <v>43388</v>
      </c>
      <c r="B5393">
        <v>89.75</v>
      </c>
      <c r="C5393">
        <v>89.752502441406193</v>
      </c>
      <c r="D5393">
        <v>86.711502075195298</v>
      </c>
      <c r="E5393">
        <v>88.047500610351506</v>
      </c>
      <c r="F5393">
        <v>88.047500610351506</v>
      </c>
      <c r="G5393">
        <v>128744000</v>
      </c>
      <c r="H5393">
        <f t="shared" si="336"/>
        <v>2018</v>
      </c>
      <c r="I5393">
        <f t="shared" si="337"/>
        <v>10</v>
      </c>
      <c r="J5393" t="str">
        <f t="shared" si="338"/>
        <v>Oct</v>
      </c>
      <c r="K5393" t="str">
        <f t="shared" si="339"/>
        <v>Mon</v>
      </c>
    </row>
    <row r="5394" spans="1:11" x14ac:dyDescent="0.35">
      <c r="A5394" s="1">
        <v>43389</v>
      </c>
      <c r="B5394">
        <v>89.175003051757798</v>
      </c>
      <c r="C5394">
        <v>91.194000244140597</v>
      </c>
      <c r="D5394">
        <v>88.077499389648395</v>
      </c>
      <c r="E5394">
        <v>90.998001098632798</v>
      </c>
      <c r="F5394">
        <v>90.998001098632798</v>
      </c>
      <c r="G5394">
        <v>117198000</v>
      </c>
      <c r="H5394">
        <f t="shared" si="336"/>
        <v>2018</v>
      </c>
      <c r="I5394">
        <f t="shared" si="337"/>
        <v>10</v>
      </c>
      <c r="J5394" t="str">
        <f t="shared" si="338"/>
        <v>Oct</v>
      </c>
      <c r="K5394" t="str">
        <f t="shared" si="339"/>
        <v>Tue</v>
      </c>
    </row>
    <row r="5395" spans="1:11" x14ac:dyDescent="0.35">
      <c r="A5395" s="1">
        <v>43390</v>
      </c>
      <c r="B5395">
        <v>92.139503479003906</v>
      </c>
      <c r="C5395">
        <v>92.25</v>
      </c>
      <c r="D5395">
        <v>90.349998474121094</v>
      </c>
      <c r="E5395">
        <v>91.586502075195298</v>
      </c>
      <c r="F5395">
        <v>91.586502075195298</v>
      </c>
      <c r="G5395">
        <v>105904000</v>
      </c>
      <c r="H5395">
        <f t="shared" si="336"/>
        <v>2018</v>
      </c>
      <c r="I5395">
        <f t="shared" si="337"/>
        <v>10</v>
      </c>
      <c r="J5395" t="str">
        <f t="shared" si="338"/>
        <v>Oct</v>
      </c>
      <c r="K5395" t="str">
        <f t="shared" si="339"/>
        <v>Wed</v>
      </c>
    </row>
    <row r="5396" spans="1:11" x14ac:dyDescent="0.35">
      <c r="A5396" s="1">
        <v>43391</v>
      </c>
      <c r="B5396">
        <v>91.074501037597599</v>
      </c>
      <c r="C5396">
        <v>91.507499694824205</v>
      </c>
      <c r="D5396">
        <v>88.393501281738196</v>
      </c>
      <c r="E5396">
        <v>88.536003112792898</v>
      </c>
      <c r="F5396">
        <v>88.536003112792898</v>
      </c>
      <c r="G5396">
        <v>117480000</v>
      </c>
      <c r="H5396">
        <f t="shared" si="336"/>
        <v>2018</v>
      </c>
      <c r="I5396">
        <f t="shared" si="337"/>
        <v>10</v>
      </c>
      <c r="J5396" t="str">
        <f t="shared" si="338"/>
        <v>Oct</v>
      </c>
      <c r="K5396" t="str">
        <f t="shared" si="339"/>
        <v>Thu</v>
      </c>
    </row>
    <row r="5397" spans="1:11" x14ac:dyDescent="0.35">
      <c r="A5397" s="1">
        <v>43392</v>
      </c>
      <c r="B5397">
        <v>89.258003234863196</v>
      </c>
      <c r="C5397">
        <v>90.455001831054602</v>
      </c>
      <c r="D5397">
        <v>87.650001525878906</v>
      </c>
      <c r="E5397">
        <v>88.201499938964801</v>
      </c>
      <c r="F5397">
        <v>88.201499938964801</v>
      </c>
      <c r="G5397">
        <v>118144000</v>
      </c>
      <c r="H5397">
        <f t="shared" si="336"/>
        <v>2018</v>
      </c>
      <c r="I5397">
        <f t="shared" si="337"/>
        <v>10</v>
      </c>
      <c r="J5397" t="str">
        <f t="shared" si="338"/>
        <v>Oct</v>
      </c>
      <c r="K5397" t="str">
        <f t="shared" si="339"/>
        <v>Fri</v>
      </c>
    </row>
    <row r="5398" spans="1:11" x14ac:dyDescent="0.35">
      <c r="A5398" s="1">
        <v>43395</v>
      </c>
      <c r="B5398">
        <v>89.199996948242102</v>
      </c>
      <c r="C5398">
        <v>90.474998474121094</v>
      </c>
      <c r="D5398">
        <v>87.800003051757798</v>
      </c>
      <c r="E5398">
        <v>89.464996337890597</v>
      </c>
      <c r="F5398">
        <v>89.464996337890597</v>
      </c>
      <c r="G5398">
        <v>90000000</v>
      </c>
      <c r="H5398">
        <f t="shared" si="336"/>
        <v>2018</v>
      </c>
      <c r="I5398">
        <f t="shared" si="337"/>
        <v>10</v>
      </c>
      <c r="J5398" t="str">
        <f t="shared" si="338"/>
        <v>Oct</v>
      </c>
      <c r="K5398" t="str">
        <f t="shared" si="339"/>
        <v>Mon</v>
      </c>
    </row>
    <row r="5399" spans="1:11" x14ac:dyDescent="0.35">
      <c r="A5399" s="1">
        <v>43396</v>
      </c>
      <c r="B5399">
        <v>87.111999511718693</v>
      </c>
      <c r="C5399">
        <v>88.817001342773395</v>
      </c>
      <c r="D5399">
        <v>85.699996948242102</v>
      </c>
      <c r="E5399">
        <v>88.434997558593693</v>
      </c>
      <c r="F5399">
        <v>88.434997558593693</v>
      </c>
      <c r="G5399">
        <v>134478000</v>
      </c>
      <c r="H5399">
        <f t="shared" si="336"/>
        <v>2018</v>
      </c>
      <c r="I5399">
        <f t="shared" si="337"/>
        <v>10</v>
      </c>
      <c r="J5399" t="str">
        <f t="shared" si="338"/>
        <v>Oct</v>
      </c>
      <c r="K5399" t="str">
        <f t="shared" si="339"/>
        <v>Tue</v>
      </c>
    </row>
    <row r="5400" spans="1:11" x14ac:dyDescent="0.35">
      <c r="A5400" s="1">
        <v>43397</v>
      </c>
      <c r="B5400">
        <v>88.684997558593693</v>
      </c>
      <c r="C5400">
        <v>88.885498046875</v>
      </c>
      <c r="D5400">
        <v>82.8280029296875</v>
      </c>
      <c r="E5400">
        <v>83.209999084472599</v>
      </c>
      <c r="F5400">
        <v>83.209999084472599</v>
      </c>
      <c r="G5400">
        <v>138568000</v>
      </c>
      <c r="H5400">
        <f t="shared" si="336"/>
        <v>2018</v>
      </c>
      <c r="I5400">
        <f t="shared" si="337"/>
        <v>10</v>
      </c>
      <c r="J5400" t="str">
        <f t="shared" si="338"/>
        <v>Oct</v>
      </c>
      <c r="K5400" t="str">
        <f t="shared" si="339"/>
        <v>Wed</v>
      </c>
    </row>
    <row r="5401" spans="1:11" x14ac:dyDescent="0.35">
      <c r="A5401" s="1">
        <v>43398</v>
      </c>
      <c r="B5401">
        <v>85.166999816894503</v>
      </c>
      <c r="C5401">
        <v>89.740501403808594</v>
      </c>
      <c r="D5401">
        <v>84.600502014160099</v>
      </c>
      <c r="E5401">
        <v>89.108497619628906</v>
      </c>
      <c r="F5401">
        <v>89.108497619628906</v>
      </c>
      <c r="G5401">
        <v>205714000</v>
      </c>
      <c r="H5401">
        <f t="shared" si="336"/>
        <v>2018</v>
      </c>
      <c r="I5401">
        <f t="shared" si="337"/>
        <v>10</v>
      </c>
      <c r="J5401" t="str">
        <f t="shared" si="338"/>
        <v>Oct</v>
      </c>
      <c r="K5401" t="str">
        <f t="shared" si="339"/>
        <v>Thu</v>
      </c>
    </row>
    <row r="5402" spans="1:11" x14ac:dyDescent="0.35">
      <c r="A5402" s="1">
        <v>43399</v>
      </c>
      <c r="B5402">
        <v>82.479499816894503</v>
      </c>
      <c r="C5402">
        <v>84.922996520996094</v>
      </c>
      <c r="D5402">
        <v>80.150001525878906</v>
      </c>
      <c r="E5402">
        <v>82.1405029296875</v>
      </c>
      <c r="F5402">
        <v>82.1405029296875</v>
      </c>
      <c r="G5402">
        <v>299276000</v>
      </c>
      <c r="H5402">
        <f t="shared" si="336"/>
        <v>2018</v>
      </c>
      <c r="I5402">
        <f t="shared" si="337"/>
        <v>10</v>
      </c>
      <c r="J5402" t="str">
        <f t="shared" si="338"/>
        <v>Oct</v>
      </c>
      <c r="K5402" t="str">
        <f t="shared" si="339"/>
        <v>Fri</v>
      </c>
    </row>
    <row r="5403" spans="1:11" x14ac:dyDescent="0.35">
      <c r="A5403" s="1">
        <v>43402</v>
      </c>
      <c r="B5403">
        <v>83</v>
      </c>
      <c r="C5403">
        <v>83.287002563476506</v>
      </c>
      <c r="D5403">
        <v>74.75</v>
      </c>
      <c r="E5403">
        <v>76.944000244140597</v>
      </c>
      <c r="F5403">
        <v>76.944000244140597</v>
      </c>
      <c r="G5403">
        <v>277322000</v>
      </c>
      <c r="H5403">
        <f t="shared" si="336"/>
        <v>2018</v>
      </c>
      <c r="I5403">
        <f t="shared" si="337"/>
        <v>10</v>
      </c>
      <c r="J5403" t="str">
        <f t="shared" si="338"/>
        <v>Oct</v>
      </c>
      <c r="K5403" t="str">
        <f t="shared" si="339"/>
        <v>Mon</v>
      </c>
    </row>
    <row r="5404" spans="1:11" x14ac:dyDescent="0.35">
      <c r="A5404" s="1">
        <v>43403</v>
      </c>
      <c r="B5404">
        <v>74.307998657226506</v>
      </c>
      <c r="C5404">
        <v>77.049499511718693</v>
      </c>
      <c r="D5404">
        <v>73.818000793457003</v>
      </c>
      <c r="E5404">
        <v>76.521003723144503</v>
      </c>
      <c r="F5404">
        <v>76.521003723144503</v>
      </c>
      <c r="G5404">
        <v>249202000</v>
      </c>
      <c r="H5404">
        <f t="shared" si="336"/>
        <v>2018</v>
      </c>
      <c r="I5404">
        <f t="shared" si="337"/>
        <v>10</v>
      </c>
      <c r="J5404" t="str">
        <f t="shared" si="338"/>
        <v>Oct</v>
      </c>
      <c r="K5404" t="str">
        <f t="shared" si="339"/>
        <v>Tue</v>
      </c>
    </row>
    <row r="5405" spans="1:11" x14ac:dyDescent="0.35">
      <c r="A5405" s="1">
        <v>43404</v>
      </c>
      <c r="B5405">
        <v>78.499496459960895</v>
      </c>
      <c r="C5405">
        <v>81.195503234863196</v>
      </c>
      <c r="D5405">
        <v>78.254501342773395</v>
      </c>
      <c r="E5405">
        <v>79.900497436523395</v>
      </c>
      <c r="F5405">
        <v>79.900497436523395</v>
      </c>
      <c r="G5405">
        <v>187804000</v>
      </c>
      <c r="H5405">
        <f t="shared" si="336"/>
        <v>2018</v>
      </c>
      <c r="I5405">
        <f t="shared" si="337"/>
        <v>10</v>
      </c>
      <c r="J5405" t="str">
        <f t="shared" si="338"/>
        <v>Oct</v>
      </c>
      <c r="K5405" t="str">
        <f t="shared" si="339"/>
        <v>Wed</v>
      </c>
    </row>
    <row r="5406" spans="1:11" x14ac:dyDescent="0.35">
      <c r="A5406" s="1">
        <v>43405</v>
      </c>
      <c r="B5406">
        <v>81.176498413085895</v>
      </c>
      <c r="C5406">
        <v>83.522499084472599</v>
      </c>
      <c r="D5406">
        <v>79.9219970703125</v>
      </c>
      <c r="E5406">
        <v>83.276496887207003</v>
      </c>
      <c r="F5406">
        <v>83.276496887207003</v>
      </c>
      <c r="G5406">
        <v>162710000</v>
      </c>
      <c r="H5406">
        <f t="shared" si="336"/>
        <v>2018</v>
      </c>
      <c r="I5406">
        <f t="shared" si="337"/>
        <v>11</v>
      </c>
      <c r="J5406" t="str">
        <f t="shared" si="338"/>
        <v>Nov</v>
      </c>
      <c r="K5406" t="str">
        <f t="shared" si="339"/>
        <v>Thu</v>
      </c>
    </row>
    <row r="5407" spans="1:11" x14ac:dyDescent="0.35">
      <c r="A5407" s="1">
        <v>43406</v>
      </c>
      <c r="B5407">
        <v>83.929496765136705</v>
      </c>
      <c r="C5407">
        <v>84.872001647949205</v>
      </c>
      <c r="D5407">
        <v>82.591499328613196</v>
      </c>
      <c r="E5407">
        <v>83.276496887207003</v>
      </c>
      <c r="F5407">
        <v>83.276496887207003</v>
      </c>
      <c r="G5407">
        <v>139110000</v>
      </c>
      <c r="H5407">
        <f t="shared" si="336"/>
        <v>2018</v>
      </c>
      <c r="I5407">
        <f t="shared" si="337"/>
        <v>11</v>
      </c>
      <c r="J5407" t="str">
        <f t="shared" si="338"/>
        <v>Nov</v>
      </c>
      <c r="K5407" t="str">
        <f t="shared" si="339"/>
        <v>Fri</v>
      </c>
    </row>
    <row r="5408" spans="1:11" x14ac:dyDescent="0.35">
      <c r="A5408" s="1">
        <v>43409</v>
      </c>
      <c r="B5408">
        <v>82.878501892089801</v>
      </c>
      <c r="C5408">
        <v>82.904502868652301</v>
      </c>
      <c r="D5408">
        <v>79.818000793457003</v>
      </c>
      <c r="E5408">
        <v>81.389999389648395</v>
      </c>
      <c r="F5408">
        <v>81.389999389648395</v>
      </c>
      <c r="G5408">
        <v>112494000</v>
      </c>
      <c r="H5408">
        <f t="shared" si="336"/>
        <v>2018</v>
      </c>
      <c r="I5408">
        <f t="shared" si="337"/>
        <v>11</v>
      </c>
      <c r="J5408" t="str">
        <f t="shared" si="338"/>
        <v>Nov</v>
      </c>
      <c r="K5408" t="str">
        <f t="shared" si="339"/>
        <v>Mon</v>
      </c>
    </row>
    <row r="5409" spans="1:11" x14ac:dyDescent="0.35">
      <c r="A5409" s="1">
        <v>43410</v>
      </c>
      <c r="B5409">
        <v>80.917503356933594</v>
      </c>
      <c r="C5409">
        <v>83.25</v>
      </c>
      <c r="D5409">
        <v>80.727500915527301</v>
      </c>
      <c r="E5409">
        <v>82.1405029296875</v>
      </c>
      <c r="F5409">
        <v>82.1405029296875</v>
      </c>
      <c r="G5409">
        <v>85148000</v>
      </c>
      <c r="H5409">
        <f t="shared" si="336"/>
        <v>2018</v>
      </c>
      <c r="I5409">
        <f t="shared" si="337"/>
        <v>11</v>
      </c>
      <c r="J5409" t="str">
        <f t="shared" si="338"/>
        <v>Nov</v>
      </c>
      <c r="K5409" t="str">
        <f t="shared" si="339"/>
        <v>Tue</v>
      </c>
    </row>
    <row r="5410" spans="1:11" x14ac:dyDescent="0.35">
      <c r="A5410" s="1">
        <v>43411</v>
      </c>
      <c r="B5410">
        <v>83.650001525878906</v>
      </c>
      <c r="C5410">
        <v>87.961502075195298</v>
      </c>
      <c r="D5410">
        <v>83.204002380371094</v>
      </c>
      <c r="E5410">
        <v>87.774497985839801</v>
      </c>
      <c r="F5410">
        <v>87.774497985839801</v>
      </c>
      <c r="G5410">
        <v>163844000</v>
      </c>
      <c r="H5410">
        <f t="shared" si="336"/>
        <v>2018</v>
      </c>
      <c r="I5410">
        <f t="shared" si="337"/>
        <v>11</v>
      </c>
      <c r="J5410" t="str">
        <f t="shared" si="338"/>
        <v>Nov</v>
      </c>
      <c r="K5410" t="str">
        <f t="shared" si="339"/>
        <v>Wed</v>
      </c>
    </row>
    <row r="5411" spans="1:11" x14ac:dyDescent="0.35">
      <c r="A5411" s="1">
        <v>43412</v>
      </c>
      <c r="B5411">
        <v>87.75</v>
      </c>
      <c r="C5411">
        <v>89.199996948242102</v>
      </c>
      <c r="D5411">
        <v>86.255500793457003</v>
      </c>
      <c r="E5411">
        <v>87.745498657226506</v>
      </c>
      <c r="F5411">
        <v>87.745498657226506</v>
      </c>
      <c r="G5411">
        <v>130698000</v>
      </c>
      <c r="H5411">
        <f t="shared" si="336"/>
        <v>2018</v>
      </c>
      <c r="I5411">
        <f t="shared" si="337"/>
        <v>11</v>
      </c>
      <c r="J5411" t="str">
        <f t="shared" si="338"/>
        <v>Nov</v>
      </c>
      <c r="K5411" t="str">
        <f t="shared" si="339"/>
        <v>Thu</v>
      </c>
    </row>
    <row r="5412" spans="1:11" x14ac:dyDescent="0.35">
      <c r="A5412" s="1">
        <v>43413</v>
      </c>
      <c r="B5412">
        <v>86.625</v>
      </c>
      <c r="C5412">
        <v>87.195999145507798</v>
      </c>
      <c r="D5412">
        <v>85.093498229980398</v>
      </c>
      <c r="E5412">
        <v>85.621498107910099</v>
      </c>
      <c r="F5412">
        <v>85.621498107910099</v>
      </c>
      <c r="G5412">
        <v>118044000</v>
      </c>
      <c r="H5412">
        <f t="shared" si="336"/>
        <v>2018</v>
      </c>
      <c r="I5412">
        <f t="shared" si="337"/>
        <v>11</v>
      </c>
      <c r="J5412" t="str">
        <f t="shared" si="338"/>
        <v>Nov</v>
      </c>
      <c r="K5412" t="str">
        <f t="shared" si="339"/>
        <v>Fri</v>
      </c>
    </row>
    <row r="5413" spans="1:11" x14ac:dyDescent="0.35">
      <c r="A5413" s="1">
        <v>43416</v>
      </c>
      <c r="B5413">
        <v>84.912002563476506</v>
      </c>
      <c r="C5413">
        <v>85.427497863769503</v>
      </c>
      <c r="D5413">
        <v>81.500503540039006</v>
      </c>
      <c r="E5413">
        <v>81.842498779296804</v>
      </c>
      <c r="F5413">
        <v>81.842498779296804</v>
      </c>
      <c r="G5413">
        <v>136124000</v>
      </c>
      <c r="H5413">
        <f t="shared" si="336"/>
        <v>2018</v>
      </c>
      <c r="I5413">
        <f t="shared" si="337"/>
        <v>11</v>
      </c>
      <c r="J5413" t="str">
        <f t="shared" si="338"/>
        <v>Nov</v>
      </c>
      <c r="K5413" t="str">
        <f t="shared" si="339"/>
        <v>Mon</v>
      </c>
    </row>
    <row r="5414" spans="1:11" x14ac:dyDescent="0.35">
      <c r="A5414" s="1">
        <v>43417</v>
      </c>
      <c r="B5414">
        <v>82.464500427246094</v>
      </c>
      <c r="C5414">
        <v>83.852996826171804</v>
      </c>
      <c r="D5414">
        <v>80.6875</v>
      </c>
      <c r="E5414">
        <v>81.558502197265597</v>
      </c>
      <c r="F5414">
        <v>81.558502197265597</v>
      </c>
      <c r="G5414">
        <v>118666000</v>
      </c>
      <c r="H5414">
        <f t="shared" si="336"/>
        <v>2018</v>
      </c>
      <c r="I5414">
        <f t="shared" si="337"/>
        <v>11</v>
      </c>
      <c r="J5414" t="str">
        <f t="shared" si="338"/>
        <v>Nov</v>
      </c>
      <c r="K5414" t="str">
        <f t="shared" si="339"/>
        <v>Tue</v>
      </c>
    </row>
    <row r="5415" spans="1:11" x14ac:dyDescent="0.35">
      <c r="A5415" s="1">
        <v>43418</v>
      </c>
      <c r="B5415">
        <v>82.816001892089801</v>
      </c>
      <c r="C5415">
        <v>83.650001525878906</v>
      </c>
      <c r="D5415">
        <v>79.853500366210895</v>
      </c>
      <c r="E5415">
        <v>79.950500488281193</v>
      </c>
      <c r="F5415">
        <v>79.950500488281193</v>
      </c>
      <c r="G5415">
        <v>129738000</v>
      </c>
      <c r="H5415">
        <f t="shared" si="336"/>
        <v>2018</v>
      </c>
      <c r="I5415">
        <f t="shared" si="337"/>
        <v>11</v>
      </c>
      <c r="J5415" t="str">
        <f t="shared" si="338"/>
        <v>Nov</v>
      </c>
      <c r="K5415" t="str">
        <f t="shared" si="339"/>
        <v>Wed</v>
      </c>
    </row>
    <row r="5416" spans="1:11" x14ac:dyDescent="0.35">
      <c r="A5416" s="1">
        <v>43419</v>
      </c>
      <c r="B5416">
        <v>79.050498962402301</v>
      </c>
      <c r="C5416">
        <v>81.240997314453097</v>
      </c>
      <c r="D5416">
        <v>77.325500488281193</v>
      </c>
      <c r="E5416">
        <v>80.972000122070298</v>
      </c>
      <c r="F5416">
        <v>80.972000122070298</v>
      </c>
      <c r="G5416">
        <v>168546000</v>
      </c>
      <c r="H5416">
        <f t="shared" si="336"/>
        <v>2018</v>
      </c>
      <c r="I5416">
        <f t="shared" si="337"/>
        <v>11</v>
      </c>
      <c r="J5416" t="str">
        <f t="shared" si="338"/>
        <v>Nov</v>
      </c>
      <c r="K5416" t="str">
        <f t="shared" si="339"/>
        <v>Thu</v>
      </c>
    </row>
    <row r="5417" spans="1:11" x14ac:dyDescent="0.35">
      <c r="A5417" s="1">
        <v>43420</v>
      </c>
      <c r="B5417">
        <v>79.375</v>
      </c>
      <c r="C5417">
        <v>80.7239990234375</v>
      </c>
      <c r="D5417">
        <v>78.655998229980398</v>
      </c>
      <c r="E5417">
        <v>79.670501708984304</v>
      </c>
      <c r="F5417">
        <v>79.670501708984304</v>
      </c>
      <c r="G5417">
        <v>121322000</v>
      </c>
      <c r="H5417">
        <f t="shared" si="336"/>
        <v>2018</v>
      </c>
      <c r="I5417">
        <f t="shared" si="337"/>
        <v>11</v>
      </c>
      <c r="J5417" t="str">
        <f t="shared" si="338"/>
        <v>Nov</v>
      </c>
      <c r="K5417" t="str">
        <f t="shared" si="339"/>
        <v>Fri</v>
      </c>
    </row>
    <row r="5418" spans="1:11" x14ac:dyDescent="0.35">
      <c r="A5418" s="1">
        <v>43423</v>
      </c>
      <c r="B5418">
        <v>78.850502014160099</v>
      </c>
      <c r="C5418">
        <v>79.059501647949205</v>
      </c>
      <c r="D5418">
        <v>75.167999267578097</v>
      </c>
      <c r="E5418">
        <v>75.614501953125</v>
      </c>
      <c r="F5418">
        <v>75.614501953125</v>
      </c>
      <c r="G5418">
        <v>155800000</v>
      </c>
      <c r="H5418">
        <f t="shared" si="336"/>
        <v>2018</v>
      </c>
      <c r="I5418">
        <f t="shared" si="337"/>
        <v>11</v>
      </c>
      <c r="J5418" t="str">
        <f t="shared" si="338"/>
        <v>Nov</v>
      </c>
      <c r="K5418" t="str">
        <f t="shared" si="339"/>
        <v>Mon</v>
      </c>
    </row>
    <row r="5419" spans="1:11" x14ac:dyDescent="0.35">
      <c r="A5419" s="1">
        <v>43424</v>
      </c>
      <c r="B5419">
        <v>71.875</v>
      </c>
      <c r="C5419">
        <v>76.737503051757798</v>
      </c>
      <c r="D5419">
        <v>71</v>
      </c>
      <c r="E5419">
        <v>74.773002624511705</v>
      </c>
      <c r="F5419">
        <v>74.773002624511705</v>
      </c>
      <c r="G5419">
        <v>217576000</v>
      </c>
      <c r="H5419">
        <f t="shared" si="336"/>
        <v>2018</v>
      </c>
      <c r="I5419">
        <f t="shared" si="337"/>
        <v>11</v>
      </c>
      <c r="J5419" t="str">
        <f t="shared" si="338"/>
        <v>Nov</v>
      </c>
      <c r="K5419" t="str">
        <f t="shared" si="339"/>
        <v>Tue</v>
      </c>
    </row>
    <row r="5420" spans="1:11" x14ac:dyDescent="0.35">
      <c r="A5420" s="1">
        <v>43425</v>
      </c>
      <c r="B5420">
        <v>77.149497985839801</v>
      </c>
      <c r="C5420">
        <v>77.5</v>
      </c>
      <c r="D5420">
        <v>75.75</v>
      </c>
      <c r="E5420">
        <v>75.836502075195298</v>
      </c>
      <c r="F5420">
        <v>75.836502075195298</v>
      </c>
      <c r="G5420">
        <v>114336000</v>
      </c>
      <c r="H5420">
        <f t="shared" si="336"/>
        <v>2018</v>
      </c>
      <c r="I5420">
        <f t="shared" si="337"/>
        <v>11</v>
      </c>
      <c r="J5420" t="str">
        <f t="shared" si="338"/>
        <v>Nov</v>
      </c>
      <c r="K5420" t="str">
        <f t="shared" si="339"/>
        <v>Wed</v>
      </c>
    </row>
    <row r="5421" spans="1:11" x14ac:dyDescent="0.35">
      <c r="A5421" s="1">
        <v>43427</v>
      </c>
      <c r="B5421">
        <v>75.849998474121094</v>
      </c>
      <c r="C5421">
        <v>76.809997558593693</v>
      </c>
      <c r="D5421">
        <v>75.090499877929602</v>
      </c>
      <c r="E5421">
        <v>75.102996826171804</v>
      </c>
      <c r="F5421">
        <v>75.102996826171804</v>
      </c>
      <c r="G5421">
        <v>54152000</v>
      </c>
      <c r="H5421">
        <f t="shared" si="336"/>
        <v>2018</v>
      </c>
      <c r="I5421">
        <f t="shared" si="337"/>
        <v>11</v>
      </c>
      <c r="J5421" t="str">
        <f t="shared" si="338"/>
        <v>Nov</v>
      </c>
      <c r="K5421" t="str">
        <f t="shared" si="339"/>
        <v>Fri</v>
      </c>
    </row>
    <row r="5422" spans="1:11" x14ac:dyDescent="0.35">
      <c r="A5422" s="1">
        <v>43430</v>
      </c>
      <c r="B5422">
        <v>76.949996948242102</v>
      </c>
      <c r="C5422">
        <v>79.240501403808594</v>
      </c>
      <c r="D5422">
        <v>76.210998535156193</v>
      </c>
      <c r="E5422">
        <v>79.066497802734304</v>
      </c>
      <c r="F5422">
        <v>79.066497802734304</v>
      </c>
      <c r="G5422">
        <v>125154000</v>
      </c>
      <c r="H5422">
        <f t="shared" si="336"/>
        <v>2018</v>
      </c>
      <c r="I5422">
        <f t="shared" si="337"/>
        <v>11</v>
      </c>
      <c r="J5422" t="str">
        <f t="shared" si="338"/>
        <v>Nov</v>
      </c>
      <c r="K5422" t="str">
        <f t="shared" si="339"/>
        <v>Mon</v>
      </c>
    </row>
    <row r="5423" spans="1:11" x14ac:dyDescent="0.35">
      <c r="A5423" s="1">
        <v>43431</v>
      </c>
      <c r="B5423">
        <v>78.799499511718693</v>
      </c>
      <c r="C5423">
        <v>79.882499694824205</v>
      </c>
      <c r="D5423">
        <v>77.900497436523395</v>
      </c>
      <c r="E5423">
        <v>79.070999145507798</v>
      </c>
      <c r="F5423">
        <v>79.070999145507798</v>
      </c>
      <c r="G5423">
        <v>115664000</v>
      </c>
      <c r="H5423">
        <f t="shared" si="336"/>
        <v>2018</v>
      </c>
      <c r="I5423">
        <f t="shared" si="337"/>
        <v>11</v>
      </c>
      <c r="J5423" t="str">
        <f t="shared" si="338"/>
        <v>Nov</v>
      </c>
      <c r="K5423" t="str">
        <f t="shared" si="339"/>
        <v>Tue</v>
      </c>
    </row>
    <row r="5424" spans="1:11" x14ac:dyDescent="0.35">
      <c r="A5424" s="1">
        <v>43432</v>
      </c>
      <c r="B5424">
        <v>80.695999145507798</v>
      </c>
      <c r="C5424">
        <v>84.072502136230398</v>
      </c>
      <c r="D5424">
        <v>80.060997009277301</v>
      </c>
      <c r="E5424">
        <v>83.887496948242102</v>
      </c>
      <c r="F5424">
        <v>83.887496948242102</v>
      </c>
      <c r="G5424">
        <v>169174000</v>
      </c>
      <c r="H5424">
        <f t="shared" si="336"/>
        <v>2018</v>
      </c>
      <c r="I5424">
        <f t="shared" si="337"/>
        <v>11</v>
      </c>
      <c r="J5424" t="str">
        <f t="shared" si="338"/>
        <v>Nov</v>
      </c>
      <c r="K5424" t="str">
        <f t="shared" si="339"/>
        <v>Wed</v>
      </c>
    </row>
    <row r="5425" spans="1:11" x14ac:dyDescent="0.35">
      <c r="A5425" s="1">
        <v>43433</v>
      </c>
      <c r="B5425">
        <v>83.749496459960895</v>
      </c>
      <c r="C5425">
        <v>84.499496459960895</v>
      </c>
      <c r="D5425">
        <v>82.616500854492102</v>
      </c>
      <c r="E5425">
        <v>83.678497314453097</v>
      </c>
      <c r="F5425">
        <v>83.678497314453097</v>
      </c>
      <c r="G5425">
        <v>132264000</v>
      </c>
      <c r="H5425">
        <f t="shared" si="336"/>
        <v>2018</v>
      </c>
      <c r="I5425">
        <f t="shared" si="337"/>
        <v>11</v>
      </c>
      <c r="J5425" t="str">
        <f t="shared" si="338"/>
        <v>Nov</v>
      </c>
      <c r="K5425" t="str">
        <f t="shared" si="339"/>
        <v>Thu</v>
      </c>
    </row>
    <row r="5426" spans="1:11" x14ac:dyDescent="0.35">
      <c r="A5426" s="1">
        <v>43434</v>
      </c>
      <c r="B5426">
        <v>83.974998474121094</v>
      </c>
      <c r="C5426">
        <v>84.800003051757798</v>
      </c>
      <c r="D5426">
        <v>83.324996948242102</v>
      </c>
      <c r="E5426">
        <v>84.508499145507798</v>
      </c>
      <c r="F5426">
        <v>84.508499145507798</v>
      </c>
      <c r="G5426">
        <v>115236000</v>
      </c>
      <c r="H5426">
        <f t="shared" si="336"/>
        <v>2018</v>
      </c>
      <c r="I5426">
        <f t="shared" si="337"/>
        <v>11</v>
      </c>
      <c r="J5426" t="str">
        <f t="shared" si="338"/>
        <v>Nov</v>
      </c>
      <c r="K5426" t="str">
        <f t="shared" si="339"/>
        <v>Fri</v>
      </c>
    </row>
    <row r="5427" spans="1:11" x14ac:dyDescent="0.35">
      <c r="A5427" s="1">
        <v>43437</v>
      </c>
      <c r="B5427">
        <v>88.472999572753906</v>
      </c>
      <c r="C5427">
        <v>88.916999816894503</v>
      </c>
      <c r="D5427">
        <v>86.5</v>
      </c>
      <c r="E5427">
        <v>88.617996215820298</v>
      </c>
      <c r="F5427">
        <v>88.617996215820298</v>
      </c>
      <c r="G5427">
        <v>137246000</v>
      </c>
      <c r="H5427">
        <f t="shared" si="336"/>
        <v>2018</v>
      </c>
      <c r="I5427">
        <f t="shared" si="337"/>
        <v>12</v>
      </c>
      <c r="J5427" t="str">
        <f t="shared" si="338"/>
        <v>Dec</v>
      </c>
      <c r="K5427" t="str">
        <f t="shared" si="339"/>
        <v>Mon</v>
      </c>
    </row>
    <row r="5428" spans="1:11" x14ac:dyDescent="0.35">
      <c r="A5428" s="1">
        <v>43438</v>
      </c>
      <c r="B5428">
        <v>87.800003051757798</v>
      </c>
      <c r="C5428">
        <v>88.516998291015597</v>
      </c>
      <c r="D5428">
        <v>83.25</v>
      </c>
      <c r="E5428">
        <v>83.419998168945298</v>
      </c>
      <c r="F5428">
        <v>83.419998168945298</v>
      </c>
      <c r="G5428">
        <v>173890000</v>
      </c>
      <c r="H5428">
        <f t="shared" si="336"/>
        <v>2018</v>
      </c>
      <c r="I5428">
        <f t="shared" si="337"/>
        <v>12</v>
      </c>
      <c r="J5428" t="str">
        <f t="shared" si="338"/>
        <v>Dec</v>
      </c>
      <c r="K5428" t="str">
        <f t="shared" si="339"/>
        <v>Tue</v>
      </c>
    </row>
    <row r="5429" spans="1:11" x14ac:dyDescent="0.35">
      <c r="A5429" s="1">
        <v>43440</v>
      </c>
      <c r="B5429">
        <v>80.743499755859304</v>
      </c>
      <c r="C5429">
        <v>85.052497863769503</v>
      </c>
      <c r="D5429">
        <v>80.492500305175696</v>
      </c>
      <c r="E5429">
        <v>84.959503173828097</v>
      </c>
      <c r="F5429">
        <v>84.959503173828097</v>
      </c>
      <c r="G5429">
        <v>175788000</v>
      </c>
      <c r="H5429">
        <f t="shared" si="336"/>
        <v>2018</v>
      </c>
      <c r="I5429">
        <f t="shared" si="337"/>
        <v>12</v>
      </c>
      <c r="J5429" t="str">
        <f t="shared" si="338"/>
        <v>Dec</v>
      </c>
      <c r="K5429" t="str">
        <f t="shared" si="339"/>
        <v>Thu</v>
      </c>
    </row>
    <row r="5430" spans="1:11" x14ac:dyDescent="0.35">
      <c r="A5430" s="1">
        <v>43441</v>
      </c>
      <c r="B5430">
        <v>85.253501892089801</v>
      </c>
      <c r="C5430">
        <v>85.946502685546804</v>
      </c>
      <c r="D5430">
        <v>81.273002624511705</v>
      </c>
      <c r="E5430">
        <v>81.456497192382798</v>
      </c>
      <c r="F5430">
        <v>81.456497192382798</v>
      </c>
      <c r="G5430">
        <v>151522000</v>
      </c>
      <c r="H5430">
        <f t="shared" si="336"/>
        <v>2018</v>
      </c>
      <c r="I5430">
        <f t="shared" si="337"/>
        <v>12</v>
      </c>
      <c r="J5430" t="str">
        <f t="shared" si="338"/>
        <v>Dec</v>
      </c>
      <c r="K5430" t="str">
        <f t="shared" si="339"/>
        <v>Fri</v>
      </c>
    </row>
    <row r="5431" spans="1:11" x14ac:dyDescent="0.35">
      <c r="A5431" s="1">
        <v>43444</v>
      </c>
      <c r="B5431">
        <v>81.192001342773395</v>
      </c>
      <c r="C5431">
        <v>82.899497985839801</v>
      </c>
      <c r="D5431">
        <v>79.543502807617102</v>
      </c>
      <c r="E5431">
        <v>82.051498413085895</v>
      </c>
      <c r="F5431">
        <v>82.051498413085895</v>
      </c>
      <c r="G5431">
        <v>149896000</v>
      </c>
      <c r="H5431">
        <f t="shared" si="336"/>
        <v>2018</v>
      </c>
      <c r="I5431">
        <f t="shared" si="337"/>
        <v>12</v>
      </c>
      <c r="J5431" t="str">
        <f t="shared" si="338"/>
        <v>Dec</v>
      </c>
      <c r="K5431" t="str">
        <f t="shared" si="339"/>
        <v>Mon</v>
      </c>
    </row>
    <row r="5432" spans="1:11" x14ac:dyDescent="0.35">
      <c r="A5432" s="1">
        <v>43445</v>
      </c>
      <c r="B5432">
        <v>83.900001525878906</v>
      </c>
      <c r="C5432">
        <v>83.973503112792898</v>
      </c>
      <c r="D5432">
        <v>80.980003356933594</v>
      </c>
      <c r="E5432">
        <v>82.162002563476506</v>
      </c>
      <c r="F5432">
        <v>82.162002563476506</v>
      </c>
      <c r="G5432">
        <v>124894000</v>
      </c>
      <c r="H5432">
        <f t="shared" si="336"/>
        <v>2018</v>
      </c>
      <c r="I5432">
        <f t="shared" si="337"/>
        <v>12</v>
      </c>
      <c r="J5432" t="str">
        <f t="shared" si="338"/>
        <v>Dec</v>
      </c>
      <c r="K5432" t="str">
        <f t="shared" si="339"/>
        <v>Tue</v>
      </c>
    </row>
    <row r="5433" spans="1:11" x14ac:dyDescent="0.35">
      <c r="A5433" s="1">
        <v>43446</v>
      </c>
      <c r="B5433">
        <v>83.449996948242102</v>
      </c>
      <c r="C5433">
        <v>85.249496459960895</v>
      </c>
      <c r="D5433">
        <v>83.013496398925696</v>
      </c>
      <c r="E5433">
        <v>83.177001953125</v>
      </c>
      <c r="F5433">
        <v>83.177001953125</v>
      </c>
      <c r="G5433">
        <v>131960000</v>
      </c>
      <c r="H5433">
        <f t="shared" si="336"/>
        <v>2018</v>
      </c>
      <c r="I5433">
        <f t="shared" si="337"/>
        <v>12</v>
      </c>
      <c r="J5433" t="str">
        <f t="shared" si="338"/>
        <v>Dec</v>
      </c>
      <c r="K5433" t="str">
        <f t="shared" si="339"/>
        <v>Wed</v>
      </c>
    </row>
    <row r="5434" spans="1:11" x14ac:dyDescent="0.35">
      <c r="A5434" s="1">
        <v>43447</v>
      </c>
      <c r="B5434">
        <v>84</v>
      </c>
      <c r="C5434">
        <v>84.606002807617102</v>
      </c>
      <c r="D5434">
        <v>82.074996948242102</v>
      </c>
      <c r="E5434">
        <v>82.918998718261705</v>
      </c>
      <c r="F5434">
        <v>82.918998718261705</v>
      </c>
      <c r="G5434">
        <v>105426000</v>
      </c>
      <c r="H5434">
        <f t="shared" si="336"/>
        <v>2018</v>
      </c>
      <c r="I5434">
        <f t="shared" si="337"/>
        <v>12</v>
      </c>
      <c r="J5434" t="str">
        <f t="shared" si="338"/>
        <v>Dec</v>
      </c>
      <c r="K5434" t="str">
        <f t="shared" si="339"/>
        <v>Thu</v>
      </c>
    </row>
    <row r="5435" spans="1:11" x14ac:dyDescent="0.35">
      <c r="A5435" s="1">
        <v>43448</v>
      </c>
      <c r="B5435">
        <v>81.900001525878906</v>
      </c>
      <c r="C5435">
        <v>82.128501892089801</v>
      </c>
      <c r="D5435">
        <v>79.25</v>
      </c>
      <c r="E5435">
        <v>79.595497131347599</v>
      </c>
      <c r="F5435">
        <v>79.595497131347599</v>
      </c>
      <c r="G5435">
        <v>127344000</v>
      </c>
      <c r="H5435">
        <f t="shared" si="336"/>
        <v>2018</v>
      </c>
      <c r="I5435">
        <f t="shared" si="337"/>
        <v>12</v>
      </c>
      <c r="J5435" t="str">
        <f t="shared" si="338"/>
        <v>Dec</v>
      </c>
      <c r="K5435" t="str">
        <f t="shared" si="339"/>
        <v>Fri</v>
      </c>
    </row>
    <row r="5436" spans="1:11" x14ac:dyDescent="0.35">
      <c r="A5436" s="1">
        <v>43451</v>
      </c>
      <c r="B5436">
        <v>78.300003051757798</v>
      </c>
      <c r="C5436">
        <v>78.806503295898395</v>
      </c>
      <c r="D5436">
        <v>75.250503540039006</v>
      </c>
      <c r="E5436">
        <v>76.045501708984304</v>
      </c>
      <c r="F5436">
        <v>76.045501708984304</v>
      </c>
      <c r="G5436">
        <v>176596000</v>
      </c>
      <c r="H5436">
        <f t="shared" si="336"/>
        <v>2018</v>
      </c>
      <c r="I5436">
        <f t="shared" si="337"/>
        <v>12</v>
      </c>
      <c r="J5436" t="str">
        <f t="shared" si="338"/>
        <v>Dec</v>
      </c>
      <c r="K5436" t="str">
        <f t="shared" si="339"/>
        <v>Mon</v>
      </c>
    </row>
    <row r="5437" spans="1:11" x14ac:dyDescent="0.35">
      <c r="A5437" s="1">
        <v>43452</v>
      </c>
      <c r="B5437">
        <v>77</v>
      </c>
      <c r="C5437">
        <v>78.377502441406193</v>
      </c>
      <c r="D5437">
        <v>76.150497436523395</v>
      </c>
      <c r="E5437">
        <v>77.573997497558594</v>
      </c>
      <c r="F5437">
        <v>77.573997497558594</v>
      </c>
      <c r="G5437">
        <v>130460000</v>
      </c>
      <c r="H5437">
        <f t="shared" si="336"/>
        <v>2018</v>
      </c>
      <c r="I5437">
        <f t="shared" si="337"/>
        <v>12</v>
      </c>
      <c r="J5437" t="str">
        <f t="shared" si="338"/>
        <v>Dec</v>
      </c>
      <c r="K5437" t="str">
        <f t="shared" si="339"/>
        <v>Tue</v>
      </c>
    </row>
    <row r="5438" spans="1:11" x14ac:dyDescent="0.35">
      <c r="A5438" s="1">
        <v>43453</v>
      </c>
      <c r="B5438">
        <v>77.152496337890597</v>
      </c>
      <c r="C5438">
        <v>79.226501464843693</v>
      </c>
      <c r="D5438">
        <v>74.158996582031193</v>
      </c>
      <c r="E5438">
        <v>74.753997802734304</v>
      </c>
      <c r="F5438">
        <v>74.753997802734304</v>
      </c>
      <c r="G5438">
        <v>175844000</v>
      </c>
      <c r="H5438">
        <f t="shared" si="336"/>
        <v>2018</v>
      </c>
      <c r="I5438">
        <f t="shared" si="337"/>
        <v>12</v>
      </c>
      <c r="J5438" t="str">
        <f t="shared" si="338"/>
        <v>Dec</v>
      </c>
      <c r="K5438" t="str">
        <f t="shared" si="339"/>
        <v>Wed</v>
      </c>
    </row>
    <row r="5439" spans="1:11" x14ac:dyDescent="0.35">
      <c r="A5439" s="1">
        <v>43454</v>
      </c>
      <c r="B5439">
        <v>74.199996948242102</v>
      </c>
      <c r="C5439">
        <v>75.474998474121094</v>
      </c>
      <c r="D5439">
        <v>71.634498596191406</v>
      </c>
      <c r="E5439">
        <v>73.041496276855398</v>
      </c>
      <c r="F5439">
        <v>73.041496276855398</v>
      </c>
      <c r="G5439">
        <v>199836000</v>
      </c>
      <c r="H5439">
        <f t="shared" si="336"/>
        <v>2018</v>
      </c>
      <c r="I5439">
        <f t="shared" si="337"/>
        <v>12</v>
      </c>
      <c r="J5439" t="str">
        <f t="shared" si="338"/>
        <v>Dec</v>
      </c>
      <c r="K5439" t="str">
        <f t="shared" si="339"/>
        <v>Thu</v>
      </c>
    </row>
    <row r="5440" spans="1:11" x14ac:dyDescent="0.35">
      <c r="A5440" s="1">
        <v>43455</v>
      </c>
      <c r="B5440">
        <v>73.249496459960895</v>
      </c>
      <c r="C5440">
        <v>74</v>
      </c>
      <c r="D5440">
        <v>68.197998046875</v>
      </c>
      <c r="E5440">
        <v>68.872497558593693</v>
      </c>
      <c r="F5440">
        <v>68.872497558593693</v>
      </c>
      <c r="G5440">
        <v>272806000</v>
      </c>
      <c r="H5440">
        <f t="shared" si="336"/>
        <v>2018</v>
      </c>
      <c r="I5440">
        <f t="shared" si="337"/>
        <v>12</v>
      </c>
      <c r="J5440" t="str">
        <f t="shared" si="338"/>
        <v>Dec</v>
      </c>
      <c r="K5440" t="str">
        <f t="shared" si="339"/>
        <v>Fri</v>
      </c>
    </row>
    <row r="5441" spans="1:11" x14ac:dyDescent="0.35">
      <c r="A5441" s="1">
        <v>43458</v>
      </c>
      <c r="B5441">
        <v>67.300003051757798</v>
      </c>
      <c r="C5441">
        <v>69.801498413085895</v>
      </c>
      <c r="D5441">
        <v>65.349998474121094</v>
      </c>
      <c r="E5441">
        <v>67.197998046875</v>
      </c>
      <c r="F5441">
        <v>67.197998046875</v>
      </c>
      <c r="G5441">
        <v>144400000</v>
      </c>
      <c r="H5441">
        <f t="shared" si="336"/>
        <v>2018</v>
      </c>
      <c r="I5441">
        <f t="shared" si="337"/>
        <v>12</v>
      </c>
      <c r="J5441" t="str">
        <f t="shared" si="338"/>
        <v>Dec</v>
      </c>
      <c r="K5441" t="str">
        <f t="shared" si="339"/>
        <v>Mon</v>
      </c>
    </row>
    <row r="5442" spans="1:11" x14ac:dyDescent="0.35">
      <c r="A5442" s="1">
        <v>43460</v>
      </c>
      <c r="B5442">
        <v>68.444503784179602</v>
      </c>
      <c r="C5442">
        <v>73.657997131347599</v>
      </c>
      <c r="D5442">
        <v>68.150497436523395</v>
      </c>
      <c r="E5442">
        <v>73.544998168945298</v>
      </c>
      <c r="F5442">
        <v>73.544998168945298</v>
      </c>
      <c r="G5442">
        <v>208236000</v>
      </c>
      <c r="H5442">
        <f t="shared" si="336"/>
        <v>2018</v>
      </c>
      <c r="I5442">
        <f t="shared" si="337"/>
        <v>12</v>
      </c>
      <c r="J5442" t="str">
        <f t="shared" si="338"/>
        <v>Dec</v>
      </c>
      <c r="K5442" t="str">
        <f t="shared" si="339"/>
        <v>Wed</v>
      </c>
    </row>
    <row r="5443" spans="1:11" x14ac:dyDescent="0.35">
      <c r="A5443" s="1">
        <v>43461</v>
      </c>
      <c r="B5443">
        <v>72.709999084472599</v>
      </c>
      <c r="C5443">
        <v>73.449996948242102</v>
      </c>
      <c r="D5443">
        <v>69.5155029296875</v>
      </c>
      <c r="E5443">
        <v>73.082000732421804</v>
      </c>
      <c r="F5443">
        <v>73.082000732421804</v>
      </c>
      <c r="G5443">
        <v>194440000</v>
      </c>
      <c r="H5443">
        <f t="shared" si="336"/>
        <v>2018</v>
      </c>
      <c r="I5443">
        <f t="shared" si="337"/>
        <v>12</v>
      </c>
      <c r="J5443" t="str">
        <f t="shared" si="338"/>
        <v>Dec</v>
      </c>
      <c r="K5443" t="str">
        <f t="shared" si="339"/>
        <v>Thu</v>
      </c>
    </row>
    <row r="5444" spans="1:11" x14ac:dyDescent="0.35">
      <c r="A5444" s="1">
        <v>43462</v>
      </c>
      <c r="B5444">
        <v>73.667503356933594</v>
      </c>
      <c r="C5444">
        <v>75.673500061035099</v>
      </c>
      <c r="D5444">
        <v>72.449996948242102</v>
      </c>
      <c r="E5444">
        <v>73.9010009765625</v>
      </c>
      <c r="F5444">
        <v>73.9010009765625</v>
      </c>
      <c r="G5444">
        <v>176580000</v>
      </c>
      <c r="H5444">
        <f t="shared" ref="H5444:H5507" si="340">YEAR($A5444)</f>
        <v>2018</v>
      </c>
      <c r="I5444">
        <f t="shared" ref="I5444:I5507" si="341">MONTH($A5444)</f>
        <v>12</v>
      </c>
      <c r="J5444" t="str">
        <f t="shared" ref="J5444:J5507" si="342">TEXT($A5444,"mmm")</f>
        <v>Dec</v>
      </c>
      <c r="K5444" t="str">
        <f t="shared" ref="K5444:K5507" si="343">TEXT($A5444,"ddd")</f>
        <v>Fri</v>
      </c>
    </row>
    <row r="5445" spans="1:11" x14ac:dyDescent="0.35">
      <c r="A5445" s="1">
        <v>43465</v>
      </c>
      <c r="B5445">
        <v>75.540000915527301</v>
      </c>
      <c r="C5445">
        <v>76.038002014160099</v>
      </c>
      <c r="D5445">
        <v>74.349998474121094</v>
      </c>
      <c r="E5445">
        <v>75.098503112792898</v>
      </c>
      <c r="F5445">
        <v>75.098503112792898</v>
      </c>
      <c r="G5445">
        <v>139090000</v>
      </c>
      <c r="H5445">
        <f t="shared" si="340"/>
        <v>2018</v>
      </c>
      <c r="I5445">
        <f t="shared" si="341"/>
        <v>12</v>
      </c>
      <c r="J5445" t="str">
        <f t="shared" si="342"/>
        <v>Dec</v>
      </c>
      <c r="K5445" t="str">
        <f t="shared" si="343"/>
        <v>Mon</v>
      </c>
    </row>
    <row r="5446" spans="1:11" x14ac:dyDescent="0.35">
      <c r="A5446" s="1">
        <v>43467</v>
      </c>
      <c r="B5446">
        <v>73.260002136230398</v>
      </c>
      <c r="C5446">
        <v>77.667999267578097</v>
      </c>
      <c r="D5446">
        <v>73.046501159667898</v>
      </c>
      <c r="E5446">
        <v>76.956497192382798</v>
      </c>
      <c r="F5446">
        <v>76.956497192382798</v>
      </c>
      <c r="G5446">
        <v>159662000</v>
      </c>
      <c r="H5446">
        <f t="shared" si="340"/>
        <v>2019</v>
      </c>
      <c r="I5446">
        <f t="shared" si="341"/>
        <v>1</v>
      </c>
      <c r="J5446" t="str">
        <f t="shared" si="342"/>
        <v>Jan</v>
      </c>
      <c r="K5446" t="str">
        <f t="shared" si="343"/>
        <v>Wed</v>
      </c>
    </row>
    <row r="5447" spans="1:11" x14ac:dyDescent="0.35">
      <c r="A5447" s="1">
        <v>43468</v>
      </c>
      <c r="B5447">
        <v>76.000503540039006</v>
      </c>
      <c r="C5447">
        <v>76.900001525878906</v>
      </c>
      <c r="D5447">
        <v>74.855499267578097</v>
      </c>
      <c r="E5447">
        <v>75.013999938964801</v>
      </c>
      <c r="F5447">
        <v>75.013999938964801</v>
      </c>
      <c r="G5447">
        <v>139512000</v>
      </c>
      <c r="H5447">
        <f t="shared" si="340"/>
        <v>2019</v>
      </c>
      <c r="I5447">
        <f t="shared" si="341"/>
        <v>1</v>
      </c>
      <c r="J5447" t="str">
        <f t="shared" si="342"/>
        <v>Jan</v>
      </c>
      <c r="K5447" t="str">
        <f t="shared" si="343"/>
        <v>Thu</v>
      </c>
    </row>
    <row r="5448" spans="1:11" x14ac:dyDescent="0.35">
      <c r="A5448" s="1">
        <v>43469</v>
      </c>
      <c r="B5448">
        <v>76.5</v>
      </c>
      <c r="C5448">
        <v>79.699996948242102</v>
      </c>
      <c r="D5448">
        <v>75.915496826171804</v>
      </c>
      <c r="E5448">
        <v>78.769500732421804</v>
      </c>
      <c r="F5448">
        <v>78.769500732421804</v>
      </c>
      <c r="G5448">
        <v>183652000</v>
      </c>
      <c r="H5448">
        <f t="shared" si="340"/>
        <v>2019</v>
      </c>
      <c r="I5448">
        <f t="shared" si="341"/>
        <v>1</v>
      </c>
      <c r="J5448" t="str">
        <f t="shared" si="342"/>
        <v>Jan</v>
      </c>
      <c r="K5448" t="str">
        <f t="shared" si="343"/>
        <v>Fri</v>
      </c>
    </row>
    <row r="5449" spans="1:11" x14ac:dyDescent="0.35">
      <c r="A5449" s="1">
        <v>43472</v>
      </c>
      <c r="B5449">
        <v>80.115501403808594</v>
      </c>
      <c r="C5449">
        <v>81.727996826171804</v>
      </c>
      <c r="D5449">
        <v>79.459503173828097</v>
      </c>
      <c r="E5449">
        <v>81.475502014160099</v>
      </c>
      <c r="F5449">
        <v>81.475502014160099</v>
      </c>
      <c r="G5449">
        <v>159864000</v>
      </c>
      <c r="H5449">
        <f t="shared" si="340"/>
        <v>2019</v>
      </c>
      <c r="I5449">
        <f t="shared" si="341"/>
        <v>1</v>
      </c>
      <c r="J5449" t="str">
        <f t="shared" si="342"/>
        <v>Jan</v>
      </c>
      <c r="K5449" t="str">
        <f t="shared" si="343"/>
        <v>Mon</v>
      </c>
    </row>
    <row r="5450" spans="1:11" x14ac:dyDescent="0.35">
      <c r="A5450" s="1">
        <v>43473</v>
      </c>
      <c r="B5450">
        <v>83.2344970703125</v>
      </c>
      <c r="C5450">
        <v>83.830497741699205</v>
      </c>
      <c r="D5450">
        <v>80.830497741699205</v>
      </c>
      <c r="E5450">
        <v>82.829002380371094</v>
      </c>
      <c r="F5450">
        <v>82.829002380371094</v>
      </c>
      <c r="G5450">
        <v>177628000</v>
      </c>
      <c r="H5450">
        <f t="shared" si="340"/>
        <v>2019</v>
      </c>
      <c r="I5450">
        <f t="shared" si="341"/>
        <v>1</v>
      </c>
      <c r="J5450" t="str">
        <f t="shared" si="342"/>
        <v>Jan</v>
      </c>
      <c r="K5450" t="str">
        <f t="shared" si="343"/>
        <v>Tue</v>
      </c>
    </row>
    <row r="5451" spans="1:11" x14ac:dyDescent="0.35">
      <c r="A5451" s="1">
        <v>43474</v>
      </c>
      <c r="B5451">
        <v>82.649002075195298</v>
      </c>
      <c r="C5451">
        <v>83.389999389648395</v>
      </c>
      <c r="D5451">
        <v>82.069999694824205</v>
      </c>
      <c r="E5451">
        <v>82.971000671386705</v>
      </c>
      <c r="F5451">
        <v>82.971000671386705</v>
      </c>
      <c r="G5451">
        <v>126976000</v>
      </c>
      <c r="H5451">
        <f t="shared" si="340"/>
        <v>2019</v>
      </c>
      <c r="I5451">
        <f t="shared" si="341"/>
        <v>1</v>
      </c>
      <c r="J5451" t="str">
        <f t="shared" si="342"/>
        <v>Jan</v>
      </c>
      <c r="K5451" t="str">
        <f t="shared" si="343"/>
        <v>Wed</v>
      </c>
    </row>
    <row r="5452" spans="1:11" x14ac:dyDescent="0.35">
      <c r="A5452" s="1">
        <v>43475</v>
      </c>
      <c r="B5452">
        <v>82.050498962402301</v>
      </c>
      <c r="C5452">
        <v>83.162498474121094</v>
      </c>
      <c r="D5452">
        <v>81.081001281738196</v>
      </c>
      <c r="E5452">
        <v>82.810997009277301</v>
      </c>
      <c r="F5452">
        <v>82.810997009277301</v>
      </c>
      <c r="G5452">
        <v>130154000</v>
      </c>
      <c r="H5452">
        <f t="shared" si="340"/>
        <v>2019</v>
      </c>
      <c r="I5452">
        <f t="shared" si="341"/>
        <v>1</v>
      </c>
      <c r="J5452" t="str">
        <f t="shared" si="342"/>
        <v>Jan</v>
      </c>
      <c r="K5452" t="str">
        <f t="shared" si="343"/>
        <v>Thu</v>
      </c>
    </row>
    <row r="5453" spans="1:11" x14ac:dyDescent="0.35">
      <c r="A5453" s="1">
        <v>43476</v>
      </c>
      <c r="B5453">
        <v>82.027496337890597</v>
      </c>
      <c r="C5453">
        <v>83.014503479003906</v>
      </c>
      <c r="D5453">
        <v>81.810997009277301</v>
      </c>
      <c r="E5453">
        <v>82.027999877929602</v>
      </c>
      <c r="F5453">
        <v>82.027999877929602</v>
      </c>
      <c r="G5453">
        <v>93724000</v>
      </c>
      <c r="H5453">
        <f t="shared" si="340"/>
        <v>2019</v>
      </c>
      <c r="I5453">
        <f t="shared" si="341"/>
        <v>1</v>
      </c>
      <c r="J5453" t="str">
        <f t="shared" si="342"/>
        <v>Jan</v>
      </c>
      <c r="K5453" t="str">
        <f t="shared" si="343"/>
        <v>Fri</v>
      </c>
    </row>
    <row r="5454" spans="1:11" x14ac:dyDescent="0.35">
      <c r="A5454" s="1">
        <v>43479</v>
      </c>
      <c r="B5454">
        <v>80.75</v>
      </c>
      <c r="C5454">
        <v>82.410003662109304</v>
      </c>
      <c r="D5454">
        <v>79.757499694824205</v>
      </c>
      <c r="E5454">
        <v>80.860496520996094</v>
      </c>
      <c r="F5454">
        <v>80.860496520996094</v>
      </c>
      <c r="G5454">
        <v>120118000</v>
      </c>
      <c r="H5454">
        <f t="shared" si="340"/>
        <v>2019</v>
      </c>
      <c r="I5454">
        <f t="shared" si="341"/>
        <v>1</v>
      </c>
      <c r="J5454" t="str">
        <f t="shared" si="342"/>
        <v>Jan</v>
      </c>
      <c r="K5454" t="str">
        <f t="shared" si="343"/>
        <v>Mon</v>
      </c>
    </row>
    <row r="5455" spans="1:11" x14ac:dyDescent="0.35">
      <c r="A5455" s="1">
        <v>43480</v>
      </c>
      <c r="B5455">
        <v>81.599998474121094</v>
      </c>
      <c r="C5455">
        <v>83.758003234863196</v>
      </c>
      <c r="D5455">
        <v>81.300498962402301</v>
      </c>
      <c r="E5455">
        <v>83.727996826171804</v>
      </c>
      <c r="F5455">
        <v>83.727996826171804</v>
      </c>
      <c r="G5455">
        <v>119970000</v>
      </c>
      <c r="H5455">
        <f t="shared" si="340"/>
        <v>2019</v>
      </c>
      <c r="I5455">
        <f t="shared" si="341"/>
        <v>1</v>
      </c>
      <c r="J5455" t="str">
        <f t="shared" si="342"/>
        <v>Jan</v>
      </c>
      <c r="K5455" t="str">
        <f t="shared" si="343"/>
        <v>Tue</v>
      </c>
    </row>
    <row r="5456" spans="1:11" x14ac:dyDescent="0.35">
      <c r="A5456" s="1">
        <v>43481</v>
      </c>
      <c r="B5456">
        <v>84.210998535156193</v>
      </c>
      <c r="C5456">
        <v>85.25</v>
      </c>
      <c r="D5456">
        <v>83.793998718261705</v>
      </c>
      <c r="E5456">
        <v>84.189002990722599</v>
      </c>
      <c r="F5456">
        <v>84.189002990722599</v>
      </c>
      <c r="G5456">
        <v>127338000</v>
      </c>
      <c r="H5456">
        <f t="shared" si="340"/>
        <v>2019</v>
      </c>
      <c r="I5456">
        <f t="shared" si="341"/>
        <v>1</v>
      </c>
      <c r="J5456" t="str">
        <f t="shared" si="342"/>
        <v>Jan</v>
      </c>
      <c r="K5456" t="str">
        <f t="shared" si="343"/>
        <v>Wed</v>
      </c>
    </row>
    <row r="5457" spans="1:11" x14ac:dyDescent="0.35">
      <c r="A5457" s="1">
        <v>43482</v>
      </c>
      <c r="B5457">
        <v>84</v>
      </c>
      <c r="C5457">
        <v>85.008499145507798</v>
      </c>
      <c r="D5457">
        <v>83.875</v>
      </c>
      <c r="E5457">
        <v>84.661003112792898</v>
      </c>
      <c r="F5457">
        <v>84.661003112792898</v>
      </c>
      <c r="G5457">
        <v>84178000</v>
      </c>
      <c r="H5457">
        <f t="shared" si="340"/>
        <v>2019</v>
      </c>
      <c r="I5457">
        <f t="shared" si="341"/>
        <v>1</v>
      </c>
      <c r="J5457" t="str">
        <f t="shared" si="342"/>
        <v>Jan</v>
      </c>
      <c r="K5457" t="str">
        <f t="shared" si="343"/>
        <v>Thu</v>
      </c>
    </row>
    <row r="5458" spans="1:11" x14ac:dyDescent="0.35">
      <c r="A5458" s="1">
        <v>43483</v>
      </c>
      <c r="B5458">
        <v>85.599998474121094</v>
      </c>
      <c r="C5458">
        <v>85.809997558593693</v>
      </c>
      <c r="D5458">
        <v>84.577003479003906</v>
      </c>
      <c r="E5458">
        <v>84.809997558593693</v>
      </c>
      <c r="F5458">
        <v>84.809997558593693</v>
      </c>
      <c r="G5458">
        <v>120410000</v>
      </c>
      <c r="H5458">
        <f t="shared" si="340"/>
        <v>2019</v>
      </c>
      <c r="I5458">
        <f t="shared" si="341"/>
        <v>1</v>
      </c>
      <c r="J5458" t="str">
        <f t="shared" si="342"/>
        <v>Jan</v>
      </c>
      <c r="K5458" t="str">
        <f t="shared" si="343"/>
        <v>Fri</v>
      </c>
    </row>
    <row r="5459" spans="1:11" x14ac:dyDescent="0.35">
      <c r="A5459" s="1">
        <v>43487</v>
      </c>
      <c r="B5459">
        <v>84.050003051757798</v>
      </c>
      <c r="C5459">
        <v>84.093498229980398</v>
      </c>
      <c r="D5459">
        <v>80.510002136230398</v>
      </c>
      <c r="E5459">
        <v>81.608497619628906</v>
      </c>
      <c r="F5459">
        <v>81.608497619628906</v>
      </c>
      <c r="G5459">
        <v>128336000</v>
      </c>
      <c r="H5459">
        <f t="shared" si="340"/>
        <v>2019</v>
      </c>
      <c r="I5459">
        <f t="shared" si="341"/>
        <v>1</v>
      </c>
      <c r="J5459" t="str">
        <f t="shared" si="342"/>
        <v>Jan</v>
      </c>
      <c r="K5459" t="str">
        <f t="shared" si="343"/>
        <v>Tue</v>
      </c>
    </row>
    <row r="5460" spans="1:11" x14ac:dyDescent="0.35">
      <c r="A5460" s="1">
        <v>43488</v>
      </c>
      <c r="B5460">
        <v>82.800003051757798</v>
      </c>
      <c r="C5460">
        <v>82.871498107910099</v>
      </c>
      <c r="D5460">
        <v>80.599998474121094</v>
      </c>
      <c r="E5460">
        <v>82.000999450683594</v>
      </c>
      <c r="F5460">
        <v>82.000999450683594</v>
      </c>
      <c r="G5460">
        <v>104504000</v>
      </c>
      <c r="H5460">
        <f t="shared" si="340"/>
        <v>2019</v>
      </c>
      <c r="I5460">
        <f t="shared" si="341"/>
        <v>1</v>
      </c>
      <c r="J5460" t="str">
        <f t="shared" si="342"/>
        <v>Jan</v>
      </c>
      <c r="K5460" t="str">
        <f t="shared" si="343"/>
        <v>Wed</v>
      </c>
    </row>
    <row r="5461" spans="1:11" x14ac:dyDescent="0.35">
      <c r="A5461" s="1">
        <v>43489</v>
      </c>
      <c r="B5461">
        <v>82.053497314453097</v>
      </c>
      <c r="C5461">
        <v>82.862998962402301</v>
      </c>
      <c r="D5461">
        <v>81.588996887207003</v>
      </c>
      <c r="E5461">
        <v>82.746498107910099</v>
      </c>
      <c r="F5461">
        <v>82.746498107910099</v>
      </c>
      <c r="G5461">
        <v>81798000</v>
      </c>
      <c r="H5461">
        <f t="shared" si="340"/>
        <v>2019</v>
      </c>
      <c r="I5461">
        <f t="shared" si="341"/>
        <v>1</v>
      </c>
      <c r="J5461" t="str">
        <f t="shared" si="342"/>
        <v>Jan</v>
      </c>
      <c r="K5461" t="str">
        <f t="shared" si="343"/>
        <v>Thu</v>
      </c>
    </row>
    <row r="5462" spans="1:11" x14ac:dyDescent="0.35">
      <c r="A5462" s="1">
        <v>43490</v>
      </c>
      <c r="B5462">
        <v>83.525001525878906</v>
      </c>
      <c r="C5462">
        <v>84.174003601074205</v>
      </c>
      <c r="D5462">
        <v>83.080497741699205</v>
      </c>
      <c r="E5462">
        <v>83.528503417968693</v>
      </c>
      <c r="F5462">
        <v>83.528503417968693</v>
      </c>
      <c r="G5462">
        <v>98918000</v>
      </c>
      <c r="H5462">
        <f t="shared" si="340"/>
        <v>2019</v>
      </c>
      <c r="I5462">
        <f t="shared" si="341"/>
        <v>1</v>
      </c>
      <c r="J5462" t="str">
        <f t="shared" si="342"/>
        <v>Jan</v>
      </c>
      <c r="K5462" t="str">
        <f t="shared" si="343"/>
        <v>Fri</v>
      </c>
    </row>
    <row r="5463" spans="1:11" x14ac:dyDescent="0.35">
      <c r="A5463" s="1">
        <v>43493</v>
      </c>
      <c r="B5463">
        <v>82.179496765136705</v>
      </c>
      <c r="C5463">
        <v>82.25</v>
      </c>
      <c r="D5463">
        <v>80.704498291015597</v>
      </c>
      <c r="E5463">
        <v>81.894500732421804</v>
      </c>
      <c r="F5463">
        <v>81.894500732421804</v>
      </c>
      <c r="G5463">
        <v>96754000</v>
      </c>
      <c r="H5463">
        <f t="shared" si="340"/>
        <v>2019</v>
      </c>
      <c r="I5463">
        <f t="shared" si="341"/>
        <v>1</v>
      </c>
      <c r="J5463" t="str">
        <f t="shared" si="342"/>
        <v>Jan</v>
      </c>
      <c r="K5463" t="str">
        <f t="shared" si="343"/>
        <v>Mon</v>
      </c>
    </row>
    <row r="5464" spans="1:11" x14ac:dyDescent="0.35">
      <c r="A5464" s="1">
        <v>43494</v>
      </c>
      <c r="B5464">
        <v>81.563499450683594</v>
      </c>
      <c r="C5464">
        <v>81.619003295898395</v>
      </c>
      <c r="D5464">
        <v>79.536003112792898</v>
      </c>
      <c r="E5464">
        <v>79.694000244140597</v>
      </c>
      <c r="F5464">
        <v>79.694000244140597</v>
      </c>
      <c r="G5464">
        <v>92656000</v>
      </c>
      <c r="H5464">
        <f t="shared" si="340"/>
        <v>2019</v>
      </c>
      <c r="I5464">
        <f t="shared" si="341"/>
        <v>1</v>
      </c>
      <c r="J5464" t="str">
        <f t="shared" si="342"/>
        <v>Jan</v>
      </c>
      <c r="K5464" t="str">
        <f t="shared" si="343"/>
        <v>Tue</v>
      </c>
    </row>
    <row r="5465" spans="1:11" x14ac:dyDescent="0.35">
      <c r="A5465" s="1">
        <v>43495</v>
      </c>
      <c r="B5465">
        <v>81.150001525878906</v>
      </c>
      <c r="C5465">
        <v>83.847503662109304</v>
      </c>
      <c r="D5465">
        <v>80.984001159667898</v>
      </c>
      <c r="E5465">
        <v>83.521499633789006</v>
      </c>
      <c r="F5465">
        <v>83.521499633789006</v>
      </c>
      <c r="G5465">
        <v>115676000</v>
      </c>
      <c r="H5465">
        <f t="shared" si="340"/>
        <v>2019</v>
      </c>
      <c r="I5465">
        <f t="shared" si="341"/>
        <v>1</v>
      </c>
      <c r="J5465" t="str">
        <f t="shared" si="342"/>
        <v>Jan</v>
      </c>
      <c r="K5465" t="str">
        <f t="shared" si="343"/>
        <v>Wed</v>
      </c>
    </row>
    <row r="5466" spans="1:11" x14ac:dyDescent="0.35">
      <c r="A5466" s="1">
        <v>43496</v>
      </c>
      <c r="B5466">
        <v>84.642501831054602</v>
      </c>
      <c r="C5466">
        <v>86.820503234863196</v>
      </c>
      <c r="D5466">
        <v>83.954002380371094</v>
      </c>
      <c r="E5466">
        <v>85.936500549316406</v>
      </c>
      <c r="F5466">
        <v>85.936500549316406</v>
      </c>
      <c r="G5466">
        <v>218206000</v>
      </c>
      <c r="H5466">
        <f t="shared" si="340"/>
        <v>2019</v>
      </c>
      <c r="I5466">
        <f t="shared" si="341"/>
        <v>1</v>
      </c>
      <c r="J5466" t="str">
        <f t="shared" si="342"/>
        <v>Jan</v>
      </c>
      <c r="K5466" t="str">
        <f t="shared" si="343"/>
        <v>Thu</v>
      </c>
    </row>
    <row r="5467" spans="1:11" x14ac:dyDescent="0.35">
      <c r="A5467" s="1">
        <v>43497</v>
      </c>
      <c r="B5467">
        <v>81.944000244140597</v>
      </c>
      <c r="C5467">
        <v>83.652999877929602</v>
      </c>
      <c r="D5467">
        <v>81.100502014160099</v>
      </c>
      <c r="E5467">
        <v>81.311500549316406</v>
      </c>
      <c r="F5467">
        <v>81.311500549316406</v>
      </c>
      <c r="G5467">
        <v>230124000</v>
      </c>
      <c r="H5467">
        <f t="shared" si="340"/>
        <v>2019</v>
      </c>
      <c r="I5467">
        <f t="shared" si="341"/>
        <v>2</v>
      </c>
      <c r="J5467" t="str">
        <f t="shared" si="342"/>
        <v>Feb</v>
      </c>
      <c r="K5467" t="str">
        <f t="shared" si="343"/>
        <v>Fri</v>
      </c>
    </row>
    <row r="5468" spans="1:11" x14ac:dyDescent="0.35">
      <c r="A5468" s="1">
        <v>43500</v>
      </c>
      <c r="B5468">
        <v>81.150001525878906</v>
      </c>
      <c r="C5468">
        <v>82.481498718261705</v>
      </c>
      <c r="D5468">
        <v>80.675003051757798</v>
      </c>
      <c r="E5468">
        <v>81.665496826171804</v>
      </c>
      <c r="F5468">
        <v>81.665496826171804</v>
      </c>
      <c r="G5468">
        <v>98582000</v>
      </c>
      <c r="H5468">
        <f t="shared" si="340"/>
        <v>2019</v>
      </c>
      <c r="I5468">
        <f t="shared" si="341"/>
        <v>2</v>
      </c>
      <c r="J5468" t="str">
        <f t="shared" si="342"/>
        <v>Feb</v>
      </c>
      <c r="K5468" t="str">
        <f t="shared" si="343"/>
        <v>Mon</v>
      </c>
    </row>
    <row r="5469" spans="1:11" x14ac:dyDescent="0.35">
      <c r="A5469" s="1">
        <v>43501</v>
      </c>
      <c r="B5469">
        <v>82.166999816894503</v>
      </c>
      <c r="C5469">
        <v>83.263000488281193</v>
      </c>
      <c r="D5469">
        <v>82.125</v>
      </c>
      <c r="E5469">
        <v>82.940498352050696</v>
      </c>
      <c r="F5469">
        <v>82.940498352050696</v>
      </c>
      <c r="G5469">
        <v>89062000</v>
      </c>
      <c r="H5469">
        <f t="shared" si="340"/>
        <v>2019</v>
      </c>
      <c r="I5469">
        <f t="shared" si="341"/>
        <v>2</v>
      </c>
      <c r="J5469" t="str">
        <f t="shared" si="342"/>
        <v>Feb</v>
      </c>
      <c r="K5469" t="str">
        <f t="shared" si="343"/>
        <v>Tue</v>
      </c>
    </row>
    <row r="5470" spans="1:11" x14ac:dyDescent="0.35">
      <c r="A5470" s="1">
        <v>43502</v>
      </c>
      <c r="B5470">
        <v>83.537498474121094</v>
      </c>
      <c r="C5470">
        <v>83.612998962402301</v>
      </c>
      <c r="D5470">
        <v>81.666999816894503</v>
      </c>
      <c r="E5470">
        <v>82.013000488281193</v>
      </c>
      <c r="F5470">
        <v>82.013000488281193</v>
      </c>
      <c r="G5470">
        <v>78798000</v>
      </c>
      <c r="H5470">
        <f t="shared" si="340"/>
        <v>2019</v>
      </c>
      <c r="I5470">
        <f t="shared" si="341"/>
        <v>2</v>
      </c>
      <c r="J5470" t="str">
        <f t="shared" si="342"/>
        <v>Feb</v>
      </c>
      <c r="K5470" t="str">
        <f t="shared" si="343"/>
        <v>Wed</v>
      </c>
    </row>
    <row r="5471" spans="1:11" x14ac:dyDescent="0.35">
      <c r="A5471" s="1">
        <v>43503</v>
      </c>
      <c r="B5471">
        <v>81.25</v>
      </c>
      <c r="C5471">
        <v>81.277000427246094</v>
      </c>
      <c r="D5471">
        <v>79.645500183105398</v>
      </c>
      <c r="E5471">
        <v>80.718498229980398</v>
      </c>
      <c r="F5471">
        <v>80.718498229980398</v>
      </c>
      <c r="G5471">
        <v>92532000</v>
      </c>
      <c r="H5471">
        <f t="shared" si="340"/>
        <v>2019</v>
      </c>
      <c r="I5471">
        <f t="shared" si="341"/>
        <v>2</v>
      </c>
      <c r="J5471" t="str">
        <f t="shared" si="342"/>
        <v>Feb</v>
      </c>
      <c r="K5471" t="str">
        <f t="shared" si="343"/>
        <v>Thu</v>
      </c>
    </row>
    <row r="5472" spans="1:11" x14ac:dyDescent="0.35">
      <c r="A5472" s="1">
        <v>43504</v>
      </c>
      <c r="B5472">
        <v>79.300003051757798</v>
      </c>
      <c r="C5472">
        <v>79.429496765136705</v>
      </c>
      <c r="D5472">
        <v>78.337997436523395</v>
      </c>
      <c r="E5472">
        <v>79.411003112792898</v>
      </c>
      <c r="F5472">
        <v>79.411003112792898</v>
      </c>
      <c r="G5472">
        <v>113150000</v>
      </c>
      <c r="H5472">
        <f t="shared" si="340"/>
        <v>2019</v>
      </c>
      <c r="I5472">
        <f t="shared" si="341"/>
        <v>2</v>
      </c>
      <c r="J5472" t="str">
        <f t="shared" si="342"/>
        <v>Feb</v>
      </c>
      <c r="K5472" t="str">
        <f t="shared" si="343"/>
        <v>Fri</v>
      </c>
    </row>
    <row r="5473" spans="1:11" x14ac:dyDescent="0.35">
      <c r="A5473" s="1">
        <v>43507</v>
      </c>
      <c r="B5473">
        <v>80.049003601074205</v>
      </c>
      <c r="C5473">
        <v>80.464500427246094</v>
      </c>
      <c r="D5473">
        <v>79.300003051757798</v>
      </c>
      <c r="E5473">
        <v>79.550003051757798</v>
      </c>
      <c r="F5473">
        <v>79.550003051757798</v>
      </c>
      <c r="G5473">
        <v>66346000</v>
      </c>
      <c r="H5473">
        <f t="shared" si="340"/>
        <v>2019</v>
      </c>
      <c r="I5473">
        <f t="shared" si="341"/>
        <v>2</v>
      </c>
      <c r="J5473" t="str">
        <f t="shared" si="342"/>
        <v>Feb</v>
      </c>
      <c r="K5473" t="str">
        <f t="shared" si="343"/>
        <v>Mon</v>
      </c>
    </row>
    <row r="5474" spans="1:11" x14ac:dyDescent="0.35">
      <c r="A5474" s="1">
        <v>43508</v>
      </c>
      <c r="B5474">
        <v>80.199996948242102</v>
      </c>
      <c r="C5474">
        <v>81.970001220703097</v>
      </c>
      <c r="D5474">
        <v>79.944000244140597</v>
      </c>
      <c r="E5474">
        <v>81.900497436523395</v>
      </c>
      <c r="F5474">
        <v>81.900497436523395</v>
      </c>
      <c r="G5474">
        <v>97172000</v>
      </c>
      <c r="H5474">
        <f t="shared" si="340"/>
        <v>2019</v>
      </c>
      <c r="I5474">
        <f t="shared" si="341"/>
        <v>2</v>
      </c>
      <c r="J5474" t="str">
        <f t="shared" si="342"/>
        <v>Feb</v>
      </c>
      <c r="K5474" t="str">
        <f t="shared" si="343"/>
        <v>Tue</v>
      </c>
    </row>
    <row r="5475" spans="1:11" x14ac:dyDescent="0.35">
      <c r="A5475" s="1">
        <v>43509</v>
      </c>
      <c r="B5475">
        <v>82.349998474121094</v>
      </c>
      <c r="C5475">
        <v>82.819000244140597</v>
      </c>
      <c r="D5475">
        <v>81.855499267578097</v>
      </c>
      <c r="E5475">
        <v>82</v>
      </c>
      <c r="F5475">
        <v>82</v>
      </c>
      <c r="G5475">
        <v>71206000</v>
      </c>
      <c r="H5475">
        <f t="shared" si="340"/>
        <v>2019</v>
      </c>
      <c r="I5475">
        <f t="shared" si="341"/>
        <v>2</v>
      </c>
      <c r="J5475" t="str">
        <f t="shared" si="342"/>
        <v>Feb</v>
      </c>
      <c r="K5475" t="str">
        <f t="shared" si="343"/>
        <v>Wed</v>
      </c>
    </row>
    <row r="5476" spans="1:11" x14ac:dyDescent="0.35">
      <c r="A5476" s="1">
        <v>43510</v>
      </c>
      <c r="B5476">
        <v>81.224998474121094</v>
      </c>
      <c r="C5476">
        <v>81.894996643066406</v>
      </c>
      <c r="D5476">
        <v>80.303001403808594</v>
      </c>
      <c r="E5476">
        <v>81.132499694824205</v>
      </c>
      <c r="F5476">
        <v>81.132499694824205</v>
      </c>
      <c r="G5476">
        <v>82410000</v>
      </c>
      <c r="H5476">
        <f t="shared" si="340"/>
        <v>2019</v>
      </c>
      <c r="I5476">
        <f t="shared" si="341"/>
        <v>2</v>
      </c>
      <c r="J5476" t="str">
        <f t="shared" si="342"/>
        <v>Feb</v>
      </c>
      <c r="K5476" t="str">
        <f t="shared" si="343"/>
        <v>Thu</v>
      </c>
    </row>
    <row r="5477" spans="1:11" x14ac:dyDescent="0.35">
      <c r="A5477" s="1">
        <v>43511</v>
      </c>
      <c r="B5477">
        <v>81.392997741699205</v>
      </c>
      <c r="C5477">
        <v>81.445503234863196</v>
      </c>
      <c r="D5477">
        <v>80.224998474121094</v>
      </c>
      <c r="E5477">
        <v>80.397499084472599</v>
      </c>
      <c r="F5477">
        <v>80.397499084472599</v>
      </c>
      <c r="G5477">
        <v>86878000</v>
      </c>
      <c r="H5477">
        <f t="shared" si="340"/>
        <v>2019</v>
      </c>
      <c r="I5477">
        <f t="shared" si="341"/>
        <v>2</v>
      </c>
      <c r="J5477" t="str">
        <f t="shared" si="342"/>
        <v>Feb</v>
      </c>
      <c r="K5477" t="str">
        <f t="shared" si="343"/>
        <v>Fri</v>
      </c>
    </row>
    <row r="5478" spans="1:11" x14ac:dyDescent="0.35">
      <c r="A5478" s="1">
        <v>43515</v>
      </c>
      <c r="B5478">
        <v>80.050003051757798</v>
      </c>
      <c r="C5478">
        <v>81.699996948242102</v>
      </c>
      <c r="D5478">
        <v>80.027999877929602</v>
      </c>
      <c r="E5478">
        <v>81.378997802734304</v>
      </c>
      <c r="F5478">
        <v>81.378997802734304</v>
      </c>
      <c r="G5478">
        <v>73634000</v>
      </c>
      <c r="H5478">
        <f t="shared" si="340"/>
        <v>2019</v>
      </c>
      <c r="I5478">
        <f t="shared" si="341"/>
        <v>2</v>
      </c>
      <c r="J5478" t="str">
        <f t="shared" si="342"/>
        <v>Feb</v>
      </c>
      <c r="K5478" t="str">
        <f t="shared" si="343"/>
        <v>Tue</v>
      </c>
    </row>
    <row r="5479" spans="1:11" x14ac:dyDescent="0.35">
      <c r="A5479" s="1">
        <v>43516</v>
      </c>
      <c r="B5479">
        <v>81.5</v>
      </c>
      <c r="C5479">
        <v>81.746498107910099</v>
      </c>
      <c r="D5479">
        <v>80.505996704101506</v>
      </c>
      <c r="E5479">
        <v>81.105003356933594</v>
      </c>
      <c r="F5479">
        <v>81.105003356933594</v>
      </c>
      <c r="G5479">
        <v>66752000</v>
      </c>
      <c r="H5479">
        <f t="shared" si="340"/>
        <v>2019</v>
      </c>
      <c r="I5479">
        <f t="shared" si="341"/>
        <v>2</v>
      </c>
      <c r="J5479" t="str">
        <f t="shared" si="342"/>
        <v>Feb</v>
      </c>
      <c r="K5479" t="str">
        <f t="shared" si="343"/>
        <v>Wed</v>
      </c>
    </row>
    <row r="5480" spans="1:11" x14ac:dyDescent="0.35">
      <c r="A5480" s="1">
        <v>43517</v>
      </c>
      <c r="B5480">
        <v>80.992500305175696</v>
      </c>
      <c r="C5480">
        <v>81.178001403808594</v>
      </c>
      <c r="D5480">
        <v>80.045501708984304</v>
      </c>
      <c r="E5480">
        <v>80.972000122070298</v>
      </c>
      <c r="F5480">
        <v>80.972000122070298</v>
      </c>
      <c r="G5480">
        <v>69668000</v>
      </c>
      <c r="H5480">
        <f t="shared" si="340"/>
        <v>2019</v>
      </c>
      <c r="I5480">
        <f t="shared" si="341"/>
        <v>2</v>
      </c>
      <c r="J5480" t="str">
        <f t="shared" si="342"/>
        <v>Feb</v>
      </c>
      <c r="K5480" t="str">
        <f t="shared" si="343"/>
        <v>Thu</v>
      </c>
    </row>
    <row r="5481" spans="1:11" x14ac:dyDescent="0.35">
      <c r="A5481" s="1">
        <v>43518</v>
      </c>
      <c r="B5481">
        <v>81.175003051757798</v>
      </c>
      <c r="C5481">
        <v>81.747001647949205</v>
      </c>
      <c r="D5481">
        <v>81.058502197265597</v>
      </c>
      <c r="E5481">
        <v>81.5780029296875</v>
      </c>
      <c r="F5481">
        <v>81.5780029296875</v>
      </c>
      <c r="G5481">
        <v>61924000</v>
      </c>
      <c r="H5481">
        <f t="shared" si="340"/>
        <v>2019</v>
      </c>
      <c r="I5481">
        <f t="shared" si="341"/>
        <v>2</v>
      </c>
      <c r="J5481" t="str">
        <f t="shared" si="342"/>
        <v>Feb</v>
      </c>
      <c r="K5481" t="str">
        <f t="shared" si="343"/>
        <v>Fri</v>
      </c>
    </row>
    <row r="5482" spans="1:11" x14ac:dyDescent="0.35">
      <c r="A5482" s="1">
        <v>43521</v>
      </c>
      <c r="B5482">
        <v>82.072502136230398</v>
      </c>
      <c r="C5482">
        <v>82.730003356933594</v>
      </c>
      <c r="D5482">
        <v>81.519500732421804</v>
      </c>
      <c r="E5482">
        <v>81.650001525878906</v>
      </c>
      <c r="F5482">
        <v>81.650001525878906</v>
      </c>
      <c r="G5482">
        <v>63690000</v>
      </c>
      <c r="H5482">
        <f t="shared" si="340"/>
        <v>2019</v>
      </c>
      <c r="I5482">
        <f t="shared" si="341"/>
        <v>2</v>
      </c>
      <c r="J5482" t="str">
        <f t="shared" si="342"/>
        <v>Feb</v>
      </c>
      <c r="K5482" t="str">
        <f t="shared" si="343"/>
        <v>Mon</v>
      </c>
    </row>
    <row r="5483" spans="1:11" x14ac:dyDescent="0.35">
      <c r="A5483" s="1">
        <v>43522</v>
      </c>
      <c r="B5483">
        <v>81.299003601074205</v>
      </c>
      <c r="C5483">
        <v>81.999496459960895</v>
      </c>
      <c r="D5483">
        <v>80.806503295898395</v>
      </c>
      <c r="E5483">
        <v>81.819999694824205</v>
      </c>
      <c r="F5483">
        <v>81.819999694824205</v>
      </c>
      <c r="G5483">
        <v>53316000</v>
      </c>
      <c r="H5483">
        <f t="shared" si="340"/>
        <v>2019</v>
      </c>
      <c r="I5483">
        <f t="shared" si="341"/>
        <v>2</v>
      </c>
      <c r="J5483" t="str">
        <f t="shared" si="342"/>
        <v>Feb</v>
      </c>
      <c r="K5483" t="str">
        <f t="shared" si="343"/>
        <v>Tue</v>
      </c>
    </row>
    <row r="5484" spans="1:11" x14ac:dyDescent="0.35">
      <c r="A5484" s="1">
        <v>43523</v>
      </c>
      <c r="B5484">
        <v>81.408996582031193</v>
      </c>
      <c r="C5484">
        <v>82.090499877929602</v>
      </c>
      <c r="D5484">
        <v>80.754997253417898</v>
      </c>
      <c r="E5484">
        <v>82.054496765136705</v>
      </c>
      <c r="F5484">
        <v>82.054496765136705</v>
      </c>
      <c r="G5484">
        <v>62976000</v>
      </c>
      <c r="H5484">
        <f t="shared" si="340"/>
        <v>2019</v>
      </c>
      <c r="I5484">
        <f t="shared" si="341"/>
        <v>2</v>
      </c>
      <c r="J5484" t="str">
        <f t="shared" si="342"/>
        <v>Feb</v>
      </c>
      <c r="K5484" t="str">
        <f t="shared" si="343"/>
        <v>Wed</v>
      </c>
    </row>
    <row r="5485" spans="1:11" x14ac:dyDescent="0.35">
      <c r="A5485" s="1">
        <v>43524</v>
      </c>
      <c r="B5485">
        <v>81.762496948242102</v>
      </c>
      <c r="C5485">
        <v>82.5885009765625</v>
      </c>
      <c r="D5485">
        <v>81.691497802734304</v>
      </c>
      <c r="E5485">
        <v>81.991500854492102</v>
      </c>
      <c r="F5485">
        <v>81.991500854492102</v>
      </c>
      <c r="G5485">
        <v>60518000</v>
      </c>
      <c r="H5485">
        <f t="shared" si="340"/>
        <v>2019</v>
      </c>
      <c r="I5485">
        <f t="shared" si="341"/>
        <v>2</v>
      </c>
      <c r="J5485" t="str">
        <f t="shared" si="342"/>
        <v>Feb</v>
      </c>
      <c r="K5485" t="str">
        <f t="shared" si="343"/>
        <v>Thu</v>
      </c>
    </row>
    <row r="5486" spans="1:11" x14ac:dyDescent="0.35">
      <c r="A5486" s="1">
        <v>43525</v>
      </c>
      <c r="B5486">
        <v>82.756500244140597</v>
      </c>
      <c r="C5486">
        <v>83.712997436523395</v>
      </c>
      <c r="D5486">
        <v>82.550003051757798</v>
      </c>
      <c r="E5486">
        <v>83.586502075195298</v>
      </c>
      <c r="F5486">
        <v>83.586502075195298</v>
      </c>
      <c r="G5486">
        <v>99498000</v>
      </c>
      <c r="H5486">
        <f t="shared" si="340"/>
        <v>2019</v>
      </c>
      <c r="I5486">
        <f t="shared" si="341"/>
        <v>3</v>
      </c>
      <c r="J5486" t="str">
        <f t="shared" si="342"/>
        <v>Mar</v>
      </c>
      <c r="K5486" t="str">
        <f t="shared" si="343"/>
        <v>Fri</v>
      </c>
    </row>
    <row r="5487" spans="1:11" x14ac:dyDescent="0.35">
      <c r="A5487" s="1">
        <v>43528</v>
      </c>
      <c r="B5487">
        <v>84.25</v>
      </c>
      <c r="C5487">
        <v>85.471496582031193</v>
      </c>
      <c r="D5487">
        <v>83.718002319335895</v>
      </c>
      <c r="E5487">
        <v>84.808502197265597</v>
      </c>
      <c r="F5487">
        <v>84.808502197265597</v>
      </c>
      <c r="G5487">
        <v>123348000</v>
      </c>
      <c r="H5487">
        <f t="shared" si="340"/>
        <v>2019</v>
      </c>
      <c r="I5487">
        <f t="shared" si="341"/>
        <v>3</v>
      </c>
      <c r="J5487" t="str">
        <f t="shared" si="342"/>
        <v>Mar</v>
      </c>
      <c r="K5487" t="str">
        <f t="shared" si="343"/>
        <v>Mon</v>
      </c>
    </row>
    <row r="5488" spans="1:11" x14ac:dyDescent="0.35">
      <c r="A5488" s="1">
        <v>43529</v>
      </c>
      <c r="B5488">
        <v>85.147499084472599</v>
      </c>
      <c r="C5488">
        <v>85.389999389648395</v>
      </c>
      <c r="D5488">
        <v>84.450500488281193</v>
      </c>
      <c r="E5488">
        <v>84.621498107910099</v>
      </c>
      <c r="F5488">
        <v>84.621498107910099</v>
      </c>
      <c r="G5488">
        <v>73630000</v>
      </c>
      <c r="H5488">
        <f t="shared" si="340"/>
        <v>2019</v>
      </c>
      <c r="I5488">
        <f t="shared" si="341"/>
        <v>3</v>
      </c>
      <c r="J5488" t="str">
        <f t="shared" si="342"/>
        <v>Mar</v>
      </c>
      <c r="K5488" t="str">
        <f t="shared" si="343"/>
        <v>Tue</v>
      </c>
    </row>
    <row r="5489" spans="1:11" x14ac:dyDescent="0.35">
      <c r="A5489" s="1">
        <v>43530</v>
      </c>
      <c r="B5489">
        <v>84.798500061035099</v>
      </c>
      <c r="C5489">
        <v>84.887496948242102</v>
      </c>
      <c r="D5489">
        <v>83.414001464843693</v>
      </c>
      <c r="E5489">
        <v>83.447502136230398</v>
      </c>
      <c r="F5489">
        <v>83.447502136230398</v>
      </c>
      <c r="G5489">
        <v>79920000</v>
      </c>
      <c r="H5489">
        <f t="shared" si="340"/>
        <v>2019</v>
      </c>
      <c r="I5489">
        <f t="shared" si="341"/>
        <v>3</v>
      </c>
      <c r="J5489" t="str">
        <f t="shared" si="342"/>
        <v>Mar</v>
      </c>
      <c r="K5489" t="str">
        <f t="shared" si="343"/>
        <v>Wed</v>
      </c>
    </row>
    <row r="5490" spans="1:11" x14ac:dyDescent="0.35">
      <c r="A5490" s="1">
        <v>43531</v>
      </c>
      <c r="B5490">
        <v>83.368499755859304</v>
      </c>
      <c r="C5490">
        <v>83.487503051757798</v>
      </c>
      <c r="D5490">
        <v>81.025497436523395</v>
      </c>
      <c r="E5490">
        <v>81.297500610351506</v>
      </c>
      <c r="F5490">
        <v>81.297500610351506</v>
      </c>
      <c r="G5490">
        <v>99140000</v>
      </c>
      <c r="H5490">
        <f t="shared" si="340"/>
        <v>2019</v>
      </c>
      <c r="I5490">
        <f t="shared" si="341"/>
        <v>3</v>
      </c>
      <c r="J5490" t="str">
        <f t="shared" si="342"/>
        <v>Mar</v>
      </c>
      <c r="K5490" t="str">
        <f t="shared" si="343"/>
        <v>Thu</v>
      </c>
    </row>
    <row r="5491" spans="1:11" x14ac:dyDescent="0.35">
      <c r="A5491" s="1">
        <v>43532</v>
      </c>
      <c r="B5491">
        <v>80.200500488281193</v>
      </c>
      <c r="C5491">
        <v>81.136001586914006</v>
      </c>
      <c r="D5491">
        <v>79.328498840332003</v>
      </c>
      <c r="E5491">
        <v>81.040000915527301</v>
      </c>
      <c r="F5491">
        <v>81.040000915527301</v>
      </c>
      <c r="G5491">
        <v>93340000</v>
      </c>
      <c r="H5491">
        <f t="shared" si="340"/>
        <v>2019</v>
      </c>
      <c r="I5491">
        <f t="shared" si="341"/>
        <v>3</v>
      </c>
      <c r="J5491" t="str">
        <f t="shared" si="342"/>
        <v>Mar</v>
      </c>
      <c r="K5491" t="str">
        <f t="shared" si="343"/>
        <v>Fri</v>
      </c>
    </row>
    <row r="5492" spans="1:11" x14ac:dyDescent="0.35">
      <c r="A5492" s="1">
        <v>43535</v>
      </c>
      <c r="B5492">
        <v>81.305999755859304</v>
      </c>
      <c r="C5492">
        <v>83.614501953125</v>
      </c>
      <c r="D5492">
        <v>81.300498962402301</v>
      </c>
      <c r="E5492">
        <v>83.530998229980398</v>
      </c>
      <c r="F5492">
        <v>83.530998229980398</v>
      </c>
      <c r="G5492">
        <v>77528000</v>
      </c>
      <c r="H5492">
        <f t="shared" si="340"/>
        <v>2019</v>
      </c>
      <c r="I5492">
        <f t="shared" si="341"/>
        <v>3</v>
      </c>
      <c r="J5492" t="str">
        <f t="shared" si="342"/>
        <v>Mar</v>
      </c>
      <c r="K5492" t="str">
        <f t="shared" si="343"/>
        <v>Mon</v>
      </c>
    </row>
    <row r="5493" spans="1:11" x14ac:dyDescent="0.35">
      <c r="A5493" s="1">
        <v>43536</v>
      </c>
      <c r="B5493">
        <v>83.449996948242102</v>
      </c>
      <c r="C5493">
        <v>84.2135009765625</v>
      </c>
      <c r="D5493">
        <v>83.049003601074205</v>
      </c>
      <c r="E5493">
        <v>83.654998779296804</v>
      </c>
      <c r="F5493">
        <v>83.654998779296804</v>
      </c>
      <c r="G5493">
        <v>72290000</v>
      </c>
      <c r="H5493">
        <f t="shared" si="340"/>
        <v>2019</v>
      </c>
      <c r="I5493">
        <f t="shared" si="341"/>
        <v>3</v>
      </c>
      <c r="J5493" t="str">
        <f t="shared" si="342"/>
        <v>Mar</v>
      </c>
      <c r="K5493" t="str">
        <f t="shared" si="343"/>
        <v>Tue</v>
      </c>
    </row>
    <row r="5494" spans="1:11" x14ac:dyDescent="0.35">
      <c r="A5494" s="1">
        <v>43537</v>
      </c>
      <c r="B5494">
        <v>84.150001525878906</v>
      </c>
      <c r="C5494">
        <v>85</v>
      </c>
      <c r="D5494">
        <v>83.967498779296804</v>
      </c>
      <c r="E5494">
        <v>84.540496826171804</v>
      </c>
      <c r="F5494">
        <v>84.540496826171804</v>
      </c>
      <c r="G5494">
        <v>71040000</v>
      </c>
      <c r="H5494">
        <f t="shared" si="340"/>
        <v>2019</v>
      </c>
      <c r="I5494">
        <f t="shared" si="341"/>
        <v>3</v>
      </c>
      <c r="J5494" t="str">
        <f t="shared" si="342"/>
        <v>Mar</v>
      </c>
      <c r="K5494" t="str">
        <f t="shared" si="343"/>
        <v>Wed</v>
      </c>
    </row>
    <row r="5495" spans="1:11" x14ac:dyDescent="0.35">
      <c r="A5495" s="1">
        <v>43538</v>
      </c>
      <c r="B5495">
        <v>84.559997558593693</v>
      </c>
      <c r="C5495">
        <v>85.099998474121094</v>
      </c>
      <c r="D5495">
        <v>84.217002868652301</v>
      </c>
      <c r="E5495">
        <v>84.310997009277301</v>
      </c>
      <c r="F5495">
        <v>84.310997009277301</v>
      </c>
      <c r="G5495">
        <v>58932000</v>
      </c>
      <c r="H5495">
        <f t="shared" si="340"/>
        <v>2019</v>
      </c>
      <c r="I5495">
        <f t="shared" si="341"/>
        <v>3</v>
      </c>
      <c r="J5495" t="str">
        <f t="shared" si="342"/>
        <v>Mar</v>
      </c>
      <c r="K5495" t="str">
        <f t="shared" si="343"/>
        <v>Thu</v>
      </c>
    </row>
    <row r="5496" spans="1:11" x14ac:dyDescent="0.35">
      <c r="A5496" s="1">
        <v>43539</v>
      </c>
      <c r="B5496">
        <v>85.150001525878906</v>
      </c>
      <c r="C5496">
        <v>85.940002441406193</v>
      </c>
      <c r="D5496">
        <v>84.656501770019503</v>
      </c>
      <c r="E5496">
        <v>85.617996215820298</v>
      </c>
      <c r="F5496">
        <v>85.617996215820298</v>
      </c>
      <c r="G5496">
        <v>151018000</v>
      </c>
      <c r="H5496">
        <f t="shared" si="340"/>
        <v>2019</v>
      </c>
      <c r="I5496">
        <f t="shared" si="341"/>
        <v>3</v>
      </c>
      <c r="J5496" t="str">
        <f t="shared" si="342"/>
        <v>Mar</v>
      </c>
      <c r="K5496" t="str">
        <f t="shared" si="343"/>
        <v>Fri</v>
      </c>
    </row>
    <row r="5497" spans="1:11" x14ac:dyDescent="0.35">
      <c r="A5497" s="1">
        <v>43542</v>
      </c>
      <c r="B5497">
        <v>85.635002136230398</v>
      </c>
      <c r="C5497">
        <v>87.5</v>
      </c>
      <c r="D5497">
        <v>85.631500244140597</v>
      </c>
      <c r="E5497">
        <v>87.107498168945298</v>
      </c>
      <c r="F5497">
        <v>87.107498168945298</v>
      </c>
      <c r="G5497">
        <v>108582000</v>
      </c>
      <c r="H5497">
        <f t="shared" si="340"/>
        <v>2019</v>
      </c>
      <c r="I5497">
        <f t="shared" si="341"/>
        <v>3</v>
      </c>
      <c r="J5497" t="str">
        <f t="shared" si="342"/>
        <v>Mar</v>
      </c>
      <c r="K5497" t="str">
        <f t="shared" si="343"/>
        <v>Mon</v>
      </c>
    </row>
    <row r="5498" spans="1:11" x14ac:dyDescent="0.35">
      <c r="A5498" s="1">
        <v>43543</v>
      </c>
      <c r="B5498">
        <v>87.675498962402301</v>
      </c>
      <c r="C5498">
        <v>89.208000183105398</v>
      </c>
      <c r="D5498">
        <v>87.675498962402301</v>
      </c>
      <c r="E5498">
        <v>88.092498779296804</v>
      </c>
      <c r="F5498">
        <v>88.092498779296804</v>
      </c>
      <c r="G5498">
        <v>127284000</v>
      </c>
      <c r="H5498">
        <f t="shared" si="340"/>
        <v>2019</v>
      </c>
      <c r="I5498">
        <f t="shared" si="341"/>
        <v>3</v>
      </c>
      <c r="J5498" t="str">
        <f t="shared" si="342"/>
        <v>Mar</v>
      </c>
      <c r="K5498" t="str">
        <f t="shared" si="343"/>
        <v>Tue</v>
      </c>
    </row>
    <row r="5499" spans="1:11" x14ac:dyDescent="0.35">
      <c r="A5499" s="1">
        <v>43544</v>
      </c>
      <c r="B5499">
        <v>88.497001647949205</v>
      </c>
      <c r="C5499">
        <v>89.974998474121094</v>
      </c>
      <c r="D5499">
        <v>88.351501464843693</v>
      </c>
      <c r="E5499">
        <v>89.863502502441406</v>
      </c>
      <c r="F5499">
        <v>89.863502502441406</v>
      </c>
      <c r="G5499">
        <v>125312000</v>
      </c>
      <c r="H5499">
        <f t="shared" si="340"/>
        <v>2019</v>
      </c>
      <c r="I5499">
        <f t="shared" si="341"/>
        <v>3</v>
      </c>
      <c r="J5499" t="str">
        <f t="shared" si="342"/>
        <v>Mar</v>
      </c>
      <c r="K5499" t="str">
        <f t="shared" si="343"/>
        <v>Wed</v>
      </c>
    </row>
    <row r="5500" spans="1:11" x14ac:dyDescent="0.35">
      <c r="A5500" s="1">
        <v>43545</v>
      </c>
      <c r="B5500">
        <v>89.813003540039006</v>
      </c>
      <c r="C5500">
        <v>91.1875</v>
      </c>
      <c r="D5500">
        <v>89.363998413085895</v>
      </c>
      <c r="E5500">
        <v>90.962997436523395</v>
      </c>
      <c r="F5500">
        <v>90.962997436523395</v>
      </c>
      <c r="G5500">
        <v>115356000</v>
      </c>
      <c r="H5500">
        <f t="shared" si="340"/>
        <v>2019</v>
      </c>
      <c r="I5500">
        <f t="shared" si="341"/>
        <v>3</v>
      </c>
      <c r="J5500" t="str">
        <f t="shared" si="342"/>
        <v>Mar</v>
      </c>
      <c r="K5500" t="str">
        <f t="shared" si="343"/>
        <v>Thu</v>
      </c>
    </row>
    <row r="5501" spans="1:11" x14ac:dyDescent="0.35">
      <c r="A5501" s="1">
        <v>43546</v>
      </c>
      <c r="B5501">
        <v>90.508499145507798</v>
      </c>
      <c r="C5501">
        <v>90.948997497558594</v>
      </c>
      <c r="D5501">
        <v>88.155502319335895</v>
      </c>
      <c r="E5501">
        <v>88.238502502441406</v>
      </c>
      <c r="F5501">
        <v>88.238502502441406</v>
      </c>
      <c r="G5501">
        <v>127260000</v>
      </c>
      <c r="H5501">
        <f t="shared" si="340"/>
        <v>2019</v>
      </c>
      <c r="I5501">
        <f t="shared" si="341"/>
        <v>3</v>
      </c>
      <c r="J5501" t="str">
        <f t="shared" si="342"/>
        <v>Mar</v>
      </c>
      <c r="K5501" t="str">
        <f t="shared" si="343"/>
        <v>Fri</v>
      </c>
    </row>
    <row r="5502" spans="1:11" x14ac:dyDescent="0.35">
      <c r="A5502" s="1">
        <v>43549</v>
      </c>
      <c r="B5502">
        <v>87.889503479003906</v>
      </c>
      <c r="C5502">
        <v>89.134002685546804</v>
      </c>
      <c r="D5502">
        <v>87.375</v>
      </c>
      <c r="E5502">
        <v>88.712997436523395</v>
      </c>
      <c r="F5502">
        <v>88.712997436523395</v>
      </c>
      <c r="G5502">
        <v>102076000</v>
      </c>
      <c r="H5502">
        <f t="shared" si="340"/>
        <v>2019</v>
      </c>
      <c r="I5502">
        <f t="shared" si="341"/>
        <v>3</v>
      </c>
      <c r="J5502" t="str">
        <f t="shared" si="342"/>
        <v>Mar</v>
      </c>
      <c r="K5502" t="str">
        <f t="shared" si="343"/>
        <v>Mon</v>
      </c>
    </row>
    <row r="5503" spans="1:11" x14ac:dyDescent="0.35">
      <c r="A5503" s="1">
        <v>43550</v>
      </c>
      <c r="B5503">
        <v>89.650001525878906</v>
      </c>
      <c r="C5503">
        <v>90.288497924804602</v>
      </c>
      <c r="D5503">
        <v>88.667999267578097</v>
      </c>
      <c r="E5503">
        <v>89.188003540039006</v>
      </c>
      <c r="F5503">
        <v>89.188003540039006</v>
      </c>
      <c r="G5503">
        <v>97318000</v>
      </c>
      <c r="H5503">
        <f t="shared" si="340"/>
        <v>2019</v>
      </c>
      <c r="I5503">
        <f t="shared" si="341"/>
        <v>3</v>
      </c>
      <c r="J5503" t="str">
        <f t="shared" si="342"/>
        <v>Mar</v>
      </c>
      <c r="K5503" t="str">
        <f t="shared" si="343"/>
        <v>Tue</v>
      </c>
    </row>
    <row r="5504" spans="1:11" x14ac:dyDescent="0.35">
      <c r="A5504" s="1">
        <v>43551</v>
      </c>
      <c r="B5504">
        <v>89.206497192382798</v>
      </c>
      <c r="C5504">
        <v>89.375</v>
      </c>
      <c r="D5504">
        <v>87.283996582031193</v>
      </c>
      <c r="E5504">
        <v>88.285003662109304</v>
      </c>
      <c r="F5504">
        <v>88.285003662109304</v>
      </c>
      <c r="G5504">
        <v>86496000</v>
      </c>
      <c r="H5504">
        <f t="shared" si="340"/>
        <v>2019</v>
      </c>
      <c r="I5504">
        <f t="shared" si="341"/>
        <v>3</v>
      </c>
      <c r="J5504" t="str">
        <f t="shared" si="342"/>
        <v>Mar</v>
      </c>
      <c r="K5504" t="str">
        <f t="shared" si="343"/>
        <v>Wed</v>
      </c>
    </row>
    <row r="5505" spans="1:11" x14ac:dyDescent="0.35">
      <c r="A5505" s="1">
        <v>43552</v>
      </c>
      <c r="B5505">
        <v>88.5</v>
      </c>
      <c r="C5505">
        <v>88.896499633789006</v>
      </c>
      <c r="D5505">
        <v>87.673500061035099</v>
      </c>
      <c r="E5505">
        <v>88.670997619628906</v>
      </c>
      <c r="F5505">
        <v>88.670997619628906</v>
      </c>
      <c r="G5505">
        <v>60860000</v>
      </c>
      <c r="H5505">
        <f t="shared" si="340"/>
        <v>2019</v>
      </c>
      <c r="I5505">
        <f t="shared" si="341"/>
        <v>3</v>
      </c>
      <c r="J5505" t="str">
        <f t="shared" si="342"/>
        <v>Mar</v>
      </c>
      <c r="K5505" t="str">
        <f t="shared" si="343"/>
        <v>Thu</v>
      </c>
    </row>
    <row r="5506" spans="1:11" x14ac:dyDescent="0.35">
      <c r="A5506" s="1">
        <v>43553</v>
      </c>
      <c r="B5506">
        <v>89.329002380371094</v>
      </c>
      <c r="C5506">
        <v>89.642997741699205</v>
      </c>
      <c r="D5506">
        <v>88.831497192382798</v>
      </c>
      <c r="E5506">
        <v>89.037498474121094</v>
      </c>
      <c r="F5506">
        <v>89.037498474121094</v>
      </c>
      <c r="G5506">
        <v>66416000</v>
      </c>
      <c r="H5506">
        <f t="shared" si="340"/>
        <v>2019</v>
      </c>
      <c r="I5506">
        <f t="shared" si="341"/>
        <v>3</v>
      </c>
      <c r="J5506" t="str">
        <f t="shared" si="342"/>
        <v>Mar</v>
      </c>
      <c r="K5506" t="str">
        <f t="shared" si="343"/>
        <v>Fri</v>
      </c>
    </row>
    <row r="5507" spans="1:11" x14ac:dyDescent="0.35">
      <c r="A5507" s="1">
        <v>43556</v>
      </c>
      <c r="B5507">
        <v>90.005500793457003</v>
      </c>
      <c r="C5507">
        <v>90.783500671386705</v>
      </c>
      <c r="D5507">
        <v>89.936500549316406</v>
      </c>
      <c r="E5507">
        <v>90.709503173828097</v>
      </c>
      <c r="F5507">
        <v>90.709503173828097</v>
      </c>
      <c r="G5507">
        <v>84776000</v>
      </c>
      <c r="H5507">
        <f t="shared" si="340"/>
        <v>2019</v>
      </c>
      <c r="I5507">
        <f t="shared" si="341"/>
        <v>4</v>
      </c>
      <c r="J5507" t="str">
        <f t="shared" si="342"/>
        <v>Apr</v>
      </c>
      <c r="K5507" t="str">
        <f t="shared" si="343"/>
        <v>Mon</v>
      </c>
    </row>
    <row r="5508" spans="1:11" x14ac:dyDescent="0.35">
      <c r="A5508" s="1">
        <v>43557</v>
      </c>
      <c r="B5508">
        <v>90.551002502441406</v>
      </c>
      <c r="C5508">
        <v>91</v>
      </c>
      <c r="D5508">
        <v>90.255996704101506</v>
      </c>
      <c r="E5508">
        <v>90.698997497558594</v>
      </c>
      <c r="F5508">
        <v>90.698997497558594</v>
      </c>
      <c r="G5508">
        <v>68962000</v>
      </c>
      <c r="H5508">
        <f t="shared" ref="H5508:H5571" si="344">YEAR($A5508)</f>
        <v>2019</v>
      </c>
      <c r="I5508">
        <f t="shared" ref="I5508:I5571" si="345">MONTH($A5508)</f>
        <v>4</v>
      </c>
      <c r="J5508" t="str">
        <f t="shared" ref="J5508:J5571" si="346">TEXT($A5508,"mmm")</f>
        <v>Apr</v>
      </c>
      <c r="K5508" t="str">
        <f t="shared" ref="K5508:K5571" si="347">TEXT($A5508,"ddd")</f>
        <v>Tue</v>
      </c>
    </row>
    <row r="5509" spans="1:11" x14ac:dyDescent="0.35">
      <c r="A5509" s="1">
        <v>43558</v>
      </c>
      <c r="B5509">
        <v>91.335998535156193</v>
      </c>
      <c r="C5509">
        <v>91.5</v>
      </c>
      <c r="D5509">
        <v>90.481002807617102</v>
      </c>
      <c r="E5509">
        <v>91.035003662109304</v>
      </c>
      <c r="F5509">
        <v>91.035003662109304</v>
      </c>
      <c r="G5509">
        <v>78522000</v>
      </c>
      <c r="H5509">
        <f t="shared" si="344"/>
        <v>2019</v>
      </c>
      <c r="I5509">
        <f t="shared" si="345"/>
        <v>4</v>
      </c>
      <c r="J5509" t="str">
        <f t="shared" si="346"/>
        <v>Apr</v>
      </c>
      <c r="K5509" t="str">
        <f t="shared" si="347"/>
        <v>Wed</v>
      </c>
    </row>
    <row r="5510" spans="1:11" x14ac:dyDescent="0.35">
      <c r="A5510" s="1">
        <v>43559</v>
      </c>
      <c r="B5510">
        <v>91.032501220703097</v>
      </c>
      <c r="C5510">
        <v>91.4375</v>
      </c>
      <c r="D5510">
        <v>90.209999084472599</v>
      </c>
      <c r="E5510">
        <v>90.943000793457003</v>
      </c>
      <c r="F5510">
        <v>90.943000793457003</v>
      </c>
      <c r="G5510">
        <v>72478000</v>
      </c>
      <c r="H5510">
        <f t="shared" si="344"/>
        <v>2019</v>
      </c>
      <c r="I5510">
        <f t="shared" si="345"/>
        <v>4</v>
      </c>
      <c r="J5510" t="str">
        <f t="shared" si="346"/>
        <v>Apr</v>
      </c>
      <c r="K5510" t="str">
        <f t="shared" si="347"/>
        <v>Thu</v>
      </c>
    </row>
    <row r="5511" spans="1:11" x14ac:dyDescent="0.35">
      <c r="A5511" s="1">
        <v>43560</v>
      </c>
      <c r="B5511">
        <v>91.449996948242102</v>
      </c>
      <c r="C5511">
        <v>91.929000854492102</v>
      </c>
      <c r="D5511">
        <v>91.259498596191406</v>
      </c>
      <c r="E5511">
        <v>91.863998413085895</v>
      </c>
      <c r="F5511">
        <v>91.863998413085895</v>
      </c>
      <c r="G5511">
        <v>72810000</v>
      </c>
      <c r="H5511">
        <f t="shared" si="344"/>
        <v>2019</v>
      </c>
      <c r="I5511">
        <f t="shared" si="345"/>
        <v>4</v>
      </c>
      <c r="J5511" t="str">
        <f t="shared" si="346"/>
        <v>Apr</v>
      </c>
      <c r="K5511" t="str">
        <f t="shared" si="347"/>
        <v>Fri</v>
      </c>
    </row>
    <row r="5512" spans="1:11" x14ac:dyDescent="0.35">
      <c r="A5512" s="1">
        <v>43563</v>
      </c>
      <c r="B5512">
        <v>91.6614990234375</v>
      </c>
      <c r="C5512">
        <v>92.510002136230398</v>
      </c>
      <c r="D5512">
        <v>91.255500793457003</v>
      </c>
      <c r="E5512">
        <v>92.492996215820298</v>
      </c>
      <c r="F5512">
        <v>92.492996215820298</v>
      </c>
      <c r="G5512">
        <v>75056000</v>
      </c>
      <c r="H5512">
        <f t="shared" si="344"/>
        <v>2019</v>
      </c>
      <c r="I5512">
        <f t="shared" si="345"/>
        <v>4</v>
      </c>
      <c r="J5512" t="str">
        <f t="shared" si="346"/>
        <v>Apr</v>
      </c>
      <c r="K5512" t="str">
        <f t="shared" si="347"/>
        <v>Mon</v>
      </c>
    </row>
    <row r="5513" spans="1:11" x14ac:dyDescent="0.35">
      <c r="A5513" s="1">
        <v>43564</v>
      </c>
      <c r="B5513">
        <v>92.274497985839801</v>
      </c>
      <c r="C5513">
        <v>92.654502868652301</v>
      </c>
      <c r="D5513">
        <v>91.588996887207003</v>
      </c>
      <c r="E5513">
        <v>91.791999816894503</v>
      </c>
      <c r="F5513">
        <v>91.791999816894503</v>
      </c>
      <c r="G5513">
        <v>74288000</v>
      </c>
      <c r="H5513">
        <f t="shared" si="344"/>
        <v>2019</v>
      </c>
      <c r="I5513">
        <f t="shared" si="345"/>
        <v>4</v>
      </c>
      <c r="J5513" t="str">
        <f t="shared" si="346"/>
        <v>Apr</v>
      </c>
      <c r="K5513" t="str">
        <f t="shared" si="347"/>
        <v>Tue</v>
      </c>
    </row>
    <row r="5514" spans="1:11" x14ac:dyDescent="0.35">
      <c r="A5514" s="1">
        <v>43565</v>
      </c>
      <c r="B5514">
        <v>92.050003051757798</v>
      </c>
      <c r="C5514">
        <v>92.400001525878906</v>
      </c>
      <c r="D5514">
        <v>91.440498352050696</v>
      </c>
      <c r="E5514">
        <v>92.366500854492102</v>
      </c>
      <c r="F5514">
        <v>92.366500854492102</v>
      </c>
      <c r="G5514">
        <v>59280000</v>
      </c>
      <c r="H5514">
        <f t="shared" si="344"/>
        <v>2019</v>
      </c>
      <c r="I5514">
        <f t="shared" si="345"/>
        <v>4</v>
      </c>
      <c r="J5514" t="str">
        <f t="shared" si="346"/>
        <v>Apr</v>
      </c>
      <c r="K5514" t="str">
        <f t="shared" si="347"/>
        <v>Wed</v>
      </c>
    </row>
    <row r="5515" spans="1:11" x14ac:dyDescent="0.35">
      <c r="A5515" s="1">
        <v>43566</v>
      </c>
      <c r="B5515">
        <v>92.434997558593693</v>
      </c>
      <c r="C5515">
        <v>92.497497558593693</v>
      </c>
      <c r="D5515">
        <v>92.0155029296875</v>
      </c>
      <c r="E5515">
        <v>92.203498840332003</v>
      </c>
      <c r="F5515">
        <v>92.203498840332003</v>
      </c>
      <c r="G5515">
        <v>53096000</v>
      </c>
      <c r="H5515">
        <f t="shared" si="344"/>
        <v>2019</v>
      </c>
      <c r="I5515">
        <f t="shared" si="345"/>
        <v>4</v>
      </c>
      <c r="J5515" t="str">
        <f t="shared" si="346"/>
        <v>Apr</v>
      </c>
      <c r="K5515" t="str">
        <f t="shared" si="347"/>
        <v>Thu</v>
      </c>
    </row>
    <row r="5516" spans="1:11" x14ac:dyDescent="0.35">
      <c r="A5516" s="1">
        <v>43567</v>
      </c>
      <c r="B5516">
        <v>92.419998168945298</v>
      </c>
      <c r="C5516">
        <v>92.574996948242102</v>
      </c>
      <c r="D5516">
        <v>92.065002441406193</v>
      </c>
      <c r="E5516">
        <v>92.152999877929602</v>
      </c>
      <c r="F5516">
        <v>92.152999877929602</v>
      </c>
      <c r="G5516">
        <v>62288000</v>
      </c>
      <c r="H5516">
        <f t="shared" si="344"/>
        <v>2019</v>
      </c>
      <c r="I5516">
        <f t="shared" si="345"/>
        <v>4</v>
      </c>
      <c r="J5516" t="str">
        <f t="shared" si="346"/>
        <v>Apr</v>
      </c>
      <c r="K5516" t="str">
        <f t="shared" si="347"/>
        <v>Fri</v>
      </c>
    </row>
    <row r="5517" spans="1:11" x14ac:dyDescent="0.35">
      <c r="A5517" s="1">
        <v>43570</v>
      </c>
      <c r="B5517">
        <v>92.099998474121094</v>
      </c>
      <c r="C5517">
        <v>92.342498779296804</v>
      </c>
      <c r="D5517">
        <v>90.944999694824205</v>
      </c>
      <c r="E5517">
        <v>92.243499755859304</v>
      </c>
      <c r="F5517">
        <v>92.243499755859304</v>
      </c>
      <c r="G5517">
        <v>74488000</v>
      </c>
      <c r="H5517">
        <f t="shared" si="344"/>
        <v>2019</v>
      </c>
      <c r="I5517">
        <f t="shared" si="345"/>
        <v>4</v>
      </c>
      <c r="J5517" t="str">
        <f t="shared" si="346"/>
        <v>Apr</v>
      </c>
      <c r="K5517" t="str">
        <f t="shared" si="347"/>
        <v>Mon</v>
      </c>
    </row>
    <row r="5518" spans="1:11" x14ac:dyDescent="0.35">
      <c r="A5518" s="1">
        <v>43571</v>
      </c>
      <c r="B5518">
        <v>92.567497253417898</v>
      </c>
      <c r="C5518">
        <v>93.488502502441406</v>
      </c>
      <c r="D5518">
        <v>92.400001525878906</v>
      </c>
      <c r="E5518">
        <v>93.152000427246094</v>
      </c>
      <c r="F5518">
        <v>93.152000427246094</v>
      </c>
      <c r="G5518">
        <v>60892000</v>
      </c>
      <c r="H5518">
        <f t="shared" si="344"/>
        <v>2019</v>
      </c>
      <c r="I5518">
        <f t="shared" si="345"/>
        <v>4</v>
      </c>
      <c r="J5518" t="str">
        <f t="shared" si="346"/>
        <v>Apr</v>
      </c>
      <c r="K5518" t="str">
        <f t="shared" si="347"/>
        <v>Tue</v>
      </c>
    </row>
    <row r="5519" spans="1:11" x14ac:dyDescent="0.35">
      <c r="A5519" s="1">
        <v>43572</v>
      </c>
      <c r="B5519">
        <v>93.649497985839801</v>
      </c>
      <c r="C5519">
        <v>93.823501586914006</v>
      </c>
      <c r="D5519">
        <v>93.022003173828097</v>
      </c>
      <c r="E5519">
        <v>93.240997314453097</v>
      </c>
      <c r="F5519">
        <v>93.240997314453097</v>
      </c>
      <c r="G5519">
        <v>57870000</v>
      </c>
      <c r="H5519">
        <f t="shared" si="344"/>
        <v>2019</v>
      </c>
      <c r="I5519">
        <f t="shared" si="345"/>
        <v>4</v>
      </c>
      <c r="J5519" t="str">
        <f t="shared" si="346"/>
        <v>Apr</v>
      </c>
      <c r="K5519" t="str">
        <f t="shared" si="347"/>
        <v>Wed</v>
      </c>
    </row>
    <row r="5520" spans="1:11" x14ac:dyDescent="0.35">
      <c r="A5520" s="1">
        <v>43573</v>
      </c>
      <c r="B5520">
        <v>93.439498901367102</v>
      </c>
      <c r="C5520">
        <v>93.541000366210895</v>
      </c>
      <c r="D5520">
        <v>92.9739990234375</v>
      </c>
      <c r="E5520">
        <v>93.084503173828097</v>
      </c>
      <c r="F5520">
        <v>93.084503173828097</v>
      </c>
      <c r="G5520">
        <v>54998000</v>
      </c>
      <c r="H5520">
        <f t="shared" si="344"/>
        <v>2019</v>
      </c>
      <c r="I5520">
        <f t="shared" si="345"/>
        <v>4</v>
      </c>
      <c r="J5520" t="str">
        <f t="shared" si="346"/>
        <v>Apr</v>
      </c>
      <c r="K5520" t="str">
        <f t="shared" si="347"/>
        <v>Thu</v>
      </c>
    </row>
    <row r="5521" spans="1:11" x14ac:dyDescent="0.35">
      <c r="A5521" s="1">
        <v>43577</v>
      </c>
      <c r="B5521">
        <v>92.769996643066406</v>
      </c>
      <c r="C5521">
        <v>94.420997619628906</v>
      </c>
      <c r="D5521">
        <v>92.281997680664006</v>
      </c>
      <c r="E5521">
        <v>94.365501403808594</v>
      </c>
      <c r="F5521">
        <v>94.365501403808594</v>
      </c>
      <c r="G5521">
        <v>67476000</v>
      </c>
      <c r="H5521">
        <f t="shared" si="344"/>
        <v>2019</v>
      </c>
      <c r="I5521">
        <f t="shared" si="345"/>
        <v>4</v>
      </c>
      <c r="J5521" t="str">
        <f t="shared" si="346"/>
        <v>Apr</v>
      </c>
      <c r="K5521" t="str">
        <f t="shared" si="347"/>
        <v>Mon</v>
      </c>
    </row>
    <row r="5522" spans="1:11" x14ac:dyDescent="0.35">
      <c r="A5522" s="1">
        <v>43578</v>
      </c>
      <c r="B5522">
        <v>94.559997558593693</v>
      </c>
      <c r="C5522">
        <v>96.462997436523395</v>
      </c>
      <c r="D5522">
        <v>94.478996276855398</v>
      </c>
      <c r="E5522">
        <v>96.188499450683594</v>
      </c>
      <c r="F5522">
        <v>96.188499450683594</v>
      </c>
      <c r="G5522">
        <v>92808000</v>
      </c>
      <c r="H5522">
        <f t="shared" si="344"/>
        <v>2019</v>
      </c>
      <c r="I5522">
        <f t="shared" si="345"/>
        <v>4</v>
      </c>
      <c r="J5522" t="str">
        <f t="shared" si="346"/>
        <v>Apr</v>
      </c>
      <c r="K5522" t="str">
        <f t="shared" si="347"/>
        <v>Tue</v>
      </c>
    </row>
    <row r="5523" spans="1:11" x14ac:dyDescent="0.35">
      <c r="A5523" s="1">
        <v>43579</v>
      </c>
      <c r="B5523">
        <v>96.25</v>
      </c>
      <c r="C5523">
        <v>96.4844970703125</v>
      </c>
      <c r="D5523">
        <v>94.907997131347599</v>
      </c>
      <c r="E5523">
        <v>95.087501525878906</v>
      </c>
      <c r="F5523">
        <v>95.087501525878906</v>
      </c>
      <c r="G5523">
        <v>73516000</v>
      </c>
      <c r="H5523">
        <f t="shared" si="344"/>
        <v>2019</v>
      </c>
      <c r="I5523">
        <f t="shared" si="345"/>
        <v>4</v>
      </c>
      <c r="J5523" t="str">
        <f t="shared" si="346"/>
        <v>Apr</v>
      </c>
      <c r="K5523" t="str">
        <f t="shared" si="347"/>
        <v>Wed</v>
      </c>
    </row>
    <row r="5524" spans="1:11" x14ac:dyDescent="0.35">
      <c r="A5524" s="1">
        <v>43580</v>
      </c>
      <c r="B5524">
        <v>95.849998474121094</v>
      </c>
      <c r="C5524">
        <v>96.122497558593693</v>
      </c>
      <c r="D5524">
        <v>95.0155029296875</v>
      </c>
      <c r="E5524">
        <v>95.112503051757798</v>
      </c>
      <c r="F5524">
        <v>95.112503051757798</v>
      </c>
      <c r="G5524">
        <v>121982000</v>
      </c>
      <c r="H5524">
        <f t="shared" si="344"/>
        <v>2019</v>
      </c>
      <c r="I5524">
        <f t="shared" si="345"/>
        <v>4</v>
      </c>
      <c r="J5524" t="str">
        <f t="shared" si="346"/>
        <v>Apr</v>
      </c>
      <c r="K5524" t="str">
        <f t="shared" si="347"/>
        <v>Thu</v>
      </c>
    </row>
    <row r="5525" spans="1:11" x14ac:dyDescent="0.35">
      <c r="A5525" s="1">
        <v>43581</v>
      </c>
      <c r="B5525">
        <v>96.449996948242102</v>
      </c>
      <c r="C5525">
        <v>97.550003051757798</v>
      </c>
      <c r="D5525">
        <v>94.900001525878906</v>
      </c>
      <c r="E5525">
        <v>97.531501770019503</v>
      </c>
      <c r="F5525">
        <v>97.531501770019503</v>
      </c>
      <c r="G5525">
        <v>168652000</v>
      </c>
      <c r="H5525">
        <f t="shared" si="344"/>
        <v>2019</v>
      </c>
      <c r="I5525">
        <f t="shared" si="345"/>
        <v>4</v>
      </c>
      <c r="J5525" t="str">
        <f t="shared" si="346"/>
        <v>Apr</v>
      </c>
      <c r="K5525" t="str">
        <f t="shared" si="347"/>
        <v>Fri</v>
      </c>
    </row>
    <row r="5526" spans="1:11" x14ac:dyDescent="0.35">
      <c r="A5526" s="1">
        <v>43584</v>
      </c>
      <c r="B5526">
        <v>97.449996948242102</v>
      </c>
      <c r="C5526">
        <v>97.817001342773395</v>
      </c>
      <c r="D5526">
        <v>96.704498291015597</v>
      </c>
      <c r="E5526">
        <v>96.921501159667898</v>
      </c>
      <c r="F5526">
        <v>96.921501159667898</v>
      </c>
      <c r="G5526">
        <v>80426000</v>
      </c>
      <c r="H5526">
        <f t="shared" si="344"/>
        <v>2019</v>
      </c>
      <c r="I5526">
        <f t="shared" si="345"/>
        <v>4</v>
      </c>
      <c r="J5526" t="str">
        <f t="shared" si="346"/>
        <v>Apr</v>
      </c>
      <c r="K5526" t="str">
        <f t="shared" si="347"/>
        <v>Mon</v>
      </c>
    </row>
    <row r="5527" spans="1:11" x14ac:dyDescent="0.35">
      <c r="A5527" s="1">
        <v>43585</v>
      </c>
      <c r="B5527">
        <v>96.504997253417898</v>
      </c>
      <c r="C5527">
        <v>96.785499572753906</v>
      </c>
      <c r="D5527">
        <v>95.347503662109304</v>
      </c>
      <c r="E5527">
        <v>96.325996398925696</v>
      </c>
      <c r="F5527">
        <v>96.325996398925696</v>
      </c>
      <c r="G5527">
        <v>70120000</v>
      </c>
      <c r="H5527">
        <f t="shared" si="344"/>
        <v>2019</v>
      </c>
      <c r="I5527">
        <f t="shared" si="345"/>
        <v>4</v>
      </c>
      <c r="J5527" t="str">
        <f t="shared" si="346"/>
        <v>Apr</v>
      </c>
      <c r="K5527" t="str">
        <f t="shared" si="347"/>
        <v>Tue</v>
      </c>
    </row>
    <row r="5528" spans="1:11" x14ac:dyDescent="0.35">
      <c r="A5528" s="1">
        <v>43586</v>
      </c>
      <c r="B5528">
        <v>96.654502868652301</v>
      </c>
      <c r="C5528">
        <v>97.181999206542898</v>
      </c>
      <c r="D5528">
        <v>95.527496337890597</v>
      </c>
      <c r="E5528">
        <v>95.575996398925696</v>
      </c>
      <c r="F5528">
        <v>95.575996398925696</v>
      </c>
      <c r="G5528">
        <v>62340000</v>
      </c>
      <c r="H5528">
        <f t="shared" si="344"/>
        <v>2019</v>
      </c>
      <c r="I5528">
        <f t="shared" si="345"/>
        <v>5</v>
      </c>
      <c r="J5528" t="str">
        <f t="shared" si="346"/>
        <v>May</v>
      </c>
      <c r="K5528" t="str">
        <f t="shared" si="347"/>
        <v>Wed</v>
      </c>
    </row>
    <row r="5529" spans="1:11" x14ac:dyDescent="0.35">
      <c r="A5529" s="1">
        <v>43587</v>
      </c>
      <c r="B5529">
        <v>95.666496276855398</v>
      </c>
      <c r="C5529">
        <v>96.077499389648395</v>
      </c>
      <c r="D5529">
        <v>94.093498229980398</v>
      </c>
      <c r="E5529">
        <v>95.041000366210895</v>
      </c>
      <c r="F5529">
        <v>95.041000366210895</v>
      </c>
      <c r="G5529">
        <v>79258000</v>
      </c>
      <c r="H5529">
        <f t="shared" si="344"/>
        <v>2019</v>
      </c>
      <c r="I5529">
        <f t="shared" si="345"/>
        <v>5</v>
      </c>
      <c r="J5529" t="str">
        <f t="shared" si="346"/>
        <v>May</v>
      </c>
      <c r="K5529" t="str">
        <f t="shared" si="347"/>
        <v>Thu</v>
      </c>
    </row>
    <row r="5530" spans="1:11" x14ac:dyDescent="0.35">
      <c r="A5530" s="1">
        <v>43588</v>
      </c>
      <c r="B5530">
        <v>97.449996948242102</v>
      </c>
      <c r="C5530">
        <v>98.220001220703097</v>
      </c>
      <c r="D5530">
        <v>96.800003051757798</v>
      </c>
      <c r="E5530">
        <v>98.123001098632798</v>
      </c>
      <c r="F5530">
        <v>98.123001098632798</v>
      </c>
      <c r="G5530">
        <v>127632000</v>
      </c>
      <c r="H5530">
        <f t="shared" si="344"/>
        <v>2019</v>
      </c>
      <c r="I5530">
        <f t="shared" si="345"/>
        <v>5</v>
      </c>
      <c r="J5530" t="str">
        <f t="shared" si="346"/>
        <v>May</v>
      </c>
      <c r="K5530" t="str">
        <f t="shared" si="347"/>
        <v>Fri</v>
      </c>
    </row>
    <row r="5531" spans="1:11" x14ac:dyDescent="0.35">
      <c r="A5531" s="1">
        <v>43591</v>
      </c>
      <c r="B5531">
        <v>95.899002075195298</v>
      </c>
      <c r="C5531">
        <v>97.949996948242102</v>
      </c>
      <c r="D5531">
        <v>95.525001525878906</v>
      </c>
      <c r="E5531">
        <v>97.527496337890597</v>
      </c>
      <c r="F5531">
        <v>97.527496337890597</v>
      </c>
      <c r="G5531">
        <v>108356000</v>
      </c>
      <c r="H5531">
        <f t="shared" si="344"/>
        <v>2019</v>
      </c>
      <c r="I5531">
        <f t="shared" si="345"/>
        <v>5</v>
      </c>
      <c r="J5531" t="str">
        <f t="shared" si="346"/>
        <v>May</v>
      </c>
      <c r="K5531" t="str">
        <f t="shared" si="347"/>
        <v>Mon</v>
      </c>
    </row>
    <row r="5532" spans="1:11" x14ac:dyDescent="0.35">
      <c r="A5532" s="1">
        <v>43592</v>
      </c>
      <c r="B5532">
        <v>96.999496459960895</v>
      </c>
      <c r="C5532">
        <v>97.455001831054602</v>
      </c>
      <c r="D5532">
        <v>95.168998718261705</v>
      </c>
      <c r="E5532">
        <v>96.050003051757798</v>
      </c>
      <c r="F5532">
        <v>96.050003051757798</v>
      </c>
      <c r="G5532">
        <v>118042000</v>
      </c>
      <c r="H5532">
        <f t="shared" si="344"/>
        <v>2019</v>
      </c>
      <c r="I5532">
        <f t="shared" si="345"/>
        <v>5</v>
      </c>
      <c r="J5532" t="str">
        <f t="shared" si="346"/>
        <v>May</v>
      </c>
      <c r="K5532" t="str">
        <f t="shared" si="347"/>
        <v>Tue</v>
      </c>
    </row>
    <row r="5533" spans="1:11" x14ac:dyDescent="0.35">
      <c r="A5533" s="1">
        <v>43593</v>
      </c>
      <c r="B5533">
        <v>95.943496704101506</v>
      </c>
      <c r="C5533">
        <v>96.768501281738196</v>
      </c>
      <c r="D5533">
        <v>95.5</v>
      </c>
      <c r="E5533">
        <v>95.888496398925696</v>
      </c>
      <c r="F5533">
        <v>95.888496398925696</v>
      </c>
      <c r="G5533">
        <v>81572000</v>
      </c>
      <c r="H5533">
        <f t="shared" si="344"/>
        <v>2019</v>
      </c>
      <c r="I5533">
        <f t="shared" si="345"/>
        <v>5</v>
      </c>
      <c r="J5533" t="str">
        <f t="shared" si="346"/>
        <v>May</v>
      </c>
      <c r="K5533" t="str">
        <f t="shared" si="347"/>
        <v>Wed</v>
      </c>
    </row>
    <row r="5534" spans="1:11" x14ac:dyDescent="0.35">
      <c r="A5534" s="1">
        <v>43594</v>
      </c>
      <c r="B5534">
        <v>95</v>
      </c>
      <c r="C5534">
        <v>95.470001220703097</v>
      </c>
      <c r="D5534">
        <v>93.800003051757798</v>
      </c>
      <c r="E5534">
        <v>94.993499755859304</v>
      </c>
      <c r="F5534">
        <v>94.993499755859304</v>
      </c>
      <c r="G5534">
        <v>106166000</v>
      </c>
      <c r="H5534">
        <f t="shared" si="344"/>
        <v>2019</v>
      </c>
      <c r="I5534">
        <f t="shared" si="345"/>
        <v>5</v>
      </c>
      <c r="J5534" t="str">
        <f t="shared" si="346"/>
        <v>May</v>
      </c>
      <c r="K5534" t="str">
        <f t="shared" si="347"/>
        <v>Thu</v>
      </c>
    </row>
    <row r="5535" spans="1:11" x14ac:dyDescent="0.35">
      <c r="A5535" s="1">
        <v>43595</v>
      </c>
      <c r="B5535">
        <v>94.900001525878906</v>
      </c>
      <c r="C5535">
        <v>95.189498901367102</v>
      </c>
      <c r="D5535">
        <v>92.800003051757798</v>
      </c>
      <c r="E5535">
        <v>94.499000549316406</v>
      </c>
      <c r="F5535">
        <v>94.499000549316406</v>
      </c>
      <c r="G5535">
        <v>114360000</v>
      </c>
      <c r="H5535">
        <f t="shared" si="344"/>
        <v>2019</v>
      </c>
      <c r="I5535">
        <f t="shared" si="345"/>
        <v>5</v>
      </c>
      <c r="J5535" t="str">
        <f t="shared" si="346"/>
        <v>May</v>
      </c>
      <c r="K5535" t="str">
        <f t="shared" si="347"/>
        <v>Fri</v>
      </c>
    </row>
    <row r="5536" spans="1:11" x14ac:dyDescent="0.35">
      <c r="A5536" s="1">
        <v>43598</v>
      </c>
      <c r="B5536">
        <v>91.8280029296875</v>
      </c>
      <c r="C5536">
        <v>92.327003479003906</v>
      </c>
      <c r="D5536">
        <v>90.900001525878906</v>
      </c>
      <c r="E5536">
        <v>91.134002685546804</v>
      </c>
      <c r="F5536">
        <v>91.134002685546804</v>
      </c>
      <c r="G5536">
        <v>115668000</v>
      </c>
      <c r="H5536">
        <f t="shared" si="344"/>
        <v>2019</v>
      </c>
      <c r="I5536">
        <f t="shared" si="345"/>
        <v>5</v>
      </c>
      <c r="J5536" t="str">
        <f t="shared" si="346"/>
        <v>May</v>
      </c>
      <c r="K5536" t="str">
        <f t="shared" si="347"/>
        <v>Mon</v>
      </c>
    </row>
    <row r="5537" spans="1:11" x14ac:dyDescent="0.35">
      <c r="A5537" s="1">
        <v>43599</v>
      </c>
      <c r="B5537">
        <v>91.974998474121094</v>
      </c>
      <c r="C5537">
        <v>92.622001647949205</v>
      </c>
      <c r="D5537">
        <v>90.787498474121094</v>
      </c>
      <c r="E5537">
        <v>92.005996704101506</v>
      </c>
      <c r="F5537">
        <v>92.005996704101506</v>
      </c>
      <c r="G5537">
        <v>92582000</v>
      </c>
      <c r="H5537">
        <f t="shared" si="344"/>
        <v>2019</v>
      </c>
      <c r="I5537">
        <f t="shared" si="345"/>
        <v>5</v>
      </c>
      <c r="J5537" t="str">
        <f t="shared" si="346"/>
        <v>May</v>
      </c>
      <c r="K5537" t="str">
        <f t="shared" si="347"/>
        <v>Tue</v>
      </c>
    </row>
    <row r="5538" spans="1:11" x14ac:dyDescent="0.35">
      <c r="A5538" s="1">
        <v>43600</v>
      </c>
      <c r="B5538">
        <v>91.397499084472599</v>
      </c>
      <c r="C5538">
        <v>93.721496582031193</v>
      </c>
      <c r="D5538">
        <v>91.150001525878906</v>
      </c>
      <c r="E5538">
        <v>93.557502746582003</v>
      </c>
      <c r="F5538">
        <v>93.557502746582003</v>
      </c>
      <c r="G5538">
        <v>93852000</v>
      </c>
      <c r="H5538">
        <f t="shared" si="344"/>
        <v>2019</v>
      </c>
      <c r="I5538">
        <f t="shared" si="345"/>
        <v>5</v>
      </c>
      <c r="J5538" t="str">
        <f t="shared" si="346"/>
        <v>May</v>
      </c>
      <c r="K5538" t="str">
        <f t="shared" si="347"/>
        <v>Wed</v>
      </c>
    </row>
    <row r="5539" spans="1:11" x14ac:dyDescent="0.35">
      <c r="A5539" s="1">
        <v>43601</v>
      </c>
      <c r="B5539">
        <v>94.2969970703125</v>
      </c>
      <c r="C5539">
        <v>95.875503540039006</v>
      </c>
      <c r="D5539">
        <v>94.114501953125</v>
      </c>
      <c r="E5539">
        <v>95.378501892089801</v>
      </c>
      <c r="F5539">
        <v>95.378501892089801</v>
      </c>
      <c r="G5539">
        <v>94156000</v>
      </c>
      <c r="H5539">
        <f t="shared" si="344"/>
        <v>2019</v>
      </c>
      <c r="I5539">
        <f t="shared" si="345"/>
        <v>5</v>
      </c>
      <c r="J5539" t="str">
        <f t="shared" si="346"/>
        <v>May</v>
      </c>
      <c r="K5539" t="str">
        <f t="shared" si="347"/>
        <v>Thu</v>
      </c>
    </row>
    <row r="5540" spans="1:11" x14ac:dyDescent="0.35">
      <c r="A5540" s="1">
        <v>43602</v>
      </c>
      <c r="B5540">
        <v>94.652496337890597</v>
      </c>
      <c r="C5540">
        <v>95.526496887207003</v>
      </c>
      <c r="D5540">
        <v>93.366500854492102</v>
      </c>
      <c r="E5540">
        <v>93.449996948242102</v>
      </c>
      <c r="F5540">
        <v>93.449996948242102</v>
      </c>
      <c r="G5540">
        <v>94732000</v>
      </c>
      <c r="H5540">
        <f t="shared" si="344"/>
        <v>2019</v>
      </c>
      <c r="I5540">
        <f t="shared" si="345"/>
        <v>5</v>
      </c>
      <c r="J5540" t="str">
        <f t="shared" si="346"/>
        <v>May</v>
      </c>
      <c r="K5540" t="str">
        <f t="shared" si="347"/>
        <v>Fri</v>
      </c>
    </row>
    <row r="5541" spans="1:11" x14ac:dyDescent="0.35">
      <c r="A5541" s="1">
        <v>43605</v>
      </c>
      <c r="B5541">
        <v>92.634498596191406</v>
      </c>
      <c r="C5541">
        <v>93.388999938964801</v>
      </c>
      <c r="D5541">
        <v>91.777000427246094</v>
      </c>
      <c r="E5541">
        <v>92.948501586914006</v>
      </c>
      <c r="F5541">
        <v>92.948501586914006</v>
      </c>
      <c r="G5541">
        <v>75964000</v>
      </c>
      <c r="H5541">
        <f t="shared" si="344"/>
        <v>2019</v>
      </c>
      <c r="I5541">
        <f t="shared" si="345"/>
        <v>5</v>
      </c>
      <c r="J5541" t="str">
        <f t="shared" si="346"/>
        <v>May</v>
      </c>
      <c r="K5541" t="str">
        <f t="shared" si="347"/>
        <v>Mon</v>
      </c>
    </row>
    <row r="5542" spans="1:11" x14ac:dyDescent="0.35">
      <c r="A5542" s="1">
        <v>43606</v>
      </c>
      <c r="B5542">
        <v>93.739501953125</v>
      </c>
      <c r="C5542">
        <v>93.949996948242102</v>
      </c>
      <c r="D5542">
        <v>92.300003051757798</v>
      </c>
      <c r="E5542">
        <v>92.875999450683594</v>
      </c>
      <c r="F5542">
        <v>92.875999450683594</v>
      </c>
      <c r="G5542">
        <v>80102000</v>
      </c>
      <c r="H5542">
        <f t="shared" si="344"/>
        <v>2019</v>
      </c>
      <c r="I5542">
        <f t="shared" si="345"/>
        <v>5</v>
      </c>
      <c r="J5542" t="str">
        <f t="shared" si="346"/>
        <v>May</v>
      </c>
      <c r="K5542" t="str">
        <f t="shared" si="347"/>
        <v>Tue</v>
      </c>
    </row>
    <row r="5543" spans="1:11" x14ac:dyDescent="0.35">
      <c r="A5543" s="1">
        <v>43607</v>
      </c>
      <c r="B5543">
        <v>92.588996887207003</v>
      </c>
      <c r="C5543">
        <v>93.574501037597599</v>
      </c>
      <c r="D5543">
        <v>92.550003051757798</v>
      </c>
      <c r="E5543">
        <v>92.984001159667898</v>
      </c>
      <c r="F5543">
        <v>92.984001159667898</v>
      </c>
      <c r="G5543">
        <v>58732000</v>
      </c>
      <c r="H5543">
        <f t="shared" si="344"/>
        <v>2019</v>
      </c>
      <c r="I5543">
        <f t="shared" si="345"/>
        <v>5</v>
      </c>
      <c r="J5543" t="str">
        <f t="shared" si="346"/>
        <v>May</v>
      </c>
      <c r="K5543" t="str">
        <f t="shared" si="347"/>
        <v>Wed</v>
      </c>
    </row>
    <row r="5544" spans="1:11" x14ac:dyDescent="0.35">
      <c r="A5544" s="1">
        <v>43608</v>
      </c>
      <c r="B5544">
        <v>91.829498291015597</v>
      </c>
      <c r="C5544">
        <v>92.199996948242102</v>
      </c>
      <c r="D5544">
        <v>90.209999084472599</v>
      </c>
      <c r="E5544">
        <v>90.774002075195298</v>
      </c>
      <c r="F5544">
        <v>90.774002075195298</v>
      </c>
      <c r="G5544">
        <v>88486000</v>
      </c>
      <c r="H5544">
        <f t="shared" si="344"/>
        <v>2019</v>
      </c>
      <c r="I5544">
        <f t="shared" si="345"/>
        <v>5</v>
      </c>
      <c r="J5544" t="str">
        <f t="shared" si="346"/>
        <v>May</v>
      </c>
      <c r="K5544" t="str">
        <f t="shared" si="347"/>
        <v>Thu</v>
      </c>
    </row>
    <row r="5545" spans="1:11" x14ac:dyDescent="0.35">
      <c r="A5545" s="1">
        <v>43609</v>
      </c>
      <c r="B5545">
        <v>91.794502258300696</v>
      </c>
      <c r="C5545">
        <v>92.087997436523395</v>
      </c>
      <c r="D5545">
        <v>90.892501831054602</v>
      </c>
      <c r="E5545">
        <v>91.164001464843693</v>
      </c>
      <c r="F5545">
        <v>91.164001464843693</v>
      </c>
      <c r="G5545">
        <v>67394000</v>
      </c>
      <c r="H5545">
        <f t="shared" si="344"/>
        <v>2019</v>
      </c>
      <c r="I5545">
        <f t="shared" si="345"/>
        <v>5</v>
      </c>
      <c r="J5545" t="str">
        <f t="shared" si="346"/>
        <v>May</v>
      </c>
      <c r="K5545" t="str">
        <f t="shared" si="347"/>
        <v>Fri</v>
      </c>
    </row>
    <row r="5546" spans="1:11" x14ac:dyDescent="0.35">
      <c r="A5546" s="1">
        <v>43613</v>
      </c>
      <c r="B5546">
        <v>91.637496948242102</v>
      </c>
      <c r="C5546">
        <v>92.4635009765625</v>
      </c>
      <c r="D5546">
        <v>91.367500305175696</v>
      </c>
      <c r="E5546">
        <v>91.821502685546804</v>
      </c>
      <c r="F5546">
        <v>91.821502685546804</v>
      </c>
      <c r="G5546">
        <v>64000000</v>
      </c>
      <c r="H5546">
        <f t="shared" si="344"/>
        <v>2019</v>
      </c>
      <c r="I5546">
        <f t="shared" si="345"/>
        <v>5</v>
      </c>
      <c r="J5546" t="str">
        <f t="shared" si="346"/>
        <v>May</v>
      </c>
      <c r="K5546" t="str">
        <f t="shared" si="347"/>
        <v>Tue</v>
      </c>
    </row>
    <row r="5547" spans="1:11" x14ac:dyDescent="0.35">
      <c r="A5547" s="1">
        <v>43614</v>
      </c>
      <c r="B5547">
        <v>91.155998229980398</v>
      </c>
      <c r="C5547">
        <v>91.5</v>
      </c>
      <c r="D5547">
        <v>90.376502990722599</v>
      </c>
      <c r="E5547">
        <v>90.959503173828097</v>
      </c>
      <c r="F5547">
        <v>90.959503173828097</v>
      </c>
      <c r="G5547">
        <v>85580000</v>
      </c>
      <c r="H5547">
        <f t="shared" si="344"/>
        <v>2019</v>
      </c>
      <c r="I5547">
        <f t="shared" si="345"/>
        <v>5</v>
      </c>
      <c r="J5547" t="str">
        <f t="shared" si="346"/>
        <v>May</v>
      </c>
      <c r="K5547" t="str">
        <f t="shared" si="347"/>
        <v>Wed</v>
      </c>
    </row>
    <row r="5548" spans="1:11" x14ac:dyDescent="0.35">
      <c r="A5548" s="1">
        <v>43615</v>
      </c>
      <c r="B5548">
        <v>91.274497985839801</v>
      </c>
      <c r="C5548">
        <v>91.473503112792898</v>
      </c>
      <c r="D5548">
        <v>90.391502380371094</v>
      </c>
      <c r="E5548">
        <v>90.816001892089801</v>
      </c>
      <c r="F5548">
        <v>90.816001892089801</v>
      </c>
      <c r="G5548">
        <v>62938000</v>
      </c>
      <c r="H5548">
        <f t="shared" si="344"/>
        <v>2019</v>
      </c>
      <c r="I5548">
        <f t="shared" si="345"/>
        <v>5</v>
      </c>
      <c r="J5548" t="str">
        <f t="shared" si="346"/>
        <v>May</v>
      </c>
      <c r="K5548" t="str">
        <f t="shared" si="347"/>
        <v>Thu</v>
      </c>
    </row>
    <row r="5549" spans="1:11" x14ac:dyDescent="0.35">
      <c r="A5549" s="1">
        <v>43616</v>
      </c>
      <c r="B5549">
        <v>89.500503540039006</v>
      </c>
      <c r="C5549">
        <v>89.779502868652301</v>
      </c>
      <c r="D5549">
        <v>88.635002136230398</v>
      </c>
      <c r="E5549">
        <v>88.753501892089801</v>
      </c>
      <c r="F5549">
        <v>88.753501892089801</v>
      </c>
      <c r="G5549">
        <v>92376000</v>
      </c>
      <c r="H5549">
        <f t="shared" si="344"/>
        <v>2019</v>
      </c>
      <c r="I5549">
        <f t="shared" si="345"/>
        <v>5</v>
      </c>
      <c r="J5549" t="str">
        <f t="shared" si="346"/>
        <v>May</v>
      </c>
      <c r="K5549" t="str">
        <f t="shared" si="347"/>
        <v>Fri</v>
      </c>
    </row>
    <row r="5550" spans="1:11" x14ac:dyDescent="0.35">
      <c r="A5550" s="1">
        <v>43619</v>
      </c>
      <c r="B5550">
        <v>88.000503540039006</v>
      </c>
      <c r="C5550">
        <v>88.314498901367102</v>
      </c>
      <c r="D5550">
        <v>83.599998474121094</v>
      </c>
      <c r="E5550">
        <v>84.634498596191406</v>
      </c>
      <c r="F5550">
        <v>84.634498596191406</v>
      </c>
      <c r="G5550">
        <v>181974000</v>
      </c>
      <c r="H5550">
        <f t="shared" si="344"/>
        <v>2019</v>
      </c>
      <c r="I5550">
        <f t="shared" si="345"/>
        <v>6</v>
      </c>
      <c r="J5550" t="str">
        <f t="shared" si="346"/>
        <v>Jun</v>
      </c>
      <c r="K5550" t="str">
        <f t="shared" si="347"/>
        <v>Mon</v>
      </c>
    </row>
    <row r="5551" spans="1:11" x14ac:dyDescent="0.35">
      <c r="A5551" s="1">
        <v>43620</v>
      </c>
      <c r="B5551">
        <v>84.961997985839801</v>
      </c>
      <c r="C5551">
        <v>86.541000366210895</v>
      </c>
      <c r="D5551">
        <v>84.044502258300696</v>
      </c>
      <c r="E5551">
        <v>86.477996826171804</v>
      </c>
      <c r="F5551">
        <v>86.477996826171804</v>
      </c>
      <c r="G5551">
        <v>113582000</v>
      </c>
      <c r="H5551">
        <f t="shared" si="344"/>
        <v>2019</v>
      </c>
      <c r="I5551">
        <f t="shared" si="345"/>
        <v>6</v>
      </c>
      <c r="J5551" t="str">
        <f t="shared" si="346"/>
        <v>Jun</v>
      </c>
      <c r="K5551" t="str">
        <f t="shared" si="347"/>
        <v>Tue</v>
      </c>
    </row>
    <row r="5552" spans="1:11" x14ac:dyDescent="0.35">
      <c r="A5552" s="1">
        <v>43621</v>
      </c>
      <c r="B5552">
        <v>87.480003356933594</v>
      </c>
      <c r="C5552">
        <v>87.599998474121094</v>
      </c>
      <c r="D5552">
        <v>85.762496948242102</v>
      </c>
      <c r="E5552">
        <v>86.925003051757798</v>
      </c>
      <c r="F5552">
        <v>86.925003051757798</v>
      </c>
      <c r="G5552">
        <v>84796000</v>
      </c>
      <c r="H5552">
        <f t="shared" si="344"/>
        <v>2019</v>
      </c>
      <c r="I5552">
        <f t="shared" si="345"/>
        <v>6</v>
      </c>
      <c r="J5552" t="str">
        <f t="shared" si="346"/>
        <v>Jun</v>
      </c>
      <c r="K5552" t="str">
        <f t="shared" si="347"/>
        <v>Wed</v>
      </c>
    </row>
    <row r="5553" spans="1:11" x14ac:dyDescent="0.35">
      <c r="A5553" s="1">
        <v>43622</v>
      </c>
      <c r="B5553">
        <v>86.885498046875</v>
      </c>
      <c r="C5553">
        <v>88</v>
      </c>
      <c r="D5553">
        <v>86.306503295898395</v>
      </c>
      <c r="E5553">
        <v>87.718002319335895</v>
      </c>
      <c r="F5553">
        <v>87.718002319335895</v>
      </c>
      <c r="G5553">
        <v>73786000</v>
      </c>
      <c r="H5553">
        <f t="shared" si="344"/>
        <v>2019</v>
      </c>
      <c r="I5553">
        <f t="shared" si="345"/>
        <v>6</v>
      </c>
      <c r="J5553" t="str">
        <f t="shared" si="346"/>
        <v>Jun</v>
      </c>
      <c r="K5553" t="str">
        <f t="shared" si="347"/>
        <v>Thu</v>
      </c>
    </row>
    <row r="5554" spans="1:11" x14ac:dyDescent="0.35">
      <c r="A5554" s="1">
        <v>43623</v>
      </c>
      <c r="B5554">
        <v>88.184997558593693</v>
      </c>
      <c r="C5554">
        <v>90.3125</v>
      </c>
      <c r="D5554">
        <v>87.974502563476506</v>
      </c>
      <c r="E5554">
        <v>90.201499938964801</v>
      </c>
      <c r="F5554">
        <v>90.201499938964801</v>
      </c>
      <c r="G5554">
        <v>96164000</v>
      </c>
      <c r="H5554">
        <f t="shared" si="344"/>
        <v>2019</v>
      </c>
      <c r="I5554">
        <f t="shared" si="345"/>
        <v>6</v>
      </c>
      <c r="J5554" t="str">
        <f t="shared" si="346"/>
        <v>Jun</v>
      </c>
      <c r="K5554" t="str">
        <f t="shared" si="347"/>
        <v>Fri</v>
      </c>
    </row>
    <row r="5555" spans="1:11" x14ac:dyDescent="0.35">
      <c r="A5555" s="1">
        <v>43626</v>
      </c>
      <c r="B5555">
        <v>91.099998474121094</v>
      </c>
      <c r="C5555">
        <v>94.243499755859304</v>
      </c>
      <c r="D5555">
        <v>90.900001525878906</v>
      </c>
      <c r="E5555">
        <v>93.031501770019503</v>
      </c>
      <c r="F5555">
        <v>93.031501770019503</v>
      </c>
      <c r="G5555">
        <v>107420000</v>
      </c>
      <c r="H5555">
        <f t="shared" si="344"/>
        <v>2019</v>
      </c>
      <c r="I5555">
        <f t="shared" si="345"/>
        <v>6</v>
      </c>
      <c r="J5555" t="str">
        <f t="shared" si="346"/>
        <v>Jun</v>
      </c>
      <c r="K5555" t="str">
        <f t="shared" si="347"/>
        <v>Mon</v>
      </c>
    </row>
    <row r="5556" spans="1:11" x14ac:dyDescent="0.35">
      <c r="A5556" s="1">
        <v>43627</v>
      </c>
      <c r="B5556">
        <v>94.162498474121094</v>
      </c>
      <c r="C5556">
        <v>94.684997558593693</v>
      </c>
      <c r="D5556">
        <v>92.900001525878906</v>
      </c>
      <c r="E5556">
        <v>93.184997558593693</v>
      </c>
      <c r="F5556">
        <v>93.184997558593693</v>
      </c>
      <c r="G5556">
        <v>80854000</v>
      </c>
      <c r="H5556">
        <f t="shared" si="344"/>
        <v>2019</v>
      </c>
      <c r="I5556">
        <f t="shared" si="345"/>
        <v>6</v>
      </c>
      <c r="J5556" t="str">
        <f t="shared" si="346"/>
        <v>Jun</v>
      </c>
      <c r="K5556" t="str">
        <f t="shared" si="347"/>
        <v>Tue</v>
      </c>
    </row>
    <row r="5557" spans="1:11" x14ac:dyDescent="0.35">
      <c r="A5557" s="1">
        <v>43628</v>
      </c>
      <c r="B5557">
        <v>92.698997497558594</v>
      </c>
      <c r="C5557">
        <v>93.25</v>
      </c>
      <c r="D5557">
        <v>92.219001770019503</v>
      </c>
      <c r="E5557">
        <v>92.765998840332003</v>
      </c>
      <c r="F5557">
        <v>92.765998840332003</v>
      </c>
      <c r="G5557">
        <v>53566000</v>
      </c>
      <c r="H5557">
        <f t="shared" si="344"/>
        <v>2019</v>
      </c>
      <c r="I5557">
        <f t="shared" si="345"/>
        <v>6</v>
      </c>
      <c r="J5557" t="str">
        <f t="shared" si="346"/>
        <v>Jun</v>
      </c>
      <c r="K5557" t="str">
        <f t="shared" si="347"/>
        <v>Wed</v>
      </c>
    </row>
    <row r="5558" spans="1:11" x14ac:dyDescent="0.35">
      <c r="A5558" s="1">
        <v>43629</v>
      </c>
      <c r="B5558">
        <v>93.335998535156193</v>
      </c>
      <c r="C5558">
        <v>94.154502868652301</v>
      </c>
      <c r="D5558">
        <v>93.111000061035099</v>
      </c>
      <c r="E5558">
        <v>93.514999389648395</v>
      </c>
      <c r="F5558">
        <v>93.514999389648395</v>
      </c>
      <c r="G5558">
        <v>55916000</v>
      </c>
      <c r="H5558">
        <f t="shared" si="344"/>
        <v>2019</v>
      </c>
      <c r="I5558">
        <f t="shared" si="345"/>
        <v>6</v>
      </c>
      <c r="J5558" t="str">
        <f t="shared" si="346"/>
        <v>Jun</v>
      </c>
      <c r="K5558" t="str">
        <f t="shared" si="347"/>
        <v>Thu</v>
      </c>
    </row>
    <row r="5559" spans="1:11" x14ac:dyDescent="0.35">
      <c r="A5559" s="1">
        <v>43630</v>
      </c>
      <c r="B5559">
        <v>93.199996948242102</v>
      </c>
      <c r="C5559">
        <v>93.800003051757798</v>
      </c>
      <c r="D5559">
        <v>92.949996948242102</v>
      </c>
      <c r="E5559">
        <v>93.483497619628906</v>
      </c>
      <c r="F5559">
        <v>93.483497619628906</v>
      </c>
      <c r="G5559">
        <v>57024000</v>
      </c>
      <c r="H5559">
        <f t="shared" si="344"/>
        <v>2019</v>
      </c>
      <c r="I5559">
        <f t="shared" si="345"/>
        <v>6</v>
      </c>
      <c r="J5559" t="str">
        <f t="shared" si="346"/>
        <v>Jun</v>
      </c>
      <c r="K5559" t="str">
        <f t="shared" si="347"/>
        <v>Fri</v>
      </c>
    </row>
    <row r="5560" spans="1:11" x14ac:dyDescent="0.35">
      <c r="A5560" s="1">
        <v>43633</v>
      </c>
      <c r="B5560">
        <v>93.824996948242102</v>
      </c>
      <c r="C5560">
        <v>94.784500122070298</v>
      </c>
      <c r="D5560">
        <v>93.772499084472599</v>
      </c>
      <c r="E5560">
        <v>94.301498413085895</v>
      </c>
      <c r="F5560">
        <v>94.301498413085895</v>
      </c>
      <c r="G5560">
        <v>52686000</v>
      </c>
      <c r="H5560">
        <f t="shared" si="344"/>
        <v>2019</v>
      </c>
      <c r="I5560">
        <f t="shared" si="345"/>
        <v>6</v>
      </c>
      <c r="J5560" t="str">
        <f t="shared" si="346"/>
        <v>Jun</v>
      </c>
      <c r="K5560" t="str">
        <f t="shared" si="347"/>
        <v>Mon</v>
      </c>
    </row>
    <row r="5561" spans="1:11" x14ac:dyDescent="0.35">
      <c r="A5561" s="1">
        <v>43634</v>
      </c>
      <c r="B5561">
        <v>95.067497253417898</v>
      </c>
      <c r="C5561">
        <v>96.083503723144503</v>
      </c>
      <c r="D5561">
        <v>94.989501953125</v>
      </c>
      <c r="E5561">
        <v>95.068496704101506</v>
      </c>
      <c r="F5561">
        <v>95.068496704101506</v>
      </c>
      <c r="G5561">
        <v>77914000</v>
      </c>
      <c r="H5561">
        <f t="shared" si="344"/>
        <v>2019</v>
      </c>
      <c r="I5561">
        <f t="shared" si="345"/>
        <v>6</v>
      </c>
      <c r="J5561" t="str">
        <f t="shared" si="346"/>
        <v>Jun</v>
      </c>
      <c r="K5561" t="str">
        <f t="shared" si="347"/>
        <v>Tue</v>
      </c>
    </row>
    <row r="5562" spans="1:11" x14ac:dyDescent="0.35">
      <c r="A5562" s="1">
        <v>43635</v>
      </c>
      <c r="B5562">
        <v>95.391998291015597</v>
      </c>
      <c r="C5562">
        <v>95.978996276855398</v>
      </c>
      <c r="D5562">
        <v>94.623497009277301</v>
      </c>
      <c r="E5562">
        <v>95.439498901367102</v>
      </c>
      <c r="F5562">
        <v>95.439498901367102</v>
      </c>
      <c r="G5562">
        <v>57906000</v>
      </c>
      <c r="H5562">
        <f t="shared" si="344"/>
        <v>2019</v>
      </c>
      <c r="I5562">
        <f t="shared" si="345"/>
        <v>6</v>
      </c>
      <c r="J5562" t="str">
        <f t="shared" si="346"/>
        <v>Jun</v>
      </c>
      <c r="K5562" t="str">
        <f t="shared" si="347"/>
        <v>Wed</v>
      </c>
    </row>
    <row r="5563" spans="1:11" x14ac:dyDescent="0.35">
      <c r="A5563" s="1">
        <v>43636</v>
      </c>
      <c r="B5563">
        <v>96.666496276855398</v>
      </c>
      <c r="C5563">
        <v>96.760002136230398</v>
      </c>
      <c r="D5563">
        <v>95.290000915527301</v>
      </c>
      <c r="E5563">
        <v>95.909500122070298</v>
      </c>
      <c r="F5563">
        <v>95.909500122070298</v>
      </c>
      <c r="G5563">
        <v>64344000</v>
      </c>
      <c r="H5563">
        <f t="shared" si="344"/>
        <v>2019</v>
      </c>
      <c r="I5563">
        <f t="shared" si="345"/>
        <v>6</v>
      </c>
      <c r="J5563" t="str">
        <f t="shared" si="346"/>
        <v>Jun</v>
      </c>
      <c r="K5563" t="str">
        <f t="shared" si="347"/>
        <v>Thu</v>
      </c>
    </row>
    <row r="5564" spans="1:11" x14ac:dyDescent="0.35">
      <c r="A5564" s="1">
        <v>43637</v>
      </c>
      <c r="B5564">
        <v>95.805000305175696</v>
      </c>
      <c r="C5564">
        <v>96.297500610351506</v>
      </c>
      <c r="D5564">
        <v>95.378997802734304</v>
      </c>
      <c r="E5564">
        <v>95.565002441406193</v>
      </c>
      <c r="F5564">
        <v>95.565002441406193</v>
      </c>
      <c r="G5564">
        <v>78672000</v>
      </c>
      <c r="H5564">
        <f t="shared" si="344"/>
        <v>2019</v>
      </c>
      <c r="I5564">
        <f t="shared" si="345"/>
        <v>6</v>
      </c>
      <c r="J5564" t="str">
        <f t="shared" si="346"/>
        <v>Jun</v>
      </c>
      <c r="K5564" t="str">
        <f t="shared" si="347"/>
        <v>Fri</v>
      </c>
    </row>
    <row r="5565" spans="1:11" x14ac:dyDescent="0.35">
      <c r="A5565" s="1">
        <v>43640</v>
      </c>
      <c r="B5565">
        <v>95.633003234863196</v>
      </c>
      <c r="C5565">
        <v>95.843002319335895</v>
      </c>
      <c r="D5565">
        <v>95.065002441406193</v>
      </c>
      <c r="E5565">
        <v>95.694999694824205</v>
      </c>
      <c r="F5565">
        <v>95.694999694824205</v>
      </c>
      <c r="G5565">
        <v>45660000</v>
      </c>
      <c r="H5565">
        <f t="shared" si="344"/>
        <v>2019</v>
      </c>
      <c r="I5565">
        <f t="shared" si="345"/>
        <v>6</v>
      </c>
      <c r="J5565" t="str">
        <f t="shared" si="346"/>
        <v>Jun</v>
      </c>
      <c r="K5565" t="str">
        <f t="shared" si="347"/>
        <v>Mon</v>
      </c>
    </row>
    <row r="5566" spans="1:11" x14ac:dyDescent="0.35">
      <c r="A5566" s="1">
        <v>43641</v>
      </c>
      <c r="B5566">
        <v>95.592002868652301</v>
      </c>
      <c r="C5566">
        <v>95.819503784179602</v>
      </c>
      <c r="D5566">
        <v>93.621002197265597</v>
      </c>
      <c r="E5566">
        <v>93.913497924804602</v>
      </c>
      <c r="F5566">
        <v>93.913497924804602</v>
      </c>
      <c r="G5566">
        <v>60246000</v>
      </c>
      <c r="H5566">
        <f t="shared" si="344"/>
        <v>2019</v>
      </c>
      <c r="I5566">
        <f t="shared" si="345"/>
        <v>6</v>
      </c>
      <c r="J5566" t="str">
        <f t="shared" si="346"/>
        <v>Jun</v>
      </c>
      <c r="K5566" t="str">
        <f t="shared" si="347"/>
        <v>Tue</v>
      </c>
    </row>
    <row r="5567" spans="1:11" x14ac:dyDescent="0.35">
      <c r="A5567" s="1">
        <v>43642</v>
      </c>
      <c r="B5567">
        <v>94.624000549316406</v>
      </c>
      <c r="C5567">
        <v>95.190002441406193</v>
      </c>
      <c r="D5567">
        <v>94.365997314453097</v>
      </c>
      <c r="E5567">
        <v>94.891502380371094</v>
      </c>
      <c r="F5567">
        <v>94.891502380371094</v>
      </c>
      <c r="G5567">
        <v>48838000</v>
      </c>
      <c r="H5567">
        <f t="shared" si="344"/>
        <v>2019</v>
      </c>
      <c r="I5567">
        <f t="shared" si="345"/>
        <v>6</v>
      </c>
      <c r="J5567" t="str">
        <f t="shared" si="346"/>
        <v>Jun</v>
      </c>
      <c r="K5567" t="str">
        <f t="shared" si="347"/>
        <v>Wed</v>
      </c>
    </row>
    <row r="5568" spans="1:11" x14ac:dyDescent="0.35">
      <c r="A5568" s="1">
        <v>43643</v>
      </c>
      <c r="B5568">
        <v>95.099998474121094</v>
      </c>
      <c r="C5568">
        <v>95.561996459960895</v>
      </c>
      <c r="D5568">
        <v>94.902000427246094</v>
      </c>
      <c r="E5568">
        <v>95.213996887207003</v>
      </c>
      <c r="F5568">
        <v>95.213996887207003</v>
      </c>
      <c r="G5568">
        <v>42834000</v>
      </c>
      <c r="H5568">
        <f t="shared" si="344"/>
        <v>2019</v>
      </c>
      <c r="I5568">
        <f t="shared" si="345"/>
        <v>6</v>
      </c>
      <c r="J5568" t="str">
        <f t="shared" si="346"/>
        <v>Jun</v>
      </c>
      <c r="K5568" t="str">
        <f t="shared" si="347"/>
        <v>Thu</v>
      </c>
    </row>
    <row r="5569" spans="1:11" x14ac:dyDescent="0.35">
      <c r="A5569" s="1">
        <v>43644</v>
      </c>
      <c r="B5569">
        <v>95.455001831054602</v>
      </c>
      <c r="C5569">
        <v>95.647003173828097</v>
      </c>
      <c r="D5569">
        <v>94.199996948242102</v>
      </c>
      <c r="E5569">
        <v>94.681503295898395</v>
      </c>
      <c r="F5569">
        <v>94.681503295898395</v>
      </c>
      <c r="G5569">
        <v>60748000</v>
      </c>
      <c r="H5569">
        <f t="shared" si="344"/>
        <v>2019</v>
      </c>
      <c r="I5569">
        <f t="shared" si="345"/>
        <v>6</v>
      </c>
      <c r="J5569" t="str">
        <f t="shared" si="346"/>
        <v>Jun</v>
      </c>
      <c r="K5569" t="str">
        <f t="shared" si="347"/>
        <v>Fri</v>
      </c>
    </row>
    <row r="5570" spans="1:11" x14ac:dyDescent="0.35">
      <c r="A5570" s="1">
        <v>43647</v>
      </c>
      <c r="B5570">
        <v>96.149002075195298</v>
      </c>
      <c r="C5570">
        <v>96.490997314453097</v>
      </c>
      <c r="D5570">
        <v>95.733001708984304</v>
      </c>
      <c r="E5570">
        <v>96.1094970703125</v>
      </c>
      <c r="F5570">
        <v>96.1094970703125</v>
      </c>
      <c r="G5570">
        <v>63842000</v>
      </c>
      <c r="H5570">
        <f t="shared" si="344"/>
        <v>2019</v>
      </c>
      <c r="I5570">
        <f t="shared" si="345"/>
        <v>7</v>
      </c>
      <c r="J5570" t="str">
        <f t="shared" si="346"/>
        <v>Jul</v>
      </c>
      <c r="K5570" t="str">
        <f t="shared" si="347"/>
        <v>Mon</v>
      </c>
    </row>
    <row r="5571" spans="1:11" x14ac:dyDescent="0.35">
      <c r="A5571" s="1">
        <v>43648</v>
      </c>
      <c r="B5571">
        <v>95.969001770019503</v>
      </c>
      <c r="C5571">
        <v>96.739501953125</v>
      </c>
      <c r="D5571">
        <v>95.331497192382798</v>
      </c>
      <c r="E5571">
        <v>96.715499877929602</v>
      </c>
      <c r="F5571">
        <v>96.715499877929602</v>
      </c>
      <c r="G5571">
        <v>52918000</v>
      </c>
      <c r="H5571">
        <f t="shared" si="344"/>
        <v>2019</v>
      </c>
      <c r="I5571">
        <f t="shared" si="345"/>
        <v>7</v>
      </c>
      <c r="J5571" t="str">
        <f t="shared" si="346"/>
        <v>Jul</v>
      </c>
      <c r="K5571" t="str">
        <f t="shared" si="347"/>
        <v>Tue</v>
      </c>
    </row>
    <row r="5572" spans="1:11" x14ac:dyDescent="0.35">
      <c r="A5572" s="1">
        <v>43649</v>
      </c>
      <c r="B5572">
        <v>96.794502258300696</v>
      </c>
      <c r="C5572">
        <v>97.079498291015597</v>
      </c>
      <c r="D5572">
        <v>96.525001525878906</v>
      </c>
      <c r="E5572">
        <v>96.949996948242102</v>
      </c>
      <c r="F5572">
        <v>96.949996948242102</v>
      </c>
      <c r="G5572">
        <v>33806000</v>
      </c>
      <c r="H5572">
        <f t="shared" ref="H5572:H5635" si="348">YEAR($A5572)</f>
        <v>2019</v>
      </c>
      <c r="I5572">
        <f t="shared" ref="I5572:I5635" si="349">MONTH($A5572)</f>
        <v>7</v>
      </c>
      <c r="J5572" t="str">
        <f t="shared" ref="J5572:J5635" si="350">TEXT($A5572,"mmm")</f>
        <v>Jul</v>
      </c>
      <c r="K5572" t="str">
        <f t="shared" ref="K5572:K5635" si="351">TEXT($A5572,"ddd")</f>
        <v>Wed</v>
      </c>
    </row>
    <row r="5573" spans="1:11" x14ac:dyDescent="0.35">
      <c r="A5573" s="1">
        <v>43651</v>
      </c>
      <c r="B5573">
        <v>96.430000305175696</v>
      </c>
      <c r="C5573">
        <v>97.294998168945298</v>
      </c>
      <c r="D5573">
        <v>96.264999389648395</v>
      </c>
      <c r="E5573">
        <v>97.145500183105398</v>
      </c>
      <c r="F5573">
        <v>97.145500183105398</v>
      </c>
      <c r="G5573">
        <v>52568000</v>
      </c>
      <c r="H5573">
        <f t="shared" si="348"/>
        <v>2019</v>
      </c>
      <c r="I5573">
        <f t="shared" si="349"/>
        <v>7</v>
      </c>
      <c r="J5573" t="str">
        <f t="shared" si="350"/>
        <v>Jul</v>
      </c>
      <c r="K5573" t="str">
        <f t="shared" si="351"/>
        <v>Fri</v>
      </c>
    </row>
    <row r="5574" spans="1:11" x14ac:dyDescent="0.35">
      <c r="A5574" s="1">
        <v>43654</v>
      </c>
      <c r="B5574">
        <v>96.706001281738196</v>
      </c>
      <c r="C5574">
        <v>97.800003051757798</v>
      </c>
      <c r="D5574">
        <v>96.412498474121094</v>
      </c>
      <c r="E5574">
        <v>97.615997314453097</v>
      </c>
      <c r="F5574">
        <v>97.615997314453097</v>
      </c>
      <c r="G5574">
        <v>57668000</v>
      </c>
      <c r="H5574">
        <f t="shared" si="348"/>
        <v>2019</v>
      </c>
      <c r="I5574">
        <f t="shared" si="349"/>
        <v>7</v>
      </c>
      <c r="J5574" t="str">
        <f t="shared" si="350"/>
        <v>Jul</v>
      </c>
      <c r="K5574" t="str">
        <f t="shared" si="351"/>
        <v>Mon</v>
      </c>
    </row>
    <row r="5575" spans="1:11" x14ac:dyDescent="0.35">
      <c r="A5575" s="1">
        <v>43655</v>
      </c>
      <c r="B5575">
        <v>97.389999389648395</v>
      </c>
      <c r="C5575">
        <v>99.500503540039006</v>
      </c>
      <c r="D5575">
        <v>97.174003601074205</v>
      </c>
      <c r="E5575">
        <v>99.415000915527301</v>
      </c>
      <c r="F5575">
        <v>99.415000915527301</v>
      </c>
      <c r="G5575">
        <v>86914000</v>
      </c>
      <c r="H5575">
        <f t="shared" si="348"/>
        <v>2019</v>
      </c>
      <c r="I5575">
        <f t="shared" si="349"/>
        <v>7</v>
      </c>
      <c r="J5575" t="str">
        <f t="shared" si="350"/>
        <v>Jul</v>
      </c>
      <c r="K5575" t="str">
        <f t="shared" si="351"/>
        <v>Tue</v>
      </c>
    </row>
    <row r="5576" spans="1:11" x14ac:dyDescent="0.35">
      <c r="A5576" s="1">
        <v>43656</v>
      </c>
      <c r="B5576">
        <v>99.825500488281193</v>
      </c>
      <c r="C5576">
        <v>101.24700164794901</v>
      </c>
      <c r="D5576">
        <v>99.769996643066406</v>
      </c>
      <c r="E5576">
        <v>100.87049865722599</v>
      </c>
      <c r="F5576">
        <v>100.87049865722599</v>
      </c>
      <c r="G5576">
        <v>98638000</v>
      </c>
      <c r="H5576">
        <f t="shared" si="348"/>
        <v>2019</v>
      </c>
      <c r="I5576">
        <f t="shared" si="349"/>
        <v>7</v>
      </c>
      <c r="J5576" t="str">
        <f t="shared" si="350"/>
        <v>Jul</v>
      </c>
      <c r="K5576" t="str">
        <f t="shared" si="351"/>
        <v>Wed</v>
      </c>
    </row>
    <row r="5577" spans="1:11" x14ac:dyDescent="0.35">
      <c r="A5577" s="1">
        <v>43657</v>
      </c>
      <c r="B5577">
        <v>101.28099822998</v>
      </c>
      <c r="C5577">
        <v>101.790000915527</v>
      </c>
      <c r="D5577">
        <v>99.764999389648395</v>
      </c>
      <c r="E5577">
        <v>100.053497314453</v>
      </c>
      <c r="F5577">
        <v>100.053497314453</v>
      </c>
      <c r="G5577">
        <v>86356000</v>
      </c>
      <c r="H5577">
        <f t="shared" si="348"/>
        <v>2019</v>
      </c>
      <c r="I5577">
        <f t="shared" si="349"/>
        <v>7</v>
      </c>
      <c r="J5577" t="str">
        <f t="shared" si="350"/>
        <v>Jul</v>
      </c>
      <c r="K5577" t="str">
        <f t="shared" si="351"/>
        <v>Thu</v>
      </c>
    </row>
    <row r="5578" spans="1:11" x14ac:dyDescent="0.35">
      <c r="A5578" s="1">
        <v>43658</v>
      </c>
      <c r="B5578">
        <v>100.41349792480401</v>
      </c>
      <c r="C5578">
        <v>100.84999847412099</v>
      </c>
      <c r="D5578">
        <v>100.19349670410099</v>
      </c>
      <c r="E5578">
        <v>100.550003051757</v>
      </c>
      <c r="F5578">
        <v>100.550003051757</v>
      </c>
      <c r="G5578">
        <v>50186000</v>
      </c>
      <c r="H5578">
        <f t="shared" si="348"/>
        <v>2019</v>
      </c>
      <c r="I5578">
        <f t="shared" si="349"/>
        <v>7</v>
      </c>
      <c r="J5578" t="str">
        <f t="shared" si="350"/>
        <v>Jul</v>
      </c>
      <c r="K5578" t="str">
        <f t="shared" si="351"/>
        <v>Fri</v>
      </c>
    </row>
    <row r="5579" spans="1:11" x14ac:dyDescent="0.35">
      <c r="A5579" s="1">
        <v>43661</v>
      </c>
      <c r="B5579">
        <v>101.06999969482401</v>
      </c>
      <c r="C5579">
        <v>101.14499664306599</v>
      </c>
      <c r="D5579">
        <v>100.077499389648</v>
      </c>
      <c r="E5579">
        <v>101.049499511718</v>
      </c>
      <c r="F5579">
        <v>101.049499511718</v>
      </c>
      <c r="G5579">
        <v>59626000</v>
      </c>
      <c r="H5579">
        <f t="shared" si="348"/>
        <v>2019</v>
      </c>
      <c r="I5579">
        <f t="shared" si="349"/>
        <v>7</v>
      </c>
      <c r="J5579" t="str">
        <f t="shared" si="350"/>
        <v>Jul</v>
      </c>
      <c r="K5579" t="str">
        <f t="shared" si="351"/>
        <v>Mon</v>
      </c>
    </row>
    <row r="5580" spans="1:11" x14ac:dyDescent="0.35">
      <c r="A5580" s="1">
        <v>43662</v>
      </c>
      <c r="B5580">
        <v>100.528999328613</v>
      </c>
      <c r="C5580">
        <v>101.31600189208901</v>
      </c>
      <c r="D5580">
        <v>100.060997009277</v>
      </c>
      <c r="E5580">
        <v>100.495002746582</v>
      </c>
      <c r="F5580">
        <v>100.495002746582</v>
      </c>
      <c r="G5580">
        <v>52364000</v>
      </c>
      <c r="H5580">
        <f t="shared" si="348"/>
        <v>2019</v>
      </c>
      <c r="I5580">
        <f t="shared" si="349"/>
        <v>7</v>
      </c>
      <c r="J5580" t="str">
        <f t="shared" si="350"/>
        <v>Jul</v>
      </c>
      <c r="K5580" t="str">
        <f t="shared" si="351"/>
        <v>Tue</v>
      </c>
    </row>
    <row r="5581" spans="1:11" x14ac:dyDescent="0.35">
      <c r="A5581" s="1">
        <v>43663</v>
      </c>
      <c r="B5581">
        <v>100.352500915527</v>
      </c>
      <c r="C5581">
        <v>100.59999847412099</v>
      </c>
      <c r="D5581">
        <v>99.601501464843693</v>
      </c>
      <c r="E5581">
        <v>99.601501464843693</v>
      </c>
      <c r="F5581">
        <v>99.601501464843693</v>
      </c>
      <c r="G5581">
        <v>51176000</v>
      </c>
      <c r="H5581">
        <f t="shared" si="348"/>
        <v>2019</v>
      </c>
      <c r="I5581">
        <f t="shared" si="349"/>
        <v>7</v>
      </c>
      <c r="J5581" t="str">
        <f t="shared" si="350"/>
        <v>Jul</v>
      </c>
      <c r="K5581" t="str">
        <f t="shared" si="351"/>
        <v>Wed</v>
      </c>
    </row>
    <row r="5582" spans="1:11" x14ac:dyDescent="0.35">
      <c r="A5582" s="1">
        <v>43664</v>
      </c>
      <c r="B5582">
        <v>99.000503540039006</v>
      </c>
      <c r="C5582">
        <v>99.375</v>
      </c>
      <c r="D5582">
        <v>97.577499389648395</v>
      </c>
      <c r="E5582">
        <v>98.894996643066406</v>
      </c>
      <c r="F5582">
        <v>98.894996643066406</v>
      </c>
      <c r="G5582">
        <v>69738000</v>
      </c>
      <c r="H5582">
        <f t="shared" si="348"/>
        <v>2019</v>
      </c>
      <c r="I5582">
        <f t="shared" si="349"/>
        <v>7</v>
      </c>
      <c r="J5582" t="str">
        <f t="shared" si="350"/>
        <v>Jul</v>
      </c>
      <c r="K5582" t="str">
        <f t="shared" si="351"/>
        <v>Thu</v>
      </c>
    </row>
    <row r="5583" spans="1:11" x14ac:dyDescent="0.35">
      <c r="A5583" s="1">
        <v>43665</v>
      </c>
      <c r="B5583">
        <v>99.560501098632798</v>
      </c>
      <c r="C5583">
        <v>99.800003051757798</v>
      </c>
      <c r="D5583">
        <v>98.111503601074205</v>
      </c>
      <c r="E5583">
        <v>98.225997924804602</v>
      </c>
      <c r="F5583">
        <v>98.225997924804602</v>
      </c>
      <c r="G5583">
        <v>63712000</v>
      </c>
      <c r="H5583">
        <f t="shared" si="348"/>
        <v>2019</v>
      </c>
      <c r="I5583">
        <f t="shared" si="349"/>
        <v>7</v>
      </c>
      <c r="J5583" t="str">
        <f t="shared" si="350"/>
        <v>Jul</v>
      </c>
      <c r="K5583" t="str">
        <f t="shared" si="351"/>
        <v>Fri</v>
      </c>
    </row>
    <row r="5584" spans="1:11" x14ac:dyDescent="0.35">
      <c r="A5584" s="1">
        <v>43668</v>
      </c>
      <c r="B5584">
        <v>98.556999206542898</v>
      </c>
      <c r="C5584">
        <v>99.449996948242102</v>
      </c>
      <c r="D5584">
        <v>97.913002014160099</v>
      </c>
      <c r="E5584">
        <v>99.281501770019503</v>
      </c>
      <c r="F5584">
        <v>99.281501770019503</v>
      </c>
      <c r="G5584">
        <v>58000000</v>
      </c>
      <c r="H5584">
        <f t="shared" si="348"/>
        <v>2019</v>
      </c>
      <c r="I5584">
        <f t="shared" si="349"/>
        <v>7</v>
      </c>
      <c r="J5584" t="str">
        <f t="shared" si="350"/>
        <v>Jul</v>
      </c>
      <c r="K5584" t="str">
        <f t="shared" si="351"/>
        <v>Mon</v>
      </c>
    </row>
    <row r="5585" spans="1:11" x14ac:dyDescent="0.35">
      <c r="A5585" s="1">
        <v>43669</v>
      </c>
      <c r="B5585">
        <v>99.799499511718693</v>
      </c>
      <c r="C5585">
        <v>99.889503479003906</v>
      </c>
      <c r="D5585">
        <v>98.656501770019503</v>
      </c>
      <c r="E5585">
        <v>99.724502563476506</v>
      </c>
      <c r="F5585">
        <v>99.724502563476506</v>
      </c>
      <c r="G5585">
        <v>54070000</v>
      </c>
      <c r="H5585">
        <f t="shared" si="348"/>
        <v>2019</v>
      </c>
      <c r="I5585">
        <f t="shared" si="349"/>
        <v>7</v>
      </c>
      <c r="J5585" t="str">
        <f t="shared" si="350"/>
        <v>Jul</v>
      </c>
      <c r="K5585" t="str">
        <f t="shared" si="351"/>
        <v>Tue</v>
      </c>
    </row>
    <row r="5586" spans="1:11" x14ac:dyDescent="0.35">
      <c r="A5586" s="1">
        <v>43670</v>
      </c>
      <c r="B5586">
        <v>98.464996337890597</v>
      </c>
      <c r="C5586">
        <v>100.06500244140599</v>
      </c>
      <c r="D5586">
        <v>98.293502807617102</v>
      </c>
      <c r="E5586">
        <v>100.04049682617099</v>
      </c>
      <c r="F5586">
        <v>100.04049682617099</v>
      </c>
      <c r="G5586">
        <v>52626000</v>
      </c>
      <c r="H5586">
        <f t="shared" si="348"/>
        <v>2019</v>
      </c>
      <c r="I5586">
        <f t="shared" si="349"/>
        <v>7</v>
      </c>
      <c r="J5586" t="str">
        <f t="shared" si="350"/>
        <v>Jul</v>
      </c>
      <c r="K5586" t="str">
        <f t="shared" si="351"/>
        <v>Wed</v>
      </c>
    </row>
    <row r="5587" spans="1:11" x14ac:dyDescent="0.35">
      <c r="A5587" s="1">
        <v>43671</v>
      </c>
      <c r="B5587">
        <v>100.050003051757</v>
      </c>
      <c r="C5587">
        <v>100.059997558593</v>
      </c>
      <c r="D5587">
        <v>98.636001586914006</v>
      </c>
      <c r="E5587">
        <v>98.691001892089801</v>
      </c>
      <c r="F5587">
        <v>98.691001892089801</v>
      </c>
      <c r="G5587">
        <v>82730000</v>
      </c>
      <c r="H5587">
        <f t="shared" si="348"/>
        <v>2019</v>
      </c>
      <c r="I5587">
        <f t="shared" si="349"/>
        <v>7</v>
      </c>
      <c r="J5587" t="str">
        <f t="shared" si="350"/>
        <v>Jul</v>
      </c>
      <c r="K5587" t="str">
        <f t="shared" si="351"/>
        <v>Thu</v>
      </c>
    </row>
    <row r="5588" spans="1:11" x14ac:dyDescent="0.35">
      <c r="A5588" s="1">
        <v>43672</v>
      </c>
      <c r="B5588">
        <v>97.099998474121094</v>
      </c>
      <c r="C5588">
        <v>97.544998168945298</v>
      </c>
      <c r="D5588">
        <v>96.225502014160099</v>
      </c>
      <c r="E5588">
        <v>97.152496337890597</v>
      </c>
      <c r="F5588">
        <v>97.152496337890597</v>
      </c>
      <c r="G5588">
        <v>98542000</v>
      </c>
      <c r="H5588">
        <f t="shared" si="348"/>
        <v>2019</v>
      </c>
      <c r="I5588">
        <f t="shared" si="349"/>
        <v>7</v>
      </c>
      <c r="J5588" t="str">
        <f t="shared" si="350"/>
        <v>Jul</v>
      </c>
      <c r="K5588" t="str">
        <f t="shared" si="351"/>
        <v>Fri</v>
      </c>
    </row>
    <row r="5589" spans="1:11" x14ac:dyDescent="0.35">
      <c r="A5589" s="1">
        <v>43675</v>
      </c>
      <c r="B5589">
        <v>96.5</v>
      </c>
      <c r="C5589">
        <v>96.611503601074205</v>
      </c>
      <c r="D5589">
        <v>94.527000427246094</v>
      </c>
      <c r="E5589">
        <v>95.622497558593693</v>
      </c>
      <c r="F5589">
        <v>95.622497558593693</v>
      </c>
      <c r="G5589">
        <v>89864000</v>
      </c>
      <c r="H5589">
        <f t="shared" si="348"/>
        <v>2019</v>
      </c>
      <c r="I5589">
        <f t="shared" si="349"/>
        <v>7</v>
      </c>
      <c r="J5589" t="str">
        <f t="shared" si="350"/>
        <v>Jul</v>
      </c>
      <c r="K5589" t="str">
        <f t="shared" si="351"/>
        <v>Mon</v>
      </c>
    </row>
    <row r="5590" spans="1:11" x14ac:dyDescent="0.35">
      <c r="A5590" s="1">
        <v>43676</v>
      </c>
      <c r="B5590">
        <v>94.555999755859304</v>
      </c>
      <c r="C5590">
        <v>95.494499206542898</v>
      </c>
      <c r="D5590">
        <v>94.174003601074205</v>
      </c>
      <c r="E5590">
        <v>94.926498413085895</v>
      </c>
      <c r="F5590">
        <v>94.926498413085895</v>
      </c>
      <c r="G5590">
        <v>58218000</v>
      </c>
      <c r="H5590">
        <f t="shared" si="348"/>
        <v>2019</v>
      </c>
      <c r="I5590">
        <f t="shared" si="349"/>
        <v>7</v>
      </c>
      <c r="J5590" t="str">
        <f t="shared" si="350"/>
        <v>Jul</v>
      </c>
      <c r="K5590" t="str">
        <f t="shared" si="351"/>
        <v>Tue</v>
      </c>
    </row>
    <row r="5591" spans="1:11" x14ac:dyDescent="0.35">
      <c r="A5591" s="1">
        <v>43677</v>
      </c>
      <c r="B5591">
        <v>94.905502319335895</v>
      </c>
      <c r="C5591">
        <v>94.977500915527301</v>
      </c>
      <c r="D5591">
        <v>92.472000122070298</v>
      </c>
      <c r="E5591">
        <v>93.338996887207003</v>
      </c>
      <c r="F5591">
        <v>93.338996887207003</v>
      </c>
      <c r="G5591">
        <v>89414000</v>
      </c>
      <c r="H5591">
        <f t="shared" si="348"/>
        <v>2019</v>
      </c>
      <c r="I5591">
        <f t="shared" si="349"/>
        <v>7</v>
      </c>
      <c r="J5591" t="str">
        <f t="shared" si="350"/>
        <v>Jul</v>
      </c>
      <c r="K5591" t="str">
        <f t="shared" si="351"/>
        <v>Wed</v>
      </c>
    </row>
    <row r="5592" spans="1:11" x14ac:dyDescent="0.35">
      <c r="A5592" s="1">
        <v>43678</v>
      </c>
      <c r="B5592">
        <v>93.585998535156193</v>
      </c>
      <c r="C5592">
        <v>94.896003723144503</v>
      </c>
      <c r="D5592">
        <v>92.200500488281193</v>
      </c>
      <c r="E5592">
        <v>92.765998840332003</v>
      </c>
      <c r="F5592">
        <v>92.765998840332003</v>
      </c>
      <c r="G5592">
        <v>94266000</v>
      </c>
      <c r="H5592">
        <f t="shared" si="348"/>
        <v>2019</v>
      </c>
      <c r="I5592">
        <f t="shared" si="349"/>
        <v>8</v>
      </c>
      <c r="J5592" t="str">
        <f t="shared" si="350"/>
        <v>Aug</v>
      </c>
      <c r="K5592" t="str">
        <f t="shared" si="351"/>
        <v>Thu</v>
      </c>
    </row>
    <row r="5593" spans="1:11" x14ac:dyDescent="0.35">
      <c r="A5593" s="1">
        <v>43679</v>
      </c>
      <c r="B5593">
        <v>92.253501892089801</v>
      </c>
      <c r="C5593">
        <v>92.318000793457003</v>
      </c>
      <c r="D5593">
        <v>90.4010009765625</v>
      </c>
      <c r="E5593">
        <v>91.162002563476506</v>
      </c>
      <c r="F5593">
        <v>91.162002563476506</v>
      </c>
      <c r="G5593">
        <v>99124000</v>
      </c>
      <c r="H5593">
        <f t="shared" si="348"/>
        <v>2019</v>
      </c>
      <c r="I5593">
        <f t="shared" si="349"/>
        <v>8</v>
      </c>
      <c r="J5593" t="str">
        <f t="shared" si="350"/>
        <v>Aug</v>
      </c>
      <c r="K5593" t="str">
        <f t="shared" si="351"/>
        <v>Fri</v>
      </c>
    </row>
    <row r="5594" spans="1:11" x14ac:dyDescent="0.35">
      <c r="A5594" s="1">
        <v>43682</v>
      </c>
      <c r="B5594">
        <v>88.511001586914006</v>
      </c>
      <c r="C5594">
        <v>89.433502197265597</v>
      </c>
      <c r="D5594">
        <v>87.439002990722599</v>
      </c>
      <c r="E5594">
        <v>88.256500244140597</v>
      </c>
      <c r="F5594">
        <v>88.256500244140597</v>
      </c>
      <c r="G5594">
        <v>121164000</v>
      </c>
      <c r="H5594">
        <f t="shared" si="348"/>
        <v>2019</v>
      </c>
      <c r="I5594">
        <f t="shared" si="349"/>
        <v>8</v>
      </c>
      <c r="J5594" t="str">
        <f t="shared" si="350"/>
        <v>Aug</v>
      </c>
      <c r="K5594" t="str">
        <f t="shared" si="351"/>
        <v>Mon</v>
      </c>
    </row>
    <row r="5595" spans="1:11" x14ac:dyDescent="0.35">
      <c r="A5595" s="1">
        <v>43683</v>
      </c>
      <c r="B5595">
        <v>89.611503601074205</v>
      </c>
      <c r="C5595">
        <v>89.688499450683594</v>
      </c>
      <c r="D5595">
        <v>87.669998168945298</v>
      </c>
      <c r="E5595">
        <v>89.391502380371094</v>
      </c>
      <c r="F5595">
        <v>89.391502380371094</v>
      </c>
      <c r="G5595">
        <v>101406000</v>
      </c>
      <c r="H5595">
        <f t="shared" si="348"/>
        <v>2019</v>
      </c>
      <c r="I5595">
        <f t="shared" si="349"/>
        <v>8</v>
      </c>
      <c r="J5595" t="str">
        <f t="shared" si="350"/>
        <v>Aug</v>
      </c>
      <c r="K5595" t="str">
        <f t="shared" si="351"/>
        <v>Tue</v>
      </c>
    </row>
    <row r="5596" spans="1:11" x14ac:dyDescent="0.35">
      <c r="A5596" s="1">
        <v>43684</v>
      </c>
      <c r="B5596">
        <v>88.699501037597599</v>
      </c>
      <c r="C5596">
        <v>89.946502685546804</v>
      </c>
      <c r="D5596">
        <v>87.849998474121094</v>
      </c>
      <c r="E5596">
        <v>89.669998168945298</v>
      </c>
      <c r="F5596">
        <v>89.669998168945298</v>
      </c>
      <c r="G5596">
        <v>90538000</v>
      </c>
      <c r="H5596">
        <f t="shared" si="348"/>
        <v>2019</v>
      </c>
      <c r="I5596">
        <f t="shared" si="349"/>
        <v>8</v>
      </c>
      <c r="J5596" t="str">
        <f t="shared" si="350"/>
        <v>Aug</v>
      </c>
      <c r="K5596" t="str">
        <f t="shared" si="351"/>
        <v>Wed</v>
      </c>
    </row>
    <row r="5597" spans="1:11" x14ac:dyDescent="0.35">
      <c r="A5597" s="1">
        <v>43685</v>
      </c>
      <c r="B5597">
        <v>90.300003051757798</v>
      </c>
      <c r="C5597">
        <v>91.712997436523395</v>
      </c>
      <c r="D5597">
        <v>89.905502319335895</v>
      </c>
      <c r="E5597">
        <v>91.644500732421804</v>
      </c>
      <c r="F5597">
        <v>91.644500732421804</v>
      </c>
      <c r="G5597">
        <v>74024000</v>
      </c>
      <c r="H5597">
        <f t="shared" si="348"/>
        <v>2019</v>
      </c>
      <c r="I5597">
        <f t="shared" si="349"/>
        <v>8</v>
      </c>
      <c r="J5597" t="str">
        <f t="shared" si="350"/>
        <v>Aug</v>
      </c>
      <c r="K5597" t="str">
        <f t="shared" si="351"/>
        <v>Thu</v>
      </c>
    </row>
    <row r="5598" spans="1:11" x14ac:dyDescent="0.35">
      <c r="A5598" s="1">
        <v>43686</v>
      </c>
      <c r="B5598">
        <v>91.447502136230398</v>
      </c>
      <c r="C5598">
        <v>91.554496765136705</v>
      </c>
      <c r="D5598">
        <v>90.111000061035099</v>
      </c>
      <c r="E5598">
        <v>90.378997802734304</v>
      </c>
      <c r="F5598">
        <v>90.378997802734304</v>
      </c>
      <c r="G5598">
        <v>57596000</v>
      </c>
      <c r="H5598">
        <f t="shared" si="348"/>
        <v>2019</v>
      </c>
      <c r="I5598">
        <f t="shared" si="349"/>
        <v>8</v>
      </c>
      <c r="J5598" t="str">
        <f t="shared" si="350"/>
        <v>Aug</v>
      </c>
      <c r="K5598" t="str">
        <f t="shared" si="351"/>
        <v>Fri</v>
      </c>
    </row>
    <row r="5599" spans="1:11" x14ac:dyDescent="0.35">
      <c r="A5599" s="1">
        <v>43689</v>
      </c>
      <c r="B5599">
        <v>89.799499511718693</v>
      </c>
      <c r="C5599">
        <v>90.049003601074205</v>
      </c>
      <c r="D5599">
        <v>88.849998474121094</v>
      </c>
      <c r="E5599">
        <v>89.246002197265597</v>
      </c>
      <c r="F5599">
        <v>89.246002197265597</v>
      </c>
      <c r="G5599">
        <v>58110000</v>
      </c>
      <c r="H5599">
        <f t="shared" si="348"/>
        <v>2019</v>
      </c>
      <c r="I5599">
        <f t="shared" si="349"/>
        <v>8</v>
      </c>
      <c r="J5599" t="str">
        <f t="shared" si="350"/>
        <v>Aug</v>
      </c>
      <c r="K5599" t="str">
        <f t="shared" si="351"/>
        <v>Mon</v>
      </c>
    </row>
    <row r="5600" spans="1:11" x14ac:dyDescent="0.35">
      <c r="A5600" s="1">
        <v>43690</v>
      </c>
      <c r="B5600">
        <v>89.150001525878906</v>
      </c>
      <c r="C5600">
        <v>91.586997985839801</v>
      </c>
      <c r="D5600">
        <v>89</v>
      </c>
      <c r="E5600">
        <v>91.217002868652301</v>
      </c>
      <c r="F5600">
        <v>91.217002868652301</v>
      </c>
      <c r="G5600">
        <v>79880000</v>
      </c>
      <c r="H5600">
        <f t="shared" si="348"/>
        <v>2019</v>
      </c>
      <c r="I5600">
        <f t="shared" si="349"/>
        <v>8</v>
      </c>
      <c r="J5600" t="str">
        <f t="shared" si="350"/>
        <v>Aug</v>
      </c>
      <c r="K5600" t="str">
        <f t="shared" si="351"/>
        <v>Tue</v>
      </c>
    </row>
    <row r="5601" spans="1:11" x14ac:dyDescent="0.35">
      <c r="A5601" s="1">
        <v>43691</v>
      </c>
      <c r="B5601">
        <v>89.650497436523395</v>
      </c>
      <c r="C5601">
        <v>89.782501220703097</v>
      </c>
      <c r="D5601">
        <v>87.861000061035099</v>
      </c>
      <c r="E5601">
        <v>88.148002624511705</v>
      </c>
      <c r="F5601">
        <v>88.148002624511705</v>
      </c>
      <c r="G5601">
        <v>97872000</v>
      </c>
      <c r="H5601">
        <f t="shared" si="348"/>
        <v>2019</v>
      </c>
      <c r="I5601">
        <f t="shared" si="349"/>
        <v>8</v>
      </c>
      <c r="J5601" t="str">
        <f t="shared" si="350"/>
        <v>Aug</v>
      </c>
      <c r="K5601" t="str">
        <f t="shared" si="351"/>
        <v>Wed</v>
      </c>
    </row>
    <row r="5602" spans="1:11" x14ac:dyDescent="0.35">
      <c r="A5602" s="1">
        <v>43692</v>
      </c>
      <c r="B5602">
        <v>89.099502563476506</v>
      </c>
      <c r="C5602">
        <v>89.400001525878906</v>
      </c>
      <c r="D5602">
        <v>88.097999572753906</v>
      </c>
      <c r="E5602">
        <v>88.805999755859304</v>
      </c>
      <c r="F5602">
        <v>88.805999755859304</v>
      </c>
      <c r="G5602">
        <v>75182000</v>
      </c>
      <c r="H5602">
        <f t="shared" si="348"/>
        <v>2019</v>
      </c>
      <c r="I5602">
        <f t="shared" si="349"/>
        <v>8</v>
      </c>
      <c r="J5602" t="str">
        <f t="shared" si="350"/>
        <v>Aug</v>
      </c>
      <c r="K5602" t="str">
        <f t="shared" si="351"/>
        <v>Thu</v>
      </c>
    </row>
    <row r="5603" spans="1:11" x14ac:dyDescent="0.35">
      <c r="A5603" s="1">
        <v>43693</v>
      </c>
      <c r="B5603">
        <v>89.644500732421804</v>
      </c>
      <c r="C5603">
        <v>90.145500183105398</v>
      </c>
      <c r="D5603">
        <v>89.227500915527301</v>
      </c>
      <c r="E5603">
        <v>89.628501892089801</v>
      </c>
      <c r="F5603">
        <v>89.628501892089801</v>
      </c>
      <c r="G5603">
        <v>60360000</v>
      </c>
      <c r="H5603">
        <f t="shared" si="348"/>
        <v>2019</v>
      </c>
      <c r="I5603">
        <f t="shared" si="349"/>
        <v>8</v>
      </c>
      <c r="J5603" t="str">
        <f t="shared" si="350"/>
        <v>Aug</v>
      </c>
      <c r="K5603" t="str">
        <f t="shared" si="351"/>
        <v>Fri</v>
      </c>
    </row>
    <row r="5604" spans="1:11" x14ac:dyDescent="0.35">
      <c r="A5604" s="1">
        <v>43696</v>
      </c>
      <c r="B5604">
        <v>90.903999328613196</v>
      </c>
      <c r="C5604">
        <v>91.300003051757798</v>
      </c>
      <c r="D5604">
        <v>90.630500793457003</v>
      </c>
      <c r="E5604">
        <v>90.805999755859304</v>
      </c>
      <c r="F5604">
        <v>90.805999755859304</v>
      </c>
      <c r="G5604">
        <v>56326000</v>
      </c>
      <c r="H5604">
        <f t="shared" si="348"/>
        <v>2019</v>
      </c>
      <c r="I5604">
        <f t="shared" si="349"/>
        <v>8</v>
      </c>
      <c r="J5604" t="str">
        <f t="shared" si="350"/>
        <v>Aug</v>
      </c>
      <c r="K5604" t="str">
        <f t="shared" si="351"/>
        <v>Mon</v>
      </c>
    </row>
    <row r="5605" spans="1:11" x14ac:dyDescent="0.35">
      <c r="A5605" s="1">
        <v>43697</v>
      </c>
      <c r="B5605">
        <v>90.724998474121094</v>
      </c>
      <c r="C5605">
        <v>90.841003417968693</v>
      </c>
      <c r="D5605">
        <v>89.994003295898395</v>
      </c>
      <c r="E5605">
        <v>90.069000244140597</v>
      </c>
      <c r="F5605">
        <v>90.069000244140597</v>
      </c>
      <c r="G5605">
        <v>38590000</v>
      </c>
      <c r="H5605">
        <f t="shared" si="348"/>
        <v>2019</v>
      </c>
      <c r="I5605">
        <f t="shared" si="349"/>
        <v>8</v>
      </c>
      <c r="J5605" t="str">
        <f t="shared" si="350"/>
        <v>Aug</v>
      </c>
      <c r="K5605" t="str">
        <f t="shared" si="351"/>
        <v>Tue</v>
      </c>
    </row>
    <row r="5606" spans="1:11" x14ac:dyDescent="0.35">
      <c r="A5606" s="1">
        <v>43698</v>
      </c>
      <c r="B5606">
        <v>90.969497680664006</v>
      </c>
      <c r="C5606">
        <v>91.478996276855398</v>
      </c>
      <c r="D5606">
        <v>90.75</v>
      </c>
      <c r="E5606">
        <v>91.177001953125</v>
      </c>
      <c r="F5606">
        <v>91.177001953125</v>
      </c>
      <c r="G5606">
        <v>40636000</v>
      </c>
      <c r="H5606">
        <f t="shared" si="348"/>
        <v>2019</v>
      </c>
      <c r="I5606">
        <f t="shared" si="349"/>
        <v>8</v>
      </c>
      <c r="J5606" t="str">
        <f t="shared" si="350"/>
        <v>Aug</v>
      </c>
      <c r="K5606" t="str">
        <f t="shared" si="351"/>
        <v>Wed</v>
      </c>
    </row>
    <row r="5607" spans="1:11" x14ac:dyDescent="0.35">
      <c r="A5607" s="1">
        <v>43699</v>
      </c>
      <c r="B5607">
        <v>91.400001525878906</v>
      </c>
      <c r="C5607">
        <v>91.470497131347599</v>
      </c>
      <c r="D5607">
        <v>90.004997253417898</v>
      </c>
      <c r="E5607">
        <v>90.233001708984304</v>
      </c>
      <c r="F5607">
        <v>90.233001708984304</v>
      </c>
      <c r="G5607">
        <v>53070000</v>
      </c>
      <c r="H5607">
        <f t="shared" si="348"/>
        <v>2019</v>
      </c>
      <c r="I5607">
        <f t="shared" si="349"/>
        <v>8</v>
      </c>
      <c r="J5607" t="str">
        <f t="shared" si="350"/>
        <v>Aug</v>
      </c>
      <c r="K5607" t="str">
        <f t="shared" si="351"/>
        <v>Thu</v>
      </c>
    </row>
    <row r="5608" spans="1:11" x14ac:dyDescent="0.35">
      <c r="A5608" s="1">
        <v>43700</v>
      </c>
      <c r="B5608">
        <v>89.651496887207003</v>
      </c>
      <c r="C5608">
        <v>90.245002746582003</v>
      </c>
      <c r="D5608">
        <v>87.261497497558594</v>
      </c>
      <c r="E5608">
        <v>87.481002807617102</v>
      </c>
      <c r="F5608">
        <v>87.481002807617102</v>
      </c>
      <c r="G5608">
        <v>105416000</v>
      </c>
      <c r="H5608">
        <f t="shared" si="348"/>
        <v>2019</v>
      </c>
      <c r="I5608">
        <f t="shared" si="349"/>
        <v>8</v>
      </c>
      <c r="J5608" t="str">
        <f t="shared" si="350"/>
        <v>Aug</v>
      </c>
      <c r="K5608" t="str">
        <f t="shared" si="351"/>
        <v>Fri</v>
      </c>
    </row>
    <row r="5609" spans="1:11" x14ac:dyDescent="0.35">
      <c r="A5609" s="1">
        <v>43703</v>
      </c>
      <c r="B5609">
        <v>88.345497131347599</v>
      </c>
      <c r="C5609">
        <v>88.5</v>
      </c>
      <c r="D5609">
        <v>87.175498962402301</v>
      </c>
      <c r="E5609">
        <v>88.443496704101506</v>
      </c>
      <c r="F5609">
        <v>88.443496704101506</v>
      </c>
      <c r="G5609">
        <v>61600000</v>
      </c>
      <c r="H5609">
        <f t="shared" si="348"/>
        <v>2019</v>
      </c>
      <c r="I5609">
        <f t="shared" si="349"/>
        <v>8</v>
      </c>
      <c r="J5609" t="str">
        <f t="shared" si="350"/>
        <v>Aug</v>
      </c>
      <c r="K5609" t="str">
        <f t="shared" si="351"/>
        <v>Mon</v>
      </c>
    </row>
    <row r="5610" spans="1:11" x14ac:dyDescent="0.35">
      <c r="A5610" s="1">
        <v>43704</v>
      </c>
      <c r="B5610">
        <v>88.7864990234375</v>
      </c>
      <c r="C5610">
        <v>88.970001220703097</v>
      </c>
      <c r="D5610">
        <v>87.333999633789006</v>
      </c>
      <c r="E5610">
        <v>88.091499328613196</v>
      </c>
      <c r="F5610">
        <v>88.091499328613196</v>
      </c>
      <c r="G5610">
        <v>60394000</v>
      </c>
      <c r="H5610">
        <f t="shared" si="348"/>
        <v>2019</v>
      </c>
      <c r="I5610">
        <f t="shared" si="349"/>
        <v>8</v>
      </c>
      <c r="J5610" t="str">
        <f t="shared" si="350"/>
        <v>Aug</v>
      </c>
      <c r="K5610" t="str">
        <f t="shared" si="351"/>
        <v>Tue</v>
      </c>
    </row>
    <row r="5611" spans="1:11" x14ac:dyDescent="0.35">
      <c r="A5611" s="1">
        <v>43705</v>
      </c>
      <c r="B5611">
        <v>87.75</v>
      </c>
      <c r="C5611">
        <v>88.392997741699205</v>
      </c>
      <c r="D5611">
        <v>87.202499389648395</v>
      </c>
      <c r="E5611">
        <v>88.212501525878906</v>
      </c>
      <c r="F5611">
        <v>88.212501525878906</v>
      </c>
      <c r="G5611">
        <v>48394000</v>
      </c>
      <c r="H5611">
        <f t="shared" si="348"/>
        <v>2019</v>
      </c>
      <c r="I5611">
        <f t="shared" si="349"/>
        <v>8</v>
      </c>
      <c r="J5611" t="str">
        <f t="shared" si="350"/>
        <v>Aug</v>
      </c>
      <c r="K5611" t="str">
        <f t="shared" si="351"/>
        <v>Wed</v>
      </c>
    </row>
    <row r="5612" spans="1:11" x14ac:dyDescent="0.35">
      <c r="A5612" s="1">
        <v>43706</v>
      </c>
      <c r="B5612">
        <v>89.150001525878906</v>
      </c>
      <c r="C5612">
        <v>89.927497863769503</v>
      </c>
      <c r="D5612">
        <v>88.862503051757798</v>
      </c>
      <c r="E5612">
        <v>89.319999694824205</v>
      </c>
      <c r="F5612">
        <v>89.319999694824205</v>
      </c>
      <c r="G5612">
        <v>60302000</v>
      </c>
      <c r="H5612">
        <f t="shared" si="348"/>
        <v>2019</v>
      </c>
      <c r="I5612">
        <f t="shared" si="349"/>
        <v>8</v>
      </c>
      <c r="J5612" t="str">
        <f t="shared" si="350"/>
        <v>Aug</v>
      </c>
      <c r="K5612" t="str">
        <f t="shared" si="351"/>
        <v>Thu</v>
      </c>
    </row>
    <row r="5613" spans="1:11" x14ac:dyDescent="0.35">
      <c r="A5613" s="1">
        <v>43707</v>
      </c>
      <c r="B5613">
        <v>89.874496459960895</v>
      </c>
      <c r="C5613">
        <v>89.986999511718693</v>
      </c>
      <c r="D5613">
        <v>88.228500366210895</v>
      </c>
      <c r="E5613">
        <v>88.814498901367102</v>
      </c>
      <c r="F5613">
        <v>88.814498901367102</v>
      </c>
      <c r="G5613">
        <v>61174000</v>
      </c>
      <c r="H5613">
        <f t="shared" si="348"/>
        <v>2019</v>
      </c>
      <c r="I5613">
        <f t="shared" si="349"/>
        <v>8</v>
      </c>
      <c r="J5613" t="str">
        <f t="shared" si="350"/>
        <v>Aug</v>
      </c>
      <c r="K5613" t="str">
        <f t="shared" si="351"/>
        <v>Fri</v>
      </c>
    </row>
    <row r="5614" spans="1:11" x14ac:dyDescent="0.35">
      <c r="A5614" s="1">
        <v>43711</v>
      </c>
      <c r="B5614">
        <v>88.5</v>
      </c>
      <c r="C5614">
        <v>90.040000915527301</v>
      </c>
      <c r="D5614">
        <v>88.400001525878906</v>
      </c>
      <c r="E5614">
        <v>89.491996765136705</v>
      </c>
      <c r="F5614">
        <v>89.491996765136705</v>
      </c>
      <c r="G5614">
        <v>70860000</v>
      </c>
      <c r="H5614">
        <f t="shared" si="348"/>
        <v>2019</v>
      </c>
      <c r="I5614">
        <f t="shared" si="349"/>
        <v>9</v>
      </c>
      <c r="J5614" t="str">
        <f t="shared" si="350"/>
        <v>Sep</v>
      </c>
      <c r="K5614" t="str">
        <f t="shared" si="351"/>
        <v>Tue</v>
      </c>
    </row>
    <row r="5615" spans="1:11" x14ac:dyDescent="0.35">
      <c r="A5615" s="1">
        <v>43712</v>
      </c>
      <c r="B5615">
        <v>90.25</v>
      </c>
      <c r="C5615">
        <v>90.381500244140597</v>
      </c>
      <c r="D5615">
        <v>89.811500549316406</v>
      </c>
      <c r="E5615">
        <v>90.030998229980398</v>
      </c>
      <c r="F5615">
        <v>90.030998229980398</v>
      </c>
      <c r="G5615">
        <v>46482000</v>
      </c>
      <c r="H5615">
        <f t="shared" si="348"/>
        <v>2019</v>
      </c>
      <c r="I5615">
        <f t="shared" si="349"/>
        <v>9</v>
      </c>
      <c r="J5615" t="str">
        <f t="shared" si="350"/>
        <v>Sep</v>
      </c>
      <c r="K5615" t="str">
        <f t="shared" si="351"/>
        <v>Wed</v>
      </c>
    </row>
    <row r="5616" spans="1:11" x14ac:dyDescent="0.35">
      <c r="A5616" s="1">
        <v>43713</v>
      </c>
      <c r="B5616">
        <v>91.097503662109304</v>
      </c>
      <c r="C5616">
        <v>92.099998474121094</v>
      </c>
      <c r="D5616">
        <v>90.778999328613196</v>
      </c>
      <c r="E5616">
        <v>92.036003112792898</v>
      </c>
      <c r="F5616">
        <v>92.036003112792898</v>
      </c>
      <c r="G5616">
        <v>66216000</v>
      </c>
      <c r="H5616">
        <f t="shared" si="348"/>
        <v>2019</v>
      </c>
      <c r="I5616">
        <f t="shared" si="349"/>
        <v>9</v>
      </c>
      <c r="J5616" t="str">
        <f t="shared" si="350"/>
        <v>Sep</v>
      </c>
      <c r="K5616" t="str">
        <f t="shared" si="351"/>
        <v>Thu</v>
      </c>
    </row>
    <row r="5617" spans="1:11" x14ac:dyDescent="0.35">
      <c r="A5617" s="1">
        <v>43714</v>
      </c>
      <c r="B5617">
        <v>91.911003112792898</v>
      </c>
      <c r="C5617">
        <v>92.032501220703097</v>
      </c>
      <c r="D5617">
        <v>91.319999694824205</v>
      </c>
      <c r="E5617">
        <v>91.675498962402301</v>
      </c>
      <c r="F5617">
        <v>91.675498962402301</v>
      </c>
      <c r="G5617">
        <v>49938000</v>
      </c>
      <c r="H5617">
        <f t="shared" si="348"/>
        <v>2019</v>
      </c>
      <c r="I5617">
        <f t="shared" si="349"/>
        <v>9</v>
      </c>
      <c r="J5617" t="str">
        <f t="shared" si="350"/>
        <v>Sep</v>
      </c>
      <c r="K5617" t="str">
        <f t="shared" si="351"/>
        <v>Fri</v>
      </c>
    </row>
    <row r="5618" spans="1:11" x14ac:dyDescent="0.35">
      <c r="A5618" s="1">
        <v>43717</v>
      </c>
      <c r="B5618">
        <v>92.050003051757798</v>
      </c>
      <c r="C5618">
        <v>92.5</v>
      </c>
      <c r="D5618">
        <v>91.230499267578097</v>
      </c>
      <c r="E5618">
        <v>91.567497253417898</v>
      </c>
      <c r="F5618">
        <v>91.567497253417898</v>
      </c>
      <c r="G5618">
        <v>59990000</v>
      </c>
      <c r="H5618">
        <f t="shared" si="348"/>
        <v>2019</v>
      </c>
      <c r="I5618">
        <f t="shared" si="349"/>
        <v>9</v>
      </c>
      <c r="J5618" t="str">
        <f t="shared" si="350"/>
        <v>Sep</v>
      </c>
      <c r="K5618" t="str">
        <f t="shared" si="351"/>
        <v>Mon</v>
      </c>
    </row>
    <row r="5619" spans="1:11" x14ac:dyDescent="0.35">
      <c r="A5619" s="1">
        <v>43718</v>
      </c>
      <c r="B5619">
        <v>91.137496948242102</v>
      </c>
      <c r="C5619">
        <v>91.290496826171804</v>
      </c>
      <c r="D5619">
        <v>90.266998291015597</v>
      </c>
      <c r="E5619">
        <v>91.027496337890597</v>
      </c>
      <c r="F5619">
        <v>91.027496337890597</v>
      </c>
      <c r="G5619">
        <v>52278000</v>
      </c>
      <c r="H5619">
        <f t="shared" si="348"/>
        <v>2019</v>
      </c>
      <c r="I5619">
        <f t="shared" si="349"/>
        <v>9</v>
      </c>
      <c r="J5619" t="str">
        <f t="shared" si="350"/>
        <v>Sep</v>
      </c>
      <c r="K5619" t="str">
        <f t="shared" si="351"/>
        <v>Tue</v>
      </c>
    </row>
    <row r="5620" spans="1:11" x14ac:dyDescent="0.35">
      <c r="A5620" s="1">
        <v>43719</v>
      </c>
      <c r="B5620">
        <v>90.607002258300696</v>
      </c>
      <c r="C5620">
        <v>91.670997619628906</v>
      </c>
      <c r="D5620">
        <v>90.454002380371094</v>
      </c>
      <c r="E5620">
        <v>91.149497985839801</v>
      </c>
      <c r="F5620">
        <v>91.149497985839801</v>
      </c>
      <c r="G5620">
        <v>48656000</v>
      </c>
      <c r="H5620">
        <f t="shared" si="348"/>
        <v>2019</v>
      </c>
      <c r="I5620">
        <f t="shared" si="349"/>
        <v>9</v>
      </c>
      <c r="J5620" t="str">
        <f t="shared" si="350"/>
        <v>Sep</v>
      </c>
      <c r="K5620" t="str">
        <f t="shared" si="351"/>
        <v>Wed</v>
      </c>
    </row>
    <row r="5621" spans="1:11" x14ac:dyDescent="0.35">
      <c r="A5621" s="1">
        <v>43720</v>
      </c>
      <c r="B5621">
        <v>91.881500244140597</v>
      </c>
      <c r="C5621">
        <v>92.682998657226506</v>
      </c>
      <c r="D5621">
        <v>91.713996887207003</v>
      </c>
      <c r="E5621">
        <v>92.177497863769503</v>
      </c>
      <c r="F5621">
        <v>92.177497863769503</v>
      </c>
      <c r="G5621">
        <v>56470000</v>
      </c>
      <c r="H5621">
        <f t="shared" si="348"/>
        <v>2019</v>
      </c>
      <c r="I5621">
        <f t="shared" si="349"/>
        <v>9</v>
      </c>
      <c r="J5621" t="str">
        <f t="shared" si="350"/>
        <v>Sep</v>
      </c>
      <c r="K5621" t="str">
        <f t="shared" si="351"/>
        <v>Thu</v>
      </c>
    </row>
    <row r="5622" spans="1:11" x14ac:dyDescent="0.35">
      <c r="A5622" s="1">
        <v>43721</v>
      </c>
      <c r="B5622">
        <v>92.100502014160099</v>
      </c>
      <c r="C5622">
        <v>92.305999755859304</v>
      </c>
      <c r="D5622">
        <v>91.758499145507798</v>
      </c>
      <c r="E5622">
        <v>91.967002868652301</v>
      </c>
      <c r="F5622">
        <v>91.967002868652301</v>
      </c>
      <c r="G5622">
        <v>39426000</v>
      </c>
      <c r="H5622">
        <f t="shared" si="348"/>
        <v>2019</v>
      </c>
      <c r="I5622">
        <f t="shared" si="349"/>
        <v>9</v>
      </c>
      <c r="J5622" t="str">
        <f t="shared" si="350"/>
        <v>Sep</v>
      </c>
      <c r="K5622" t="str">
        <f t="shared" si="351"/>
        <v>Fri</v>
      </c>
    </row>
    <row r="5623" spans="1:11" x14ac:dyDescent="0.35">
      <c r="A5623" s="1">
        <v>43724</v>
      </c>
      <c r="B5623">
        <v>91.200996398925696</v>
      </c>
      <c r="C5623">
        <v>91.284500122070298</v>
      </c>
      <c r="D5623">
        <v>90.010002136230398</v>
      </c>
      <c r="E5623">
        <v>90.391998291015597</v>
      </c>
      <c r="F5623">
        <v>90.391998291015597</v>
      </c>
      <c r="G5623">
        <v>73510000</v>
      </c>
      <c r="H5623">
        <f t="shared" si="348"/>
        <v>2019</v>
      </c>
      <c r="I5623">
        <f t="shared" si="349"/>
        <v>9</v>
      </c>
      <c r="J5623" t="str">
        <f t="shared" si="350"/>
        <v>Sep</v>
      </c>
      <c r="K5623" t="str">
        <f t="shared" si="351"/>
        <v>Mon</v>
      </c>
    </row>
    <row r="5624" spans="1:11" x14ac:dyDescent="0.35">
      <c r="A5624" s="1">
        <v>43725</v>
      </c>
      <c r="B5624">
        <v>90.353996276855398</v>
      </c>
      <c r="C5624">
        <v>91.199501037597599</v>
      </c>
      <c r="D5624">
        <v>90.205001831054602</v>
      </c>
      <c r="E5624">
        <v>91.127502441406193</v>
      </c>
      <c r="F5624">
        <v>91.127502441406193</v>
      </c>
      <c r="G5624">
        <v>39648000</v>
      </c>
      <c r="H5624">
        <f t="shared" si="348"/>
        <v>2019</v>
      </c>
      <c r="I5624">
        <f t="shared" si="349"/>
        <v>9</v>
      </c>
      <c r="J5624" t="str">
        <f t="shared" si="350"/>
        <v>Sep</v>
      </c>
      <c r="K5624" t="str">
        <f t="shared" si="351"/>
        <v>Tue</v>
      </c>
    </row>
    <row r="5625" spans="1:11" x14ac:dyDescent="0.35">
      <c r="A5625" s="1">
        <v>43726</v>
      </c>
      <c r="B5625">
        <v>90.851997375488196</v>
      </c>
      <c r="C5625">
        <v>91.102996826171804</v>
      </c>
      <c r="D5625">
        <v>89.775001525878906</v>
      </c>
      <c r="E5625">
        <v>90.873001098632798</v>
      </c>
      <c r="F5625">
        <v>90.873001098632798</v>
      </c>
      <c r="G5625">
        <v>50112000</v>
      </c>
      <c r="H5625">
        <f t="shared" si="348"/>
        <v>2019</v>
      </c>
      <c r="I5625">
        <f t="shared" si="349"/>
        <v>9</v>
      </c>
      <c r="J5625" t="str">
        <f t="shared" si="350"/>
        <v>Sep</v>
      </c>
      <c r="K5625" t="str">
        <f t="shared" si="351"/>
        <v>Wed</v>
      </c>
    </row>
    <row r="5626" spans="1:11" x14ac:dyDescent="0.35">
      <c r="A5626" s="1">
        <v>43727</v>
      </c>
      <c r="B5626">
        <v>91.051002502441406</v>
      </c>
      <c r="C5626">
        <v>91.628501892089801</v>
      </c>
      <c r="D5626">
        <v>90.894996643066406</v>
      </c>
      <c r="E5626">
        <v>91.074996948242102</v>
      </c>
      <c r="F5626">
        <v>91.074996948242102</v>
      </c>
      <c r="G5626">
        <v>40630000</v>
      </c>
      <c r="H5626">
        <f t="shared" si="348"/>
        <v>2019</v>
      </c>
      <c r="I5626">
        <f t="shared" si="349"/>
        <v>9</v>
      </c>
      <c r="J5626" t="str">
        <f t="shared" si="350"/>
        <v>Sep</v>
      </c>
      <c r="K5626" t="str">
        <f t="shared" si="351"/>
        <v>Thu</v>
      </c>
    </row>
    <row r="5627" spans="1:11" x14ac:dyDescent="0.35">
      <c r="A5627" s="1">
        <v>43728</v>
      </c>
      <c r="B5627">
        <v>91.085502624511705</v>
      </c>
      <c r="C5627">
        <v>91.531501770019503</v>
      </c>
      <c r="D5627">
        <v>89.045997619628906</v>
      </c>
      <c r="E5627">
        <v>89.708000183105398</v>
      </c>
      <c r="F5627">
        <v>89.708000183105398</v>
      </c>
      <c r="G5627">
        <v>106838000</v>
      </c>
      <c r="H5627">
        <f t="shared" si="348"/>
        <v>2019</v>
      </c>
      <c r="I5627">
        <f t="shared" si="349"/>
        <v>9</v>
      </c>
      <c r="J5627" t="str">
        <f t="shared" si="350"/>
        <v>Sep</v>
      </c>
      <c r="K5627" t="str">
        <f t="shared" si="351"/>
        <v>Fri</v>
      </c>
    </row>
    <row r="5628" spans="1:11" x14ac:dyDescent="0.35">
      <c r="A5628" s="1">
        <v>43731</v>
      </c>
      <c r="B5628">
        <v>88.849998474121094</v>
      </c>
      <c r="C5628">
        <v>89.635002136230398</v>
      </c>
      <c r="D5628">
        <v>88.365997314453097</v>
      </c>
      <c r="E5628">
        <v>89.264999389648395</v>
      </c>
      <c r="F5628">
        <v>89.264999389648395</v>
      </c>
      <c r="G5628">
        <v>58446000</v>
      </c>
      <c r="H5628">
        <f t="shared" si="348"/>
        <v>2019</v>
      </c>
      <c r="I5628">
        <f t="shared" si="349"/>
        <v>9</v>
      </c>
      <c r="J5628" t="str">
        <f t="shared" si="350"/>
        <v>Sep</v>
      </c>
      <c r="K5628" t="str">
        <f t="shared" si="351"/>
        <v>Mon</v>
      </c>
    </row>
    <row r="5629" spans="1:11" x14ac:dyDescent="0.35">
      <c r="A5629" s="1">
        <v>43732</v>
      </c>
      <c r="B5629">
        <v>89.530502319335895</v>
      </c>
      <c r="C5629">
        <v>89.785499572753906</v>
      </c>
      <c r="D5629">
        <v>86.777496337890597</v>
      </c>
      <c r="E5629">
        <v>87.080497741699205</v>
      </c>
      <c r="F5629">
        <v>87.080497741699205</v>
      </c>
      <c r="G5629">
        <v>92320000</v>
      </c>
      <c r="H5629">
        <f t="shared" si="348"/>
        <v>2019</v>
      </c>
      <c r="I5629">
        <f t="shared" si="349"/>
        <v>9</v>
      </c>
      <c r="J5629" t="str">
        <f t="shared" si="350"/>
        <v>Sep</v>
      </c>
      <c r="K5629" t="str">
        <f t="shared" si="351"/>
        <v>Tue</v>
      </c>
    </row>
    <row r="5630" spans="1:11" x14ac:dyDescent="0.35">
      <c r="A5630" s="1">
        <v>43733</v>
      </c>
      <c r="B5630">
        <v>87.367996215820298</v>
      </c>
      <c r="C5630">
        <v>88.650001525878906</v>
      </c>
      <c r="D5630">
        <v>86.150001525878906</v>
      </c>
      <c r="E5630">
        <v>88.416496276855398</v>
      </c>
      <c r="F5630">
        <v>88.416496276855398</v>
      </c>
      <c r="G5630">
        <v>69864000</v>
      </c>
      <c r="H5630">
        <f t="shared" si="348"/>
        <v>2019</v>
      </c>
      <c r="I5630">
        <f t="shared" si="349"/>
        <v>9</v>
      </c>
      <c r="J5630" t="str">
        <f t="shared" si="350"/>
        <v>Sep</v>
      </c>
      <c r="K5630" t="str">
        <f t="shared" si="351"/>
        <v>Wed</v>
      </c>
    </row>
    <row r="5631" spans="1:11" x14ac:dyDescent="0.35">
      <c r="A5631" s="1">
        <v>43734</v>
      </c>
      <c r="B5631">
        <v>88.139503479003906</v>
      </c>
      <c r="C5631">
        <v>88.168502807617102</v>
      </c>
      <c r="D5631">
        <v>86.574996948242102</v>
      </c>
      <c r="E5631">
        <v>86.991996765136705</v>
      </c>
      <c r="F5631">
        <v>86.991996765136705</v>
      </c>
      <c r="G5631">
        <v>70736000</v>
      </c>
      <c r="H5631">
        <f t="shared" si="348"/>
        <v>2019</v>
      </c>
      <c r="I5631">
        <f t="shared" si="349"/>
        <v>9</v>
      </c>
      <c r="J5631" t="str">
        <f t="shared" si="350"/>
        <v>Sep</v>
      </c>
      <c r="K5631" t="str">
        <f t="shared" si="351"/>
        <v>Thu</v>
      </c>
    </row>
    <row r="5632" spans="1:11" x14ac:dyDescent="0.35">
      <c r="A5632" s="1">
        <v>43735</v>
      </c>
      <c r="B5632">
        <v>87.400001525878906</v>
      </c>
      <c r="C5632">
        <v>87.456001281738196</v>
      </c>
      <c r="D5632">
        <v>85.691001892089801</v>
      </c>
      <c r="E5632">
        <v>86.272499084472599</v>
      </c>
      <c r="F5632">
        <v>86.272499084472599</v>
      </c>
      <c r="G5632">
        <v>78144000</v>
      </c>
      <c r="H5632">
        <f t="shared" si="348"/>
        <v>2019</v>
      </c>
      <c r="I5632">
        <f t="shared" si="349"/>
        <v>9</v>
      </c>
      <c r="J5632" t="str">
        <f t="shared" si="350"/>
        <v>Sep</v>
      </c>
      <c r="K5632" t="str">
        <f t="shared" si="351"/>
        <v>Fri</v>
      </c>
    </row>
    <row r="5633" spans="1:11" x14ac:dyDescent="0.35">
      <c r="A5633" s="1">
        <v>43738</v>
      </c>
      <c r="B5633">
        <v>86.349502563476506</v>
      </c>
      <c r="C5633">
        <v>86.873001098632798</v>
      </c>
      <c r="D5633">
        <v>85.460998535156193</v>
      </c>
      <c r="E5633">
        <v>86.795501708984304</v>
      </c>
      <c r="F5633">
        <v>86.795501708984304</v>
      </c>
      <c r="G5633">
        <v>52894000</v>
      </c>
      <c r="H5633">
        <f t="shared" si="348"/>
        <v>2019</v>
      </c>
      <c r="I5633">
        <f t="shared" si="349"/>
        <v>9</v>
      </c>
      <c r="J5633" t="str">
        <f t="shared" si="350"/>
        <v>Sep</v>
      </c>
      <c r="K5633" t="str">
        <f t="shared" si="351"/>
        <v>Mon</v>
      </c>
    </row>
    <row r="5634" spans="1:11" x14ac:dyDescent="0.35">
      <c r="A5634" s="1">
        <v>43739</v>
      </c>
      <c r="B5634">
        <v>87.300003051757798</v>
      </c>
      <c r="C5634">
        <v>87.779998779296804</v>
      </c>
      <c r="D5634">
        <v>86.420501708984304</v>
      </c>
      <c r="E5634">
        <v>86.782501220703097</v>
      </c>
      <c r="F5634">
        <v>86.782501220703097</v>
      </c>
      <c r="G5634">
        <v>61690000</v>
      </c>
      <c r="H5634">
        <f t="shared" si="348"/>
        <v>2019</v>
      </c>
      <c r="I5634">
        <f t="shared" si="349"/>
        <v>10</v>
      </c>
      <c r="J5634" t="str">
        <f t="shared" si="350"/>
        <v>Oct</v>
      </c>
      <c r="K5634" t="str">
        <f t="shared" si="351"/>
        <v>Tue</v>
      </c>
    </row>
    <row r="5635" spans="1:11" x14ac:dyDescent="0.35">
      <c r="A5635" s="1">
        <v>43740</v>
      </c>
      <c r="B5635">
        <v>86.387001037597599</v>
      </c>
      <c r="C5635">
        <v>86.444503784179602</v>
      </c>
      <c r="D5635">
        <v>85.25</v>
      </c>
      <c r="E5635">
        <v>85.6614990234375</v>
      </c>
      <c r="F5635">
        <v>85.6614990234375</v>
      </c>
      <c r="G5635">
        <v>66022000</v>
      </c>
      <c r="H5635">
        <f t="shared" si="348"/>
        <v>2019</v>
      </c>
      <c r="I5635">
        <f t="shared" si="349"/>
        <v>10</v>
      </c>
      <c r="J5635" t="str">
        <f t="shared" si="350"/>
        <v>Oct</v>
      </c>
      <c r="K5635" t="str">
        <f t="shared" si="351"/>
        <v>Wed</v>
      </c>
    </row>
    <row r="5636" spans="1:11" x14ac:dyDescent="0.35">
      <c r="A5636" s="1">
        <v>43741</v>
      </c>
      <c r="B5636">
        <v>85.650001525878906</v>
      </c>
      <c r="C5636">
        <v>86.25</v>
      </c>
      <c r="D5636">
        <v>84.252998352050696</v>
      </c>
      <c r="E5636">
        <v>86.221000671386705</v>
      </c>
      <c r="F5636">
        <v>86.221000671386705</v>
      </c>
      <c r="G5636">
        <v>69364000</v>
      </c>
      <c r="H5636">
        <f t="shared" ref="H5636:H5699" si="352">YEAR($A5636)</f>
        <v>2019</v>
      </c>
      <c r="I5636">
        <f t="shared" ref="I5636:I5699" si="353">MONTH($A5636)</f>
        <v>10</v>
      </c>
      <c r="J5636" t="str">
        <f t="shared" ref="J5636:J5699" si="354">TEXT($A5636,"mmm")</f>
        <v>Oct</v>
      </c>
      <c r="K5636" t="str">
        <f t="shared" ref="K5636:K5699" si="355">TEXT($A5636,"ddd")</f>
        <v>Thu</v>
      </c>
    </row>
    <row r="5637" spans="1:11" x14ac:dyDescent="0.35">
      <c r="A5637" s="1">
        <v>43742</v>
      </c>
      <c r="B5637">
        <v>86.301002502441406</v>
      </c>
      <c r="C5637">
        <v>87.028999328613196</v>
      </c>
      <c r="D5637">
        <v>85.961502075195298</v>
      </c>
      <c r="E5637">
        <v>86.982498168945298</v>
      </c>
      <c r="F5637">
        <v>86.982498168945298</v>
      </c>
      <c r="G5637">
        <v>49438000</v>
      </c>
      <c r="H5637">
        <f t="shared" si="352"/>
        <v>2019</v>
      </c>
      <c r="I5637">
        <f t="shared" si="353"/>
        <v>10</v>
      </c>
      <c r="J5637" t="str">
        <f t="shared" si="354"/>
        <v>Oct</v>
      </c>
      <c r="K5637" t="str">
        <f t="shared" si="355"/>
        <v>Fri</v>
      </c>
    </row>
    <row r="5638" spans="1:11" x14ac:dyDescent="0.35">
      <c r="A5638" s="1">
        <v>43745</v>
      </c>
      <c r="B5638">
        <v>86.581497192382798</v>
      </c>
      <c r="C5638">
        <v>87.391502380371094</v>
      </c>
      <c r="D5638">
        <v>86.184997558593693</v>
      </c>
      <c r="E5638">
        <v>86.633003234863196</v>
      </c>
      <c r="F5638">
        <v>86.633003234863196</v>
      </c>
      <c r="G5638">
        <v>43094000</v>
      </c>
      <c r="H5638">
        <f t="shared" si="352"/>
        <v>2019</v>
      </c>
      <c r="I5638">
        <f t="shared" si="353"/>
        <v>10</v>
      </c>
      <c r="J5638" t="str">
        <f t="shared" si="354"/>
        <v>Oct</v>
      </c>
      <c r="K5638" t="str">
        <f t="shared" si="355"/>
        <v>Mon</v>
      </c>
    </row>
    <row r="5639" spans="1:11" x14ac:dyDescent="0.35">
      <c r="A5639" s="1">
        <v>43746</v>
      </c>
      <c r="B5639">
        <v>86.124496459960895</v>
      </c>
      <c r="C5639">
        <v>86.349998474121094</v>
      </c>
      <c r="D5639">
        <v>85.25</v>
      </c>
      <c r="E5639">
        <v>85.275497436523395</v>
      </c>
      <c r="F5639">
        <v>85.275497436523395</v>
      </c>
      <c r="G5639">
        <v>50840000</v>
      </c>
      <c r="H5639">
        <f t="shared" si="352"/>
        <v>2019</v>
      </c>
      <c r="I5639">
        <f t="shared" si="353"/>
        <v>10</v>
      </c>
      <c r="J5639" t="str">
        <f t="shared" si="354"/>
        <v>Oct</v>
      </c>
      <c r="K5639" t="str">
        <f t="shared" si="355"/>
        <v>Tue</v>
      </c>
    </row>
    <row r="5640" spans="1:11" x14ac:dyDescent="0.35">
      <c r="A5640" s="1">
        <v>43747</v>
      </c>
      <c r="B5640">
        <v>85.980499267578097</v>
      </c>
      <c r="C5640">
        <v>86.497497558593693</v>
      </c>
      <c r="D5640">
        <v>85.718002319335895</v>
      </c>
      <c r="E5640">
        <v>86.099502563476506</v>
      </c>
      <c r="F5640">
        <v>86.099502563476506</v>
      </c>
      <c r="G5640">
        <v>40870000</v>
      </c>
      <c r="H5640">
        <f t="shared" si="352"/>
        <v>2019</v>
      </c>
      <c r="I5640">
        <f t="shared" si="353"/>
        <v>10</v>
      </c>
      <c r="J5640" t="str">
        <f t="shared" si="354"/>
        <v>Oct</v>
      </c>
      <c r="K5640" t="str">
        <f t="shared" si="355"/>
        <v>Wed</v>
      </c>
    </row>
    <row r="5641" spans="1:11" x14ac:dyDescent="0.35">
      <c r="A5641" s="1">
        <v>43748</v>
      </c>
      <c r="B5641">
        <v>86.262001037597599</v>
      </c>
      <c r="C5641">
        <v>86.914497375488196</v>
      </c>
      <c r="D5641">
        <v>85.6875</v>
      </c>
      <c r="E5641">
        <v>86.013000488281193</v>
      </c>
      <c r="F5641">
        <v>86.013000488281193</v>
      </c>
      <c r="G5641">
        <v>51504000</v>
      </c>
      <c r="H5641">
        <f t="shared" si="352"/>
        <v>2019</v>
      </c>
      <c r="I5641">
        <f t="shared" si="353"/>
        <v>10</v>
      </c>
      <c r="J5641" t="str">
        <f t="shared" si="354"/>
        <v>Oct</v>
      </c>
      <c r="K5641" t="str">
        <f t="shared" si="355"/>
        <v>Thu</v>
      </c>
    </row>
    <row r="5642" spans="1:11" x14ac:dyDescent="0.35">
      <c r="A5642" s="1">
        <v>43749</v>
      </c>
      <c r="B5642">
        <v>87.146003723144503</v>
      </c>
      <c r="C5642">
        <v>87.272499084472599</v>
      </c>
      <c r="D5642">
        <v>86.492996215820298</v>
      </c>
      <c r="E5642">
        <v>86.596000671386705</v>
      </c>
      <c r="F5642">
        <v>86.596000671386705</v>
      </c>
      <c r="G5642">
        <v>65100000</v>
      </c>
      <c r="H5642">
        <f t="shared" si="352"/>
        <v>2019</v>
      </c>
      <c r="I5642">
        <f t="shared" si="353"/>
        <v>10</v>
      </c>
      <c r="J5642" t="str">
        <f t="shared" si="354"/>
        <v>Oct</v>
      </c>
      <c r="K5642" t="str">
        <f t="shared" si="355"/>
        <v>Fri</v>
      </c>
    </row>
    <row r="5643" spans="1:11" x14ac:dyDescent="0.35">
      <c r="A5643" s="1">
        <v>43752</v>
      </c>
      <c r="B5643">
        <v>86.445503234863196</v>
      </c>
      <c r="C5643">
        <v>87.094497680664006</v>
      </c>
      <c r="D5643">
        <v>86.099998474121094</v>
      </c>
      <c r="E5643">
        <v>86.821502685546804</v>
      </c>
      <c r="F5643">
        <v>86.821502685546804</v>
      </c>
      <c r="G5643">
        <v>38204000</v>
      </c>
      <c r="H5643">
        <f t="shared" si="352"/>
        <v>2019</v>
      </c>
      <c r="I5643">
        <f t="shared" si="353"/>
        <v>10</v>
      </c>
      <c r="J5643" t="str">
        <f t="shared" si="354"/>
        <v>Oct</v>
      </c>
      <c r="K5643" t="str">
        <f t="shared" si="355"/>
        <v>Mon</v>
      </c>
    </row>
    <row r="5644" spans="1:11" x14ac:dyDescent="0.35">
      <c r="A5644" s="1">
        <v>43753</v>
      </c>
      <c r="B5644">
        <v>87.107002258300696</v>
      </c>
      <c r="C5644">
        <v>88.822502136230398</v>
      </c>
      <c r="D5644">
        <v>87.030998229980398</v>
      </c>
      <c r="E5644">
        <v>88.369003295898395</v>
      </c>
      <c r="F5644">
        <v>88.369003295898395</v>
      </c>
      <c r="G5644">
        <v>62234000</v>
      </c>
      <c r="H5644">
        <f t="shared" si="352"/>
        <v>2019</v>
      </c>
      <c r="I5644">
        <f t="shared" si="353"/>
        <v>10</v>
      </c>
      <c r="J5644" t="str">
        <f t="shared" si="354"/>
        <v>Oct</v>
      </c>
      <c r="K5644" t="str">
        <f t="shared" si="355"/>
        <v>Tue</v>
      </c>
    </row>
    <row r="5645" spans="1:11" x14ac:dyDescent="0.35">
      <c r="A5645" s="1">
        <v>43754</v>
      </c>
      <c r="B5645">
        <v>88.666496276855398</v>
      </c>
      <c r="C5645">
        <v>89.311996459960895</v>
      </c>
      <c r="D5645">
        <v>88.5260009765625</v>
      </c>
      <c r="E5645">
        <v>88.871498107910099</v>
      </c>
      <c r="F5645">
        <v>88.871498107910099</v>
      </c>
      <c r="G5645">
        <v>55268000</v>
      </c>
      <c r="H5645">
        <f t="shared" si="352"/>
        <v>2019</v>
      </c>
      <c r="I5645">
        <f t="shared" si="353"/>
        <v>10</v>
      </c>
      <c r="J5645" t="str">
        <f t="shared" si="354"/>
        <v>Oct</v>
      </c>
      <c r="K5645" t="str">
        <f t="shared" si="355"/>
        <v>Wed</v>
      </c>
    </row>
    <row r="5646" spans="1:11" x14ac:dyDescent="0.35">
      <c r="A5646" s="1">
        <v>43755</v>
      </c>
      <c r="B5646">
        <v>89.824501037597599</v>
      </c>
      <c r="C5646">
        <v>89.942497253417898</v>
      </c>
      <c r="D5646">
        <v>89.100997924804602</v>
      </c>
      <c r="E5646">
        <v>89.374000549316406</v>
      </c>
      <c r="F5646">
        <v>89.374000549316406</v>
      </c>
      <c r="G5646">
        <v>52948000</v>
      </c>
      <c r="H5646">
        <f t="shared" si="352"/>
        <v>2019</v>
      </c>
      <c r="I5646">
        <f t="shared" si="353"/>
        <v>10</v>
      </c>
      <c r="J5646" t="str">
        <f t="shared" si="354"/>
        <v>Oct</v>
      </c>
      <c r="K5646" t="str">
        <f t="shared" si="355"/>
        <v>Thu</v>
      </c>
    </row>
    <row r="5647" spans="1:11" x14ac:dyDescent="0.35">
      <c r="A5647" s="1">
        <v>43756</v>
      </c>
      <c r="B5647">
        <v>89.389999389648395</v>
      </c>
      <c r="C5647">
        <v>89.698997497558594</v>
      </c>
      <c r="D5647">
        <v>87.459999084472599</v>
      </c>
      <c r="E5647">
        <v>87.875503540039006</v>
      </c>
      <c r="F5647">
        <v>87.875503540039006</v>
      </c>
      <c r="G5647">
        <v>67250000</v>
      </c>
      <c r="H5647">
        <f t="shared" si="352"/>
        <v>2019</v>
      </c>
      <c r="I5647">
        <f t="shared" si="353"/>
        <v>10</v>
      </c>
      <c r="J5647" t="str">
        <f t="shared" si="354"/>
        <v>Oct</v>
      </c>
      <c r="K5647" t="str">
        <f t="shared" si="355"/>
        <v>Fri</v>
      </c>
    </row>
    <row r="5648" spans="1:11" x14ac:dyDescent="0.35">
      <c r="A5648" s="1">
        <v>43759</v>
      </c>
      <c r="B5648">
        <v>88.483001708984304</v>
      </c>
      <c r="C5648">
        <v>89.293998718261705</v>
      </c>
      <c r="D5648">
        <v>88.25</v>
      </c>
      <c r="E5648">
        <v>89.282997131347599</v>
      </c>
      <c r="F5648">
        <v>89.282997131347599</v>
      </c>
      <c r="G5648">
        <v>42608000</v>
      </c>
      <c r="H5648">
        <f t="shared" si="352"/>
        <v>2019</v>
      </c>
      <c r="I5648">
        <f t="shared" si="353"/>
        <v>10</v>
      </c>
      <c r="J5648" t="str">
        <f t="shared" si="354"/>
        <v>Oct</v>
      </c>
      <c r="K5648" t="str">
        <f t="shared" si="355"/>
        <v>Mon</v>
      </c>
    </row>
    <row r="5649" spans="1:11" x14ac:dyDescent="0.35">
      <c r="A5649" s="1">
        <v>43760</v>
      </c>
      <c r="B5649">
        <v>89.407501220703097</v>
      </c>
      <c r="C5649">
        <v>89.488998413085895</v>
      </c>
      <c r="D5649">
        <v>88.099998474121094</v>
      </c>
      <c r="E5649">
        <v>88.2864990234375</v>
      </c>
      <c r="F5649">
        <v>88.2864990234375</v>
      </c>
      <c r="G5649">
        <v>42234000</v>
      </c>
      <c r="H5649">
        <f t="shared" si="352"/>
        <v>2019</v>
      </c>
      <c r="I5649">
        <f t="shared" si="353"/>
        <v>10</v>
      </c>
      <c r="J5649" t="str">
        <f t="shared" si="354"/>
        <v>Oct</v>
      </c>
      <c r="K5649" t="str">
        <f t="shared" si="355"/>
        <v>Tue</v>
      </c>
    </row>
    <row r="5650" spans="1:11" x14ac:dyDescent="0.35">
      <c r="A5650" s="1">
        <v>43761</v>
      </c>
      <c r="B5650">
        <v>88.065002441406193</v>
      </c>
      <c r="C5650">
        <v>88.502502441406193</v>
      </c>
      <c r="D5650">
        <v>87.099998474121094</v>
      </c>
      <c r="E5650">
        <v>88.108497619628906</v>
      </c>
      <c r="F5650">
        <v>88.108497619628906</v>
      </c>
      <c r="G5650">
        <v>42764000</v>
      </c>
      <c r="H5650">
        <f t="shared" si="352"/>
        <v>2019</v>
      </c>
      <c r="I5650">
        <f t="shared" si="353"/>
        <v>10</v>
      </c>
      <c r="J5650" t="str">
        <f t="shared" si="354"/>
        <v>Oct</v>
      </c>
      <c r="K5650" t="str">
        <f t="shared" si="355"/>
        <v>Wed</v>
      </c>
    </row>
    <row r="5651" spans="1:11" x14ac:dyDescent="0.35">
      <c r="A5651" s="1">
        <v>43762</v>
      </c>
      <c r="B5651">
        <v>88.554496765136705</v>
      </c>
      <c r="C5651">
        <v>89.416999816894503</v>
      </c>
      <c r="D5651">
        <v>88.013496398925696</v>
      </c>
      <c r="E5651">
        <v>89.039001464843693</v>
      </c>
      <c r="F5651">
        <v>89.039001464843693</v>
      </c>
      <c r="G5651">
        <v>88922000</v>
      </c>
      <c r="H5651">
        <f t="shared" si="352"/>
        <v>2019</v>
      </c>
      <c r="I5651">
        <f t="shared" si="353"/>
        <v>10</v>
      </c>
      <c r="J5651" t="str">
        <f t="shared" si="354"/>
        <v>Oct</v>
      </c>
      <c r="K5651" t="str">
        <f t="shared" si="355"/>
        <v>Thu</v>
      </c>
    </row>
    <row r="5652" spans="1:11" x14ac:dyDescent="0.35">
      <c r="A5652" s="1">
        <v>43763</v>
      </c>
      <c r="B5652">
        <v>84.877502441406193</v>
      </c>
      <c r="C5652">
        <v>88.210502624511705</v>
      </c>
      <c r="D5652">
        <v>84.75</v>
      </c>
      <c r="E5652">
        <v>88.066497802734304</v>
      </c>
      <c r="F5652">
        <v>88.066497802734304</v>
      </c>
      <c r="G5652">
        <v>192528000</v>
      </c>
      <c r="H5652">
        <f t="shared" si="352"/>
        <v>2019</v>
      </c>
      <c r="I5652">
        <f t="shared" si="353"/>
        <v>10</v>
      </c>
      <c r="J5652" t="str">
        <f t="shared" si="354"/>
        <v>Oct</v>
      </c>
      <c r="K5652" t="str">
        <f t="shared" si="355"/>
        <v>Fri</v>
      </c>
    </row>
    <row r="5653" spans="1:11" x14ac:dyDescent="0.35">
      <c r="A5653" s="1">
        <v>43766</v>
      </c>
      <c r="B5653">
        <v>87.402999877929602</v>
      </c>
      <c r="C5653">
        <v>88.934997558593693</v>
      </c>
      <c r="D5653">
        <v>87.125</v>
      </c>
      <c r="E5653">
        <v>88.853996276855398</v>
      </c>
      <c r="F5653">
        <v>88.853996276855398</v>
      </c>
      <c r="G5653">
        <v>74178000</v>
      </c>
      <c r="H5653">
        <f t="shared" si="352"/>
        <v>2019</v>
      </c>
      <c r="I5653">
        <f t="shared" si="353"/>
        <v>10</v>
      </c>
      <c r="J5653" t="str">
        <f t="shared" si="354"/>
        <v>Oct</v>
      </c>
      <c r="K5653" t="str">
        <f t="shared" si="355"/>
        <v>Mon</v>
      </c>
    </row>
    <row r="5654" spans="1:11" x14ac:dyDescent="0.35">
      <c r="A5654" s="1">
        <v>43767</v>
      </c>
      <c r="B5654">
        <v>88.740501403808594</v>
      </c>
      <c r="C5654">
        <v>88.849998474121094</v>
      </c>
      <c r="D5654">
        <v>87.790496826171804</v>
      </c>
      <c r="E5654">
        <v>88.135498046875</v>
      </c>
      <c r="F5654">
        <v>88.135498046875</v>
      </c>
      <c r="G5654">
        <v>45538000</v>
      </c>
      <c r="H5654">
        <f t="shared" si="352"/>
        <v>2019</v>
      </c>
      <c r="I5654">
        <f t="shared" si="353"/>
        <v>10</v>
      </c>
      <c r="J5654" t="str">
        <f t="shared" si="354"/>
        <v>Oct</v>
      </c>
      <c r="K5654" t="str">
        <f t="shared" si="355"/>
        <v>Tue</v>
      </c>
    </row>
    <row r="5655" spans="1:11" x14ac:dyDescent="0.35">
      <c r="A5655" s="1">
        <v>43768</v>
      </c>
      <c r="B5655">
        <v>88.012001037597599</v>
      </c>
      <c r="C5655">
        <v>89.119003295898395</v>
      </c>
      <c r="D5655">
        <v>87.956001281738196</v>
      </c>
      <c r="E5655">
        <v>88.999496459960895</v>
      </c>
      <c r="F5655">
        <v>88.999496459960895</v>
      </c>
      <c r="G5655">
        <v>48988000</v>
      </c>
      <c r="H5655">
        <f t="shared" si="352"/>
        <v>2019</v>
      </c>
      <c r="I5655">
        <f t="shared" si="353"/>
        <v>10</v>
      </c>
      <c r="J5655" t="str">
        <f t="shared" si="354"/>
        <v>Oct</v>
      </c>
      <c r="K5655" t="str">
        <f t="shared" si="355"/>
        <v>Wed</v>
      </c>
    </row>
    <row r="5656" spans="1:11" x14ac:dyDescent="0.35">
      <c r="A5656" s="1">
        <v>43769</v>
      </c>
      <c r="B5656">
        <v>88.799499511718693</v>
      </c>
      <c r="C5656">
        <v>89.599998474121094</v>
      </c>
      <c r="D5656">
        <v>88.573997497558594</v>
      </c>
      <c r="E5656">
        <v>88.833000183105398</v>
      </c>
      <c r="F5656">
        <v>88.833000183105398</v>
      </c>
      <c r="G5656">
        <v>55624000</v>
      </c>
      <c r="H5656">
        <f t="shared" si="352"/>
        <v>2019</v>
      </c>
      <c r="I5656">
        <f t="shared" si="353"/>
        <v>10</v>
      </c>
      <c r="J5656" t="str">
        <f t="shared" si="354"/>
        <v>Oct</v>
      </c>
      <c r="K5656" t="str">
        <f t="shared" si="355"/>
        <v>Thu</v>
      </c>
    </row>
    <row r="5657" spans="1:11" x14ac:dyDescent="0.35">
      <c r="A5657" s="1">
        <v>43770</v>
      </c>
      <c r="B5657">
        <v>89.400497436523395</v>
      </c>
      <c r="C5657">
        <v>89.872497558593693</v>
      </c>
      <c r="D5657">
        <v>89.260498046875</v>
      </c>
      <c r="E5657">
        <v>89.571998596191406</v>
      </c>
      <c r="F5657">
        <v>89.571998596191406</v>
      </c>
      <c r="G5657">
        <v>55808000</v>
      </c>
      <c r="H5657">
        <f t="shared" si="352"/>
        <v>2019</v>
      </c>
      <c r="I5657">
        <f t="shared" si="353"/>
        <v>11</v>
      </c>
      <c r="J5657" t="str">
        <f t="shared" si="354"/>
        <v>Nov</v>
      </c>
      <c r="K5657" t="str">
        <f t="shared" si="355"/>
        <v>Fri</v>
      </c>
    </row>
    <row r="5658" spans="1:11" x14ac:dyDescent="0.35">
      <c r="A5658" s="1">
        <v>43773</v>
      </c>
      <c r="B5658">
        <v>90.050498962402301</v>
      </c>
      <c r="C5658">
        <v>90.752998352050696</v>
      </c>
      <c r="D5658">
        <v>90.050498962402301</v>
      </c>
      <c r="E5658">
        <v>90.233001708984304</v>
      </c>
      <c r="F5658">
        <v>90.233001708984304</v>
      </c>
      <c r="G5658">
        <v>55438000</v>
      </c>
      <c r="H5658">
        <f t="shared" si="352"/>
        <v>2019</v>
      </c>
      <c r="I5658">
        <f t="shared" si="353"/>
        <v>11</v>
      </c>
      <c r="J5658" t="str">
        <f t="shared" si="354"/>
        <v>Nov</v>
      </c>
      <c r="K5658" t="str">
        <f t="shared" si="355"/>
        <v>Mon</v>
      </c>
    </row>
    <row r="5659" spans="1:11" x14ac:dyDescent="0.35">
      <c r="A5659" s="1">
        <v>43774</v>
      </c>
      <c r="B5659">
        <v>90.458000183105398</v>
      </c>
      <c r="C5659">
        <v>90.512496948242102</v>
      </c>
      <c r="D5659">
        <v>89.699996948242102</v>
      </c>
      <c r="E5659">
        <v>90.085502624511705</v>
      </c>
      <c r="F5659">
        <v>90.085502624511705</v>
      </c>
      <c r="G5659">
        <v>37710000</v>
      </c>
      <c r="H5659">
        <f t="shared" si="352"/>
        <v>2019</v>
      </c>
      <c r="I5659">
        <f t="shared" si="353"/>
        <v>11</v>
      </c>
      <c r="J5659" t="str">
        <f t="shared" si="354"/>
        <v>Nov</v>
      </c>
      <c r="K5659" t="str">
        <f t="shared" si="355"/>
        <v>Tue</v>
      </c>
    </row>
    <row r="5660" spans="1:11" x14ac:dyDescent="0.35">
      <c r="A5660" s="1">
        <v>43775</v>
      </c>
      <c r="B5660">
        <v>90.050003051757798</v>
      </c>
      <c r="C5660">
        <v>90.125</v>
      </c>
      <c r="D5660">
        <v>89.429000854492102</v>
      </c>
      <c r="E5660">
        <v>89.788497924804602</v>
      </c>
      <c r="F5660">
        <v>89.788497924804602</v>
      </c>
      <c r="G5660">
        <v>40596000</v>
      </c>
      <c r="H5660">
        <f t="shared" si="352"/>
        <v>2019</v>
      </c>
      <c r="I5660">
        <f t="shared" si="353"/>
        <v>11</v>
      </c>
      <c r="J5660" t="str">
        <f t="shared" si="354"/>
        <v>Nov</v>
      </c>
      <c r="K5660" t="str">
        <f t="shared" si="355"/>
        <v>Wed</v>
      </c>
    </row>
    <row r="5661" spans="1:11" x14ac:dyDescent="0.35">
      <c r="A5661" s="1">
        <v>43776</v>
      </c>
      <c r="B5661">
        <v>90.188003540039006</v>
      </c>
      <c r="C5661">
        <v>90.294998168945298</v>
      </c>
      <c r="D5661">
        <v>89.174003601074205</v>
      </c>
      <c r="E5661">
        <v>89.410003662109304</v>
      </c>
      <c r="F5661">
        <v>89.410003662109304</v>
      </c>
      <c r="G5661">
        <v>53022000</v>
      </c>
      <c r="H5661">
        <f t="shared" si="352"/>
        <v>2019</v>
      </c>
      <c r="I5661">
        <f t="shared" si="353"/>
        <v>11</v>
      </c>
      <c r="J5661" t="str">
        <f t="shared" si="354"/>
        <v>Nov</v>
      </c>
      <c r="K5661" t="str">
        <f t="shared" si="355"/>
        <v>Thu</v>
      </c>
    </row>
    <row r="5662" spans="1:11" x14ac:dyDescent="0.35">
      <c r="A5662" s="1">
        <v>43777</v>
      </c>
      <c r="B5662">
        <v>89.394500732421804</v>
      </c>
      <c r="C5662">
        <v>89.494003295898395</v>
      </c>
      <c r="D5662">
        <v>88.702003479003906</v>
      </c>
      <c r="E5662">
        <v>89.293998718261705</v>
      </c>
      <c r="F5662">
        <v>89.293998718261705</v>
      </c>
      <c r="G5662">
        <v>42466000</v>
      </c>
      <c r="H5662">
        <f t="shared" si="352"/>
        <v>2019</v>
      </c>
      <c r="I5662">
        <f t="shared" si="353"/>
        <v>11</v>
      </c>
      <c r="J5662" t="str">
        <f t="shared" si="354"/>
        <v>Nov</v>
      </c>
      <c r="K5662" t="str">
        <f t="shared" si="355"/>
        <v>Fri</v>
      </c>
    </row>
    <row r="5663" spans="1:11" x14ac:dyDescent="0.35">
      <c r="A5663" s="1">
        <v>43780</v>
      </c>
      <c r="B5663">
        <v>88.900001525878906</v>
      </c>
      <c r="C5663">
        <v>89</v>
      </c>
      <c r="D5663">
        <v>88.356498718261705</v>
      </c>
      <c r="E5663">
        <v>88.582496643066406</v>
      </c>
      <c r="F5663">
        <v>88.582496643066406</v>
      </c>
      <c r="G5663">
        <v>38920000</v>
      </c>
      <c r="H5663">
        <f t="shared" si="352"/>
        <v>2019</v>
      </c>
      <c r="I5663">
        <f t="shared" si="353"/>
        <v>11</v>
      </c>
      <c r="J5663" t="str">
        <f t="shared" si="354"/>
        <v>Nov</v>
      </c>
      <c r="K5663" t="str">
        <f t="shared" si="355"/>
        <v>Mon</v>
      </c>
    </row>
    <row r="5664" spans="1:11" x14ac:dyDescent="0.35">
      <c r="A5664" s="1">
        <v>43781</v>
      </c>
      <c r="B5664">
        <v>88.733001708984304</v>
      </c>
      <c r="C5664">
        <v>89.310997009277301</v>
      </c>
      <c r="D5664">
        <v>88.595497131347599</v>
      </c>
      <c r="E5664">
        <v>88.900001525878906</v>
      </c>
      <c r="F5664">
        <v>88.900001525878906</v>
      </c>
      <c r="G5664">
        <v>40752000</v>
      </c>
      <c r="H5664">
        <f t="shared" si="352"/>
        <v>2019</v>
      </c>
      <c r="I5664">
        <f t="shared" si="353"/>
        <v>11</v>
      </c>
      <c r="J5664" t="str">
        <f t="shared" si="354"/>
        <v>Nov</v>
      </c>
      <c r="K5664" t="str">
        <f t="shared" si="355"/>
        <v>Tue</v>
      </c>
    </row>
    <row r="5665" spans="1:11" x14ac:dyDescent="0.35">
      <c r="A5665" s="1">
        <v>43782</v>
      </c>
      <c r="B5665">
        <v>88.669502258300696</v>
      </c>
      <c r="C5665">
        <v>88.75</v>
      </c>
      <c r="D5665">
        <v>87.365997314453097</v>
      </c>
      <c r="E5665">
        <v>87.655502319335895</v>
      </c>
      <c r="F5665">
        <v>87.655502319335895</v>
      </c>
      <c r="G5665">
        <v>59790000</v>
      </c>
      <c r="H5665">
        <f t="shared" si="352"/>
        <v>2019</v>
      </c>
      <c r="I5665">
        <f t="shared" si="353"/>
        <v>11</v>
      </c>
      <c r="J5665" t="str">
        <f t="shared" si="354"/>
        <v>Nov</v>
      </c>
      <c r="K5665" t="str">
        <f t="shared" si="355"/>
        <v>Wed</v>
      </c>
    </row>
    <row r="5666" spans="1:11" x14ac:dyDescent="0.35">
      <c r="A5666" s="1">
        <v>43783</v>
      </c>
      <c r="B5666">
        <v>87.571502685546804</v>
      </c>
      <c r="C5666">
        <v>88.329498291015597</v>
      </c>
      <c r="D5666">
        <v>87.477996826171804</v>
      </c>
      <c r="E5666">
        <v>87.730003356933594</v>
      </c>
      <c r="F5666">
        <v>87.730003356933594</v>
      </c>
      <c r="G5666">
        <v>45296000</v>
      </c>
      <c r="H5666">
        <f t="shared" si="352"/>
        <v>2019</v>
      </c>
      <c r="I5666">
        <f t="shared" si="353"/>
        <v>11</v>
      </c>
      <c r="J5666" t="str">
        <f t="shared" si="354"/>
        <v>Nov</v>
      </c>
      <c r="K5666" t="str">
        <f t="shared" si="355"/>
        <v>Thu</v>
      </c>
    </row>
    <row r="5667" spans="1:11" x14ac:dyDescent="0.35">
      <c r="A5667" s="1">
        <v>43784</v>
      </c>
      <c r="B5667">
        <v>88.002502441406193</v>
      </c>
      <c r="C5667">
        <v>88.083999633789006</v>
      </c>
      <c r="D5667">
        <v>86.642997741699205</v>
      </c>
      <c r="E5667">
        <v>86.974502563476506</v>
      </c>
      <c r="F5667">
        <v>86.974502563476506</v>
      </c>
      <c r="G5667">
        <v>78552000</v>
      </c>
      <c r="H5667">
        <f t="shared" si="352"/>
        <v>2019</v>
      </c>
      <c r="I5667">
        <f t="shared" si="353"/>
        <v>11</v>
      </c>
      <c r="J5667" t="str">
        <f t="shared" si="354"/>
        <v>Nov</v>
      </c>
      <c r="K5667" t="str">
        <f t="shared" si="355"/>
        <v>Fri</v>
      </c>
    </row>
    <row r="5668" spans="1:11" x14ac:dyDescent="0.35">
      <c r="A5668" s="1">
        <v>43787</v>
      </c>
      <c r="B5668">
        <v>86.915000915527301</v>
      </c>
      <c r="C5668">
        <v>87.684997558593693</v>
      </c>
      <c r="D5668">
        <v>86.135498046875</v>
      </c>
      <c r="E5668">
        <v>87.626502990722599</v>
      </c>
      <c r="F5668">
        <v>87.626502990722599</v>
      </c>
      <c r="G5668">
        <v>56790000</v>
      </c>
      <c r="H5668">
        <f t="shared" si="352"/>
        <v>2019</v>
      </c>
      <c r="I5668">
        <f t="shared" si="353"/>
        <v>11</v>
      </c>
      <c r="J5668" t="str">
        <f t="shared" si="354"/>
        <v>Nov</v>
      </c>
      <c r="K5668" t="str">
        <f t="shared" si="355"/>
        <v>Mon</v>
      </c>
    </row>
    <row r="5669" spans="1:11" x14ac:dyDescent="0.35">
      <c r="A5669" s="1">
        <v>43788</v>
      </c>
      <c r="B5669">
        <v>87.849502563476506</v>
      </c>
      <c r="C5669">
        <v>88.033996582031193</v>
      </c>
      <c r="D5669">
        <v>87.151496887207003</v>
      </c>
      <c r="E5669">
        <v>87.639503479003906</v>
      </c>
      <c r="F5669">
        <v>87.639503479003906</v>
      </c>
      <c r="G5669">
        <v>45416000</v>
      </c>
      <c r="H5669">
        <f t="shared" si="352"/>
        <v>2019</v>
      </c>
      <c r="I5669">
        <f t="shared" si="353"/>
        <v>11</v>
      </c>
      <c r="J5669" t="str">
        <f t="shared" si="354"/>
        <v>Nov</v>
      </c>
      <c r="K5669" t="str">
        <f t="shared" si="355"/>
        <v>Tue</v>
      </c>
    </row>
    <row r="5670" spans="1:11" x14ac:dyDescent="0.35">
      <c r="A5670" s="1">
        <v>43789</v>
      </c>
      <c r="B5670">
        <v>87.457000732421804</v>
      </c>
      <c r="C5670">
        <v>88.125999450683594</v>
      </c>
      <c r="D5670">
        <v>86.706001281738196</v>
      </c>
      <c r="E5670">
        <v>87.276496887207003</v>
      </c>
      <c r="F5670">
        <v>87.276496887207003</v>
      </c>
      <c r="G5670">
        <v>55800000</v>
      </c>
      <c r="H5670">
        <f t="shared" si="352"/>
        <v>2019</v>
      </c>
      <c r="I5670">
        <f t="shared" si="353"/>
        <v>11</v>
      </c>
      <c r="J5670" t="str">
        <f t="shared" si="354"/>
        <v>Nov</v>
      </c>
      <c r="K5670" t="str">
        <f t="shared" si="355"/>
        <v>Wed</v>
      </c>
    </row>
    <row r="5671" spans="1:11" x14ac:dyDescent="0.35">
      <c r="A5671" s="1">
        <v>43790</v>
      </c>
      <c r="B5671">
        <v>87.150001525878906</v>
      </c>
      <c r="C5671">
        <v>87.343498229980398</v>
      </c>
      <c r="D5671">
        <v>86.517997741699205</v>
      </c>
      <c r="E5671">
        <v>86.735496520996094</v>
      </c>
      <c r="F5671">
        <v>86.735496520996094</v>
      </c>
      <c r="G5671">
        <v>53258000</v>
      </c>
      <c r="H5671">
        <f t="shared" si="352"/>
        <v>2019</v>
      </c>
      <c r="I5671">
        <f t="shared" si="353"/>
        <v>11</v>
      </c>
      <c r="J5671" t="str">
        <f t="shared" si="354"/>
        <v>Nov</v>
      </c>
      <c r="K5671" t="str">
        <f t="shared" si="355"/>
        <v>Thu</v>
      </c>
    </row>
    <row r="5672" spans="1:11" x14ac:dyDescent="0.35">
      <c r="A5672" s="1">
        <v>43791</v>
      </c>
      <c r="B5672">
        <v>86.950996398925696</v>
      </c>
      <c r="C5672">
        <v>87.321502685546804</v>
      </c>
      <c r="D5672">
        <v>86.550003051757798</v>
      </c>
      <c r="E5672">
        <v>87.286003112792898</v>
      </c>
      <c r="F5672">
        <v>87.286003112792898</v>
      </c>
      <c r="G5672">
        <v>49582000</v>
      </c>
      <c r="H5672">
        <f t="shared" si="352"/>
        <v>2019</v>
      </c>
      <c r="I5672">
        <f t="shared" si="353"/>
        <v>11</v>
      </c>
      <c r="J5672" t="str">
        <f t="shared" si="354"/>
        <v>Nov</v>
      </c>
      <c r="K5672" t="str">
        <f t="shared" si="355"/>
        <v>Fri</v>
      </c>
    </row>
    <row r="5673" spans="1:11" x14ac:dyDescent="0.35">
      <c r="A5673" s="1">
        <v>43794</v>
      </c>
      <c r="B5673">
        <v>87.662498474121094</v>
      </c>
      <c r="C5673">
        <v>88.871002197265597</v>
      </c>
      <c r="D5673">
        <v>87.662002563476506</v>
      </c>
      <c r="E5673">
        <v>88.692001342773395</v>
      </c>
      <c r="F5673">
        <v>88.692001342773395</v>
      </c>
      <c r="G5673">
        <v>69724000</v>
      </c>
      <c r="H5673">
        <f t="shared" si="352"/>
        <v>2019</v>
      </c>
      <c r="I5673">
        <f t="shared" si="353"/>
        <v>11</v>
      </c>
      <c r="J5673" t="str">
        <f t="shared" si="354"/>
        <v>Nov</v>
      </c>
      <c r="K5673" t="str">
        <f t="shared" si="355"/>
        <v>Mon</v>
      </c>
    </row>
    <row r="5674" spans="1:11" x14ac:dyDescent="0.35">
      <c r="A5674" s="1">
        <v>43795</v>
      </c>
      <c r="B5674">
        <v>88.996002197265597</v>
      </c>
      <c r="C5674">
        <v>89.851501464843693</v>
      </c>
      <c r="D5674">
        <v>88.917503356933594</v>
      </c>
      <c r="E5674">
        <v>89.847000122070298</v>
      </c>
      <c r="F5674">
        <v>89.847000122070298</v>
      </c>
      <c r="G5674">
        <v>63624000</v>
      </c>
      <c r="H5674">
        <f t="shared" si="352"/>
        <v>2019</v>
      </c>
      <c r="I5674">
        <f t="shared" si="353"/>
        <v>11</v>
      </c>
      <c r="J5674" t="str">
        <f t="shared" si="354"/>
        <v>Nov</v>
      </c>
      <c r="K5674" t="str">
        <f t="shared" si="355"/>
        <v>Tue</v>
      </c>
    </row>
    <row r="5675" spans="1:11" x14ac:dyDescent="0.35">
      <c r="A5675" s="1">
        <v>43796</v>
      </c>
      <c r="B5675">
        <v>90.050003051757798</v>
      </c>
      <c r="C5675">
        <v>91.224998474121094</v>
      </c>
      <c r="D5675">
        <v>89.865501403808594</v>
      </c>
      <c r="E5675">
        <v>90.925498962402301</v>
      </c>
      <c r="F5675">
        <v>90.925498962402301</v>
      </c>
      <c r="G5675">
        <v>60512000</v>
      </c>
      <c r="H5675">
        <f t="shared" si="352"/>
        <v>2019</v>
      </c>
      <c r="I5675">
        <f t="shared" si="353"/>
        <v>11</v>
      </c>
      <c r="J5675" t="str">
        <f t="shared" si="354"/>
        <v>Nov</v>
      </c>
      <c r="K5675" t="str">
        <f t="shared" si="355"/>
        <v>Wed</v>
      </c>
    </row>
    <row r="5676" spans="1:11" x14ac:dyDescent="0.35">
      <c r="A5676" s="1">
        <v>43798</v>
      </c>
      <c r="B5676">
        <v>90.888999938964801</v>
      </c>
      <c r="C5676">
        <v>91.2344970703125</v>
      </c>
      <c r="D5676">
        <v>90.039497375488196</v>
      </c>
      <c r="E5676">
        <v>90.040000915527301</v>
      </c>
      <c r="F5676">
        <v>90.040000915527301</v>
      </c>
      <c r="G5676">
        <v>38468000</v>
      </c>
      <c r="H5676">
        <f t="shared" si="352"/>
        <v>2019</v>
      </c>
      <c r="I5676">
        <f t="shared" si="353"/>
        <v>11</v>
      </c>
      <c r="J5676" t="str">
        <f t="shared" si="354"/>
        <v>Nov</v>
      </c>
      <c r="K5676" t="str">
        <f t="shared" si="355"/>
        <v>Fri</v>
      </c>
    </row>
    <row r="5677" spans="1:11" x14ac:dyDescent="0.35">
      <c r="A5677" s="1">
        <v>43801</v>
      </c>
      <c r="B5677">
        <v>90.220001220703097</v>
      </c>
      <c r="C5677">
        <v>90.277496337890597</v>
      </c>
      <c r="D5677">
        <v>88.134002685546804</v>
      </c>
      <c r="E5677">
        <v>89.080001831054602</v>
      </c>
      <c r="F5677">
        <v>89.080001831054602</v>
      </c>
      <c r="G5677">
        <v>78512000</v>
      </c>
      <c r="H5677">
        <f t="shared" si="352"/>
        <v>2019</v>
      </c>
      <c r="I5677">
        <f t="shared" si="353"/>
        <v>12</v>
      </c>
      <c r="J5677" t="str">
        <f t="shared" si="354"/>
        <v>Dec</v>
      </c>
      <c r="K5677" t="str">
        <f t="shared" si="355"/>
        <v>Mon</v>
      </c>
    </row>
    <row r="5678" spans="1:11" x14ac:dyDescent="0.35">
      <c r="A5678" s="1">
        <v>43802</v>
      </c>
      <c r="B5678">
        <v>88</v>
      </c>
      <c r="C5678">
        <v>88.643501281738196</v>
      </c>
      <c r="D5678">
        <v>87.361503601074205</v>
      </c>
      <c r="E5678">
        <v>88.498001098632798</v>
      </c>
      <c r="F5678">
        <v>88.498001098632798</v>
      </c>
      <c r="G5678">
        <v>67618000</v>
      </c>
      <c r="H5678">
        <f t="shared" si="352"/>
        <v>2019</v>
      </c>
      <c r="I5678">
        <f t="shared" si="353"/>
        <v>12</v>
      </c>
      <c r="J5678" t="str">
        <f t="shared" si="354"/>
        <v>Dec</v>
      </c>
      <c r="K5678" t="str">
        <f t="shared" si="355"/>
        <v>Tue</v>
      </c>
    </row>
    <row r="5679" spans="1:11" x14ac:dyDescent="0.35">
      <c r="A5679" s="1">
        <v>43803</v>
      </c>
      <c r="B5679">
        <v>88.700500488281193</v>
      </c>
      <c r="C5679">
        <v>89.454498291015597</v>
      </c>
      <c r="D5679">
        <v>88.011001586914006</v>
      </c>
      <c r="E5679">
        <v>88.034500122070298</v>
      </c>
      <c r="F5679">
        <v>88.034500122070298</v>
      </c>
      <c r="G5679">
        <v>53402000</v>
      </c>
      <c r="H5679">
        <f t="shared" si="352"/>
        <v>2019</v>
      </c>
      <c r="I5679">
        <f t="shared" si="353"/>
        <v>12</v>
      </c>
      <c r="J5679" t="str">
        <f t="shared" si="354"/>
        <v>Dec</v>
      </c>
      <c r="K5679" t="str">
        <f t="shared" si="355"/>
        <v>Wed</v>
      </c>
    </row>
    <row r="5680" spans="1:11" x14ac:dyDescent="0.35">
      <c r="A5680" s="1">
        <v>43804</v>
      </c>
      <c r="B5680">
        <v>88.175003051757798</v>
      </c>
      <c r="C5680">
        <v>88.175003051757798</v>
      </c>
      <c r="D5680">
        <v>87</v>
      </c>
      <c r="E5680">
        <v>87.024002075195298</v>
      </c>
      <c r="F5680">
        <v>87.024002075195298</v>
      </c>
      <c r="G5680">
        <v>56476000</v>
      </c>
      <c r="H5680">
        <f t="shared" si="352"/>
        <v>2019</v>
      </c>
      <c r="I5680">
        <f t="shared" si="353"/>
        <v>12</v>
      </c>
      <c r="J5680" t="str">
        <f t="shared" si="354"/>
        <v>Dec</v>
      </c>
      <c r="K5680" t="str">
        <f t="shared" si="355"/>
        <v>Thu</v>
      </c>
    </row>
    <row r="5681" spans="1:11" x14ac:dyDescent="0.35">
      <c r="A5681" s="1">
        <v>43805</v>
      </c>
      <c r="B5681">
        <v>87.559997558593693</v>
      </c>
      <c r="C5681">
        <v>87.720001220703097</v>
      </c>
      <c r="D5681">
        <v>87.006500244140597</v>
      </c>
      <c r="E5681">
        <v>87.580001831054602</v>
      </c>
      <c r="F5681">
        <v>87.580001831054602</v>
      </c>
      <c r="G5681">
        <v>62348000</v>
      </c>
      <c r="H5681">
        <f t="shared" si="352"/>
        <v>2019</v>
      </c>
      <c r="I5681">
        <f t="shared" si="353"/>
        <v>12</v>
      </c>
      <c r="J5681" t="str">
        <f t="shared" si="354"/>
        <v>Dec</v>
      </c>
      <c r="K5681" t="str">
        <f t="shared" si="355"/>
        <v>Fri</v>
      </c>
    </row>
    <row r="5682" spans="1:11" x14ac:dyDescent="0.35">
      <c r="A5682" s="1">
        <v>43808</v>
      </c>
      <c r="B5682">
        <v>87.532997131347599</v>
      </c>
      <c r="C5682">
        <v>88.344497680664006</v>
      </c>
      <c r="D5682">
        <v>87.280502319335895</v>
      </c>
      <c r="E5682">
        <v>87.475502014160099</v>
      </c>
      <c r="F5682">
        <v>87.475502014160099</v>
      </c>
      <c r="G5682">
        <v>48856000</v>
      </c>
      <c r="H5682">
        <f t="shared" si="352"/>
        <v>2019</v>
      </c>
      <c r="I5682">
        <f t="shared" si="353"/>
        <v>12</v>
      </c>
      <c r="J5682" t="str">
        <f t="shared" si="354"/>
        <v>Dec</v>
      </c>
      <c r="K5682" t="str">
        <f t="shared" si="355"/>
        <v>Mon</v>
      </c>
    </row>
    <row r="5683" spans="1:11" x14ac:dyDescent="0.35">
      <c r="A5683" s="1">
        <v>43809</v>
      </c>
      <c r="B5683">
        <v>87.370002746582003</v>
      </c>
      <c r="C5683">
        <v>87.533500671386705</v>
      </c>
      <c r="D5683">
        <v>86.75</v>
      </c>
      <c r="E5683">
        <v>86.960502624511705</v>
      </c>
      <c r="F5683">
        <v>86.960502624511705</v>
      </c>
      <c r="G5683">
        <v>50286000</v>
      </c>
      <c r="H5683">
        <f t="shared" si="352"/>
        <v>2019</v>
      </c>
      <c r="I5683">
        <f t="shared" si="353"/>
        <v>12</v>
      </c>
      <c r="J5683" t="str">
        <f t="shared" si="354"/>
        <v>Dec</v>
      </c>
      <c r="K5683" t="str">
        <f t="shared" si="355"/>
        <v>Tue</v>
      </c>
    </row>
    <row r="5684" spans="1:11" x14ac:dyDescent="0.35">
      <c r="A5684" s="1">
        <v>43810</v>
      </c>
      <c r="B5684">
        <v>87.083503723144503</v>
      </c>
      <c r="C5684">
        <v>87.5</v>
      </c>
      <c r="D5684">
        <v>86.785499572753906</v>
      </c>
      <c r="E5684">
        <v>87.435997009277301</v>
      </c>
      <c r="F5684">
        <v>87.435997009277301</v>
      </c>
      <c r="G5684">
        <v>41952000</v>
      </c>
      <c r="H5684">
        <f t="shared" si="352"/>
        <v>2019</v>
      </c>
      <c r="I5684">
        <f t="shared" si="353"/>
        <v>12</v>
      </c>
      <c r="J5684" t="str">
        <f t="shared" si="354"/>
        <v>Dec</v>
      </c>
      <c r="K5684" t="str">
        <f t="shared" si="355"/>
        <v>Wed</v>
      </c>
    </row>
    <row r="5685" spans="1:11" x14ac:dyDescent="0.35">
      <c r="A5685" s="1">
        <v>43811</v>
      </c>
      <c r="B5685">
        <v>87.5</v>
      </c>
      <c r="C5685">
        <v>88.199996948242102</v>
      </c>
      <c r="D5685">
        <v>87.272003173828097</v>
      </c>
      <c r="E5685">
        <v>88.016502380371094</v>
      </c>
      <c r="F5685">
        <v>88.016502380371094</v>
      </c>
      <c r="G5685">
        <v>61918000</v>
      </c>
      <c r="H5685">
        <f t="shared" si="352"/>
        <v>2019</v>
      </c>
      <c r="I5685">
        <f t="shared" si="353"/>
        <v>12</v>
      </c>
      <c r="J5685" t="str">
        <f t="shared" si="354"/>
        <v>Dec</v>
      </c>
      <c r="K5685" t="str">
        <f t="shared" si="355"/>
        <v>Thu</v>
      </c>
    </row>
    <row r="5686" spans="1:11" x14ac:dyDescent="0.35">
      <c r="A5686" s="1">
        <v>43812</v>
      </c>
      <c r="B5686">
        <v>88.25</v>
      </c>
      <c r="C5686">
        <v>88.449501037597599</v>
      </c>
      <c r="D5686">
        <v>87.75</v>
      </c>
      <c r="E5686">
        <v>88.0469970703125</v>
      </c>
      <c r="F5686">
        <v>88.0469970703125</v>
      </c>
      <c r="G5686">
        <v>54914000</v>
      </c>
      <c r="H5686">
        <f t="shared" si="352"/>
        <v>2019</v>
      </c>
      <c r="I5686">
        <f t="shared" si="353"/>
        <v>12</v>
      </c>
      <c r="J5686" t="str">
        <f t="shared" si="354"/>
        <v>Dec</v>
      </c>
      <c r="K5686" t="str">
        <f t="shared" si="355"/>
        <v>Fri</v>
      </c>
    </row>
    <row r="5687" spans="1:11" x14ac:dyDescent="0.35">
      <c r="A5687" s="1">
        <v>43815</v>
      </c>
      <c r="B5687">
        <v>88.349998474121094</v>
      </c>
      <c r="C5687">
        <v>88.474998474121094</v>
      </c>
      <c r="D5687">
        <v>87.852500915527301</v>
      </c>
      <c r="E5687">
        <v>88.460502624511705</v>
      </c>
      <c r="F5687">
        <v>88.460502624511705</v>
      </c>
      <c r="G5687">
        <v>62904000</v>
      </c>
      <c r="H5687">
        <f t="shared" si="352"/>
        <v>2019</v>
      </c>
      <c r="I5687">
        <f t="shared" si="353"/>
        <v>12</v>
      </c>
      <c r="J5687" t="str">
        <f t="shared" si="354"/>
        <v>Dec</v>
      </c>
      <c r="K5687" t="str">
        <f t="shared" si="355"/>
        <v>Mon</v>
      </c>
    </row>
    <row r="5688" spans="1:11" x14ac:dyDescent="0.35">
      <c r="A5688" s="1">
        <v>43816</v>
      </c>
      <c r="B5688">
        <v>88.900497436523395</v>
      </c>
      <c r="C5688">
        <v>89.599998474121094</v>
      </c>
      <c r="D5688">
        <v>88.869499206542898</v>
      </c>
      <c r="E5688">
        <v>89.532997131347599</v>
      </c>
      <c r="F5688">
        <v>89.532997131347599</v>
      </c>
      <c r="G5688">
        <v>72888000</v>
      </c>
      <c r="H5688">
        <f t="shared" si="352"/>
        <v>2019</v>
      </c>
      <c r="I5688">
        <f t="shared" si="353"/>
        <v>12</v>
      </c>
      <c r="J5688" t="str">
        <f t="shared" si="354"/>
        <v>Dec</v>
      </c>
      <c r="K5688" t="str">
        <f t="shared" si="355"/>
        <v>Tue</v>
      </c>
    </row>
    <row r="5689" spans="1:11" x14ac:dyDescent="0.35">
      <c r="A5689" s="1">
        <v>43817</v>
      </c>
      <c r="B5689">
        <v>89.750999450683594</v>
      </c>
      <c r="C5689">
        <v>89.910003662109304</v>
      </c>
      <c r="D5689">
        <v>89.117996215820298</v>
      </c>
      <c r="E5689">
        <v>89.201499938964801</v>
      </c>
      <c r="F5689">
        <v>89.201499938964801</v>
      </c>
      <c r="G5689">
        <v>67028000</v>
      </c>
      <c r="H5689">
        <f t="shared" si="352"/>
        <v>2019</v>
      </c>
      <c r="I5689">
        <f t="shared" si="353"/>
        <v>12</v>
      </c>
      <c r="J5689" t="str">
        <f t="shared" si="354"/>
        <v>Dec</v>
      </c>
      <c r="K5689" t="str">
        <f t="shared" si="355"/>
        <v>Wed</v>
      </c>
    </row>
    <row r="5690" spans="1:11" x14ac:dyDescent="0.35">
      <c r="A5690" s="1">
        <v>43818</v>
      </c>
      <c r="B5690">
        <v>89.025001525878906</v>
      </c>
      <c r="C5690">
        <v>89.649497985839801</v>
      </c>
      <c r="D5690">
        <v>88.7030029296875</v>
      </c>
      <c r="E5690">
        <v>89.613998413085895</v>
      </c>
      <c r="F5690">
        <v>89.613998413085895</v>
      </c>
      <c r="G5690">
        <v>53056000</v>
      </c>
      <c r="H5690">
        <f t="shared" si="352"/>
        <v>2019</v>
      </c>
      <c r="I5690">
        <f t="shared" si="353"/>
        <v>12</v>
      </c>
      <c r="J5690" t="str">
        <f t="shared" si="354"/>
        <v>Dec</v>
      </c>
      <c r="K5690" t="str">
        <f t="shared" si="355"/>
        <v>Thu</v>
      </c>
    </row>
    <row r="5691" spans="1:11" x14ac:dyDescent="0.35">
      <c r="A5691" s="1">
        <v>43819</v>
      </c>
      <c r="B5691">
        <v>89.981002807617102</v>
      </c>
      <c r="C5691">
        <v>90.148498535156193</v>
      </c>
      <c r="D5691">
        <v>89.122497558593693</v>
      </c>
      <c r="E5691">
        <v>89.324996948242102</v>
      </c>
      <c r="F5691">
        <v>89.324996948242102</v>
      </c>
      <c r="G5691">
        <v>103016000</v>
      </c>
      <c r="H5691">
        <f t="shared" si="352"/>
        <v>2019</v>
      </c>
      <c r="I5691">
        <f t="shared" si="353"/>
        <v>12</v>
      </c>
      <c r="J5691" t="str">
        <f t="shared" si="354"/>
        <v>Dec</v>
      </c>
      <c r="K5691" t="str">
        <f t="shared" si="355"/>
        <v>Fri</v>
      </c>
    </row>
    <row r="5692" spans="1:11" x14ac:dyDescent="0.35">
      <c r="A5692" s="1">
        <v>43822</v>
      </c>
      <c r="B5692">
        <v>89.413002014160099</v>
      </c>
      <c r="C5692">
        <v>89.650001525878906</v>
      </c>
      <c r="D5692">
        <v>89.225502014160099</v>
      </c>
      <c r="E5692">
        <v>89.650001525878906</v>
      </c>
      <c r="F5692">
        <v>89.650001525878906</v>
      </c>
      <c r="G5692">
        <v>42728000</v>
      </c>
      <c r="H5692">
        <f t="shared" si="352"/>
        <v>2019</v>
      </c>
      <c r="I5692">
        <f t="shared" si="353"/>
        <v>12</v>
      </c>
      <c r="J5692" t="str">
        <f t="shared" si="354"/>
        <v>Dec</v>
      </c>
      <c r="K5692" t="str">
        <f t="shared" si="355"/>
        <v>Mon</v>
      </c>
    </row>
    <row r="5693" spans="1:11" x14ac:dyDescent="0.35">
      <c r="A5693" s="1">
        <v>43823</v>
      </c>
      <c r="B5693">
        <v>89.690498352050696</v>
      </c>
      <c r="C5693">
        <v>89.778503417968693</v>
      </c>
      <c r="D5693">
        <v>89.378997802734304</v>
      </c>
      <c r="E5693">
        <v>89.460502624511705</v>
      </c>
      <c r="F5693">
        <v>89.460502624511705</v>
      </c>
      <c r="G5693">
        <v>17626000</v>
      </c>
      <c r="H5693">
        <f t="shared" si="352"/>
        <v>2019</v>
      </c>
      <c r="I5693">
        <f t="shared" si="353"/>
        <v>12</v>
      </c>
      <c r="J5693" t="str">
        <f t="shared" si="354"/>
        <v>Dec</v>
      </c>
      <c r="K5693" t="str">
        <f t="shared" si="355"/>
        <v>Tue</v>
      </c>
    </row>
    <row r="5694" spans="1:11" x14ac:dyDescent="0.35">
      <c r="A5694" s="1">
        <v>43825</v>
      </c>
      <c r="B5694">
        <v>90.050498962402301</v>
      </c>
      <c r="C5694">
        <v>93.523002624511705</v>
      </c>
      <c r="D5694">
        <v>89.974998474121094</v>
      </c>
      <c r="E5694">
        <v>93.438499450683594</v>
      </c>
      <c r="F5694">
        <v>93.438499450683594</v>
      </c>
      <c r="G5694">
        <v>120108000</v>
      </c>
      <c r="H5694">
        <f t="shared" si="352"/>
        <v>2019</v>
      </c>
      <c r="I5694">
        <f t="shared" si="353"/>
        <v>12</v>
      </c>
      <c r="J5694" t="str">
        <f t="shared" si="354"/>
        <v>Dec</v>
      </c>
      <c r="K5694" t="str">
        <f t="shared" si="355"/>
        <v>Thu</v>
      </c>
    </row>
    <row r="5695" spans="1:11" x14ac:dyDescent="0.35">
      <c r="A5695" s="1">
        <v>43826</v>
      </c>
      <c r="B5695">
        <v>94.146003723144503</v>
      </c>
      <c r="C5695">
        <v>95.069999694824205</v>
      </c>
      <c r="D5695">
        <v>93.300498962402301</v>
      </c>
      <c r="E5695">
        <v>93.489997863769503</v>
      </c>
      <c r="F5695">
        <v>93.489997863769503</v>
      </c>
      <c r="G5695">
        <v>123732000</v>
      </c>
      <c r="H5695">
        <f t="shared" si="352"/>
        <v>2019</v>
      </c>
      <c r="I5695">
        <f t="shared" si="353"/>
        <v>12</v>
      </c>
      <c r="J5695" t="str">
        <f t="shared" si="354"/>
        <v>Dec</v>
      </c>
      <c r="K5695" t="str">
        <f t="shared" si="355"/>
        <v>Fri</v>
      </c>
    </row>
    <row r="5696" spans="1:11" x14ac:dyDescent="0.35">
      <c r="A5696" s="1">
        <v>43829</v>
      </c>
      <c r="B5696">
        <v>93.699996948242102</v>
      </c>
      <c r="C5696">
        <v>94.199996948242102</v>
      </c>
      <c r="D5696">
        <v>92.030998229980398</v>
      </c>
      <c r="E5696">
        <v>92.344497680664006</v>
      </c>
      <c r="F5696">
        <v>92.344497680664006</v>
      </c>
      <c r="G5696">
        <v>73494000</v>
      </c>
      <c r="H5696">
        <f t="shared" si="352"/>
        <v>2019</v>
      </c>
      <c r="I5696">
        <f t="shared" si="353"/>
        <v>12</v>
      </c>
      <c r="J5696" t="str">
        <f t="shared" si="354"/>
        <v>Dec</v>
      </c>
      <c r="K5696" t="str">
        <f t="shared" si="355"/>
        <v>Mon</v>
      </c>
    </row>
    <row r="5697" spans="1:11" x14ac:dyDescent="0.35">
      <c r="A5697" s="1">
        <v>43830</v>
      </c>
      <c r="B5697">
        <v>92.099998474121094</v>
      </c>
      <c r="C5697">
        <v>92.663002014160099</v>
      </c>
      <c r="D5697">
        <v>91.611503601074205</v>
      </c>
      <c r="E5697">
        <v>92.391998291015597</v>
      </c>
      <c r="F5697">
        <v>92.391998291015597</v>
      </c>
      <c r="G5697">
        <v>50130000</v>
      </c>
      <c r="H5697">
        <f t="shared" si="352"/>
        <v>2019</v>
      </c>
      <c r="I5697">
        <f t="shared" si="353"/>
        <v>12</v>
      </c>
      <c r="J5697" t="str">
        <f t="shared" si="354"/>
        <v>Dec</v>
      </c>
      <c r="K5697" t="str">
        <f t="shared" si="355"/>
        <v>Tue</v>
      </c>
    </row>
    <row r="5698" spans="1:11" x14ac:dyDescent="0.35">
      <c r="A5698" s="1">
        <v>43832</v>
      </c>
      <c r="B5698">
        <v>93.75</v>
      </c>
      <c r="C5698">
        <v>94.900497436523395</v>
      </c>
      <c r="D5698">
        <v>93.207496643066406</v>
      </c>
      <c r="E5698">
        <v>94.900497436523395</v>
      </c>
      <c r="F5698">
        <v>94.900497436523395</v>
      </c>
      <c r="G5698">
        <v>80580000</v>
      </c>
      <c r="H5698">
        <f t="shared" si="352"/>
        <v>2020</v>
      </c>
      <c r="I5698">
        <f t="shared" si="353"/>
        <v>1</v>
      </c>
      <c r="J5698" t="str">
        <f t="shared" si="354"/>
        <v>Jan</v>
      </c>
      <c r="K5698" t="str">
        <f t="shared" si="355"/>
        <v>Thu</v>
      </c>
    </row>
    <row r="5699" spans="1:11" x14ac:dyDescent="0.35">
      <c r="A5699" s="1">
        <v>43833</v>
      </c>
      <c r="B5699">
        <v>93.224998474121094</v>
      </c>
      <c r="C5699">
        <v>94.309997558593693</v>
      </c>
      <c r="D5699">
        <v>93.224998474121094</v>
      </c>
      <c r="E5699">
        <v>93.748497009277301</v>
      </c>
      <c r="F5699">
        <v>93.748497009277301</v>
      </c>
      <c r="G5699">
        <v>75288000</v>
      </c>
      <c r="H5699">
        <f t="shared" si="352"/>
        <v>2020</v>
      </c>
      <c r="I5699">
        <f t="shared" si="353"/>
        <v>1</v>
      </c>
      <c r="J5699" t="str">
        <f t="shared" si="354"/>
        <v>Jan</v>
      </c>
      <c r="K5699" t="str">
        <f t="shared" si="355"/>
        <v>Fri</v>
      </c>
    </row>
    <row r="5700" spans="1:11" x14ac:dyDescent="0.35">
      <c r="A5700" s="1">
        <v>43836</v>
      </c>
      <c r="B5700">
        <v>93</v>
      </c>
      <c r="C5700">
        <v>95.184501647949205</v>
      </c>
      <c r="D5700">
        <v>93</v>
      </c>
      <c r="E5700">
        <v>95.143997192382798</v>
      </c>
      <c r="F5700">
        <v>95.143997192382798</v>
      </c>
      <c r="G5700">
        <v>81236000</v>
      </c>
      <c r="H5700">
        <f t="shared" ref="H5700:H5763" si="356">YEAR($A5700)</f>
        <v>2020</v>
      </c>
      <c r="I5700">
        <f t="shared" ref="I5700:I5763" si="357">MONTH($A5700)</f>
        <v>1</v>
      </c>
      <c r="J5700" t="str">
        <f t="shared" ref="J5700:J5763" si="358">TEXT($A5700,"mmm")</f>
        <v>Jan</v>
      </c>
      <c r="K5700" t="str">
        <f t="shared" ref="K5700:K5763" si="359">TEXT($A5700,"ddd")</f>
        <v>Mon</v>
      </c>
    </row>
    <row r="5701" spans="1:11" x14ac:dyDescent="0.35">
      <c r="A5701" s="1">
        <v>43837</v>
      </c>
      <c r="B5701">
        <v>95.224998474121094</v>
      </c>
      <c r="C5701">
        <v>95.694503784179602</v>
      </c>
      <c r="D5701">
        <v>94.601997375488196</v>
      </c>
      <c r="E5701">
        <v>95.343002319335895</v>
      </c>
      <c r="F5701">
        <v>95.343002319335895</v>
      </c>
      <c r="G5701">
        <v>80898000</v>
      </c>
      <c r="H5701">
        <f t="shared" si="356"/>
        <v>2020</v>
      </c>
      <c r="I5701">
        <f t="shared" si="357"/>
        <v>1</v>
      </c>
      <c r="J5701" t="str">
        <f t="shared" si="358"/>
        <v>Jan</v>
      </c>
      <c r="K5701" t="str">
        <f t="shared" si="359"/>
        <v>Tue</v>
      </c>
    </row>
    <row r="5702" spans="1:11" x14ac:dyDescent="0.35">
      <c r="A5702" s="1">
        <v>43838</v>
      </c>
      <c r="B5702">
        <v>94.902000427246094</v>
      </c>
      <c r="C5702">
        <v>95.550003051757798</v>
      </c>
      <c r="D5702">
        <v>94.321998596191406</v>
      </c>
      <c r="E5702">
        <v>94.598503112792898</v>
      </c>
      <c r="F5702">
        <v>94.598503112792898</v>
      </c>
      <c r="G5702">
        <v>70160000</v>
      </c>
      <c r="H5702">
        <f t="shared" si="356"/>
        <v>2020</v>
      </c>
      <c r="I5702">
        <f t="shared" si="357"/>
        <v>1</v>
      </c>
      <c r="J5702" t="str">
        <f t="shared" si="358"/>
        <v>Jan</v>
      </c>
      <c r="K5702" t="str">
        <f t="shared" si="359"/>
        <v>Wed</v>
      </c>
    </row>
    <row r="5703" spans="1:11" x14ac:dyDescent="0.35">
      <c r="A5703" s="1">
        <v>43839</v>
      </c>
      <c r="B5703">
        <v>95.494499206542898</v>
      </c>
      <c r="C5703">
        <v>95.890998840332003</v>
      </c>
      <c r="D5703">
        <v>94.790000915527301</v>
      </c>
      <c r="E5703">
        <v>95.052497863769503</v>
      </c>
      <c r="F5703">
        <v>95.052497863769503</v>
      </c>
      <c r="G5703">
        <v>63346000</v>
      </c>
      <c r="H5703">
        <f t="shared" si="356"/>
        <v>2020</v>
      </c>
      <c r="I5703">
        <f t="shared" si="357"/>
        <v>1</v>
      </c>
      <c r="J5703" t="str">
        <f t="shared" si="358"/>
        <v>Jan</v>
      </c>
      <c r="K5703" t="str">
        <f t="shared" si="359"/>
        <v>Thu</v>
      </c>
    </row>
    <row r="5704" spans="1:11" x14ac:dyDescent="0.35">
      <c r="A5704" s="1">
        <v>43840</v>
      </c>
      <c r="B5704">
        <v>95.268501281738196</v>
      </c>
      <c r="C5704">
        <v>95.347000122070298</v>
      </c>
      <c r="D5704">
        <v>94</v>
      </c>
      <c r="E5704">
        <v>94.157997131347599</v>
      </c>
      <c r="F5704">
        <v>94.157997131347599</v>
      </c>
      <c r="G5704">
        <v>57074000</v>
      </c>
      <c r="H5704">
        <f t="shared" si="356"/>
        <v>2020</v>
      </c>
      <c r="I5704">
        <f t="shared" si="357"/>
        <v>1</v>
      </c>
      <c r="J5704" t="str">
        <f t="shared" si="358"/>
        <v>Jan</v>
      </c>
      <c r="K5704" t="str">
        <f t="shared" si="359"/>
        <v>Fri</v>
      </c>
    </row>
    <row r="5705" spans="1:11" x14ac:dyDescent="0.35">
      <c r="A5705" s="1">
        <v>43843</v>
      </c>
      <c r="B5705">
        <v>94.565498352050696</v>
      </c>
      <c r="C5705">
        <v>94.900001525878906</v>
      </c>
      <c r="D5705">
        <v>94.040000915527301</v>
      </c>
      <c r="E5705">
        <v>94.565002441406193</v>
      </c>
      <c r="F5705">
        <v>94.565002441406193</v>
      </c>
      <c r="G5705">
        <v>55616000</v>
      </c>
      <c r="H5705">
        <f t="shared" si="356"/>
        <v>2020</v>
      </c>
      <c r="I5705">
        <f t="shared" si="357"/>
        <v>1</v>
      </c>
      <c r="J5705" t="str">
        <f t="shared" si="358"/>
        <v>Jan</v>
      </c>
      <c r="K5705" t="str">
        <f t="shared" si="359"/>
        <v>Mon</v>
      </c>
    </row>
    <row r="5706" spans="1:11" x14ac:dyDescent="0.35">
      <c r="A5706" s="1">
        <v>43844</v>
      </c>
      <c r="B5706">
        <v>94.293998718261705</v>
      </c>
      <c r="C5706">
        <v>94.355499267578097</v>
      </c>
      <c r="D5706">
        <v>92.927497863769503</v>
      </c>
      <c r="E5706">
        <v>93.472000122070298</v>
      </c>
      <c r="F5706">
        <v>93.472000122070298</v>
      </c>
      <c r="G5706">
        <v>68818000</v>
      </c>
      <c r="H5706">
        <f t="shared" si="356"/>
        <v>2020</v>
      </c>
      <c r="I5706">
        <f t="shared" si="357"/>
        <v>1</v>
      </c>
      <c r="J5706" t="str">
        <f t="shared" si="358"/>
        <v>Jan</v>
      </c>
      <c r="K5706" t="str">
        <f t="shared" si="359"/>
        <v>Tue</v>
      </c>
    </row>
    <row r="5707" spans="1:11" x14ac:dyDescent="0.35">
      <c r="A5707" s="1">
        <v>43845</v>
      </c>
      <c r="B5707">
        <v>93.612503051757798</v>
      </c>
      <c r="C5707">
        <v>93.943000793457003</v>
      </c>
      <c r="D5707">
        <v>92.754501342773395</v>
      </c>
      <c r="E5707">
        <v>93.100997924804602</v>
      </c>
      <c r="F5707">
        <v>93.100997924804602</v>
      </c>
      <c r="G5707">
        <v>57932000</v>
      </c>
      <c r="H5707">
        <f t="shared" si="356"/>
        <v>2020</v>
      </c>
      <c r="I5707">
        <f t="shared" si="357"/>
        <v>1</v>
      </c>
      <c r="J5707" t="str">
        <f t="shared" si="358"/>
        <v>Jan</v>
      </c>
      <c r="K5707" t="str">
        <f t="shared" si="359"/>
        <v>Wed</v>
      </c>
    </row>
    <row r="5708" spans="1:11" x14ac:dyDescent="0.35">
      <c r="A5708" s="1">
        <v>43846</v>
      </c>
      <c r="B5708">
        <v>94.149497985839801</v>
      </c>
      <c r="C5708">
        <v>94.279502868652301</v>
      </c>
      <c r="D5708">
        <v>93.301002502441406</v>
      </c>
      <c r="E5708">
        <v>93.897003173828097</v>
      </c>
      <c r="F5708">
        <v>93.897003173828097</v>
      </c>
      <c r="G5708">
        <v>53190000</v>
      </c>
      <c r="H5708">
        <f t="shared" si="356"/>
        <v>2020</v>
      </c>
      <c r="I5708">
        <f t="shared" si="357"/>
        <v>1</v>
      </c>
      <c r="J5708" t="str">
        <f t="shared" si="358"/>
        <v>Jan</v>
      </c>
      <c r="K5708" t="str">
        <f t="shared" si="359"/>
        <v>Thu</v>
      </c>
    </row>
    <row r="5709" spans="1:11" x14ac:dyDescent="0.35">
      <c r="A5709" s="1">
        <v>43847</v>
      </c>
      <c r="B5709">
        <v>94.294502258300696</v>
      </c>
      <c r="C5709">
        <v>94.332000732421804</v>
      </c>
      <c r="D5709">
        <v>92.862503051757798</v>
      </c>
      <c r="E5709">
        <v>93.236000061035099</v>
      </c>
      <c r="F5709">
        <v>93.236000061035099</v>
      </c>
      <c r="G5709">
        <v>79946000</v>
      </c>
      <c r="H5709">
        <f t="shared" si="356"/>
        <v>2020</v>
      </c>
      <c r="I5709">
        <f t="shared" si="357"/>
        <v>1</v>
      </c>
      <c r="J5709" t="str">
        <f t="shared" si="358"/>
        <v>Jan</v>
      </c>
      <c r="K5709" t="str">
        <f t="shared" si="359"/>
        <v>Fri</v>
      </c>
    </row>
    <row r="5710" spans="1:11" x14ac:dyDescent="0.35">
      <c r="A5710" s="1">
        <v>43851</v>
      </c>
      <c r="B5710">
        <v>93.25</v>
      </c>
      <c r="C5710">
        <v>94.7135009765625</v>
      </c>
      <c r="D5710">
        <v>93</v>
      </c>
      <c r="E5710">
        <v>94.599998474121094</v>
      </c>
      <c r="F5710">
        <v>94.599998474121094</v>
      </c>
      <c r="G5710">
        <v>74156000</v>
      </c>
      <c r="H5710">
        <f t="shared" si="356"/>
        <v>2020</v>
      </c>
      <c r="I5710">
        <f t="shared" si="357"/>
        <v>1</v>
      </c>
      <c r="J5710" t="str">
        <f t="shared" si="358"/>
        <v>Jan</v>
      </c>
      <c r="K5710" t="str">
        <f t="shared" si="359"/>
        <v>Tue</v>
      </c>
    </row>
    <row r="5711" spans="1:11" x14ac:dyDescent="0.35">
      <c r="A5711" s="1">
        <v>43852</v>
      </c>
      <c r="B5711">
        <v>94.804496765136705</v>
      </c>
      <c r="C5711">
        <v>95.125</v>
      </c>
      <c r="D5711">
        <v>94.166999816894503</v>
      </c>
      <c r="E5711">
        <v>94.373001098632798</v>
      </c>
      <c r="F5711">
        <v>94.373001098632798</v>
      </c>
      <c r="G5711">
        <v>64326000</v>
      </c>
      <c r="H5711">
        <f t="shared" si="356"/>
        <v>2020</v>
      </c>
      <c r="I5711">
        <f t="shared" si="357"/>
        <v>1</v>
      </c>
      <c r="J5711" t="str">
        <f t="shared" si="358"/>
        <v>Jan</v>
      </c>
      <c r="K5711" t="str">
        <f t="shared" si="359"/>
        <v>Wed</v>
      </c>
    </row>
    <row r="5712" spans="1:11" x14ac:dyDescent="0.35">
      <c r="A5712" s="1">
        <v>43853</v>
      </c>
      <c r="B5712">
        <v>94.255500793457003</v>
      </c>
      <c r="C5712">
        <v>94.499000549316406</v>
      </c>
      <c r="D5712">
        <v>93.638000488281193</v>
      </c>
      <c r="E5712">
        <v>94.228996276855398</v>
      </c>
      <c r="F5712">
        <v>94.228996276855398</v>
      </c>
      <c r="G5712">
        <v>49692000</v>
      </c>
      <c r="H5712">
        <f t="shared" si="356"/>
        <v>2020</v>
      </c>
      <c r="I5712">
        <f t="shared" si="357"/>
        <v>1</v>
      </c>
      <c r="J5712" t="str">
        <f t="shared" si="358"/>
        <v>Jan</v>
      </c>
      <c r="K5712" t="str">
        <f t="shared" si="359"/>
        <v>Thu</v>
      </c>
    </row>
    <row r="5713" spans="1:11" x14ac:dyDescent="0.35">
      <c r="A5713" s="1">
        <v>43854</v>
      </c>
      <c r="B5713">
        <v>94.568496704101506</v>
      </c>
      <c r="C5713">
        <v>94.749496459960895</v>
      </c>
      <c r="D5713">
        <v>92.372001647949205</v>
      </c>
      <c r="E5713">
        <v>93.082000732421804</v>
      </c>
      <c r="F5713">
        <v>93.082000732421804</v>
      </c>
      <c r="G5713">
        <v>75324000</v>
      </c>
      <c r="H5713">
        <f t="shared" si="356"/>
        <v>2020</v>
      </c>
      <c r="I5713">
        <f t="shared" si="357"/>
        <v>1</v>
      </c>
      <c r="J5713" t="str">
        <f t="shared" si="358"/>
        <v>Jan</v>
      </c>
      <c r="K5713" t="str">
        <f t="shared" si="359"/>
        <v>Fri</v>
      </c>
    </row>
    <row r="5714" spans="1:11" x14ac:dyDescent="0.35">
      <c r="A5714" s="1">
        <v>43857</v>
      </c>
      <c r="B5714">
        <v>91</v>
      </c>
      <c r="C5714">
        <v>92.050003051757798</v>
      </c>
      <c r="D5714">
        <v>90.766998291015597</v>
      </c>
      <c r="E5714">
        <v>91.416999816894503</v>
      </c>
      <c r="F5714">
        <v>91.416999816894503</v>
      </c>
      <c r="G5714">
        <v>70570000</v>
      </c>
      <c r="H5714">
        <f t="shared" si="356"/>
        <v>2020</v>
      </c>
      <c r="I5714">
        <f t="shared" si="357"/>
        <v>1</v>
      </c>
      <c r="J5714" t="str">
        <f t="shared" si="358"/>
        <v>Jan</v>
      </c>
      <c r="K5714" t="str">
        <f t="shared" si="359"/>
        <v>Mon</v>
      </c>
    </row>
    <row r="5715" spans="1:11" x14ac:dyDescent="0.35">
      <c r="A5715" s="1">
        <v>43858</v>
      </c>
      <c r="B5715">
        <v>92.025001525878906</v>
      </c>
      <c r="C5715">
        <v>92.905502319335895</v>
      </c>
      <c r="D5715">
        <v>91.500999450683594</v>
      </c>
      <c r="E5715">
        <v>92.662498474121094</v>
      </c>
      <c r="F5715">
        <v>92.662498474121094</v>
      </c>
      <c r="G5715">
        <v>56160000</v>
      </c>
      <c r="H5715">
        <f t="shared" si="356"/>
        <v>2020</v>
      </c>
      <c r="I5715">
        <f t="shared" si="357"/>
        <v>1</v>
      </c>
      <c r="J5715" t="str">
        <f t="shared" si="358"/>
        <v>Jan</v>
      </c>
      <c r="K5715" t="str">
        <f t="shared" si="359"/>
        <v>Tue</v>
      </c>
    </row>
    <row r="5716" spans="1:11" x14ac:dyDescent="0.35">
      <c r="A5716" s="1">
        <v>43859</v>
      </c>
      <c r="B5716">
        <v>93.199996948242102</v>
      </c>
      <c r="C5716">
        <v>93.737503051757798</v>
      </c>
      <c r="D5716">
        <v>92.750999450683594</v>
      </c>
      <c r="E5716">
        <v>92.900001525878906</v>
      </c>
      <c r="F5716">
        <v>92.900001525878906</v>
      </c>
      <c r="G5716">
        <v>41760000</v>
      </c>
      <c r="H5716">
        <f t="shared" si="356"/>
        <v>2020</v>
      </c>
      <c r="I5716">
        <f t="shared" si="357"/>
        <v>1</v>
      </c>
      <c r="J5716" t="str">
        <f t="shared" si="358"/>
        <v>Jan</v>
      </c>
      <c r="K5716" t="str">
        <f t="shared" si="359"/>
        <v>Wed</v>
      </c>
    </row>
    <row r="5717" spans="1:11" x14ac:dyDescent="0.35">
      <c r="A5717" s="1">
        <v>43860</v>
      </c>
      <c r="B5717">
        <v>92.900001525878906</v>
      </c>
      <c r="C5717">
        <v>93.643501281738196</v>
      </c>
      <c r="D5717">
        <v>92.530502319335895</v>
      </c>
      <c r="E5717">
        <v>93.533996582031193</v>
      </c>
      <c r="F5717">
        <v>93.533996582031193</v>
      </c>
      <c r="G5717">
        <v>126548000</v>
      </c>
      <c r="H5717">
        <f t="shared" si="356"/>
        <v>2020</v>
      </c>
      <c r="I5717">
        <f t="shared" si="357"/>
        <v>1</v>
      </c>
      <c r="J5717" t="str">
        <f t="shared" si="358"/>
        <v>Jan</v>
      </c>
      <c r="K5717" t="str">
        <f t="shared" si="359"/>
        <v>Thu</v>
      </c>
    </row>
    <row r="5718" spans="1:11" x14ac:dyDescent="0.35">
      <c r="A5718" s="1">
        <v>43861</v>
      </c>
      <c r="B5718">
        <v>102.57350158691401</v>
      </c>
      <c r="C5718">
        <v>102.786003112792</v>
      </c>
      <c r="D5718">
        <v>100.11350250244099</v>
      </c>
      <c r="E5718">
        <v>100.435997009277</v>
      </c>
      <c r="F5718">
        <v>100.435997009277</v>
      </c>
      <c r="G5718">
        <v>311346000</v>
      </c>
      <c r="H5718">
        <f t="shared" si="356"/>
        <v>2020</v>
      </c>
      <c r="I5718">
        <f t="shared" si="357"/>
        <v>1</v>
      </c>
      <c r="J5718" t="str">
        <f t="shared" si="358"/>
        <v>Jan</v>
      </c>
      <c r="K5718" t="str">
        <f t="shared" si="359"/>
        <v>Fri</v>
      </c>
    </row>
    <row r="5719" spans="1:11" x14ac:dyDescent="0.35">
      <c r="A5719" s="1">
        <v>43864</v>
      </c>
      <c r="B5719">
        <v>100.52999877929599</v>
      </c>
      <c r="C5719">
        <v>102.425003051757</v>
      </c>
      <c r="D5719">
        <v>100.012496948242</v>
      </c>
      <c r="E5719">
        <v>100.209999084472</v>
      </c>
      <c r="F5719">
        <v>100.209999084472</v>
      </c>
      <c r="G5719">
        <v>117834000</v>
      </c>
      <c r="H5719">
        <f t="shared" si="356"/>
        <v>2020</v>
      </c>
      <c r="I5719">
        <f t="shared" si="357"/>
        <v>2</v>
      </c>
      <c r="J5719" t="str">
        <f t="shared" si="358"/>
        <v>Feb</v>
      </c>
      <c r="K5719" t="str">
        <f t="shared" si="359"/>
        <v>Mon</v>
      </c>
    </row>
    <row r="5720" spans="1:11" x14ac:dyDescent="0.35">
      <c r="A5720" s="1">
        <v>43865</v>
      </c>
      <c r="B5720">
        <v>101.494003295898</v>
      </c>
      <c r="C5720">
        <v>102.98999786376901</v>
      </c>
      <c r="D5720">
        <v>100.768501281738</v>
      </c>
      <c r="E5720">
        <v>102.483497619628</v>
      </c>
      <c r="F5720">
        <v>102.483497619628</v>
      </c>
      <c r="G5720">
        <v>105786000</v>
      </c>
      <c r="H5720">
        <f t="shared" si="356"/>
        <v>2020</v>
      </c>
      <c r="I5720">
        <f t="shared" si="357"/>
        <v>2</v>
      </c>
      <c r="J5720" t="str">
        <f t="shared" si="358"/>
        <v>Feb</v>
      </c>
      <c r="K5720" t="str">
        <f t="shared" si="359"/>
        <v>Tue</v>
      </c>
    </row>
    <row r="5721" spans="1:11" x14ac:dyDescent="0.35">
      <c r="A5721" s="1">
        <v>43866</v>
      </c>
      <c r="B5721">
        <v>103.55100250244099</v>
      </c>
      <c r="C5721">
        <v>103.55100250244099</v>
      </c>
      <c r="D5721">
        <v>101.59999847412099</v>
      </c>
      <c r="E5721">
        <v>101.99349975585901</v>
      </c>
      <c r="F5721">
        <v>101.99349975585901</v>
      </c>
      <c r="G5721">
        <v>87524000</v>
      </c>
      <c r="H5721">
        <f t="shared" si="356"/>
        <v>2020</v>
      </c>
      <c r="I5721">
        <f t="shared" si="357"/>
        <v>2</v>
      </c>
      <c r="J5721" t="str">
        <f t="shared" si="358"/>
        <v>Feb</v>
      </c>
      <c r="K5721" t="str">
        <f t="shared" si="359"/>
        <v>Wed</v>
      </c>
    </row>
    <row r="5722" spans="1:11" x14ac:dyDescent="0.35">
      <c r="A5722" s="1">
        <v>43867</v>
      </c>
      <c r="B5722">
        <v>102.05100250244099</v>
      </c>
      <c r="C5722">
        <v>102.81500244140599</v>
      </c>
      <c r="D5722">
        <v>101.23999786376901</v>
      </c>
      <c r="E5722">
        <v>102.511497497558</v>
      </c>
      <c r="F5722">
        <v>102.511497497558</v>
      </c>
      <c r="G5722">
        <v>63660000</v>
      </c>
      <c r="H5722">
        <f t="shared" si="356"/>
        <v>2020</v>
      </c>
      <c r="I5722">
        <f t="shared" si="357"/>
        <v>2</v>
      </c>
      <c r="J5722" t="str">
        <f t="shared" si="358"/>
        <v>Feb</v>
      </c>
      <c r="K5722" t="str">
        <f t="shared" si="359"/>
        <v>Thu</v>
      </c>
    </row>
    <row r="5723" spans="1:11" x14ac:dyDescent="0.35">
      <c r="A5723" s="1">
        <v>43868</v>
      </c>
      <c r="B5723">
        <v>102.09950256347599</v>
      </c>
      <c r="C5723">
        <v>104.926498413085</v>
      </c>
      <c r="D5723">
        <v>101.90499877929599</v>
      </c>
      <c r="E5723">
        <v>103.963996887207</v>
      </c>
      <c r="F5723">
        <v>103.963996887207</v>
      </c>
      <c r="G5723">
        <v>101906000</v>
      </c>
      <c r="H5723">
        <f t="shared" si="356"/>
        <v>2020</v>
      </c>
      <c r="I5723">
        <f t="shared" si="357"/>
        <v>2</v>
      </c>
      <c r="J5723" t="str">
        <f t="shared" si="358"/>
        <v>Feb</v>
      </c>
      <c r="K5723" t="str">
        <f t="shared" si="359"/>
        <v>Fri</v>
      </c>
    </row>
    <row r="5724" spans="1:11" x14ac:dyDescent="0.35">
      <c r="A5724" s="1">
        <v>43871</v>
      </c>
      <c r="B5724">
        <v>104.25050354003901</v>
      </c>
      <c r="C5724">
        <v>106.77999877929599</v>
      </c>
      <c r="D5724">
        <v>104.248001098632</v>
      </c>
      <c r="E5724">
        <v>106.695503234863</v>
      </c>
      <c r="F5724">
        <v>106.695503234863</v>
      </c>
      <c r="G5724">
        <v>101124000</v>
      </c>
      <c r="H5724">
        <f t="shared" si="356"/>
        <v>2020</v>
      </c>
      <c r="I5724">
        <f t="shared" si="357"/>
        <v>2</v>
      </c>
      <c r="J5724" t="str">
        <f t="shared" si="358"/>
        <v>Feb</v>
      </c>
      <c r="K5724" t="str">
        <f t="shared" si="359"/>
        <v>Mon</v>
      </c>
    </row>
    <row r="5725" spans="1:11" x14ac:dyDescent="0.35">
      <c r="A5725" s="1">
        <v>43872</v>
      </c>
      <c r="B5725">
        <v>107.544998168945</v>
      </c>
      <c r="C5725">
        <v>109.29750061035099</v>
      </c>
      <c r="D5725">
        <v>106.800003051757</v>
      </c>
      <c r="E5725">
        <v>107.540000915527</v>
      </c>
      <c r="F5725">
        <v>107.540000915527</v>
      </c>
      <c r="G5725">
        <v>114920000</v>
      </c>
      <c r="H5725">
        <f t="shared" si="356"/>
        <v>2020</v>
      </c>
      <c r="I5725">
        <f t="shared" si="357"/>
        <v>2</v>
      </c>
      <c r="J5725" t="str">
        <f t="shared" si="358"/>
        <v>Feb</v>
      </c>
      <c r="K5725" t="str">
        <f t="shared" si="359"/>
        <v>Tue</v>
      </c>
    </row>
    <row r="5726" spans="1:11" x14ac:dyDescent="0.35">
      <c r="A5726" s="1">
        <v>43873</v>
      </c>
      <c r="B5726">
        <v>108.16000366210901</v>
      </c>
      <c r="C5726">
        <v>109.012496948242</v>
      </c>
      <c r="D5726">
        <v>107.764503479003</v>
      </c>
      <c r="E5726">
        <v>108</v>
      </c>
      <c r="F5726">
        <v>108</v>
      </c>
      <c r="G5726">
        <v>66686000</v>
      </c>
      <c r="H5726">
        <f t="shared" si="356"/>
        <v>2020</v>
      </c>
      <c r="I5726">
        <f t="shared" si="357"/>
        <v>2</v>
      </c>
      <c r="J5726" t="str">
        <f t="shared" si="358"/>
        <v>Feb</v>
      </c>
      <c r="K5726" t="str">
        <f t="shared" si="359"/>
        <v>Wed</v>
      </c>
    </row>
    <row r="5727" spans="1:11" x14ac:dyDescent="0.35">
      <c r="A5727" s="1">
        <v>43874</v>
      </c>
      <c r="B5727">
        <v>107.24949645996</v>
      </c>
      <c r="C5727">
        <v>108.51399993896401</v>
      </c>
      <c r="D5727">
        <v>107.09999847412099</v>
      </c>
      <c r="E5727">
        <v>107.49349975585901</v>
      </c>
      <c r="F5727">
        <v>107.49349975585901</v>
      </c>
      <c r="G5727">
        <v>60636000</v>
      </c>
      <c r="H5727">
        <f t="shared" si="356"/>
        <v>2020</v>
      </c>
      <c r="I5727">
        <f t="shared" si="357"/>
        <v>2</v>
      </c>
      <c r="J5727" t="str">
        <f t="shared" si="358"/>
        <v>Feb</v>
      </c>
      <c r="K5727" t="str">
        <f t="shared" si="359"/>
        <v>Thu</v>
      </c>
    </row>
    <row r="5728" spans="1:11" x14ac:dyDescent="0.35">
      <c r="A5728" s="1">
        <v>43875</v>
      </c>
      <c r="B5728">
        <v>107.78399658203099</v>
      </c>
      <c r="C5728">
        <v>107.952003479003</v>
      </c>
      <c r="D5728">
        <v>106.2945022583</v>
      </c>
      <c r="E5728">
        <v>106.74349975585901</v>
      </c>
      <c r="F5728">
        <v>106.74349975585901</v>
      </c>
      <c r="G5728">
        <v>52124000</v>
      </c>
      <c r="H5728">
        <f t="shared" si="356"/>
        <v>2020</v>
      </c>
      <c r="I5728">
        <f t="shared" si="357"/>
        <v>2</v>
      </c>
      <c r="J5728" t="str">
        <f t="shared" si="358"/>
        <v>Feb</v>
      </c>
      <c r="K5728" t="str">
        <f t="shared" si="359"/>
        <v>Fri</v>
      </c>
    </row>
    <row r="5729" spans="1:11" x14ac:dyDescent="0.35">
      <c r="A5729" s="1">
        <v>43879</v>
      </c>
      <c r="B5729">
        <v>106.250999450683</v>
      </c>
      <c r="C5729">
        <v>108.303497314453</v>
      </c>
      <c r="D5729">
        <v>106.20549774169901</v>
      </c>
      <c r="E5729">
        <v>107.78350067138599</v>
      </c>
      <c r="F5729">
        <v>107.78350067138599</v>
      </c>
      <c r="G5729">
        <v>58912000</v>
      </c>
      <c r="H5729">
        <f t="shared" si="356"/>
        <v>2020</v>
      </c>
      <c r="I5729">
        <f t="shared" si="357"/>
        <v>2</v>
      </c>
      <c r="J5729" t="str">
        <f t="shared" si="358"/>
        <v>Feb</v>
      </c>
      <c r="K5729" t="str">
        <f t="shared" si="359"/>
        <v>Tue</v>
      </c>
    </row>
    <row r="5730" spans="1:11" x14ac:dyDescent="0.35">
      <c r="A5730" s="1">
        <v>43880</v>
      </c>
      <c r="B5730">
        <v>108.389999389648</v>
      </c>
      <c r="C5730">
        <v>109.254997253417</v>
      </c>
      <c r="D5730">
        <v>108.05599975585901</v>
      </c>
      <c r="E5730">
        <v>108.51100158691401</v>
      </c>
      <c r="F5730">
        <v>108.51100158691401</v>
      </c>
      <c r="G5730">
        <v>51224000</v>
      </c>
      <c r="H5730">
        <f t="shared" si="356"/>
        <v>2020</v>
      </c>
      <c r="I5730">
        <f t="shared" si="357"/>
        <v>2</v>
      </c>
      <c r="J5730" t="str">
        <f t="shared" si="358"/>
        <v>Feb</v>
      </c>
      <c r="K5730" t="str">
        <f t="shared" si="359"/>
        <v>Wed</v>
      </c>
    </row>
    <row r="5731" spans="1:11" x14ac:dyDescent="0.35">
      <c r="A5731" s="1">
        <v>43881</v>
      </c>
      <c r="B5731">
        <v>108.653503417968</v>
      </c>
      <c r="C5731">
        <v>108.83950042724599</v>
      </c>
      <c r="D5731">
        <v>106.372497558593</v>
      </c>
      <c r="E5731">
        <v>107.65499877929599</v>
      </c>
      <c r="F5731">
        <v>107.65499877929599</v>
      </c>
      <c r="G5731">
        <v>62626000</v>
      </c>
      <c r="H5731">
        <f t="shared" si="356"/>
        <v>2020</v>
      </c>
      <c r="I5731">
        <f t="shared" si="357"/>
        <v>2</v>
      </c>
      <c r="J5731" t="str">
        <f t="shared" si="358"/>
        <v>Feb</v>
      </c>
      <c r="K5731" t="str">
        <f t="shared" si="359"/>
        <v>Thu</v>
      </c>
    </row>
    <row r="5732" spans="1:11" x14ac:dyDescent="0.35">
      <c r="A5732" s="1">
        <v>43882</v>
      </c>
      <c r="B5732">
        <v>107.107498168945</v>
      </c>
      <c r="C5732">
        <v>107.227500915527</v>
      </c>
      <c r="D5732">
        <v>104.400001525878</v>
      </c>
      <c r="E5732">
        <v>104.798500061035</v>
      </c>
      <c r="F5732">
        <v>104.798500061035</v>
      </c>
      <c r="G5732">
        <v>92926000</v>
      </c>
      <c r="H5732">
        <f t="shared" si="356"/>
        <v>2020</v>
      </c>
      <c r="I5732">
        <f t="shared" si="357"/>
        <v>2</v>
      </c>
      <c r="J5732" t="str">
        <f t="shared" si="358"/>
        <v>Feb</v>
      </c>
      <c r="K5732" t="str">
        <f t="shared" si="359"/>
        <v>Fri</v>
      </c>
    </row>
    <row r="5733" spans="1:11" x14ac:dyDescent="0.35">
      <c r="A5733" s="1">
        <v>43885</v>
      </c>
      <c r="B5733">
        <v>100.15899658203099</v>
      </c>
      <c r="C5733">
        <v>101.96499633789</v>
      </c>
      <c r="D5733">
        <v>99.398498535156193</v>
      </c>
      <c r="E5733">
        <v>100.46450042724599</v>
      </c>
      <c r="F5733">
        <v>100.46450042724599</v>
      </c>
      <c r="G5733">
        <v>130940000</v>
      </c>
      <c r="H5733">
        <f t="shared" si="356"/>
        <v>2020</v>
      </c>
      <c r="I5733">
        <f t="shared" si="357"/>
        <v>2</v>
      </c>
      <c r="J5733" t="str">
        <f t="shared" si="358"/>
        <v>Feb</v>
      </c>
      <c r="K5733" t="str">
        <f t="shared" si="359"/>
        <v>Mon</v>
      </c>
    </row>
    <row r="5734" spans="1:11" x14ac:dyDescent="0.35">
      <c r="A5734" s="1">
        <v>43886</v>
      </c>
      <c r="B5734">
        <v>101.320999145507</v>
      </c>
      <c r="C5734">
        <v>101.730003356933</v>
      </c>
      <c r="D5734">
        <v>97.920997619628906</v>
      </c>
      <c r="E5734">
        <v>98.637001037597599</v>
      </c>
      <c r="F5734">
        <v>98.637001037597599</v>
      </c>
      <c r="G5734">
        <v>124382000</v>
      </c>
      <c r="H5734">
        <f t="shared" si="356"/>
        <v>2020</v>
      </c>
      <c r="I5734">
        <f t="shared" si="357"/>
        <v>2</v>
      </c>
      <c r="J5734" t="str">
        <f t="shared" si="358"/>
        <v>Feb</v>
      </c>
      <c r="K5734" t="str">
        <f t="shared" si="359"/>
        <v>Tue</v>
      </c>
    </row>
    <row r="5735" spans="1:11" x14ac:dyDescent="0.35">
      <c r="A5735" s="1">
        <v>43887</v>
      </c>
      <c r="B5735">
        <v>98.513999938964801</v>
      </c>
      <c r="C5735">
        <v>100.733497619628</v>
      </c>
      <c r="D5735">
        <v>98.022499084472599</v>
      </c>
      <c r="E5735">
        <v>98.979499816894503</v>
      </c>
      <c r="F5735">
        <v>98.979499816894503</v>
      </c>
      <c r="G5735">
        <v>104492000</v>
      </c>
      <c r="H5735">
        <f t="shared" si="356"/>
        <v>2020</v>
      </c>
      <c r="I5735">
        <f t="shared" si="357"/>
        <v>2</v>
      </c>
      <c r="J5735" t="str">
        <f t="shared" si="358"/>
        <v>Feb</v>
      </c>
      <c r="K5735" t="str">
        <f t="shared" si="359"/>
        <v>Wed</v>
      </c>
    </row>
    <row r="5736" spans="1:11" x14ac:dyDescent="0.35">
      <c r="A5736" s="1">
        <v>43888</v>
      </c>
      <c r="B5736">
        <v>96.719001770019503</v>
      </c>
      <c r="C5736">
        <v>98.75</v>
      </c>
      <c r="D5736">
        <v>94.138000488281193</v>
      </c>
      <c r="E5736">
        <v>94.214996337890597</v>
      </c>
      <c r="F5736">
        <v>94.214996337890597</v>
      </c>
      <c r="G5736">
        <v>162880000</v>
      </c>
      <c r="H5736">
        <f t="shared" si="356"/>
        <v>2020</v>
      </c>
      <c r="I5736">
        <f t="shared" si="357"/>
        <v>2</v>
      </c>
      <c r="J5736" t="str">
        <f t="shared" si="358"/>
        <v>Feb</v>
      </c>
      <c r="K5736" t="str">
        <f t="shared" si="359"/>
        <v>Thu</v>
      </c>
    </row>
    <row r="5737" spans="1:11" x14ac:dyDescent="0.35">
      <c r="A5737" s="1">
        <v>43889</v>
      </c>
      <c r="B5737">
        <v>90.731498718261705</v>
      </c>
      <c r="C5737">
        <v>94.487998962402301</v>
      </c>
      <c r="D5737">
        <v>90.556503295898395</v>
      </c>
      <c r="E5737">
        <v>94.1875</v>
      </c>
      <c r="F5737">
        <v>94.1875</v>
      </c>
      <c r="G5737">
        <v>189620000</v>
      </c>
      <c r="H5737">
        <f t="shared" si="356"/>
        <v>2020</v>
      </c>
      <c r="I5737">
        <f t="shared" si="357"/>
        <v>2</v>
      </c>
      <c r="J5737" t="str">
        <f t="shared" si="358"/>
        <v>Feb</v>
      </c>
      <c r="K5737" t="str">
        <f t="shared" si="359"/>
        <v>Fri</v>
      </c>
    </row>
    <row r="5738" spans="1:11" x14ac:dyDescent="0.35">
      <c r="A5738" s="1">
        <v>43892</v>
      </c>
      <c r="B5738">
        <v>95.324501037597599</v>
      </c>
      <c r="C5738">
        <v>97.725502014160099</v>
      </c>
      <c r="D5738">
        <v>93.5</v>
      </c>
      <c r="E5738">
        <v>97.697502136230398</v>
      </c>
      <c r="F5738">
        <v>97.697502136230398</v>
      </c>
      <c r="G5738">
        <v>135234000</v>
      </c>
      <c r="H5738">
        <f t="shared" si="356"/>
        <v>2020</v>
      </c>
      <c r="I5738">
        <f t="shared" si="357"/>
        <v>3</v>
      </c>
      <c r="J5738" t="str">
        <f t="shared" si="358"/>
        <v>Mar</v>
      </c>
      <c r="K5738" t="str">
        <f t="shared" si="359"/>
        <v>Mon</v>
      </c>
    </row>
    <row r="5739" spans="1:11" x14ac:dyDescent="0.35">
      <c r="A5739" s="1">
        <v>43893</v>
      </c>
      <c r="B5739">
        <v>98.768501281738196</v>
      </c>
      <c r="C5739">
        <v>99.816497802734304</v>
      </c>
      <c r="D5739">
        <v>94.404502868652301</v>
      </c>
      <c r="E5739">
        <v>95.449501037597599</v>
      </c>
      <c r="F5739">
        <v>95.449501037597599</v>
      </c>
      <c r="G5739">
        <v>150690000</v>
      </c>
      <c r="H5739">
        <f t="shared" si="356"/>
        <v>2020</v>
      </c>
      <c r="I5739">
        <f t="shared" si="357"/>
        <v>3</v>
      </c>
      <c r="J5739" t="str">
        <f t="shared" si="358"/>
        <v>Mar</v>
      </c>
      <c r="K5739" t="str">
        <f t="shared" si="359"/>
        <v>Tue</v>
      </c>
    </row>
    <row r="5740" spans="1:11" x14ac:dyDescent="0.35">
      <c r="A5740" s="1">
        <v>43894</v>
      </c>
      <c r="B5740">
        <v>97.328498840332003</v>
      </c>
      <c r="C5740">
        <v>98.900001525878906</v>
      </c>
      <c r="D5740">
        <v>96.099998474121094</v>
      </c>
      <c r="E5740">
        <v>98.791496276855398</v>
      </c>
      <c r="F5740">
        <v>98.791496276855398</v>
      </c>
      <c r="G5740">
        <v>95458000</v>
      </c>
      <c r="H5740">
        <f t="shared" si="356"/>
        <v>2020</v>
      </c>
      <c r="I5740">
        <f t="shared" si="357"/>
        <v>3</v>
      </c>
      <c r="J5740" t="str">
        <f t="shared" si="358"/>
        <v>Mar</v>
      </c>
      <c r="K5740" t="str">
        <f t="shared" si="359"/>
        <v>Wed</v>
      </c>
    </row>
    <row r="5741" spans="1:11" x14ac:dyDescent="0.35">
      <c r="A5741" s="1">
        <v>43895</v>
      </c>
      <c r="B5741">
        <v>96.650001525878906</v>
      </c>
      <c r="C5741">
        <v>98.036003112792898</v>
      </c>
      <c r="D5741">
        <v>95.5</v>
      </c>
      <c r="E5741">
        <v>96.201499938964801</v>
      </c>
      <c r="F5741">
        <v>96.201499938964801</v>
      </c>
      <c r="G5741">
        <v>94964000</v>
      </c>
      <c r="H5741">
        <f t="shared" si="356"/>
        <v>2020</v>
      </c>
      <c r="I5741">
        <f t="shared" si="357"/>
        <v>3</v>
      </c>
      <c r="J5741" t="str">
        <f t="shared" si="358"/>
        <v>Mar</v>
      </c>
      <c r="K5741" t="str">
        <f t="shared" si="359"/>
        <v>Thu</v>
      </c>
    </row>
    <row r="5742" spans="1:11" x14ac:dyDescent="0.35">
      <c r="A5742" s="1">
        <v>43896</v>
      </c>
      <c r="B5742">
        <v>93.75</v>
      </c>
      <c r="C5742">
        <v>95.543502807617102</v>
      </c>
      <c r="D5742">
        <v>93.474998474121094</v>
      </c>
      <c r="E5742">
        <v>95.054496765136705</v>
      </c>
      <c r="F5742">
        <v>95.054496765136705</v>
      </c>
      <c r="G5742">
        <v>105472000</v>
      </c>
      <c r="H5742">
        <f t="shared" si="356"/>
        <v>2020</v>
      </c>
      <c r="I5742">
        <f t="shared" si="357"/>
        <v>3</v>
      </c>
      <c r="J5742" t="str">
        <f t="shared" si="358"/>
        <v>Mar</v>
      </c>
      <c r="K5742" t="str">
        <f t="shared" si="359"/>
        <v>Fri</v>
      </c>
    </row>
    <row r="5743" spans="1:11" x14ac:dyDescent="0.35">
      <c r="A5743" s="1">
        <v>43899</v>
      </c>
      <c r="B5743">
        <v>88.693000793457003</v>
      </c>
      <c r="C5743">
        <v>93.138496398925696</v>
      </c>
      <c r="D5743">
        <v>88.064498901367102</v>
      </c>
      <c r="E5743">
        <v>90.030502319335895</v>
      </c>
      <c r="F5743">
        <v>90.030502319335895</v>
      </c>
      <c r="G5743">
        <v>156264000</v>
      </c>
      <c r="H5743">
        <f t="shared" si="356"/>
        <v>2020</v>
      </c>
      <c r="I5743">
        <f t="shared" si="357"/>
        <v>3</v>
      </c>
      <c r="J5743" t="str">
        <f t="shared" si="358"/>
        <v>Mar</v>
      </c>
      <c r="K5743" t="str">
        <f t="shared" si="359"/>
        <v>Mon</v>
      </c>
    </row>
    <row r="5744" spans="1:11" x14ac:dyDescent="0.35">
      <c r="A5744" s="1">
        <v>43900</v>
      </c>
      <c r="B5744">
        <v>93.543998718261705</v>
      </c>
      <c r="C5744">
        <v>94.7135009765625</v>
      </c>
      <c r="D5744">
        <v>90.908500671386705</v>
      </c>
      <c r="E5744">
        <v>94.591003417968693</v>
      </c>
      <c r="F5744">
        <v>94.591003417968693</v>
      </c>
      <c r="G5744">
        <v>142666000</v>
      </c>
      <c r="H5744">
        <f t="shared" si="356"/>
        <v>2020</v>
      </c>
      <c r="I5744">
        <f t="shared" si="357"/>
        <v>3</v>
      </c>
      <c r="J5744" t="str">
        <f t="shared" si="358"/>
        <v>Mar</v>
      </c>
      <c r="K5744" t="str">
        <f t="shared" si="359"/>
        <v>Tue</v>
      </c>
    </row>
    <row r="5745" spans="1:11" x14ac:dyDescent="0.35">
      <c r="A5745" s="1">
        <v>43901</v>
      </c>
      <c r="B5745">
        <v>92.892501831054602</v>
      </c>
      <c r="C5745">
        <v>93.566001892089801</v>
      </c>
      <c r="D5745">
        <v>90.074996948242102</v>
      </c>
      <c r="E5745">
        <v>91.042999267578097</v>
      </c>
      <c r="F5745">
        <v>91.042999267578097</v>
      </c>
      <c r="G5745">
        <v>112496000</v>
      </c>
      <c r="H5745">
        <f t="shared" si="356"/>
        <v>2020</v>
      </c>
      <c r="I5745">
        <f t="shared" si="357"/>
        <v>3</v>
      </c>
      <c r="J5745" t="str">
        <f t="shared" si="358"/>
        <v>Mar</v>
      </c>
      <c r="K5745" t="str">
        <f t="shared" si="359"/>
        <v>Wed</v>
      </c>
    </row>
    <row r="5746" spans="1:11" x14ac:dyDescent="0.35">
      <c r="A5746" s="1">
        <v>43902</v>
      </c>
      <c r="B5746">
        <v>86.0989990234375</v>
      </c>
      <c r="C5746">
        <v>88.25</v>
      </c>
      <c r="D5746">
        <v>83.75</v>
      </c>
      <c r="E5746">
        <v>83.830497741699205</v>
      </c>
      <c r="F5746">
        <v>83.830497741699205</v>
      </c>
      <c r="G5746">
        <v>226924000</v>
      </c>
      <c r="H5746">
        <f t="shared" si="356"/>
        <v>2020</v>
      </c>
      <c r="I5746">
        <f t="shared" si="357"/>
        <v>3</v>
      </c>
      <c r="J5746" t="str">
        <f t="shared" si="358"/>
        <v>Mar</v>
      </c>
      <c r="K5746" t="str">
        <f t="shared" si="359"/>
        <v>Thu</v>
      </c>
    </row>
    <row r="5747" spans="1:11" x14ac:dyDescent="0.35">
      <c r="A5747" s="1">
        <v>43903</v>
      </c>
      <c r="B5747">
        <v>87.75</v>
      </c>
      <c r="C5747">
        <v>89.315498352050696</v>
      </c>
      <c r="D5747">
        <v>84.030998229980398</v>
      </c>
      <c r="E5747">
        <v>89.25</v>
      </c>
      <c r="F5747">
        <v>89.25</v>
      </c>
      <c r="G5747">
        <v>176194000</v>
      </c>
      <c r="H5747">
        <f t="shared" si="356"/>
        <v>2020</v>
      </c>
      <c r="I5747">
        <f t="shared" si="357"/>
        <v>3</v>
      </c>
      <c r="J5747" t="str">
        <f t="shared" si="358"/>
        <v>Mar</v>
      </c>
      <c r="K5747" t="str">
        <f t="shared" si="359"/>
        <v>Fri</v>
      </c>
    </row>
    <row r="5748" spans="1:11" x14ac:dyDescent="0.35">
      <c r="A5748" s="1">
        <v>43906</v>
      </c>
      <c r="B5748">
        <v>82.075500488281193</v>
      </c>
      <c r="C5748">
        <v>87.972503662109304</v>
      </c>
      <c r="D5748">
        <v>81.301498413085895</v>
      </c>
      <c r="E5748">
        <v>84.457496643066406</v>
      </c>
      <c r="F5748">
        <v>84.457496643066406</v>
      </c>
      <c r="G5748">
        <v>178346000</v>
      </c>
      <c r="H5748">
        <f t="shared" si="356"/>
        <v>2020</v>
      </c>
      <c r="I5748">
        <f t="shared" si="357"/>
        <v>3</v>
      </c>
      <c r="J5748" t="str">
        <f t="shared" si="358"/>
        <v>Mar</v>
      </c>
      <c r="K5748" t="str">
        <f t="shared" si="359"/>
        <v>Mon</v>
      </c>
    </row>
    <row r="5749" spans="1:11" x14ac:dyDescent="0.35">
      <c r="A5749" s="1">
        <v>43907</v>
      </c>
      <c r="B5749">
        <v>88.773498535156193</v>
      </c>
      <c r="C5749">
        <v>92.888999938964801</v>
      </c>
      <c r="D5749">
        <v>84.461997985839801</v>
      </c>
      <c r="E5749">
        <v>90.391998291015597</v>
      </c>
      <c r="F5749">
        <v>90.391998291015597</v>
      </c>
      <c r="G5749">
        <v>218342000</v>
      </c>
      <c r="H5749">
        <f t="shared" si="356"/>
        <v>2020</v>
      </c>
      <c r="I5749">
        <f t="shared" si="357"/>
        <v>3</v>
      </c>
      <c r="J5749" t="str">
        <f t="shared" si="358"/>
        <v>Mar</v>
      </c>
      <c r="K5749" t="str">
        <f t="shared" si="359"/>
        <v>Tue</v>
      </c>
    </row>
    <row r="5750" spans="1:11" x14ac:dyDescent="0.35">
      <c r="A5750" s="1">
        <v>43908</v>
      </c>
      <c r="B5750">
        <v>87.5</v>
      </c>
      <c r="C5750">
        <v>92.083000183105398</v>
      </c>
      <c r="D5750">
        <v>87.25</v>
      </c>
      <c r="E5750">
        <v>91.5</v>
      </c>
      <c r="F5750">
        <v>91.5</v>
      </c>
      <c r="G5750">
        <v>192904000</v>
      </c>
      <c r="H5750">
        <f t="shared" si="356"/>
        <v>2020</v>
      </c>
      <c r="I5750">
        <f t="shared" si="357"/>
        <v>3</v>
      </c>
      <c r="J5750" t="str">
        <f t="shared" si="358"/>
        <v>Mar</v>
      </c>
      <c r="K5750" t="str">
        <f t="shared" si="359"/>
        <v>Wed</v>
      </c>
    </row>
    <row r="5751" spans="1:11" x14ac:dyDescent="0.35">
      <c r="A5751" s="1">
        <v>43909</v>
      </c>
      <c r="B5751">
        <v>93</v>
      </c>
      <c r="C5751">
        <v>97.25</v>
      </c>
      <c r="D5751">
        <v>91.632499694824205</v>
      </c>
      <c r="E5751">
        <v>94.046501159667898</v>
      </c>
      <c r="F5751">
        <v>94.046501159667898</v>
      </c>
      <c r="G5751">
        <v>207998000</v>
      </c>
      <c r="H5751">
        <f t="shared" si="356"/>
        <v>2020</v>
      </c>
      <c r="I5751">
        <f t="shared" si="357"/>
        <v>3</v>
      </c>
      <c r="J5751" t="str">
        <f t="shared" si="358"/>
        <v>Mar</v>
      </c>
      <c r="K5751" t="str">
        <f t="shared" si="359"/>
        <v>Thu</v>
      </c>
    </row>
    <row r="5752" spans="1:11" x14ac:dyDescent="0.35">
      <c r="A5752" s="1">
        <v>43910</v>
      </c>
      <c r="B5752">
        <v>96.315498352050696</v>
      </c>
      <c r="C5752">
        <v>97.849998474121094</v>
      </c>
      <c r="D5752">
        <v>91.0364990234375</v>
      </c>
      <c r="E5752">
        <v>92.304496765136705</v>
      </c>
      <c r="F5752">
        <v>92.304496765136705</v>
      </c>
      <c r="G5752">
        <v>196358000</v>
      </c>
      <c r="H5752">
        <f t="shared" si="356"/>
        <v>2020</v>
      </c>
      <c r="I5752">
        <f t="shared" si="357"/>
        <v>3</v>
      </c>
      <c r="J5752" t="str">
        <f t="shared" si="358"/>
        <v>Mar</v>
      </c>
      <c r="K5752" t="str">
        <f t="shared" si="359"/>
        <v>Fri</v>
      </c>
    </row>
    <row r="5753" spans="1:11" x14ac:dyDescent="0.35">
      <c r="A5753" s="1">
        <v>43913</v>
      </c>
      <c r="B5753">
        <v>91.387496948242102</v>
      </c>
      <c r="C5753">
        <v>95.970001220703097</v>
      </c>
      <c r="D5753">
        <v>90.599998474121094</v>
      </c>
      <c r="E5753">
        <v>95.141502380371094</v>
      </c>
      <c r="F5753">
        <v>95.141502380371094</v>
      </c>
      <c r="G5753">
        <v>156170000</v>
      </c>
      <c r="H5753">
        <f t="shared" si="356"/>
        <v>2020</v>
      </c>
      <c r="I5753">
        <f t="shared" si="357"/>
        <v>3</v>
      </c>
      <c r="J5753" t="str">
        <f t="shared" si="358"/>
        <v>Mar</v>
      </c>
      <c r="K5753" t="str">
        <f t="shared" si="359"/>
        <v>Mon</v>
      </c>
    </row>
    <row r="5754" spans="1:11" x14ac:dyDescent="0.35">
      <c r="A5754" s="1">
        <v>43914</v>
      </c>
      <c r="B5754">
        <v>97.574996948242102</v>
      </c>
      <c r="C5754">
        <v>97.75</v>
      </c>
      <c r="D5754">
        <v>95.016998291015597</v>
      </c>
      <c r="E5754">
        <v>97.004997253417898</v>
      </c>
      <c r="F5754">
        <v>97.004997253417898</v>
      </c>
      <c r="G5754">
        <v>142942000</v>
      </c>
      <c r="H5754">
        <f t="shared" si="356"/>
        <v>2020</v>
      </c>
      <c r="I5754">
        <f t="shared" si="357"/>
        <v>3</v>
      </c>
      <c r="J5754" t="str">
        <f t="shared" si="358"/>
        <v>Mar</v>
      </c>
      <c r="K5754" t="str">
        <f t="shared" si="359"/>
        <v>Tue</v>
      </c>
    </row>
    <row r="5755" spans="1:11" x14ac:dyDescent="0.35">
      <c r="A5755" s="1">
        <v>43915</v>
      </c>
      <c r="B5755">
        <v>96.034500122070298</v>
      </c>
      <c r="C5755">
        <v>97.513000488281193</v>
      </c>
      <c r="D5755">
        <v>94.289001464843693</v>
      </c>
      <c r="E5755">
        <v>94.291999816894503</v>
      </c>
      <c r="F5755">
        <v>94.291999816894503</v>
      </c>
      <c r="G5755">
        <v>129582000</v>
      </c>
      <c r="H5755">
        <f t="shared" si="356"/>
        <v>2020</v>
      </c>
      <c r="I5755">
        <f t="shared" si="357"/>
        <v>3</v>
      </c>
      <c r="J5755" t="str">
        <f t="shared" si="358"/>
        <v>Mar</v>
      </c>
      <c r="K5755" t="str">
        <f t="shared" si="359"/>
        <v>Wed</v>
      </c>
    </row>
    <row r="5756" spans="1:11" x14ac:dyDescent="0.35">
      <c r="A5756" s="1">
        <v>43916</v>
      </c>
      <c r="B5756">
        <v>95.099998474121094</v>
      </c>
      <c r="C5756">
        <v>97.824501037597599</v>
      </c>
      <c r="D5756">
        <v>94.464500427246094</v>
      </c>
      <c r="E5756">
        <v>97.774497985839801</v>
      </c>
      <c r="F5756">
        <v>97.774497985839801</v>
      </c>
      <c r="G5756">
        <v>124426000</v>
      </c>
      <c r="H5756">
        <f t="shared" si="356"/>
        <v>2020</v>
      </c>
      <c r="I5756">
        <f t="shared" si="357"/>
        <v>3</v>
      </c>
      <c r="J5756" t="str">
        <f t="shared" si="358"/>
        <v>Mar</v>
      </c>
      <c r="K5756" t="str">
        <f t="shared" si="359"/>
        <v>Thu</v>
      </c>
    </row>
    <row r="5757" spans="1:11" x14ac:dyDescent="0.35">
      <c r="A5757" s="1">
        <v>43917</v>
      </c>
      <c r="B5757">
        <v>96.542999267578097</v>
      </c>
      <c r="C5757">
        <v>96.989501953125</v>
      </c>
      <c r="D5757">
        <v>94.996002197265597</v>
      </c>
      <c r="E5757">
        <v>95.004997253417898</v>
      </c>
      <c r="F5757">
        <v>95.004997253417898</v>
      </c>
      <c r="G5757">
        <v>107758000</v>
      </c>
      <c r="H5757">
        <f t="shared" si="356"/>
        <v>2020</v>
      </c>
      <c r="I5757">
        <f t="shared" si="357"/>
        <v>3</v>
      </c>
      <c r="J5757" t="str">
        <f t="shared" si="358"/>
        <v>Mar</v>
      </c>
      <c r="K5757" t="str">
        <f t="shared" si="359"/>
        <v>Fri</v>
      </c>
    </row>
    <row r="5758" spans="1:11" x14ac:dyDescent="0.35">
      <c r="A5758" s="1">
        <v>43920</v>
      </c>
      <c r="B5758">
        <v>96.141502380371094</v>
      </c>
      <c r="C5758">
        <v>98.681503295898395</v>
      </c>
      <c r="D5758">
        <v>95.616996765136705</v>
      </c>
      <c r="E5758">
        <v>98.197502136230398</v>
      </c>
      <c r="F5758">
        <v>98.197502136230398</v>
      </c>
      <c r="G5758">
        <v>122522000</v>
      </c>
      <c r="H5758">
        <f t="shared" si="356"/>
        <v>2020</v>
      </c>
      <c r="I5758">
        <f t="shared" si="357"/>
        <v>3</v>
      </c>
      <c r="J5758" t="str">
        <f t="shared" si="358"/>
        <v>Mar</v>
      </c>
      <c r="K5758" t="str">
        <f t="shared" si="359"/>
        <v>Mon</v>
      </c>
    </row>
    <row r="5759" spans="1:11" x14ac:dyDescent="0.35">
      <c r="A5759" s="1">
        <v>43921</v>
      </c>
      <c r="B5759">
        <v>98.217498779296804</v>
      </c>
      <c r="C5759">
        <v>99.6510009765625</v>
      </c>
      <c r="D5759">
        <v>97.200500488281193</v>
      </c>
      <c r="E5759">
        <v>97.486000061035099</v>
      </c>
      <c r="F5759">
        <v>97.486000061035099</v>
      </c>
      <c r="G5759">
        <v>102472000</v>
      </c>
      <c r="H5759">
        <f t="shared" si="356"/>
        <v>2020</v>
      </c>
      <c r="I5759">
        <f t="shared" si="357"/>
        <v>3</v>
      </c>
      <c r="J5759" t="str">
        <f t="shared" si="358"/>
        <v>Mar</v>
      </c>
      <c r="K5759" t="str">
        <f t="shared" si="359"/>
        <v>Tue</v>
      </c>
    </row>
    <row r="5760" spans="1:11" x14ac:dyDescent="0.35">
      <c r="A5760" s="1">
        <v>43922</v>
      </c>
      <c r="B5760">
        <v>96.648498535156193</v>
      </c>
      <c r="C5760">
        <v>97.248001098632798</v>
      </c>
      <c r="D5760">
        <v>94.650001525878906</v>
      </c>
      <c r="E5760">
        <v>95.385002136230398</v>
      </c>
      <c r="F5760">
        <v>95.385002136230398</v>
      </c>
      <c r="G5760">
        <v>82438000</v>
      </c>
      <c r="H5760">
        <f t="shared" si="356"/>
        <v>2020</v>
      </c>
      <c r="I5760">
        <f t="shared" si="357"/>
        <v>4</v>
      </c>
      <c r="J5760" t="str">
        <f t="shared" si="358"/>
        <v>Apr</v>
      </c>
      <c r="K5760" t="str">
        <f t="shared" si="359"/>
        <v>Wed</v>
      </c>
    </row>
    <row r="5761" spans="1:11" x14ac:dyDescent="0.35">
      <c r="A5761" s="1">
        <v>43923</v>
      </c>
      <c r="B5761">
        <v>95.082000732421804</v>
      </c>
      <c r="C5761">
        <v>96.376502990722599</v>
      </c>
      <c r="D5761">
        <v>94.5</v>
      </c>
      <c r="E5761">
        <v>95.941497802734304</v>
      </c>
      <c r="F5761">
        <v>95.941497802734304</v>
      </c>
      <c r="G5761">
        <v>86720000</v>
      </c>
      <c r="H5761">
        <f t="shared" si="356"/>
        <v>2020</v>
      </c>
      <c r="I5761">
        <f t="shared" si="357"/>
        <v>4</v>
      </c>
      <c r="J5761" t="str">
        <f t="shared" si="358"/>
        <v>Apr</v>
      </c>
      <c r="K5761" t="str">
        <f t="shared" si="359"/>
        <v>Thu</v>
      </c>
    </row>
    <row r="5762" spans="1:11" x14ac:dyDescent="0.35">
      <c r="A5762" s="1">
        <v>43924</v>
      </c>
      <c r="B5762">
        <v>95.557502746582003</v>
      </c>
      <c r="C5762">
        <v>96.316497802734304</v>
      </c>
      <c r="D5762">
        <v>94.457496643066406</v>
      </c>
      <c r="E5762">
        <v>95.329498291015597</v>
      </c>
      <c r="F5762">
        <v>95.329498291015597</v>
      </c>
      <c r="G5762">
        <v>72198000</v>
      </c>
      <c r="H5762">
        <f t="shared" si="356"/>
        <v>2020</v>
      </c>
      <c r="I5762">
        <f t="shared" si="357"/>
        <v>4</v>
      </c>
      <c r="J5762" t="str">
        <f t="shared" si="358"/>
        <v>Apr</v>
      </c>
      <c r="K5762" t="str">
        <f t="shared" si="359"/>
        <v>Fri</v>
      </c>
    </row>
    <row r="5763" spans="1:11" x14ac:dyDescent="0.35">
      <c r="A5763" s="1">
        <v>43927</v>
      </c>
      <c r="B5763">
        <v>96.800003051757798</v>
      </c>
      <c r="C5763">
        <v>99.926002502441406</v>
      </c>
      <c r="D5763">
        <v>96.500999450683594</v>
      </c>
      <c r="E5763">
        <v>99.879501342773395</v>
      </c>
      <c r="F5763">
        <v>99.879501342773395</v>
      </c>
      <c r="G5763">
        <v>115464000</v>
      </c>
      <c r="H5763">
        <f t="shared" si="356"/>
        <v>2020</v>
      </c>
      <c r="I5763">
        <f t="shared" si="357"/>
        <v>4</v>
      </c>
      <c r="J5763" t="str">
        <f t="shared" si="358"/>
        <v>Apr</v>
      </c>
      <c r="K5763" t="str">
        <f t="shared" si="359"/>
        <v>Mon</v>
      </c>
    </row>
    <row r="5764" spans="1:11" x14ac:dyDescent="0.35">
      <c r="A5764" s="1">
        <v>43928</v>
      </c>
      <c r="B5764">
        <v>100.855499267578</v>
      </c>
      <c r="C5764">
        <v>101.786003112792</v>
      </c>
      <c r="D5764">
        <v>99.880996704101506</v>
      </c>
      <c r="E5764">
        <v>100.58000183105401</v>
      </c>
      <c r="F5764">
        <v>100.58000183105401</v>
      </c>
      <c r="G5764">
        <v>102280000</v>
      </c>
      <c r="H5764">
        <f t="shared" ref="H5764:H5827" si="360">YEAR($A5764)</f>
        <v>2020</v>
      </c>
      <c r="I5764">
        <f t="shared" ref="I5764:I5827" si="361">MONTH($A5764)</f>
        <v>4</v>
      </c>
      <c r="J5764" t="str">
        <f t="shared" ref="J5764:J5827" si="362">TEXT($A5764,"mmm")</f>
        <v>Apr</v>
      </c>
      <c r="K5764" t="str">
        <f t="shared" ref="K5764:K5827" si="363">TEXT($A5764,"ddd")</f>
        <v>Tue</v>
      </c>
    </row>
    <row r="5765" spans="1:11" x14ac:dyDescent="0.35">
      <c r="A5765" s="1">
        <v>43929</v>
      </c>
      <c r="B5765">
        <v>101.050003051757</v>
      </c>
      <c r="C5765">
        <v>102.199996948242</v>
      </c>
      <c r="D5765">
        <v>100.557502746582</v>
      </c>
      <c r="E5765">
        <v>102.150001525878</v>
      </c>
      <c r="F5765">
        <v>102.150001525878</v>
      </c>
      <c r="G5765">
        <v>79546000</v>
      </c>
      <c r="H5765">
        <f t="shared" si="360"/>
        <v>2020</v>
      </c>
      <c r="I5765">
        <f t="shared" si="361"/>
        <v>4</v>
      </c>
      <c r="J5765" t="str">
        <f t="shared" si="362"/>
        <v>Apr</v>
      </c>
      <c r="K5765" t="str">
        <f t="shared" si="363"/>
        <v>Wed</v>
      </c>
    </row>
    <row r="5766" spans="1:11" x14ac:dyDescent="0.35">
      <c r="A5766" s="1">
        <v>43930</v>
      </c>
      <c r="B5766">
        <v>102.21499633789</v>
      </c>
      <c r="C5766">
        <v>102.650001525878</v>
      </c>
      <c r="D5766">
        <v>100.883003234863</v>
      </c>
      <c r="E5766">
        <v>102.13800048828099</v>
      </c>
      <c r="F5766">
        <v>102.13800048828099</v>
      </c>
      <c r="G5766">
        <v>92930000</v>
      </c>
      <c r="H5766">
        <f t="shared" si="360"/>
        <v>2020</v>
      </c>
      <c r="I5766">
        <f t="shared" si="361"/>
        <v>4</v>
      </c>
      <c r="J5766" t="str">
        <f t="shared" si="362"/>
        <v>Apr</v>
      </c>
      <c r="K5766" t="str">
        <f t="shared" si="363"/>
        <v>Thu</v>
      </c>
    </row>
    <row r="5767" spans="1:11" x14ac:dyDescent="0.35">
      <c r="A5767" s="1">
        <v>43934</v>
      </c>
      <c r="B5767">
        <v>102</v>
      </c>
      <c r="C5767">
        <v>109</v>
      </c>
      <c r="D5767">
        <v>101.900001525878</v>
      </c>
      <c r="E5767">
        <v>108.44349670410099</v>
      </c>
      <c r="F5767">
        <v>108.44349670410099</v>
      </c>
      <c r="G5767">
        <v>134334000</v>
      </c>
      <c r="H5767">
        <f t="shared" si="360"/>
        <v>2020</v>
      </c>
      <c r="I5767">
        <f t="shared" si="361"/>
        <v>4</v>
      </c>
      <c r="J5767" t="str">
        <f t="shared" si="362"/>
        <v>Apr</v>
      </c>
      <c r="K5767" t="str">
        <f t="shared" si="363"/>
        <v>Mon</v>
      </c>
    </row>
    <row r="5768" spans="1:11" x14ac:dyDescent="0.35">
      <c r="A5768" s="1">
        <v>43935</v>
      </c>
      <c r="B5768">
        <v>110.02349853515599</v>
      </c>
      <c r="C5768">
        <v>114.59999847412099</v>
      </c>
      <c r="D5768">
        <v>109.310501098632</v>
      </c>
      <c r="E5768">
        <v>114.16600036621</v>
      </c>
      <c r="F5768">
        <v>114.16600036621</v>
      </c>
      <c r="G5768">
        <v>161744000</v>
      </c>
      <c r="H5768">
        <f t="shared" si="360"/>
        <v>2020</v>
      </c>
      <c r="I5768">
        <f t="shared" si="361"/>
        <v>4</v>
      </c>
      <c r="J5768" t="str">
        <f t="shared" si="362"/>
        <v>Apr</v>
      </c>
      <c r="K5768" t="str">
        <f t="shared" si="363"/>
        <v>Tue</v>
      </c>
    </row>
    <row r="5769" spans="1:11" x14ac:dyDescent="0.35">
      <c r="A5769" s="1">
        <v>43936</v>
      </c>
      <c r="B5769">
        <v>112.88400268554599</v>
      </c>
      <c r="C5769">
        <v>116.668502807617</v>
      </c>
      <c r="D5769">
        <v>112.25</v>
      </c>
      <c r="E5769">
        <v>115.38400268554599</v>
      </c>
      <c r="F5769">
        <v>115.38400268554599</v>
      </c>
      <c r="G5769">
        <v>137332000</v>
      </c>
      <c r="H5769">
        <f t="shared" si="360"/>
        <v>2020</v>
      </c>
      <c r="I5769">
        <f t="shared" si="361"/>
        <v>4</v>
      </c>
      <c r="J5769" t="str">
        <f t="shared" si="362"/>
        <v>Apr</v>
      </c>
      <c r="K5769" t="str">
        <f t="shared" si="363"/>
        <v>Wed</v>
      </c>
    </row>
    <row r="5770" spans="1:11" x14ac:dyDescent="0.35">
      <c r="A5770" s="1">
        <v>43937</v>
      </c>
      <c r="B5770">
        <v>117.300003051757</v>
      </c>
      <c r="C5770">
        <v>123.050003051757</v>
      </c>
      <c r="D5770">
        <v>116.75</v>
      </c>
      <c r="E5770">
        <v>120.40950012207</v>
      </c>
      <c r="F5770">
        <v>120.40950012207</v>
      </c>
      <c r="G5770">
        <v>240764000</v>
      </c>
      <c r="H5770">
        <f t="shared" si="360"/>
        <v>2020</v>
      </c>
      <c r="I5770">
        <f t="shared" si="361"/>
        <v>4</v>
      </c>
      <c r="J5770" t="str">
        <f t="shared" si="362"/>
        <v>Apr</v>
      </c>
      <c r="K5770" t="str">
        <f t="shared" si="363"/>
        <v>Thu</v>
      </c>
    </row>
    <row r="5771" spans="1:11" x14ac:dyDescent="0.35">
      <c r="A5771" s="1">
        <v>43938</v>
      </c>
      <c r="B5771">
        <v>118.616500854492</v>
      </c>
      <c r="C5771">
        <v>120</v>
      </c>
      <c r="D5771">
        <v>115.80100250244099</v>
      </c>
      <c r="E5771">
        <v>118.75</v>
      </c>
      <c r="F5771">
        <v>118.75</v>
      </c>
      <c r="G5771">
        <v>158600000</v>
      </c>
      <c r="H5771">
        <f t="shared" si="360"/>
        <v>2020</v>
      </c>
      <c r="I5771">
        <f t="shared" si="361"/>
        <v>4</v>
      </c>
      <c r="J5771" t="str">
        <f t="shared" si="362"/>
        <v>Apr</v>
      </c>
      <c r="K5771" t="str">
        <f t="shared" si="363"/>
        <v>Fri</v>
      </c>
    </row>
    <row r="5772" spans="1:11" x14ac:dyDescent="0.35">
      <c r="A5772" s="1">
        <v>43941</v>
      </c>
      <c r="B5772">
        <v>119.497497558593</v>
      </c>
      <c r="C5772">
        <v>122.24900054931599</v>
      </c>
      <c r="D5772">
        <v>119.30249786376901</v>
      </c>
      <c r="E5772">
        <v>119.68049621582</v>
      </c>
      <c r="F5772">
        <v>119.68049621582</v>
      </c>
      <c r="G5772">
        <v>115414000</v>
      </c>
      <c r="H5772">
        <f t="shared" si="360"/>
        <v>2020</v>
      </c>
      <c r="I5772">
        <f t="shared" si="361"/>
        <v>4</v>
      </c>
      <c r="J5772" t="str">
        <f t="shared" si="362"/>
        <v>Apr</v>
      </c>
      <c r="K5772" t="str">
        <f t="shared" si="363"/>
        <v>Mon</v>
      </c>
    </row>
    <row r="5773" spans="1:11" x14ac:dyDescent="0.35">
      <c r="A5773" s="1">
        <v>43942</v>
      </c>
      <c r="B5773">
        <v>120.83049774169901</v>
      </c>
      <c r="C5773">
        <v>121.41549682617099</v>
      </c>
      <c r="D5773">
        <v>113.98300170898401</v>
      </c>
      <c r="E5773">
        <v>116.40599822998</v>
      </c>
      <c r="F5773">
        <v>116.40599822998</v>
      </c>
      <c r="G5773">
        <v>149534000</v>
      </c>
      <c r="H5773">
        <f t="shared" si="360"/>
        <v>2020</v>
      </c>
      <c r="I5773">
        <f t="shared" si="361"/>
        <v>4</v>
      </c>
      <c r="J5773" t="str">
        <f t="shared" si="362"/>
        <v>Apr</v>
      </c>
      <c r="K5773" t="str">
        <f t="shared" si="363"/>
        <v>Tue</v>
      </c>
    </row>
    <row r="5774" spans="1:11" x14ac:dyDescent="0.35">
      <c r="A5774" s="1">
        <v>43943</v>
      </c>
      <c r="B5774">
        <v>118.449996948242</v>
      </c>
      <c r="C5774">
        <v>119.699996948242</v>
      </c>
      <c r="D5774">
        <v>117.550003051757</v>
      </c>
      <c r="E5774">
        <v>118.174499511718</v>
      </c>
      <c r="F5774">
        <v>118.174499511718</v>
      </c>
      <c r="G5774">
        <v>84244000</v>
      </c>
      <c r="H5774">
        <f t="shared" si="360"/>
        <v>2020</v>
      </c>
      <c r="I5774">
        <f t="shared" si="361"/>
        <v>4</v>
      </c>
      <c r="J5774" t="str">
        <f t="shared" si="362"/>
        <v>Apr</v>
      </c>
      <c r="K5774" t="str">
        <f t="shared" si="363"/>
        <v>Wed</v>
      </c>
    </row>
    <row r="5775" spans="1:11" x14ac:dyDescent="0.35">
      <c r="A5775" s="1">
        <v>43944</v>
      </c>
      <c r="B5775">
        <v>119.99900054931599</v>
      </c>
      <c r="C5775">
        <v>121.21099853515599</v>
      </c>
      <c r="D5775">
        <v>119.103996276855</v>
      </c>
      <c r="E5775">
        <v>119.97250366210901</v>
      </c>
      <c r="F5775">
        <v>119.97250366210901</v>
      </c>
      <c r="G5775">
        <v>101332000</v>
      </c>
      <c r="H5775">
        <f t="shared" si="360"/>
        <v>2020</v>
      </c>
      <c r="I5775">
        <f t="shared" si="361"/>
        <v>4</v>
      </c>
      <c r="J5775" t="str">
        <f t="shared" si="362"/>
        <v>Apr</v>
      </c>
      <c r="K5775" t="str">
        <f t="shared" si="363"/>
        <v>Thu</v>
      </c>
    </row>
    <row r="5776" spans="1:11" x14ac:dyDescent="0.35">
      <c r="A5776" s="1">
        <v>43945</v>
      </c>
      <c r="B5776">
        <v>120.84999847412099</v>
      </c>
      <c r="C5776">
        <v>121.02149963378901</v>
      </c>
      <c r="D5776">
        <v>119.09999847412099</v>
      </c>
      <c r="E5776">
        <v>120.51100158691401</v>
      </c>
      <c r="F5776">
        <v>120.51100158691401</v>
      </c>
      <c r="G5776">
        <v>76498000</v>
      </c>
      <c r="H5776">
        <f t="shared" si="360"/>
        <v>2020</v>
      </c>
      <c r="I5776">
        <f t="shared" si="361"/>
        <v>4</v>
      </c>
      <c r="J5776" t="str">
        <f t="shared" si="362"/>
        <v>Apr</v>
      </c>
      <c r="K5776" t="str">
        <f t="shared" si="363"/>
        <v>Fri</v>
      </c>
    </row>
    <row r="5777" spans="1:11" x14ac:dyDescent="0.35">
      <c r="A5777" s="1">
        <v>43948</v>
      </c>
      <c r="B5777">
        <v>122.16000366210901</v>
      </c>
      <c r="C5777">
        <v>122.244003295898</v>
      </c>
      <c r="D5777">
        <v>118.150001525878</v>
      </c>
      <c r="E5777">
        <v>118.800003051757</v>
      </c>
      <c r="F5777">
        <v>118.800003051757</v>
      </c>
      <c r="G5777">
        <v>112912000</v>
      </c>
      <c r="H5777">
        <f t="shared" si="360"/>
        <v>2020</v>
      </c>
      <c r="I5777">
        <f t="shared" si="361"/>
        <v>4</v>
      </c>
      <c r="J5777" t="str">
        <f t="shared" si="362"/>
        <v>Apr</v>
      </c>
      <c r="K5777" t="str">
        <f t="shared" si="363"/>
        <v>Mon</v>
      </c>
    </row>
    <row r="5778" spans="1:11" x14ac:dyDescent="0.35">
      <c r="A5778" s="1">
        <v>43949</v>
      </c>
      <c r="B5778">
        <v>118.605003356933</v>
      </c>
      <c r="C5778">
        <v>118.675003051757</v>
      </c>
      <c r="D5778">
        <v>115.300003051757</v>
      </c>
      <c r="E5778">
        <v>115.70400238037099</v>
      </c>
      <c r="F5778">
        <v>115.70400238037099</v>
      </c>
      <c r="G5778">
        <v>105388000</v>
      </c>
      <c r="H5778">
        <f t="shared" si="360"/>
        <v>2020</v>
      </c>
      <c r="I5778">
        <f t="shared" si="361"/>
        <v>4</v>
      </c>
      <c r="J5778" t="str">
        <f t="shared" si="362"/>
        <v>Apr</v>
      </c>
      <c r="K5778" t="str">
        <f t="shared" si="363"/>
        <v>Tue</v>
      </c>
    </row>
    <row r="5779" spans="1:11" x14ac:dyDescent="0.35">
      <c r="A5779" s="1">
        <v>43950</v>
      </c>
      <c r="B5779">
        <v>116.50050354003901</v>
      </c>
      <c r="C5779">
        <v>119.59449768066401</v>
      </c>
      <c r="D5779">
        <v>115.5</v>
      </c>
      <c r="E5779">
        <v>118.635498046875</v>
      </c>
      <c r="F5779">
        <v>118.635498046875</v>
      </c>
      <c r="G5779">
        <v>91832000</v>
      </c>
      <c r="H5779">
        <f t="shared" si="360"/>
        <v>2020</v>
      </c>
      <c r="I5779">
        <f t="shared" si="361"/>
        <v>4</v>
      </c>
      <c r="J5779" t="str">
        <f t="shared" si="362"/>
        <v>Apr</v>
      </c>
      <c r="K5779" t="str">
        <f t="shared" si="363"/>
        <v>Wed</v>
      </c>
    </row>
    <row r="5780" spans="1:11" x14ac:dyDescent="0.35">
      <c r="A5780" s="1">
        <v>43951</v>
      </c>
      <c r="B5780">
        <v>120.99199676513599</v>
      </c>
      <c r="C5780">
        <v>123.75</v>
      </c>
      <c r="D5780">
        <v>119.800498962402</v>
      </c>
      <c r="E5780">
        <v>123.699996948242</v>
      </c>
      <c r="F5780">
        <v>123.699996948242</v>
      </c>
      <c r="G5780">
        <v>190692000</v>
      </c>
      <c r="H5780">
        <f t="shared" si="360"/>
        <v>2020</v>
      </c>
      <c r="I5780">
        <f t="shared" si="361"/>
        <v>4</v>
      </c>
      <c r="J5780" t="str">
        <f t="shared" si="362"/>
        <v>Apr</v>
      </c>
      <c r="K5780" t="str">
        <f t="shared" si="363"/>
        <v>Thu</v>
      </c>
    </row>
    <row r="5781" spans="1:11" x14ac:dyDescent="0.35">
      <c r="A5781" s="1">
        <v>43952</v>
      </c>
      <c r="B5781">
        <v>116.83999633789</v>
      </c>
      <c r="C5781">
        <v>118.12200164794901</v>
      </c>
      <c r="D5781">
        <v>112.90950012207</v>
      </c>
      <c r="E5781">
        <v>114.302001953125</v>
      </c>
      <c r="F5781">
        <v>114.302001953125</v>
      </c>
      <c r="G5781">
        <v>195452000</v>
      </c>
      <c r="H5781">
        <f t="shared" si="360"/>
        <v>2020</v>
      </c>
      <c r="I5781">
        <f t="shared" si="361"/>
        <v>5</v>
      </c>
      <c r="J5781" t="str">
        <f t="shared" si="362"/>
        <v>May</v>
      </c>
      <c r="K5781" t="str">
        <f t="shared" si="363"/>
        <v>Fri</v>
      </c>
    </row>
    <row r="5782" spans="1:11" x14ac:dyDescent="0.35">
      <c r="A5782" s="1">
        <v>43955</v>
      </c>
      <c r="B5782">
        <v>112.81900024414</v>
      </c>
      <c r="C5782">
        <v>116.348999023437</v>
      </c>
      <c r="D5782">
        <v>112.81900024414</v>
      </c>
      <c r="E5782">
        <v>115.799499511718</v>
      </c>
      <c r="F5782">
        <v>115.799499511718</v>
      </c>
      <c r="G5782">
        <v>97318000</v>
      </c>
      <c r="H5782">
        <f t="shared" si="360"/>
        <v>2020</v>
      </c>
      <c r="I5782">
        <f t="shared" si="361"/>
        <v>5</v>
      </c>
      <c r="J5782" t="str">
        <f t="shared" si="362"/>
        <v>May</v>
      </c>
      <c r="K5782" t="str">
        <f t="shared" si="363"/>
        <v>Mon</v>
      </c>
    </row>
    <row r="5783" spans="1:11" x14ac:dyDescent="0.35">
      <c r="A5783" s="1">
        <v>43956</v>
      </c>
      <c r="B5783">
        <v>117</v>
      </c>
      <c r="C5783">
        <v>117.550003051757</v>
      </c>
      <c r="D5783">
        <v>115.35649871826099</v>
      </c>
      <c r="E5783">
        <v>115.889999389648</v>
      </c>
      <c r="F5783">
        <v>115.889999389648</v>
      </c>
      <c r="G5783">
        <v>64850000</v>
      </c>
      <c r="H5783">
        <f t="shared" si="360"/>
        <v>2020</v>
      </c>
      <c r="I5783">
        <f t="shared" si="361"/>
        <v>5</v>
      </c>
      <c r="J5783" t="str">
        <f t="shared" si="362"/>
        <v>May</v>
      </c>
      <c r="K5783" t="str">
        <f t="shared" si="363"/>
        <v>Tue</v>
      </c>
    </row>
    <row r="5784" spans="1:11" x14ac:dyDescent="0.35">
      <c r="A5784" s="1">
        <v>43957</v>
      </c>
      <c r="B5784">
        <v>116.47200012207</v>
      </c>
      <c r="C5784">
        <v>117.872497558593</v>
      </c>
      <c r="D5784">
        <v>116</v>
      </c>
      <c r="E5784">
        <v>117.56300354003901</v>
      </c>
      <c r="F5784">
        <v>117.56300354003901</v>
      </c>
      <c r="G5784">
        <v>62356000</v>
      </c>
      <c r="H5784">
        <f t="shared" si="360"/>
        <v>2020</v>
      </c>
      <c r="I5784">
        <f t="shared" si="361"/>
        <v>5</v>
      </c>
      <c r="J5784" t="str">
        <f t="shared" si="362"/>
        <v>May</v>
      </c>
      <c r="K5784" t="str">
        <f t="shared" si="363"/>
        <v>Wed</v>
      </c>
    </row>
    <row r="5785" spans="1:11" x14ac:dyDescent="0.35">
      <c r="A5785" s="1">
        <v>43958</v>
      </c>
      <c r="B5785">
        <v>118.738998413085</v>
      </c>
      <c r="C5785">
        <v>118.800003051757</v>
      </c>
      <c r="D5785">
        <v>117.155502319335</v>
      </c>
      <c r="E5785">
        <v>118.380500793457</v>
      </c>
      <c r="F5785">
        <v>118.380500793457</v>
      </c>
      <c r="G5785">
        <v>67928000</v>
      </c>
      <c r="H5785">
        <f t="shared" si="360"/>
        <v>2020</v>
      </c>
      <c r="I5785">
        <f t="shared" si="361"/>
        <v>5</v>
      </c>
      <c r="J5785" t="str">
        <f t="shared" si="362"/>
        <v>May</v>
      </c>
      <c r="K5785" t="str">
        <f t="shared" si="363"/>
        <v>Thu</v>
      </c>
    </row>
    <row r="5786" spans="1:11" x14ac:dyDescent="0.35">
      <c r="A5786" s="1">
        <v>43959</v>
      </c>
      <c r="B5786">
        <v>118.6070022583</v>
      </c>
      <c r="C5786">
        <v>119.361999511718</v>
      </c>
      <c r="D5786">
        <v>117.84999847412099</v>
      </c>
      <c r="E5786">
        <v>118.980499267578</v>
      </c>
      <c r="F5786">
        <v>118.980499267578</v>
      </c>
      <c r="G5786">
        <v>64132000</v>
      </c>
      <c r="H5786">
        <f t="shared" si="360"/>
        <v>2020</v>
      </c>
      <c r="I5786">
        <f t="shared" si="361"/>
        <v>5</v>
      </c>
      <c r="J5786" t="str">
        <f t="shared" si="362"/>
        <v>May</v>
      </c>
      <c r="K5786" t="str">
        <f t="shared" si="363"/>
        <v>Fri</v>
      </c>
    </row>
    <row r="5787" spans="1:11" x14ac:dyDescent="0.35">
      <c r="A5787" s="1">
        <v>43962</v>
      </c>
      <c r="B5787">
        <v>118.73500061035099</v>
      </c>
      <c r="C5787">
        <v>120.983497619628</v>
      </c>
      <c r="D5787">
        <v>118.605499267578</v>
      </c>
      <c r="E5787">
        <v>120.449996948242</v>
      </c>
      <c r="F5787">
        <v>120.449996948242</v>
      </c>
      <c r="G5787">
        <v>65184000</v>
      </c>
      <c r="H5787">
        <f t="shared" si="360"/>
        <v>2020</v>
      </c>
      <c r="I5787">
        <f t="shared" si="361"/>
        <v>5</v>
      </c>
      <c r="J5787" t="str">
        <f t="shared" si="362"/>
        <v>May</v>
      </c>
      <c r="K5787" t="str">
        <f t="shared" si="363"/>
        <v>Mon</v>
      </c>
    </row>
    <row r="5788" spans="1:11" x14ac:dyDescent="0.35">
      <c r="A5788" s="1">
        <v>43963</v>
      </c>
      <c r="B5788">
        <v>120.59249877929599</v>
      </c>
      <c r="C5788">
        <v>120.949996948242</v>
      </c>
      <c r="D5788">
        <v>117.75</v>
      </c>
      <c r="E5788">
        <v>117.84750366210901</v>
      </c>
      <c r="F5788">
        <v>117.84750366210901</v>
      </c>
      <c r="G5788">
        <v>61498000</v>
      </c>
      <c r="H5788">
        <f t="shared" si="360"/>
        <v>2020</v>
      </c>
      <c r="I5788">
        <f t="shared" si="361"/>
        <v>5</v>
      </c>
      <c r="J5788" t="str">
        <f t="shared" si="362"/>
        <v>May</v>
      </c>
      <c r="K5788" t="str">
        <f t="shared" si="363"/>
        <v>Tue</v>
      </c>
    </row>
    <row r="5789" spans="1:11" x14ac:dyDescent="0.35">
      <c r="A5789" s="1">
        <v>43964</v>
      </c>
      <c r="B5789">
        <v>118.33999633789</v>
      </c>
      <c r="C5789">
        <v>120.38500213623</v>
      </c>
      <c r="D5789">
        <v>116.889999389648</v>
      </c>
      <c r="E5789">
        <v>118.39600372314401</v>
      </c>
      <c r="F5789">
        <v>118.39600372314401</v>
      </c>
      <c r="G5789">
        <v>95658000</v>
      </c>
      <c r="H5789">
        <f t="shared" si="360"/>
        <v>2020</v>
      </c>
      <c r="I5789">
        <f t="shared" si="361"/>
        <v>5</v>
      </c>
      <c r="J5789" t="str">
        <f t="shared" si="362"/>
        <v>May</v>
      </c>
      <c r="K5789" t="str">
        <f t="shared" si="363"/>
        <v>Wed</v>
      </c>
    </row>
    <row r="5790" spans="1:11" x14ac:dyDescent="0.35">
      <c r="A5790" s="1">
        <v>43965</v>
      </c>
      <c r="B5790">
        <v>118.050498962402</v>
      </c>
      <c r="C5790">
        <v>119.56849670410099</v>
      </c>
      <c r="D5790">
        <v>117.660499572753</v>
      </c>
      <c r="E5790">
        <v>119.442497253417</v>
      </c>
      <c r="F5790">
        <v>119.442497253417</v>
      </c>
      <c r="G5790">
        <v>72962000</v>
      </c>
      <c r="H5790">
        <f t="shared" si="360"/>
        <v>2020</v>
      </c>
      <c r="I5790">
        <f t="shared" si="361"/>
        <v>5</v>
      </c>
      <c r="J5790" t="str">
        <f t="shared" si="362"/>
        <v>May</v>
      </c>
      <c r="K5790" t="str">
        <f t="shared" si="363"/>
        <v>Thu</v>
      </c>
    </row>
    <row r="5791" spans="1:11" x14ac:dyDescent="0.35">
      <c r="A5791" s="1">
        <v>43966</v>
      </c>
      <c r="B5791">
        <v>118.42600250244099</v>
      </c>
      <c r="C5791">
        <v>120.550003051757</v>
      </c>
      <c r="D5791">
        <v>117.81849670410099</v>
      </c>
      <c r="E5791">
        <v>120.488998413085</v>
      </c>
      <c r="F5791">
        <v>120.488998413085</v>
      </c>
      <c r="G5791">
        <v>84700000</v>
      </c>
      <c r="H5791">
        <f t="shared" si="360"/>
        <v>2020</v>
      </c>
      <c r="I5791">
        <f t="shared" si="361"/>
        <v>5</v>
      </c>
      <c r="J5791" t="str">
        <f t="shared" si="362"/>
        <v>May</v>
      </c>
      <c r="K5791" t="str">
        <f t="shared" si="363"/>
        <v>Fri</v>
      </c>
    </row>
    <row r="5792" spans="1:11" x14ac:dyDescent="0.35">
      <c r="A5792" s="1">
        <v>43969</v>
      </c>
      <c r="B5792">
        <v>120.21749877929599</v>
      </c>
      <c r="C5792">
        <v>121.650001525878</v>
      </c>
      <c r="D5792">
        <v>119.20050048828099</v>
      </c>
      <c r="E5792">
        <v>121.31300354003901</v>
      </c>
      <c r="F5792">
        <v>121.31300354003901</v>
      </c>
      <c r="G5792">
        <v>87144000</v>
      </c>
      <c r="H5792">
        <f t="shared" si="360"/>
        <v>2020</v>
      </c>
      <c r="I5792">
        <f t="shared" si="361"/>
        <v>5</v>
      </c>
      <c r="J5792" t="str">
        <f t="shared" si="362"/>
        <v>May</v>
      </c>
      <c r="K5792" t="str">
        <f t="shared" si="363"/>
        <v>Mon</v>
      </c>
    </row>
    <row r="5793" spans="1:11" x14ac:dyDescent="0.35">
      <c r="A5793" s="1">
        <v>43970</v>
      </c>
      <c r="B5793">
        <v>121.491500854492</v>
      </c>
      <c r="C5793">
        <v>124.25</v>
      </c>
      <c r="D5793">
        <v>121.44850158691401</v>
      </c>
      <c r="E5793">
        <v>122.466499328613</v>
      </c>
      <c r="F5793">
        <v>122.466499328613</v>
      </c>
      <c r="G5793">
        <v>86410000</v>
      </c>
      <c r="H5793">
        <f t="shared" si="360"/>
        <v>2020</v>
      </c>
      <c r="I5793">
        <f t="shared" si="361"/>
        <v>5</v>
      </c>
      <c r="J5793" t="str">
        <f t="shared" si="362"/>
        <v>May</v>
      </c>
      <c r="K5793" t="str">
        <f t="shared" si="363"/>
        <v>Tue</v>
      </c>
    </row>
    <row r="5794" spans="1:11" x14ac:dyDescent="0.35">
      <c r="A5794" s="1">
        <v>43971</v>
      </c>
      <c r="B5794">
        <v>123.893501281738</v>
      </c>
      <c r="C5794">
        <v>125.00050354003901</v>
      </c>
      <c r="D5794">
        <v>123.36350250244099</v>
      </c>
      <c r="E5794">
        <v>124.897003173828</v>
      </c>
      <c r="F5794">
        <v>124.897003173828</v>
      </c>
      <c r="G5794">
        <v>79962000</v>
      </c>
      <c r="H5794">
        <f t="shared" si="360"/>
        <v>2020</v>
      </c>
      <c r="I5794">
        <f t="shared" si="361"/>
        <v>5</v>
      </c>
      <c r="J5794" t="str">
        <f t="shared" si="362"/>
        <v>May</v>
      </c>
      <c r="K5794" t="str">
        <f t="shared" si="363"/>
        <v>Wed</v>
      </c>
    </row>
    <row r="5795" spans="1:11" x14ac:dyDescent="0.35">
      <c r="A5795" s="1">
        <v>43972</v>
      </c>
      <c r="B5795">
        <v>125</v>
      </c>
      <c r="C5795">
        <v>126.272499084472</v>
      </c>
      <c r="D5795">
        <v>122.126998901367</v>
      </c>
      <c r="E5795">
        <v>122.33699798583901</v>
      </c>
      <c r="F5795">
        <v>122.33699798583901</v>
      </c>
      <c r="G5795">
        <v>102288000</v>
      </c>
      <c r="H5795">
        <f t="shared" si="360"/>
        <v>2020</v>
      </c>
      <c r="I5795">
        <f t="shared" si="361"/>
        <v>5</v>
      </c>
      <c r="J5795" t="str">
        <f t="shared" si="362"/>
        <v>May</v>
      </c>
      <c r="K5795" t="str">
        <f t="shared" si="363"/>
        <v>Thu</v>
      </c>
    </row>
    <row r="5796" spans="1:11" x14ac:dyDescent="0.35">
      <c r="A5796" s="1">
        <v>43973</v>
      </c>
      <c r="B5796">
        <v>122.75050354003901</v>
      </c>
      <c r="C5796">
        <v>123.492500305175</v>
      </c>
      <c r="D5796">
        <v>121.50650024414</v>
      </c>
      <c r="E5796">
        <v>121.84400177001901</v>
      </c>
      <c r="F5796">
        <v>121.84400177001901</v>
      </c>
      <c r="G5796">
        <v>57342000</v>
      </c>
      <c r="H5796">
        <f t="shared" si="360"/>
        <v>2020</v>
      </c>
      <c r="I5796">
        <f t="shared" si="361"/>
        <v>5</v>
      </c>
      <c r="J5796" t="str">
        <f t="shared" si="362"/>
        <v>May</v>
      </c>
      <c r="K5796" t="str">
        <f t="shared" si="363"/>
        <v>Fri</v>
      </c>
    </row>
    <row r="5797" spans="1:11" x14ac:dyDescent="0.35">
      <c r="A5797" s="1">
        <v>43977</v>
      </c>
      <c r="B5797">
        <v>122.900001525878</v>
      </c>
      <c r="C5797">
        <v>123.09999847412099</v>
      </c>
      <c r="D5797">
        <v>120.703002929687</v>
      </c>
      <c r="E5797">
        <v>121.093002319335</v>
      </c>
      <c r="F5797">
        <v>121.093002319335</v>
      </c>
      <c r="G5797">
        <v>71364000</v>
      </c>
      <c r="H5797">
        <f t="shared" si="360"/>
        <v>2020</v>
      </c>
      <c r="I5797">
        <f t="shared" si="361"/>
        <v>5</v>
      </c>
      <c r="J5797" t="str">
        <f t="shared" si="362"/>
        <v>May</v>
      </c>
      <c r="K5797" t="str">
        <f t="shared" si="363"/>
        <v>Tue</v>
      </c>
    </row>
    <row r="5798" spans="1:11" x14ac:dyDescent="0.35">
      <c r="A5798" s="1">
        <v>43978</v>
      </c>
      <c r="B5798">
        <v>120.24949645996</v>
      </c>
      <c r="C5798">
        <v>120.679000854492</v>
      </c>
      <c r="D5798">
        <v>116.5</v>
      </c>
      <c r="E5798">
        <v>120.51950073242099</v>
      </c>
      <c r="F5798">
        <v>120.51950073242099</v>
      </c>
      <c r="G5798">
        <v>101138000</v>
      </c>
      <c r="H5798">
        <f t="shared" si="360"/>
        <v>2020</v>
      </c>
      <c r="I5798">
        <f t="shared" si="361"/>
        <v>5</v>
      </c>
      <c r="J5798" t="str">
        <f t="shared" si="362"/>
        <v>May</v>
      </c>
      <c r="K5798" t="str">
        <f t="shared" si="363"/>
        <v>Wed</v>
      </c>
    </row>
    <row r="5799" spans="1:11" x14ac:dyDescent="0.35">
      <c r="A5799" s="1">
        <v>43979</v>
      </c>
      <c r="B5799">
        <v>119.216499328613</v>
      </c>
      <c r="C5799">
        <v>121.848503112792</v>
      </c>
      <c r="D5799">
        <v>118.911499023437</v>
      </c>
      <c r="E5799">
        <v>120.055000305175</v>
      </c>
      <c r="F5799">
        <v>120.055000305175</v>
      </c>
      <c r="G5799">
        <v>63804000</v>
      </c>
      <c r="H5799">
        <f t="shared" si="360"/>
        <v>2020</v>
      </c>
      <c r="I5799">
        <f t="shared" si="361"/>
        <v>5</v>
      </c>
      <c r="J5799" t="str">
        <f t="shared" si="362"/>
        <v>May</v>
      </c>
      <c r="K5799" t="str">
        <f t="shared" si="363"/>
        <v>Thu</v>
      </c>
    </row>
    <row r="5800" spans="1:11" x14ac:dyDescent="0.35">
      <c r="A5800" s="1">
        <v>43980</v>
      </c>
      <c r="B5800">
        <v>120.796997070312</v>
      </c>
      <c r="C5800">
        <v>122.11849975585901</v>
      </c>
      <c r="D5800">
        <v>119.91000366210901</v>
      </c>
      <c r="E5800">
        <v>122.11849975585901</v>
      </c>
      <c r="F5800">
        <v>122.11849975585901</v>
      </c>
      <c r="G5800">
        <v>70198000</v>
      </c>
      <c r="H5800">
        <f t="shared" si="360"/>
        <v>2020</v>
      </c>
      <c r="I5800">
        <f t="shared" si="361"/>
        <v>5</v>
      </c>
      <c r="J5800" t="str">
        <f t="shared" si="362"/>
        <v>May</v>
      </c>
      <c r="K5800" t="str">
        <f t="shared" si="363"/>
        <v>Fri</v>
      </c>
    </row>
    <row r="5801" spans="1:11" x14ac:dyDescent="0.35">
      <c r="A5801" s="1">
        <v>43983</v>
      </c>
      <c r="B5801">
        <v>122.400001525878</v>
      </c>
      <c r="C5801">
        <v>123.84649658203099</v>
      </c>
      <c r="D5801">
        <v>122.20850372314401</v>
      </c>
      <c r="E5801">
        <v>123.552001953125</v>
      </c>
      <c r="F5801">
        <v>123.552001953125</v>
      </c>
      <c r="G5801">
        <v>58578000</v>
      </c>
      <c r="H5801">
        <f t="shared" si="360"/>
        <v>2020</v>
      </c>
      <c r="I5801">
        <f t="shared" si="361"/>
        <v>6</v>
      </c>
      <c r="J5801" t="str">
        <f t="shared" si="362"/>
        <v>Jun</v>
      </c>
      <c r="K5801" t="str">
        <f t="shared" si="363"/>
        <v>Mon</v>
      </c>
    </row>
    <row r="5802" spans="1:11" x14ac:dyDescent="0.35">
      <c r="A5802" s="1">
        <v>43984</v>
      </c>
      <c r="B5802">
        <v>123.34999847412099</v>
      </c>
      <c r="C5802">
        <v>123.676498413085</v>
      </c>
      <c r="D5802">
        <v>122.265502929687</v>
      </c>
      <c r="E5802">
        <v>123.62049865722599</v>
      </c>
      <c r="F5802">
        <v>123.62049865722599</v>
      </c>
      <c r="G5802">
        <v>50598000</v>
      </c>
      <c r="H5802">
        <f t="shared" si="360"/>
        <v>2020</v>
      </c>
      <c r="I5802">
        <f t="shared" si="361"/>
        <v>6</v>
      </c>
      <c r="J5802" t="str">
        <f t="shared" si="362"/>
        <v>Jun</v>
      </c>
      <c r="K5802" t="str">
        <f t="shared" si="363"/>
        <v>Tue</v>
      </c>
    </row>
    <row r="5803" spans="1:11" x14ac:dyDescent="0.35">
      <c r="A5803" s="1">
        <v>43985</v>
      </c>
      <c r="B5803">
        <v>123.400497436523</v>
      </c>
      <c r="C5803">
        <v>124.400001525878</v>
      </c>
      <c r="D5803">
        <v>123.058502197265</v>
      </c>
      <c r="E5803">
        <v>123.919998168945</v>
      </c>
      <c r="F5803">
        <v>123.919998168945</v>
      </c>
      <c r="G5803">
        <v>53420000</v>
      </c>
      <c r="H5803">
        <f t="shared" si="360"/>
        <v>2020</v>
      </c>
      <c r="I5803">
        <f t="shared" si="361"/>
        <v>6</v>
      </c>
      <c r="J5803" t="str">
        <f t="shared" si="362"/>
        <v>Jun</v>
      </c>
      <c r="K5803" t="str">
        <f t="shared" si="363"/>
        <v>Wed</v>
      </c>
    </row>
    <row r="5804" spans="1:11" x14ac:dyDescent="0.35">
      <c r="A5804" s="1">
        <v>43986</v>
      </c>
      <c r="B5804">
        <v>123.87149810791</v>
      </c>
      <c r="C5804">
        <v>125.376998901367</v>
      </c>
      <c r="D5804">
        <v>122.50050354003901</v>
      </c>
      <c r="E5804">
        <v>123.02999877929599</v>
      </c>
      <c r="F5804">
        <v>123.02999877929599</v>
      </c>
      <c r="G5804">
        <v>58974000</v>
      </c>
      <c r="H5804">
        <f t="shared" si="360"/>
        <v>2020</v>
      </c>
      <c r="I5804">
        <f t="shared" si="361"/>
        <v>6</v>
      </c>
      <c r="J5804" t="str">
        <f t="shared" si="362"/>
        <v>Jun</v>
      </c>
      <c r="K5804" t="str">
        <f t="shared" si="363"/>
        <v>Thu</v>
      </c>
    </row>
    <row r="5805" spans="1:11" x14ac:dyDescent="0.35">
      <c r="A5805" s="1">
        <v>43987</v>
      </c>
      <c r="B5805">
        <v>122.22550201416</v>
      </c>
      <c r="C5805">
        <v>124.432502746582</v>
      </c>
      <c r="D5805">
        <v>121.85649871826099</v>
      </c>
      <c r="E5805">
        <v>124.150001525878</v>
      </c>
      <c r="F5805">
        <v>124.150001525878</v>
      </c>
      <c r="G5805">
        <v>66128000</v>
      </c>
      <c r="H5805">
        <f t="shared" si="360"/>
        <v>2020</v>
      </c>
      <c r="I5805">
        <f t="shared" si="361"/>
        <v>6</v>
      </c>
      <c r="J5805" t="str">
        <f t="shared" si="362"/>
        <v>Jun</v>
      </c>
      <c r="K5805" t="str">
        <f t="shared" si="363"/>
        <v>Fri</v>
      </c>
    </row>
    <row r="5806" spans="1:11" x14ac:dyDescent="0.35">
      <c r="A5806" s="1">
        <v>43990</v>
      </c>
      <c r="B5806">
        <v>125.01000213623</v>
      </c>
      <c r="C5806">
        <v>126.5</v>
      </c>
      <c r="D5806">
        <v>124.36699676513599</v>
      </c>
      <c r="E5806">
        <v>126.203002929687</v>
      </c>
      <c r="F5806">
        <v>126.203002929687</v>
      </c>
      <c r="G5806">
        <v>79414000</v>
      </c>
      <c r="H5806">
        <f t="shared" si="360"/>
        <v>2020</v>
      </c>
      <c r="I5806">
        <f t="shared" si="361"/>
        <v>6</v>
      </c>
      <c r="J5806" t="str">
        <f t="shared" si="362"/>
        <v>Jun</v>
      </c>
      <c r="K5806" t="str">
        <f t="shared" si="363"/>
        <v>Mon</v>
      </c>
    </row>
    <row r="5807" spans="1:11" x14ac:dyDescent="0.35">
      <c r="A5807" s="1">
        <v>43991</v>
      </c>
      <c r="B5807">
        <v>126.47200012207</v>
      </c>
      <c r="C5807">
        <v>131.32150268554599</v>
      </c>
      <c r="D5807">
        <v>126.25</v>
      </c>
      <c r="E5807">
        <v>130.04299926757801</v>
      </c>
      <c r="F5807">
        <v>130.04299926757801</v>
      </c>
      <c r="G5807">
        <v>103520000</v>
      </c>
      <c r="H5807">
        <f t="shared" si="360"/>
        <v>2020</v>
      </c>
      <c r="I5807">
        <f t="shared" si="361"/>
        <v>6</v>
      </c>
      <c r="J5807" t="str">
        <f t="shared" si="362"/>
        <v>Jun</v>
      </c>
      <c r="K5807" t="str">
        <f t="shared" si="363"/>
        <v>Tue</v>
      </c>
    </row>
    <row r="5808" spans="1:11" x14ac:dyDescent="0.35">
      <c r="A5808" s="1">
        <v>43992</v>
      </c>
      <c r="B5808">
        <v>132.25</v>
      </c>
      <c r="C5808">
        <v>136.11749267578099</v>
      </c>
      <c r="D5808">
        <v>131.31300354003901</v>
      </c>
      <c r="E5808">
        <v>132.37249755859301</v>
      </c>
      <c r="F5808">
        <v>132.37249755859301</v>
      </c>
      <c r="G5808">
        <v>98920000</v>
      </c>
      <c r="H5808">
        <f t="shared" si="360"/>
        <v>2020</v>
      </c>
      <c r="I5808">
        <f t="shared" si="361"/>
        <v>6</v>
      </c>
      <c r="J5808" t="str">
        <f t="shared" si="362"/>
        <v>Jun</v>
      </c>
      <c r="K5808" t="str">
        <f t="shared" si="363"/>
        <v>Wed</v>
      </c>
    </row>
    <row r="5809" spans="1:11" x14ac:dyDescent="0.35">
      <c r="A5809" s="1">
        <v>43993</v>
      </c>
      <c r="B5809">
        <v>130.17500305175699</v>
      </c>
      <c r="C5809">
        <v>133.56900024414</v>
      </c>
      <c r="D5809">
        <v>126.81150054931599</v>
      </c>
      <c r="E5809">
        <v>127.89800262451099</v>
      </c>
      <c r="F5809">
        <v>127.89800262451099</v>
      </c>
      <c r="G5809">
        <v>116002000</v>
      </c>
      <c r="H5809">
        <f t="shared" si="360"/>
        <v>2020</v>
      </c>
      <c r="I5809">
        <f t="shared" si="361"/>
        <v>6</v>
      </c>
      <c r="J5809" t="str">
        <f t="shared" si="362"/>
        <v>Jun</v>
      </c>
      <c r="K5809" t="str">
        <f t="shared" si="363"/>
        <v>Thu</v>
      </c>
    </row>
    <row r="5810" spans="1:11" x14ac:dyDescent="0.35">
      <c r="A5810" s="1">
        <v>43994</v>
      </c>
      <c r="B5810">
        <v>130.06050109863199</v>
      </c>
      <c r="C5810">
        <v>131.07400512695301</v>
      </c>
      <c r="D5810">
        <v>125.167503356933</v>
      </c>
      <c r="E5810">
        <v>127.250999450683</v>
      </c>
      <c r="F5810">
        <v>127.250999450683</v>
      </c>
      <c r="G5810">
        <v>108722000</v>
      </c>
      <c r="H5810">
        <f t="shared" si="360"/>
        <v>2020</v>
      </c>
      <c r="I5810">
        <f t="shared" si="361"/>
        <v>6</v>
      </c>
      <c r="J5810" t="str">
        <f t="shared" si="362"/>
        <v>Jun</v>
      </c>
      <c r="K5810" t="str">
        <f t="shared" si="363"/>
        <v>Fri</v>
      </c>
    </row>
    <row r="5811" spans="1:11" x14ac:dyDescent="0.35">
      <c r="A5811" s="1">
        <v>43997</v>
      </c>
      <c r="B5811">
        <v>126.33000183105401</v>
      </c>
      <c r="C5811">
        <v>129.19999694824199</v>
      </c>
      <c r="D5811">
        <v>125.400001525878</v>
      </c>
      <c r="E5811">
        <v>128.63400268554599</v>
      </c>
      <c r="F5811">
        <v>128.63400268554599</v>
      </c>
      <c r="G5811">
        <v>77302000</v>
      </c>
      <c r="H5811">
        <f t="shared" si="360"/>
        <v>2020</v>
      </c>
      <c r="I5811">
        <f t="shared" si="361"/>
        <v>6</v>
      </c>
      <c r="J5811" t="str">
        <f t="shared" si="362"/>
        <v>Jun</v>
      </c>
      <c r="K5811" t="str">
        <f t="shared" si="363"/>
        <v>Mon</v>
      </c>
    </row>
    <row r="5812" spans="1:11" x14ac:dyDescent="0.35">
      <c r="A5812" s="1">
        <v>43998</v>
      </c>
      <c r="B5812">
        <v>131</v>
      </c>
      <c r="C5812">
        <v>131</v>
      </c>
      <c r="D5812">
        <v>128.80000305175699</v>
      </c>
      <c r="E5812">
        <v>130.76350402832</v>
      </c>
      <c r="F5812">
        <v>130.76350402832</v>
      </c>
      <c r="G5812">
        <v>71712000</v>
      </c>
      <c r="H5812">
        <f t="shared" si="360"/>
        <v>2020</v>
      </c>
      <c r="I5812">
        <f t="shared" si="361"/>
        <v>6</v>
      </c>
      <c r="J5812" t="str">
        <f t="shared" si="362"/>
        <v>Jun</v>
      </c>
      <c r="K5812" t="str">
        <f t="shared" si="363"/>
        <v>Tue</v>
      </c>
    </row>
    <row r="5813" spans="1:11" x14ac:dyDescent="0.35">
      <c r="A5813" s="1">
        <v>43999</v>
      </c>
      <c r="B5813">
        <v>132.375</v>
      </c>
      <c r="C5813">
        <v>132.75</v>
      </c>
      <c r="D5813">
        <v>131.59100341796801</v>
      </c>
      <c r="E5813">
        <v>132.04899597167901</v>
      </c>
      <c r="F5813">
        <v>132.04899597167901</v>
      </c>
      <c r="G5813">
        <v>59186000</v>
      </c>
      <c r="H5813">
        <f t="shared" si="360"/>
        <v>2020</v>
      </c>
      <c r="I5813">
        <f t="shared" si="361"/>
        <v>6</v>
      </c>
      <c r="J5813" t="str">
        <f t="shared" si="362"/>
        <v>Jun</v>
      </c>
      <c r="K5813" t="str">
        <f t="shared" si="363"/>
        <v>Wed</v>
      </c>
    </row>
    <row r="5814" spans="1:11" x14ac:dyDescent="0.35">
      <c r="A5814" s="1">
        <v>44000</v>
      </c>
      <c r="B5814">
        <v>132.350494384765</v>
      </c>
      <c r="C5814">
        <v>132.98199462890599</v>
      </c>
      <c r="D5814">
        <v>131.80549621582</v>
      </c>
      <c r="E5814">
        <v>132.69900512695301</v>
      </c>
      <c r="F5814">
        <v>132.69900512695301</v>
      </c>
      <c r="G5814">
        <v>49756000</v>
      </c>
      <c r="H5814">
        <f t="shared" si="360"/>
        <v>2020</v>
      </c>
      <c r="I5814">
        <f t="shared" si="361"/>
        <v>6</v>
      </c>
      <c r="J5814" t="str">
        <f t="shared" si="362"/>
        <v>Jun</v>
      </c>
      <c r="K5814" t="str">
        <f t="shared" si="363"/>
        <v>Thu</v>
      </c>
    </row>
    <row r="5815" spans="1:11" x14ac:dyDescent="0.35">
      <c r="A5815" s="1">
        <v>44001</v>
      </c>
      <c r="B5815">
        <v>133.90400695800699</v>
      </c>
      <c r="C5815">
        <v>134.87150573730401</v>
      </c>
      <c r="D5815">
        <v>132.94999694824199</v>
      </c>
      <c r="E5815">
        <v>133.75050354003901</v>
      </c>
      <c r="F5815">
        <v>133.75050354003901</v>
      </c>
      <c r="G5815">
        <v>115540000</v>
      </c>
      <c r="H5815">
        <f t="shared" si="360"/>
        <v>2020</v>
      </c>
      <c r="I5815">
        <f t="shared" si="361"/>
        <v>6</v>
      </c>
      <c r="J5815" t="str">
        <f t="shared" si="362"/>
        <v>Jun</v>
      </c>
      <c r="K5815" t="str">
        <f t="shared" si="363"/>
        <v>Fri</v>
      </c>
    </row>
    <row r="5816" spans="1:11" x14ac:dyDescent="0.35">
      <c r="A5816" s="1">
        <v>44004</v>
      </c>
      <c r="B5816">
        <v>134.225006103515</v>
      </c>
      <c r="C5816">
        <v>135.75</v>
      </c>
      <c r="D5816">
        <v>133.44999694824199</v>
      </c>
      <c r="E5816">
        <v>135.690994262695</v>
      </c>
      <c r="F5816">
        <v>135.690994262695</v>
      </c>
      <c r="G5816">
        <v>64176000</v>
      </c>
      <c r="H5816">
        <f t="shared" si="360"/>
        <v>2020</v>
      </c>
      <c r="I5816">
        <f t="shared" si="361"/>
        <v>6</v>
      </c>
      <c r="J5816" t="str">
        <f t="shared" si="362"/>
        <v>Jun</v>
      </c>
      <c r="K5816" t="str">
        <f t="shared" si="363"/>
        <v>Mon</v>
      </c>
    </row>
    <row r="5817" spans="1:11" x14ac:dyDescent="0.35">
      <c r="A5817" s="1">
        <v>44005</v>
      </c>
      <c r="B5817">
        <v>136.30099487304599</v>
      </c>
      <c r="C5817">
        <v>139.155502319335</v>
      </c>
      <c r="D5817">
        <v>135.90199279785099</v>
      </c>
      <c r="E5817">
        <v>138.22050476074199</v>
      </c>
      <c r="F5817">
        <v>138.22050476074199</v>
      </c>
      <c r="G5817">
        <v>84634000</v>
      </c>
      <c r="H5817">
        <f t="shared" si="360"/>
        <v>2020</v>
      </c>
      <c r="I5817">
        <f t="shared" si="361"/>
        <v>6</v>
      </c>
      <c r="J5817" t="str">
        <f t="shared" si="362"/>
        <v>Jun</v>
      </c>
      <c r="K5817" t="str">
        <f t="shared" si="363"/>
        <v>Tue</v>
      </c>
    </row>
    <row r="5818" spans="1:11" x14ac:dyDescent="0.35">
      <c r="A5818" s="1">
        <v>44006</v>
      </c>
      <c r="B5818">
        <v>139</v>
      </c>
      <c r="C5818">
        <v>139.80000305175699</v>
      </c>
      <c r="D5818">
        <v>136.05000305175699</v>
      </c>
      <c r="E5818">
        <v>136.72000122070301</v>
      </c>
      <c r="F5818">
        <v>136.72000122070301</v>
      </c>
      <c r="G5818">
        <v>90532000</v>
      </c>
      <c r="H5818">
        <f t="shared" si="360"/>
        <v>2020</v>
      </c>
      <c r="I5818">
        <f t="shared" si="361"/>
        <v>6</v>
      </c>
      <c r="J5818" t="str">
        <f t="shared" si="362"/>
        <v>Jun</v>
      </c>
      <c r="K5818" t="str">
        <f t="shared" si="363"/>
        <v>Wed</v>
      </c>
    </row>
    <row r="5819" spans="1:11" x14ac:dyDescent="0.35">
      <c r="A5819" s="1">
        <v>44007</v>
      </c>
      <c r="B5819">
        <v>136.97749328613199</v>
      </c>
      <c r="C5819">
        <v>137.81149291992099</v>
      </c>
      <c r="D5819">
        <v>135.60699462890599</v>
      </c>
      <c r="E5819">
        <v>137.72900390625</v>
      </c>
      <c r="F5819">
        <v>137.72900390625</v>
      </c>
      <c r="G5819">
        <v>59374000</v>
      </c>
      <c r="H5819">
        <f t="shared" si="360"/>
        <v>2020</v>
      </c>
      <c r="I5819">
        <f t="shared" si="361"/>
        <v>6</v>
      </c>
      <c r="J5819" t="str">
        <f t="shared" si="362"/>
        <v>Jun</v>
      </c>
      <c r="K5819" t="str">
        <f t="shared" si="363"/>
        <v>Thu</v>
      </c>
    </row>
    <row r="5820" spans="1:11" x14ac:dyDescent="0.35">
      <c r="A5820" s="1">
        <v>44008</v>
      </c>
      <c r="B5820">
        <v>138.753005981445</v>
      </c>
      <c r="C5820">
        <v>139.128494262695</v>
      </c>
      <c r="D5820">
        <v>134.39999389648401</v>
      </c>
      <c r="E5820">
        <v>134.64349365234301</v>
      </c>
      <c r="F5820">
        <v>134.64349365234301</v>
      </c>
      <c r="G5820">
        <v>130016000</v>
      </c>
      <c r="H5820">
        <f t="shared" si="360"/>
        <v>2020</v>
      </c>
      <c r="I5820">
        <f t="shared" si="361"/>
        <v>6</v>
      </c>
      <c r="J5820" t="str">
        <f t="shared" si="362"/>
        <v>Jun</v>
      </c>
      <c r="K5820" t="str">
        <f t="shared" si="363"/>
        <v>Fri</v>
      </c>
    </row>
    <row r="5821" spans="1:11" x14ac:dyDescent="0.35">
      <c r="A5821" s="1">
        <v>44011</v>
      </c>
      <c r="B5821">
        <v>134.50050354003901</v>
      </c>
      <c r="C5821">
        <v>134.83999633789</v>
      </c>
      <c r="D5821">
        <v>131.50399780273401</v>
      </c>
      <c r="E5821">
        <v>134.01899719238199</v>
      </c>
      <c r="F5821">
        <v>134.01899719238199</v>
      </c>
      <c r="G5821">
        <v>84468000</v>
      </c>
      <c r="H5821">
        <f t="shared" si="360"/>
        <v>2020</v>
      </c>
      <c r="I5821">
        <f t="shared" si="361"/>
        <v>6</v>
      </c>
      <c r="J5821" t="str">
        <f t="shared" si="362"/>
        <v>Jun</v>
      </c>
      <c r="K5821" t="str">
        <f t="shared" si="363"/>
        <v>Mon</v>
      </c>
    </row>
    <row r="5822" spans="1:11" x14ac:dyDescent="0.35">
      <c r="A5822" s="1">
        <v>44012</v>
      </c>
      <c r="B5822">
        <v>134.253494262695</v>
      </c>
      <c r="C5822">
        <v>138.48150634765599</v>
      </c>
      <c r="D5822">
        <v>133.75149536132801</v>
      </c>
      <c r="E5822">
        <v>137.940994262695</v>
      </c>
      <c r="F5822">
        <v>137.940994262695</v>
      </c>
      <c r="G5822">
        <v>75394000</v>
      </c>
      <c r="H5822">
        <f t="shared" si="360"/>
        <v>2020</v>
      </c>
      <c r="I5822">
        <f t="shared" si="361"/>
        <v>6</v>
      </c>
      <c r="J5822" t="str">
        <f t="shared" si="362"/>
        <v>Jun</v>
      </c>
      <c r="K5822" t="str">
        <f t="shared" si="363"/>
        <v>Tue</v>
      </c>
    </row>
    <row r="5823" spans="1:11" x14ac:dyDescent="0.35">
      <c r="A5823" s="1">
        <v>44013</v>
      </c>
      <c r="B5823">
        <v>137.89950561523401</v>
      </c>
      <c r="C5823">
        <v>144.75</v>
      </c>
      <c r="D5823">
        <v>137.69999694824199</v>
      </c>
      <c r="E5823">
        <v>143.93499755859301</v>
      </c>
      <c r="F5823">
        <v>143.93499755859301</v>
      </c>
      <c r="G5823">
        <v>127268000</v>
      </c>
      <c r="H5823">
        <f t="shared" si="360"/>
        <v>2020</v>
      </c>
      <c r="I5823">
        <f t="shared" si="361"/>
        <v>7</v>
      </c>
      <c r="J5823" t="str">
        <f t="shared" si="362"/>
        <v>Jul</v>
      </c>
      <c r="K5823" t="str">
        <f t="shared" si="363"/>
        <v>Wed</v>
      </c>
    </row>
    <row r="5824" spans="1:11" x14ac:dyDescent="0.35">
      <c r="A5824" s="1">
        <v>44014</v>
      </c>
      <c r="B5824">
        <v>145.600494384765</v>
      </c>
      <c r="C5824">
        <v>147.77799987792901</v>
      </c>
      <c r="D5824">
        <v>143.55499267578099</v>
      </c>
      <c r="E5824">
        <v>144.51499938964801</v>
      </c>
      <c r="F5824">
        <v>144.51499938964801</v>
      </c>
      <c r="G5824">
        <v>131868000</v>
      </c>
      <c r="H5824">
        <f t="shared" si="360"/>
        <v>2020</v>
      </c>
      <c r="I5824">
        <f t="shared" si="361"/>
        <v>7</v>
      </c>
      <c r="J5824" t="str">
        <f t="shared" si="362"/>
        <v>Jul</v>
      </c>
      <c r="K5824" t="str">
        <f t="shared" si="363"/>
        <v>Thu</v>
      </c>
    </row>
    <row r="5825" spans="1:11" x14ac:dyDescent="0.35">
      <c r="A5825" s="1">
        <v>44018</v>
      </c>
      <c r="B5825">
        <v>146.74850463867099</v>
      </c>
      <c r="C5825">
        <v>152.99400329589801</v>
      </c>
      <c r="D5825">
        <v>146.5</v>
      </c>
      <c r="E5825">
        <v>152.85200500488199</v>
      </c>
      <c r="F5825">
        <v>152.85200500488199</v>
      </c>
      <c r="G5825">
        <v>137612000</v>
      </c>
      <c r="H5825">
        <f t="shared" si="360"/>
        <v>2020</v>
      </c>
      <c r="I5825">
        <f t="shared" si="361"/>
        <v>7</v>
      </c>
      <c r="J5825" t="str">
        <f t="shared" si="362"/>
        <v>Jul</v>
      </c>
      <c r="K5825" t="str">
        <f t="shared" si="363"/>
        <v>Mon</v>
      </c>
    </row>
    <row r="5826" spans="1:11" x14ac:dyDescent="0.35">
      <c r="A5826" s="1">
        <v>44019</v>
      </c>
      <c r="B5826">
        <v>152.92750549316401</v>
      </c>
      <c r="C5826">
        <v>153.47749328613199</v>
      </c>
      <c r="D5826">
        <v>149.5</v>
      </c>
      <c r="E5826">
        <v>150.00599670410099</v>
      </c>
      <c r="F5826">
        <v>150.00599670410099</v>
      </c>
      <c r="G5826">
        <v>105150000</v>
      </c>
      <c r="H5826">
        <f t="shared" si="360"/>
        <v>2020</v>
      </c>
      <c r="I5826">
        <f t="shared" si="361"/>
        <v>7</v>
      </c>
      <c r="J5826" t="str">
        <f t="shared" si="362"/>
        <v>Jul</v>
      </c>
      <c r="K5826" t="str">
        <f t="shared" si="363"/>
        <v>Tue</v>
      </c>
    </row>
    <row r="5827" spans="1:11" x14ac:dyDescent="0.35">
      <c r="A5827" s="1">
        <v>44020</v>
      </c>
      <c r="B5827">
        <v>151.13049316406199</v>
      </c>
      <c r="C5827">
        <v>154.19850158691401</v>
      </c>
      <c r="D5827">
        <v>150.62150573730401</v>
      </c>
      <c r="E5827">
        <v>154.05549621582</v>
      </c>
      <c r="F5827">
        <v>154.05549621582</v>
      </c>
      <c r="G5827">
        <v>100752000</v>
      </c>
      <c r="H5827">
        <f t="shared" si="360"/>
        <v>2020</v>
      </c>
      <c r="I5827">
        <f t="shared" si="361"/>
        <v>7</v>
      </c>
      <c r="J5827" t="str">
        <f t="shared" si="362"/>
        <v>Jul</v>
      </c>
      <c r="K5827" t="str">
        <f t="shared" si="363"/>
        <v>Wed</v>
      </c>
    </row>
    <row r="5828" spans="1:11" x14ac:dyDescent="0.35">
      <c r="A5828" s="1">
        <v>44021</v>
      </c>
      <c r="B5828">
        <v>155.79949951171801</v>
      </c>
      <c r="C5828">
        <v>159.69400024414</v>
      </c>
      <c r="D5828">
        <v>153.69999694824199</v>
      </c>
      <c r="E5828">
        <v>159.13150024414</v>
      </c>
      <c r="F5828">
        <v>159.13150024414</v>
      </c>
      <c r="G5828">
        <v>127774000</v>
      </c>
      <c r="H5828">
        <f t="shared" ref="H5828:H5891" si="364">YEAR($A5828)</f>
        <v>2020</v>
      </c>
      <c r="I5828">
        <f t="shared" ref="I5828:I5891" si="365">MONTH($A5828)</f>
        <v>7</v>
      </c>
      <c r="J5828" t="str">
        <f t="shared" ref="J5828:J5891" si="366">TEXT($A5828,"mmm")</f>
        <v>Jul</v>
      </c>
      <c r="K5828" t="str">
        <f t="shared" ref="K5828:K5891" si="367">TEXT($A5828,"ddd")</f>
        <v>Thu</v>
      </c>
    </row>
    <row r="5829" spans="1:11" x14ac:dyDescent="0.35">
      <c r="A5829" s="1">
        <v>44022</v>
      </c>
      <c r="B5829">
        <v>159.58799743652301</v>
      </c>
      <c r="C5829">
        <v>160.75</v>
      </c>
      <c r="D5829">
        <v>156.78500366210901</v>
      </c>
      <c r="E5829">
        <v>160</v>
      </c>
      <c r="F5829">
        <v>160</v>
      </c>
      <c r="G5829">
        <v>109720000</v>
      </c>
      <c r="H5829">
        <f t="shared" si="364"/>
        <v>2020</v>
      </c>
      <c r="I5829">
        <f t="shared" si="365"/>
        <v>7</v>
      </c>
      <c r="J5829" t="str">
        <f t="shared" si="366"/>
        <v>Jul</v>
      </c>
      <c r="K5829" t="str">
        <f t="shared" si="367"/>
        <v>Fri</v>
      </c>
    </row>
    <row r="5830" spans="1:11" x14ac:dyDescent="0.35">
      <c r="A5830" s="1">
        <v>44025</v>
      </c>
      <c r="B5830">
        <v>162.55299377441401</v>
      </c>
      <c r="C5830">
        <v>167.21449279785099</v>
      </c>
      <c r="D5830">
        <v>153.41949462890599</v>
      </c>
      <c r="E5830">
        <v>155.19999694824199</v>
      </c>
      <c r="F5830">
        <v>155.19999694824199</v>
      </c>
      <c r="G5830">
        <v>154408000</v>
      </c>
      <c r="H5830">
        <f t="shared" si="364"/>
        <v>2020</v>
      </c>
      <c r="I5830">
        <f t="shared" si="365"/>
        <v>7</v>
      </c>
      <c r="J5830" t="str">
        <f t="shared" si="366"/>
        <v>Jul</v>
      </c>
      <c r="K5830" t="str">
        <f t="shared" si="367"/>
        <v>Mon</v>
      </c>
    </row>
    <row r="5831" spans="1:11" x14ac:dyDescent="0.35">
      <c r="A5831" s="1">
        <v>44026</v>
      </c>
      <c r="B5831">
        <v>154.44999694824199</v>
      </c>
      <c r="C5831">
        <v>156.36900329589801</v>
      </c>
      <c r="D5831">
        <v>147.5</v>
      </c>
      <c r="E5831">
        <v>154.19999694824199</v>
      </c>
      <c r="F5831">
        <v>154.19999694824199</v>
      </c>
      <c r="G5831">
        <v>144638000</v>
      </c>
      <c r="H5831">
        <f t="shared" si="364"/>
        <v>2020</v>
      </c>
      <c r="I5831">
        <f t="shared" si="365"/>
        <v>7</v>
      </c>
      <c r="J5831" t="str">
        <f t="shared" si="366"/>
        <v>Jul</v>
      </c>
      <c r="K5831" t="str">
        <f t="shared" si="367"/>
        <v>Tue</v>
      </c>
    </row>
    <row r="5832" spans="1:11" x14ac:dyDescent="0.35">
      <c r="A5832" s="1">
        <v>44027</v>
      </c>
      <c r="B5832">
        <v>154.01150512695301</v>
      </c>
      <c r="C5832">
        <v>154.91749572753901</v>
      </c>
      <c r="D5832">
        <v>148.65899658203099</v>
      </c>
      <c r="E5832">
        <v>150.44349670410099</v>
      </c>
      <c r="F5832">
        <v>150.44349670410099</v>
      </c>
      <c r="G5832">
        <v>115778000</v>
      </c>
      <c r="H5832">
        <f t="shared" si="364"/>
        <v>2020</v>
      </c>
      <c r="I5832">
        <f t="shared" si="365"/>
        <v>7</v>
      </c>
      <c r="J5832" t="str">
        <f t="shared" si="366"/>
        <v>Jul</v>
      </c>
      <c r="K5832" t="str">
        <f t="shared" si="367"/>
        <v>Wed</v>
      </c>
    </row>
    <row r="5833" spans="1:11" x14ac:dyDescent="0.35">
      <c r="A5833" s="1">
        <v>44028</v>
      </c>
      <c r="B5833">
        <v>148.55299377441401</v>
      </c>
      <c r="C5833">
        <v>151.600006103515</v>
      </c>
      <c r="D5833">
        <v>145.91149902343699</v>
      </c>
      <c r="E5833">
        <v>149.99499511718699</v>
      </c>
      <c r="F5833">
        <v>149.99499511718699</v>
      </c>
      <c r="G5833">
        <v>127884000</v>
      </c>
      <c r="H5833">
        <f t="shared" si="364"/>
        <v>2020</v>
      </c>
      <c r="I5833">
        <f t="shared" si="365"/>
        <v>7</v>
      </c>
      <c r="J5833" t="str">
        <f t="shared" si="366"/>
        <v>Jul</v>
      </c>
      <c r="K5833" t="str">
        <f t="shared" si="367"/>
        <v>Thu</v>
      </c>
    </row>
    <row r="5834" spans="1:11" x14ac:dyDescent="0.35">
      <c r="A5834" s="1">
        <v>44029</v>
      </c>
      <c r="B5834">
        <v>150.44999694824199</v>
      </c>
      <c r="C5834">
        <v>151.19999694824199</v>
      </c>
      <c r="D5834">
        <v>147.42250061035099</v>
      </c>
      <c r="E5834">
        <v>148.09849548339801</v>
      </c>
      <c r="F5834">
        <v>148.09849548339801</v>
      </c>
      <c r="G5834">
        <v>95226000</v>
      </c>
      <c r="H5834">
        <f t="shared" si="364"/>
        <v>2020</v>
      </c>
      <c r="I5834">
        <f t="shared" si="365"/>
        <v>7</v>
      </c>
      <c r="J5834" t="str">
        <f t="shared" si="366"/>
        <v>Jul</v>
      </c>
      <c r="K5834" t="str">
        <f t="shared" si="367"/>
        <v>Fri</v>
      </c>
    </row>
    <row r="5835" spans="1:11" x14ac:dyDescent="0.35">
      <c r="A5835" s="1">
        <v>44032</v>
      </c>
      <c r="B5835">
        <v>150.009994506835</v>
      </c>
      <c r="C5835">
        <v>160.06799316406199</v>
      </c>
      <c r="D5835">
        <v>149.70100402832</v>
      </c>
      <c r="E5835">
        <v>159.84199523925699</v>
      </c>
      <c r="F5835">
        <v>159.84199523925699</v>
      </c>
      <c r="G5835">
        <v>151964000</v>
      </c>
      <c r="H5835">
        <f t="shared" si="364"/>
        <v>2020</v>
      </c>
      <c r="I5835">
        <f t="shared" si="365"/>
        <v>7</v>
      </c>
      <c r="J5835" t="str">
        <f t="shared" si="366"/>
        <v>Jul</v>
      </c>
      <c r="K5835" t="str">
        <f t="shared" si="367"/>
        <v>Mon</v>
      </c>
    </row>
    <row r="5836" spans="1:11" x14ac:dyDescent="0.35">
      <c r="A5836" s="1">
        <v>44033</v>
      </c>
      <c r="B5836">
        <v>161.62449645996</v>
      </c>
      <c r="C5836">
        <v>162.02900695800699</v>
      </c>
      <c r="D5836">
        <v>155.28599548339801</v>
      </c>
      <c r="E5836">
        <v>156.91450500488199</v>
      </c>
      <c r="F5836">
        <v>156.91450500488199</v>
      </c>
      <c r="G5836">
        <v>122426000</v>
      </c>
      <c r="H5836">
        <f t="shared" si="364"/>
        <v>2020</v>
      </c>
      <c r="I5836">
        <f t="shared" si="365"/>
        <v>7</v>
      </c>
      <c r="J5836" t="str">
        <f t="shared" si="366"/>
        <v>Jul</v>
      </c>
      <c r="K5836" t="str">
        <f t="shared" si="367"/>
        <v>Tue</v>
      </c>
    </row>
    <row r="5837" spans="1:11" x14ac:dyDescent="0.35">
      <c r="A5837" s="1">
        <v>44034</v>
      </c>
      <c r="B5837">
        <v>156.25</v>
      </c>
      <c r="C5837">
        <v>157.5</v>
      </c>
      <c r="D5837">
        <v>153.26300048828099</v>
      </c>
      <c r="E5837">
        <v>154.99549865722599</v>
      </c>
      <c r="F5837">
        <v>154.99549865722599</v>
      </c>
      <c r="G5837">
        <v>82084000</v>
      </c>
      <c r="H5837">
        <f t="shared" si="364"/>
        <v>2020</v>
      </c>
      <c r="I5837">
        <f t="shared" si="365"/>
        <v>7</v>
      </c>
      <c r="J5837" t="str">
        <f t="shared" si="366"/>
        <v>Jul</v>
      </c>
      <c r="K5837" t="str">
        <f t="shared" si="367"/>
        <v>Wed</v>
      </c>
    </row>
    <row r="5838" spans="1:11" x14ac:dyDescent="0.35">
      <c r="A5838" s="1">
        <v>44035</v>
      </c>
      <c r="B5838">
        <v>154.91349792480401</v>
      </c>
      <c r="C5838">
        <v>154.91349792480401</v>
      </c>
      <c r="D5838">
        <v>148.5</v>
      </c>
      <c r="E5838">
        <v>149.32749938964801</v>
      </c>
      <c r="F5838">
        <v>149.32749938964801</v>
      </c>
      <c r="G5838">
        <v>113138000</v>
      </c>
      <c r="H5838">
        <f t="shared" si="364"/>
        <v>2020</v>
      </c>
      <c r="I5838">
        <f t="shared" si="365"/>
        <v>7</v>
      </c>
      <c r="J5838" t="str">
        <f t="shared" si="366"/>
        <v>Jul</v>
      </c>
      <c r="K5838" t="str">
        <f t="shared" si="367"/>
        <v>Thu</v>
      </c>
    </row>
    <row r="5839" spans="1:11" x14ac:dyDescent="0.35">
      <c r="A5839" s="1">
        <v>44036</v>
      </c>
      <c r="B5839">
        <v>146.5</v>
      </c>
      <c r="C5839">
        <v>151.57899475097599</v>
      </c>
      <c r="D5839">
        <v>144.39999389648401</v>
      </c>
      <c r="E5839">
        <v>150.44549560546801</v>
      </c>
      <c r="F5839">
        <v>150.44549560546801</v>
      </c>
      <c r="G5839">
        <v>112648000</v>
      </c>
      <c r="H5839">
        <f t="shared" si="364"/>
        <v>2020</v>
      </c>
      <c r="I5839">
        <f t="shared" si="365"/>
        <v>7</v>
      </c>
      <c r="J5839" t="str">
        <f t="shared" si="366"/>
        <v>Jul</v>
      </c>
      <c r="K5839" t="str">
        <f t="shared" si="367"/>
        <v>Fri</v>
      </c>
    </row>
    <row r="5840" spans="1:11" x14ac:dyDescent="0.35">
      <c r="A5840" s="1">
        <v>44039</v>
      </c>
      <c r="B5840">
        <v>153.100006103515</v>
      </c>
      <c r="C5840">
        <v>154.89999389648401</v>
      </c>
      <c r="D5840">
        <v>150.78849792480401</v>
      </c>
      <c r="E5840">
        <v>152.760498046875</v>
      </c>
      <c r="F5840">
        <v>152.760498046875</v>
      </c>
      <c r="G5840">
        <v>83410000</v>
      </c>
      <c r="H5840">
        <f t="shared" si="364"/>
        <v>2020</v>
      </c>
      <c r="I5840">
        <f t="shared" si="365"/>
        <v>7</v>
      </c>
      <c r="J5840" t="str">
        <f t="shared" si="366"/>
        <v>Jul</v>
      </c>
      <c r="K5840" t="str">
        <f t="shared" si="367"/>
        <v>Mon</v>
      </c>
    </row>
    <row r="5841" spans="1:11" x14ac:dyDescent="0.35">
      <c r="A5841" s="1">
        <v>44040</v>
      </c>
      <c r="B5841">
        <v>152.71350097656199</v>
      </c>
      <c r="C5841">
        <v>153.85450744628901</v>
      </c>
      <c r="D5841">
        <v>149.787994384765</v>
      </c>
      <c r="E5841">
        <v>150.01649475097599</v>
      </c>
      <c r="F5841">
        <v>150.01649475097599</v>
      </c>
      <c r="G5841">
        <v>62534000</v>
      </c>
      <c r="H5841">
        <f t="shared" si="364"/>
        <v>2020</v>
      </c>
      <c r="I5841">
        <f t="shared" si="365"/>
        <v>7</v>
      </c>
      <c r="J5841" t="str">
        <f t="shared" si="366"/>
        <v>Jul</v>
      </c>
      <c r="K5841" t="str">
        <f t="shared" si="367"/>
        <v>Tue</v>
      </c>
    </row>
    <row r="5842" spans="1:11" x14ac:dyDescent="0.35">
      <c r="A5842" s="1">
        <v>44041</v>
      </c>
      <c r="B5842">
        <v>151.54949951171801</v>
      </c>
      <c r="C5842">
        <v>151.95799255371</v>
      </c>
      <c r="D5842">
        <v>149.83850097656199</v>
      </c>
      <c r="E5842">
        <v>151.676498413085</v>
      </c>
      <c r="F5842">
        <v>151.676498413085</v>
      </c>
      <c r="G5842">
        <v>59482000</v>
      </c>
      <c r="H5842">
        <f t="shared" si="364"/>
        <v>2020</v>
      </c>
      <c r="I5842">
        <f t="shared" si="365"/>
        <v>7</v>
      </c>
      <c r="J5842" t="str">
        <f t="shared" si="366"/>
        <v>Jul</v>
      </c>
      <c r="K5842" t="str">
        <f t="shared" si="367"/>
        <v>Wed</v>
      </c>
    </row>
    <row r="5843" spans="1:11" x14ac:dyDescent="0.35">
      <c r="A5843" s="1">
        <v>44042</v>
      </c>
      <c r="B5843">
        <v>150.69999694824199</v>
      </c>
      <c r="C5843">
        <v>154.600006103515</v>
      </c>
      <c r="D5843">
        <v>150.25</v>
      </c>
      <c r="E5843">
        <v>152.593994140625</v>
      </c>
      <c r="F5843">
        <v>152.593994140625</v>
      </c>
      <c r="G5843">
        <v>122566000</v>
      </c>
      <c r="H5843">
        <f t="shared" si="364"/>
        <v>2020</v>
      </c>
      <c r="I5843">
        <f t="shared" si="365"/>
        <v>7</v>
      </c>
      <c r="J5843" t="str">
        <f t="shared" si="366"/>
        <v>Jul</v>
      </c>
      <c r="K5843" t="str">
        <f t="shared" si="367"/>
        <v>Thu</v>
      </c>
    </row>
    <row r="5844" spans="1:11" x14ac:dyDescent="0.35">
      <c r="A5844" s="1">
        <v>44043</v>
      </c>
      <c r="B5844">
        <v>162.19999694824199</v>
      </c>
      <c r="C5844">
        <v>162.34100341796801</v>
      </c>
      <c r="D5844">
        <v>157.55000305175699</v>
      </c>
      <c r="E5844">
        <v>158.23399353027301</v>
      </c>
      <c r="F5844">
        <v>158.23399353027301</v>
      </c>
      <c r="G5844">
        <v>161710000</v>
      </c>
      <c r="H5844">
        <f t="shared" si="364"/>
        <v>2020</v>
      </c>
      <c r="I5844">
        <f t="shared" si="365"/>
        <v>7</v>
      </c>
      <c r="J5844" t="str">
        <f t="shared" si="366"/>
        <v>Jul</v>
      </c>
      <c r="K5844" t="str">
        <f t="shared" si="367"/>
        <v>Fri</v>
      </c>
    </row>
    <row r="5845" spans="1:11" x14ac:dyDescent="0.35">
      <c r="A5845" s="1">
        <v>44046</v>
      </c>
      <c r="B5845">
        <v>159.02549743652301</v>
      </c>
      <c r="C5845">
        <v>159.19999694824199</v>
      </c>
      <c r="D5845">
        <v>155.19999694824199</v>
      </c>
      <c r="E5845">
        <v>155.59449768066401</v>
      </c>
      <c r="F5845">
        <v>155.59449768066401</v>
      </c>
      <c r="G5845">
        <v>101494000</v>
      </c>
      <c r="H5845">
        <f t="shared" si="364"/>
        <v>2020</v>
      </c>
      <c r="I5845">
        <f t="shared" si="365"/>
        <v>8</v>
      </c>
      <c r="J5845" t="str">
        <f t="shared" si="366"/>
        <v>Aug</v>
      </c>
      <c r="K5845" t="str">
        <f t="shared" si="367"/>
        <v>Mon</v>
      </c>
    </row>
    <row r="5846" spans="1:11" x14ac:dyDescent="0.35">
      <c r="A5846" s="1">
        <v>44047</v>
      </c>
      <c r="B5846">
        <v>155.06050109863199</v>
      </c>
      <c r="C5846">
        <v>158.36199951171801</v>
      </c>
      <c r="D5846">
        <v>155.06050109863199</v>
      </c>
      <c r="E5846">
        <v>156.94149780273401</v>
      </c>
      <c r="F5846">
        <v>156.94149780273401</v>
      </c>
      <c r="G5846">
        <v>93886000</v>
      </c>
      <c r="H5846">
        <f t="shared" si="364"/>
        <v>2020</v>
      </c>
      <c r="I5846">
        <f t="shared" si="365"/>
        <v>8</v>
      </c>
      <c r="J5846" t="str">
        <f t="shared" si="366"/>
        <v>Aug</v>
      </c>
      <c r="K5846" t="str">
        <f t="shared" si="367"/>
        <v>Tue</v>
      </c>
    </row>
    <row r="5847" spans="1:11" x14ac:dyDescent="0.35">
      <c r="A5847" s="1">
        <v>44048</v>
      </c>
      <c r="B5847">
        <v>157.18850708007801</v>
      </c>
      <c r="C5847">
        <v>160.67950439453099</v>
      </c>
      <c r="D5847">
        <v>156.36500549316401</v>
      </c>
      <c r="E5847">
        <v>160.25149536132801</v>
      </c>
      <c r="F5847">
        <v>160.25149536132801</v>
      </c>
      <c r="G5847">
        <v>78330000</v>
      </c>
      <c r="H5847">
        <f t="shared" si="364"/>
        <v>2020</v>
      </c>
      <c r="I5847">
        <f t="shared" si="365"/>
        <v>8</v>
      </c>
      <c r="J5847" t="str">
        <f t="shared" si="366"/>
        <v>Aug</v>
      </c>
      <c r="K5847" t="str">
        <f t="shared" si="367"/>
        <v>Wed</v>
      </c>
    </row>
    <row r="5848" spans="1:11" x14ac:dyDescent="0.35">
      <c r="A5848" s="1">
        <v>44049</v>
      </c>
      <c r="B5848">
        <v>159.718002319335</v>
      </c>
      <c r="C5848">
        <v>162.37350463867099</v>
      </c>
      <c r="D5848">
        <v>158.27149963378901</v>
      </c>
      <c r="E5848">
        <v>161.25</v>
      </c>
      <c r="F5848">
        <v>161.25</v>
      </c>
      <c r="G5848">
        <v>78812000</v>
      </c>
      <c r="H5848">
        <f t="shared" si="364"/>
        <v>2020</v>
      </c>
      <c r="I5848">
        <f t="shared" si="365"/>
        <v>8</v>
      </c>
      <c r="J5848" t="str">
        <f t="shared" si="366"/>
        <v>Aug</v>
      </c>
      <c r="K5848" t="str">
        <f t="shared" si="367"/>
        <v>Thu</v>
      </c>
    </row>
    <row r="5849" spans="1:11" x14ac:dyDescent="0.35">
      <c r="A5849" s="1">
        <v>44050</v>
      </c>
      <c r="B5849">
        <v>161.20050048828099</v>
      </c>
      <c r="C5849">
        <v>162.04049682617099</v>
      </c>
      <c r="D5849">
        <v>157.03349304199199</v>
      </c>
      <c r="E5849">
        <v>158.37300109863199</v>
      </c>
      <c r="F5849">
        <v>158.37300109863199</v>
      </c>
      <c r="G5849">
        <v>78722000</v>
      </c>
      <c r="H5849">
        <f t="shared" si="364"/>
        <v>2020</v>
      </c>
      <c r="I5849">
        <f t="shared" si="365"/>
        <v>8</v>
      </c>
      <c r="J5849" t="str">
        <f t="shared" si="366"/>
        <v>Aug</v>
      </c>
      <c r="K5849" t="str">
        <f t="shared" si="367"/>
        <v>Fri</v>
      </c>
    </row>
    <row r="5850" spans="1:11" x14ac:dyDescent="0.35">
      <c r="A5850" s="1">
        <v>44053</v>
      </c>
      <c r="B5850">
        <v>158.51550292968699</v>
      </c>
      <c r="C5850">
        <v>158.62550354003901</v>
      </c>
      <c r="D5850">
        <v>155.07600402832</v>
      </c>
      <c r="E5850">
        <v>157.40800476074199</v>
      </c>
      <c r="F5850">
        <v>157.40800476074199</v>
      </c>
      <c r="G5850">
        <v>63346000</v>
      </c>
      <c r="H5850">
        <f t="shared" si="364"/>
        <v>2020</v>
      </c>
      <c r="I5850">
        <f t="shared" si="365"/>
        <v>8</v>
      </c>
      <c r="J5850" t="str">
        <f t="shared" si="366"/>
        <v>Aug</v>
      </c>
      <c r="K5850" t="str">
        <f t="shared" si="367"/>
        <v>Mon</v>
      </c>
    </row>
    <row r="5851" spans="1:11" x14ac:dyDescent="0.35">
      <c r="A5851" s="1">
        <v>44054</v>
      </c>
      <c r="B5851">
        <v>155.66000366210901</v>
      </c>
      <c r="C5851">
        <v>157.96099853515599</v>
      </c>
      <c r="D5851">
        <v>153.64999389648401</v>
      </c>
      <c r="E5851">
        <v>154.03349304199199</v>
      </c>
      <c r="F5851">
        <v>154.03349304199199</v>
      </c>
      <c r="G5851">
        <v>74362000</v>
      </c>
      <c r="H5851">
        <f t="shared" si="364"/>
        <v>2020</v>
      </c>
      <c r="I5851">
        <f t="shared" si="365"/>
        <v>8</v>
      </c>
      <c r="J5851" t="str">
        <f t="shared" si="366"/>
        <v>Aug</v>
      </c>
      <c r="K5851" t="str">
        <f t="shared" si="367"/>
        <v>Tue</v>
      </c>
    </row>
    <row r="5852" spans="1:11" x14ac:dyDescent="0.35">
      <c r="A5852" s="1">
        <v>44055</v>
      </c>
      <c r="B5852">
        <v>155.39999389648401</v>
      </c>
      <c r="C5852">
        <v>158.71949768066401</v>
      </c>
      <c r="D5852">
        <v>155.07099914550699</v>
      </c>
      <c r="E5852">
        <v>158.11199951171801</v>
      </c>
      <c r="F5852">
        <v>158.11199951171801</v>
      </c>
      <c r="G5852">
        <v>70442000</v>
      </c>
      <c r="H5852">
        <f t="shared" si="364"/>
        <v>2020</v>
      </c>
      <c r="I5852">
        <f t="shared" si="365"/>
        <v>8</v>
      </c>
      <c r="J5852" t="str">
        <f t="shared" si="366"/>
        <v>Aug</v>
      </c>
      <c r="K5852" t="str">
        <f t="shared" si="367"/>
        <v>Wed</v>
      </c>
    </row>
    <row r="5853" spans="1:11" x14ac:dyDescent="0.35">
      <c r="A5853" s="1">
        <v>44056</v>
      </c>
      <c r="B5853">
        <v>159.14950561523401</v>
      </c>
      <c r="C5853">
        <v>160.87600708007801</v>
      </c>
      <c r="D5853">
        <v>157.75</v>
      </c>
      <c r="E5853">
        <v>158.05099487304599</v>
      </c>
      <c r="F5853">
        <v>158.05099487304599</v>
      </c>
      <c r="G5853">
        <v>62980000</v>
      </c>
      <c r="H5853">
        <f t="shared" si="364"/>
        <v>2020</v>
      </c>
      <c r="I5853">
        <f t="shared" si="365"/>
        <v>8</v>
      </c>
      <c r="J5853" t="str">
        <f t="shared" si="366"/>
        <v>Aug</v>
      </c>
      <c r="K5853" t="str">
        <f t="shared" si="367"/>
        <v>Thu</v>
      </c>
    </row>
    <row r="5854" spans="1:11" x14ac:dyDescent="0.35">
      <c r="A5854" s="1">
        <v>44057</v>
      </c>
      <c r="B5854">
        <v>158.90899658203099</v>
      </c>
      <c r="C5854">
        <v>158.91200256347599</v>
      </c>
      <c r="D5854">
        <v>156</v>
      </c>
      <c r="E5854">
        <v>157.40100097656199</v>
      </c>
      <c r="F5854">
        <v>157.40100097656199</v>
      </c>
      <c r="G5854">
        <v>55034000</v>
      </c>
      <c r="H5854">
        <f t="shared" si="364"/>
        <v>2020</v>
      </c>
      <c r="I5854">
        <f t="shared" si="365"/>
        <v>8</v>
      </c>
      <c r="J5854" t="str">
        <f t="shared" si="366"/>
        <v>Aug</v>
      </c>
      <c r="K5854" t="str">
        <f t="shared" si="367"/>
        <v>Fri</v>
      </c>
    </row>
    <row r="5855" spans="1:11" x14ac:dyDescent="0.35">
      <c r="A5855" s="1">
        <v>44060</v>
      </c>
      <c r="B5855">
        <v>158.656005859375</v>
      </c>
      <c r="C5855">
        <v>159.74850463867099</v>
      </c>
      <c r="D5855">
        <v>157.70899963378901</v>
      </c>
      <c r="E5855">
        <v>159.12049865722599</v>
      </c>
      <c r="F5855">
        <v>159.12049865722599</v>
      </c>
      <c r="G5855">
        <v>53824000</v>
      </c>
      <c r="H5855">
        <f t="shared" si="364"/>
        <v>2020</v>
      </c>
      <c r="I5855">
        <f t="shared" si="365"/>
        <v>8</v>
      </c>
      <c r="J5855" t="str">
        <f t="shared" si="366"/>
        <v>Aug</v>
      </c>
      <c r="K5855" t="str">
        <f t="shared" si="367"/>
        <v>Mon</v>
      </c>
    </row>
    <row r="5856" spans="1:11" x14ac:dyDescent="0.35">
      <c r="A5856" s="1">
        <v>44061</v>
      </c>
      <c r="B5856">
        <v>160.600006103515</v>
      </c>
      <c r="C5856">
        <v>166</v>
      </c>
      <c r="D5856">
        <v>160.29100036621</v>
      </c>
      <c r="E5856">
        <v>165.62449645996</v>
      </c>
      <c r="F5856">
        <v>165.62449645996</v>
      </c>
      <c r="G5856">
        <v>106920000</v>
      </c>
      <c r="H5856">
        <f t="shared" si="364"/>
        <v>2020</v>
      </c>
      <c r="I5856">
        <f t="shared" si="365"/>
        <v>8</v>
      </c>
      <c r="J5856" t="str">
        <f t="shared" si="366"/>
        <v>Aug</v>
      </c>
      <c r="K5856" t="str">
        <f t="shared" si="367"/>
        <v>Tue</v>
      </c>
    </row>
    <row r="5857" spans="1:11" x14ac:dyDescent="0.35">
      <c r="A5857" s="1">
        <v>44062</v>
      </c>
      <c r="B5857">
        <v>165.15049743652301</v>
      </c>
      <c r="C5857">
        <v>165.794998168945</v>
      </c>
      <c r="D5857">
        <v>162.80000305175699</v>
      </c>
      <c r="E5857">
        <v>163.024002075195</v>
      </c>
      <c r="F5857">
        <v>163.024002075195</v>
      </c>
      <c r="G5857">
        <v>83702000</v>
      </c>
      <c r="H5857">
        <f t="shared" si="364"/>
        <v>2020</v>
      </c>
      <c r="I5857">
        <f t="shared" si="365"/>
        <v>8</v>
      </c>
      <c r="J5857" t="str">
        <f t="shared" si="366"/>
        <v>Aug</v>
      </c>
      <c r="K5857" t="str">
        <f t="shared" si="367"/>
        <v>Wed</v>
      </c>
    </row>
    <row r="5858" spans="1:11" x14ac:dyDescent="0.35">
      <c r="A5858" s="1">
        <v>44063</v>
      </c>
      <c r="B5858">
        <v>162.600006103515</v>
      </c>
      <c r="C5858">
        <v>165.63099670410099</v>
      </c>
      <c r="D5858">
        <v>161.89999389648401</v>
      </c>
      <c r="E5858">
        <v>164.86849975585901</v>
      </c>
      <c r="F5858">
        <v>164.86849975585901</v>
      </c>
      <c r="G5858">
        <v>66650000</v>
      </c>
      <c r="H5858">
        <f t="shared" si="364"/>
        <v>2020</v>
      </c>
      <c r="I5858">
        <f t="shared" si="365"/>
        <v>8</v>
      </c>
      <c r="J5858" t="str">
        <f t="shared" si="366"/>
        <v>Aug</v>
      </c>
      <c r="K5858" t="str">
        <f t="shared" si="367"/>
        <v>Thu</v>
      </c>
    </row>
    <row r="5859" spans="1:11" x14ac:dyDescent="0.35">
      <c r="A5859" s="1">
        <v>44064</v>
      </c>
      <c r="B5859">
        <v>164.75</v>
      </c>
      <c r="C5859">
        <v>165.72000122070301</v>
      </c>
      <c r="D5859">
        <v>163.76950073242099</v>
      </c>
      <c r="E5859">
        <v>164.23599243164</v>
      </c>
      <c r="F5859">
        <v>164.23599243164</v>
      </c>
      <c r="G5859">
        <v>71518000</v>
      </c>
      <c r="H5859">
        <f t="shared" si="364"/>
        <v>2020</v>
      </c>
      <c r="I5859">
        <f t="shared" si="365"/>
        <v>8</v>
      </c>
      <c r="J5859" t="str">
        <f t="shared" si="366"/>
        <v>Aug</v>
      </c>
      <c r="K5859" t="str">
        <f t="shared" si="367"/>
        <v>Fri</v>
      </c>
    </row>
    <row r="5860" spans="1:11" x14ac:dyDescent="0.35">
      <c r="A5860" s="1">
        <v>44067</v>
      </c>
      <c r="B5860">
        <v>165.50750732421801</v>
      </c>
      <c r="C5860">
        <v>169.01600646972599</v>
      </c>
      <c r="D5860">
        <v>162.878005981445</v>
      </c>
      <c r="E5860">
        <v>165.37300109863199</v>
      </c>
      <c r="F5860">
        <v>165.37300109863199</v>
      </c>
      <c r="G5860">
        <v>93326000</v>
      </c>
      <c r="H5860">
        <f t="shared" si="364"/>
        <v>2020</v>
      </c>
      <c r="I5860">
        <f t="shared" si="365"/>
        <v>8</v>
      </c>
      <c r="J5860" t="str">
        <f t="shared" si="366"/>
        <v>Aug</v>
      </c>
      <c r="K5860" t="str">
        <f t="shared" si="367"/>
        <v>Mon</v>
      </c>
    </row>
    <row r="5861" spans="1:11" x14ac:dyDescent="0.35">
      <c r="A5861" s="1">
        <v>44068</v>
      </c>
      <c r="B5861">
        <v>164.74949645996</v>
      </c>
      <c r="C5861">
        <v>167.86999511718699</v>
      </c>
      <c r="D5861">
        <v>163.350006103515</v>
      </c>
      <c r="E5861">
        <v>167.32449340820301</v>
      </c>
      <c r="F5861">
        <v>167.32449340820301</v>
      </c>
      <c r="G5861">
        <v>79856000</v>
      </c>
      <c r="H5861">
        <f t="shared" si="364"/>
        <v>2020</v>
      </c>
      <c r="I5861">
        <f t="shared" si="365"/>
        <v>8</v>
      </c>
      <c r="J5861" t="str">
        <f t="shared" si="366"/>
        <v>Aug</v>
      </c>
      <c r="K5861" t="str">
        <f t="shared" si="367"/>
        <v>Tue</v>
      </c>
    </row>
    <row r="5862" spans="1:11" x14ac:dyDescent="0.35">
      <c r="A5862" s="1">
        <v>44069</v>
      </c>
      <c r="B5862">
        <v>167.55549621582</v>
      </c>
      <c r="C5862">
        <v>172.58700561523401</v>
      </c>
      <c r="D5862">
        <v>167.22850036621</v>
      </c>
      <c r="E5862">
        <v>172.09249877929599</v>
      </c>
      <c r="F5862">
        <v>172.09249877929599</v>
      </c>
      <c r="G5862">
        <v>130174000</v>
      </c>
      <c r="H5862">
        <f t="shared" si="364"/>
        <v>2020</v>
      </c>
      <c r="I5862">
        <f t="shared" si="365"/>
        <v>8</v>
      </c>
      <c r="J5862" t="str">
        <f t="shared" si="366"/>
        <v>Aug</v>
      </c>
      <c r="K5862" t="str">
        <f t="shared" si="367"/>
        <v>Wed</v>
      </c>
    </row>
    <row r="5863" spans="1:11" x14ac:dyDescent="0.35">
      <c r="A5863" s="1">
        <v>44070</v>
      </c>
      <c r="B5863">
        <v>172.50250244140599</v>
      </c>
      <c r="C5863">
        <v>172.64999389648401</v>
      </c>
      <c r="D5863">
        <v>168.89999389648401</v>
      </c>
      <c r="E5863">
        <v>170</v>
      </c>
      <c r="F5863">
        <v>170</v>
      </c>
      <c r="G5863">
        <v>85296000</v>
      </c>
      <c r="H5863">
        <f t="shared" si="364"/>
        <v>2020</v>
      </c>
      <c r="I5863">
        <f t="shared" si="365"/>
        <v>8</v>
      </c>
      <c r="J5863" t="str">
        <f t="shared" si="366"/>
        <v>Aug</v>
      </c>
      <c r="K5863" t="str">
        <f t="shared" si="367"/>
        <v>Thu</v>
      </c>
    </row>
    <row r="5864" spans="1:11" x14ac:dyDescent="0.35">
      <c r="A5864" s="1">
        <v>44071</v>
      </c>
      <c r="B5864">
        <v>171.14999389648401</v>
      </c>
      <c r="C5864">
        <v>171.66850280761699</v>
      </c>
      <c r="D5864">
        <v>169.32499694824199</v>
      </c>
      <c r="E5864">
        <v>170.08999633789</v>
      </c>
      <c r="F5864">
        <v>170.08999633789</v>
      </c>
      <c r="G5864">
        <v>57940000</v>
      </c>
      <c r="H5864">
        <f t="shared" si="364"/>
        <v>2020</v>
      </c>
      <c r="I5864">
        <f t="shared" si="365"/>
        <v>8</v>
      </c>
      <c r="J5864" t="str">
        <f t="shared" si="366"/>
        <v>Aug</v>
      </c>
      <c r="K5864" t="str">
        <f t="shared" si="367"/>
        <v>Fri</v>
      </c>
    </row>
    <row r="5865" spans="1:11" x14ac:dyDescent="0.35">
      <c r="A5865" s="1">
        <v>44074</v>
      </c>
      <c r="B5865">
        <v>170.44949340820301</v>
      </c>
      <c r="C5865">
        <v>174.75</v>
      </c>
      <c r="D5865">
        <v>170.25</v>
      </c>
      <c r="E5865">
        <v>172.54800415039</v>
      </c>
      <c r="F5865">
        <v>172.54800415039</v>
      </c>
      <c r="G5865">
        <v>83718000</v>
      </c>
      <c r="H5865">
        <f t="shared" si="364"/>
        <v>2020</v>
      </c>
      <c r="I5865">
        <f t="shared" si="365"/>
        <v>8</v>
      </c>
      <c r="J5865" t="str">
        <f t="shared" si="366"/>
        <v>Aug</v>
      </c>
      <c r="K5865" t="str">
        <f t="shared" si="367"/>
        <v>Mon</v>
      </c>
    </row>
    <row r="5866" spans="1:11" x14ac:dyDescent="0.35">
      <c r="A5866" s="1">
        <v>44075</v>
      </c>
      <c r="B5866">
        <v>174.47900390625</v>
      </c>
      <c r="C5866">
        <v>175.69349670410099</v>
      </c>
      <c r="D5866">
        <v>173.350006103515</v>
      </c>
      <c r="E5866">
        <v>174.95599365234301</v>
      </c>
      <c r="F5866">
        <v>174.95599365234301</v>
      </c>
      <c r="G5866">
        <v>68644000</v>
      </c>
      <c r="H5866">
        <f t="shared" si="364"/>
        <v>2020</v>
      </c>
      <c r="I5866">
        <f t="shared" si="365"/>
        <v>9</v>
      </c>
      <c r="J5866" t="str">
        <f t="shared" si="366"/>
        <v>Sep</v>
      </c>
      <c r="K5866" t="str">
        <f t="shared" si="367"/>
        <v>Tue</v>
      </c>
    </row>
    <row r="5867" spans="1:11" x14ac:dyDescent="0.35">
      <c r="A5867" s="1">
        <v>44076</v>
      </c>
      <c r="B5867">
        <v>177.350006103515</v>
      </c>
      <c r="C5867">
        <v>177.61250305175699</v>
      </c>
      <c r="D5867">
        <v>174.33450317382801</v>
      </c>
      <c r="E5867">
        <v>176.572494506835</v>
      </c>
      <c r="F5867">
        <v>176.572494506835</v>
      </c>
      <c r="G5867">
        <v>78630000</v>
      </c>
      <c r="H5867">
        <f t="shared" si="364"/>
        <v>2020</v>
      </c>
      <c r="I5867">
        <f t="shared" si="365"/>
        <v>9</v>
      </c>
      <c r="J5867" t="str">
        <f t="shared" si="366"/>
        <v>Sep</v>
      </c>
      <c r="K5867" t="str">
        <f t="shared" si="367"/>
        <v>Wed</v>
      </c>
    </row>
    <row r="5868" spans="1:11" x14ac:dyDescent="0.35">
      <c r="A5868" s="1">
        <v>44077</v>
      </c>
      <c r="B5868">
        <v>174.25</v>
      </c>
      <c r="C5868">
        <v>174.42050170898401</v>
      </c>
      <c r="D5868">
        <v>165.14999389648401</v>
      </c>
      <c r="E5868">
        <v>168.39999389648401</v>
      </c>
      <c r="F5868">
        <v>168.39999389648401</v>
      </c>
      <c r="G5868">
        <v>163222000</v>
      </c>
      <c r="H5868">
        <f t="shared" si="364"/>
        <v>2020</v>
      </c>
      <c r="I5868">
        <f t="shared" si="365"/>
        <v>9</v>
      </c>
      <c r="J5868" t="str">
        <f t="shared" si="366"/>
        <v>Sep</v>
      </c>
      <c r="K5868" t="str">
        <f t="shared" si="367"/>
        <v>Thu</v>
      </c>
    </row>
    <row r="5869" spans="1:11" x14ac:dyDescent="0.35">
      <c r="A5869" s="1">
        <v>44078</v>
      </c>
      <c r="B5869">
        <v>165.89999389648401</v>
      </c>
      <c r="C5869">
        <v>169.07499694824199</v>
      </c>
      <c r="D5869">
        <v>155.55650329589801</v>
      </c>
      <c r="E5869">
        <v>164.73100280761699</v>
      </c>
      <c r="F5869">
        <v>164.73100280761699</v>
      </c>
      <c r="G5869">
        <v>175636000</v>
      </c>
      <c r="H5869">
        <f t="shared" si="364"/>
        <v>2020</v>
      </c>
      <c r="I5869">
        <f t="shared" si="365"/>
        <v>9</v>
      </c>
      <c r="J5869" t="str">
        <f t="shared" si="366"/>
        <v>Sep</v>
      </c>
      <c r="K5869" t="str">
        <f t="shared" si="367"/>
        <v>Fri</v>
      </c>
    </row>
    <row r="5870" spans="1:11" x14ac:dyDescent="0.35">
      <c r="A5870" s="1">
        <v>44082</v>
      </c>
      <c r="B5870">
        <v>157.19999694824199</v>
      </c>
      <c r="C5870">
        <v>162.54249572753901</v>
      </c>
      <c r="D5870">
        <v>156.5</v>
      </c>
      <c r="E5870">
        <v>157.49200439453099</v>
      </c>
      <c r="F5870">
        <v>157.49200439453099</v>
      </c>
      <c r="G5870">
        <v>121884000</v>
      </c>
      <c r="H5870">
        <f t="shared" si="364"/>
        <v>2020</v>
      </c>
      <c r="I5870">
        <f t="shared" si="365"/>
        <v>9</v>
      </c>
      <c r="J5870" t="str">
        <f t="shared" si="366"/>
        <v>Sep</v>
      </c>
      <c r="K5870" t="str">
        <f t="shared" si="367"/>
        <v>Tue</v>
      </c>
    </row>
    <row r="5871" spans="1:11" x14ac:dyDescent="0.35">
      <c r="A5871" s="1">
        <v>44083</v>
      </c>
      <c r="B5871">
        <v>160.14950561523401</v>
      </c>
      <c r="C5871">
        <v>165.15899658203099</v>
      </c>
      <c r="D5871">
        <v>159.25</v>
      </c>
      <c r="E5871">
        <v>163.43049621582</v>
      </c>
      <c r="F5871">
        <v>163.43049621582</v>
      </c>
      <c r="G5871">
        <v>103774000</v>
      </c>
      <c r="H5871">
        <f t="shared" si="364"/>
        <v>2020</v>
      </c>
      <c r="I5871">
        <f t="shared" si="365"/>
        <v>9</v>
      </c>
      <c r="J5871" t="str">
        <f t="shared" si="366"/>
        <v>Sep</v>
      </c>
      <c r="K5871" t="str">
        <f t="shared" si="367"/>
        <v>Wed</v>
      </c>
    </row>
    <row r="5872" spans="1:11" x14ac:dyDescent="0.35">
      <c r="A5872" s="1">
        <v>44084</v>
      </c>
      <c r="B5872">
        <v>165.36099243164</v>
      </c>
      <c r="C5872">
        <v>167.49450683593699</v>
      </c>
      <c r="D5872">
        <v>158.52749633789</v>
      </c>
      <c r="E5872">
        <v>158.75549316406199</v>
      </c>
      <c r="F5872">
        <v>158.75549316406199</v>
      </c>
      <c r="G5872">
        <v>106614000</v>
      </c>
      <c r="H5872">
        <f t="shared" si="364"/>
        <v>2020</v>
      </c>
      <c r="I5872">
        <f t="shared" si="365"/>
        <v>9</v>
      </c>
      <c r="J5872" t="str">
        <f t="shared" si="366"/>
        <v>Sep</v>
      </c>
      <c r="K5872" t="str">
        <f t="shared" si="367"/>
        <v>Thu</v>
      </c>
    </row>
    <row r="5873" spans="1:11" x14ac:dyDescent="0.35">
      <c r="A5873" s="1">
        <v>44085</v>
      </c>
      <c r="B5873">
        <v>160.43449401855401</v>
      </c>
      <c r="C5873">
        <v>160.86700439453099</v>
      </c>
      <c r="D5873">
        <v>154.19900512695301</v>
      </c>
      <c r="E5873">
        <v>155.81100463867099</v>
      </c>
      <c r="F5873">
        <v>155.81100463867099</v>
      </c>
      <c r="G5873">
        <v>101880000</v>
      </c>
      <c r="H5873">
        <f t="shared" si="364"/>
        <v>2020</v>
      </c>
      <c r="I5873">
        <f t="shared" si="365"/>
        <v>9</v>
      </c>
      <c r="J5873" t="str">
        <f t="shared" si="366"/>
        <v>Sep</v>
      </c>
      <c r="K5873" t="str">
        <f t="shared" si="367"/>
        <v>Fri</v>
      </c>
    </row>
    <row r="5874" spans="1:11" x14ac:dyDescent="0.35">
      <c r="A5874" s="1">
        <v>44088</v>
      </c>
      <c r="B5874">
        <v>158.64700317382801</v>
      </c>
      <c r="C5874">
        <v>159.36950683593699</v>
      </c>
      <c r="D5874">
        <v>154.80000305175699</v>
      </c>
      <c r="E5874">
        <v>155.14849853515599</v>
      </c>
      <c r="F5874">
        <v>155.14849853515599</v>
      </c>
      <c r="G5874">
        <v>90592000</v>
      </c>
      <c r="H5874">
        <f t="shared" si="364"/>
        <v>2020</v>
      </c>
      <c r="I5874">
        <f t="shared" si="365"/>
        <v>9</v>
      </c>
      <c r="J5874" t="str">
        <f t="shared" si="366"/>
        <v>Sep</v>
      </c>
      <c r="K5874" t="str">
        <f t="shared" si="367"/>
        <v>Mon</v>
      </c>
    </row>
    <row r="5875" spans="1:11" x14ac:dyDescent="0.35">
      <c r="A5875" s="1">
        <v>44089</v>
      </c>
      <c r="B5875">
        <v>156.80799865722599</v>
      </c>
      <c r="C5875">
        <v>158.75100708007801</v>
      </c>
      <c r="D5875">
        <v>155.44599914550699</v>
      </c>
      <c r="E5875">
        <v>157.80650329589801</v>
      </c>
      <c r="F5875">
        <v>157.80650329589801</v>
      </c>
      <c r="G5875">
        <v>80430000</v>
      </c>
      <c r="H5875">
        <f t="shared" si="364"/>
        <v>2020</v>
      </c>
      <c r="I5875">
        <f t="shared" si="365"/>
        <v>9</v>
      </c>
      <c r="J5875" t="str">
        <f t="shared" si="366"/>
        <v>Sep</v>
      </c>
      <c r="K5875" t="str">
        <f t="shared" si="367"/>
        <v>Tue</v>
      </c>
    </row>
    <row r="5876" spans="1:11" x14ac:dyDescent="0.35">
      <c r="A5876" s="1">
        <v>44090</v>
      </c>
      <c r="B5876">
        <v>158.99949645996</v>
      </c>
      <c r="C5876">
        <v>159.36199951171801</v>
      </c>
      <c r="D5876">
        <v>153.70750427246</v>
      </c>
      <c r="E5876">
        <v>153.90499877929599</v>
      </c>
      <c r="F5876">
        <v>153.90499877929599</v>
      </c>
      <c r="G5876">
        <v>90244000</v>
      </c>
      <c r="H5876">
        <f t="shared" si="364"/>
        <v>2020</v>
      </c>
      <c r="I5876">
        <f t="shared" si="365"/>
        <v>9</v>
      </c>
      <c r="J5876" t="str">
        <f t="shared" si="366"/>
        <v>Sep</v>
      </c>
      <c r="K5876" t="str">
        <f t="shared" si="367"/>
        <v>Wed</v>
      </c>
    </row>
    <row r="5877" spans="1:11" x14ac:dyDescent="0.35">
      <c r="A5877" s="1">
        <v>44091</v>
      </c>
      <c r="B5877">
        <v>150.46249389648401</v>
      </c>
      <c r="C5877">
        <v>151.47149658203099</v>
      </c>
      <c r="D5877">
        <v>148.62750244140599</v>
      </c>
      <c r="E5877">
        <v>150.43649291992099</v>
      </c>
      <c r="F5877">
        <v>150.43649291992099</v>
      </c>
      <c r="G5877">
        <v>128982000</v>
      </c>
      <c r="H5877">
        <f t="shared" si="364"/>
        <v>2020</v>
      </c>
      <c r="I5877">
        <f t="shared" si="365"/>
        <v>9</v>
      </c>
      <c r="J5877" t="str">
        <f t="shared" si="366"/>
        <v>Sep</v>
      </c>
      <c r="K5877" t="str">
        <f t="shared" si="367"/>
        <v>Thu</v>
      </c>
    </row>
    <row r="5878" spans="1:11" x14ac:dyDescent="0.35">
      <c r="A5878" s="1">
        <v>44092</v>
      </c>
      <c r="B5878">
        <v>151.58700561523401</v>
      </c>
      <c r="C5878">
        <v>151.88999938964801</v>
      </c>
      <c r="D5878">
        <v>145.27699279785099</v>
      </c>
      <c r="E5878">
        <v>147.74549865722599</v>
      </c>
      <c r="F5878">
        <v>147.74549865722599</v>
      </c>
      <c r="G5878">
        <v>177852000</v>
      </c>
      <c r="H5878">
        <f t="shared" si="364"/>
        <v>2020</v>
      </c>
      <c r="I5878">
        <f t="shared" si="365"/>
        <v>9</v>
      </c>
      <c r="J5878" t="str">
        <f t="shared" si="366"/>
        <v>Sep</v>
      </c>
      <c r="K5878" t="str">
        <f t="shared" si="367"/>
        <v>Fri</v>
      </c>
    </row>
    <row r="5879" spans="1:11" x14ac:dyDescent="0.35">
      <c r="A5879" s="1">
        <v>44095</v>
      </c>
      <c r="B5879">
        <v>145.32499694824199</v>
      </c>
      <c r="C5879">
        <v>148.100006103515</v>
      </c>
      <c r="D5879">
        <v>143.55000305175699</v>
      </c>
      <c r="E5879">
        <v>148.02349853515599</v>
      </c>
      <c r="F5879">
        <v>148.02349853515599</v>
      </c>
      <c r="G5879">
        <v>122358000</v>
      </c>
      <c r="H5879">
        <f t="shared" si="364"/>
        <v>2020</v>
      </c>
      <c r="I5879">
        <f t="shared" si="365"/>
        <v>9</v>
      </c>
      <c r="J5879" t="str">
        <f t="shared" si="366"/>
        <v>Sep</v>
      </c>
      <c r="K5879" t="str">
        <f t="shared" si="367"/>
        <v>Mon</v>
      </c>
    </row>
    <row r="5880" spans="1:11" x14ac:dyDescent="0.35">
      <c r="A5880" s="1">
        <v>44096</v>
      </c>
      <c r="B5880">
        <v>151.69200134277301</v>
      </c>
      <c r="C5880">
        <v>156.69949340820301</v>
      </c>
      <c r="D5880">
        <v>150.009994506835</v>
      </c>
      <c r="E5880">
        <v>156.44949340820301</v>
      </c>
      <c r="F5880">
        <v>156.44949340820301</v>
      </c>
      <c r="G5880">
        <v>138976000</v>
      </c>
      <c r="H5880">
        <f t="shared" si="364"/>
        <v>2020</v>
      </c>
      <c r="I5880">
        <f t="shared" si="365"/>
        <v>9</v>
      </c>
      <c r="J5880" t="str">
        <f t="shared" si="366"/>
        <v>Sep</v>
      </c>
      <c r="K5880" t="str">
        <f t="shared" si="367"/>
        <v>Tue</v>
      </c>
    </row>
    <row r="5881" spans="1:11" x14ac:dyDescent="0.35">
      <c r="A5881" s="1">
        <v>44097</v>
      </c>
      <c r="B5881">
        <v>156.02149963378901</v>
      </c>
      <c r="C5881">
        <v>156.350006103515</v>
      </c>
      <c r="D5881">
        <v>149.61900329589801</v>
      </c>
      <c r="E5881">
        <v>149.99299621582</v>
      </c>
      <c r="F5881">
        <v>149.99299621582</v>
      </c>
      <c r="G5881">
        <v>113054000</v>
      </c>
      <c r="H5881">
        <f t="shared" si="364"/>
        <v>2020</v>
      </c>
      <c r="I5881">
        <f t="shared" si="365"/>
        <v>9</v>
      </c>
      <c r="J5881" t="str">
        <f t="shared" si="366"/>
        <v>Sep</v>
      </c>
      <c r="K5881" t="str">
        <f t="shared" si="367"/>
        <v>Wed</v>
      </c>
    </row>
    <row r="5882" spans="1:11" x14ac:dyDescent="0.35">
      <c r="A5882" s="1">
        <v>44098</v>
      </c>
      <c r="B5882">
        <v>148.88949584960901</v>
      </c>
      <c r="C5882">
        <v>153.46499633789</v>
      </c>
      <c r="D5882">
        <v>148.25</v>
      </c>
      <c r="E5882">
        <v>150.989501953125</v>
      </c>
      <c r="F5882">
        <v>150.989501953125</v>
      </c>
      <c r="G5882">
        <v>110588000</v>
      </c>
      <c r="H5882">
        <f t="shared" si="364"/>
        <v>2020</v>
      </c>
      <c r="I5882">
        <f t="shared" si="365"/>
        <v>9</v>
      </c>
      <c r="J5882" t="str">
        <f t="shared" si="366"/>
        <v>Sep</v>
      </c>
      <c r="K5882" t="str">
        <f t="shared" si="367"/>
        <v>Thu</v>
      </c>
    </row>
    <row r="5883" spans="1:11" x14ac:dyDescent="0.35">
      <c r="A5883" s="1">
        <v>44099</v>
      </c>
      <c r="B5883">
        <v>152.74299621582</v>
      </c>
      <c r="C5883">
        <v>155.07699584960901</v>
      </c>
      <c r="D5883">
        <v>149.94999694824199</v>
      </c>
      <c r="E5883">
        <v>154.75650024414</v>
      </c>
      <c r="F5883">
        <v>154.75650024414</v>
      </c>
      <c r="G5883">
        <v>92304000</v>
      </c>
      <c r="H5883">
        <f t="shared" si="364"/>
        <v>2020</v>
      </c>
      <c r="I5883">
        <f t="shared" si="365"/>
        <v>9</v>
      </c>
      <c r="J5883" t="str">
        <f t="shared" si="366"/>
        <v>Sep</v>
      </c>
      <c r="K5883" t="str">
        <f t="shared" si="367"/>
        <v>Fri</v>
      </c>
    </row>
    <row r="5884" spans="1:11" x14ac:dyDescent="0.35">
      <c r="A5884" s="1">
        <v>44102</v>
      </c>
      <c r="B5884">
        <v>157.44250488281199</v>
      </c>
      <c r="C5884">
        <v>158.75199890136699</v>
      </c>
      <c r="D5884">
        <v>155.85850524902301</v>
      </c>
      <c r="E5884">
        <v>158.70249938964801</v>
      </c>
      <c r="F5884">
        <v>158.70249938964801</v>
      </c>
      <c r="G5884">
        <v>84484000</v>
      </c>
      <c r="H5884">
        <f t="shared" si="364"/>
        <v>2020</v>
      </c>
      <c r="I5884">
        <f t="shared" si="365"/>
        <v>9</v>
      </c>
      <c r="J5884" t="str">
        <f t="shared" si="366"/>
        <v>Sep</v>
      </c>
      <c r="K5884" t="str">
        <f t="shared" si="367"/>
        <v>Mon</v>
      </c>
    </row>
    <row r="5885" spans="1:11" x14ac:dyDescent="0.35">
      <c r="A5885" s="1">
        <v>44103</v>
      </c>
      <c r="B5885">
        <v>158.76950073242099</v>
      </c>
      <c r="C5885">
        <v>159.412994384765</v>
      </c>
      <c r="D5885">
        <v>156.62699890136699</v>
      </c>
      <c r="E5885">
        <v>157.24400329589801</v>
      </c>
      <c r="F5885">
        <v>157.24400329589801</v>
      </c>
      <c r="G5885">
        <v>69916000</v>
      </c>
      <c r="H5885">
        <f t="shared" si="364"/>
        <v>2020</v>
      </c>
      <c r="I5885">
        <f t="shared" si="365"/>
        <v>9</v>
      </c>
      <c r="J5885" t="str">
        <f t="shared" si="366"/>
        <v>Sep</v>
      </c>
      <c r="K5885" t="str">
        <f t="shared" si="367"/>
        <v>Tue</v>
      </c>
    </row>
    <row r="5886" spans="1:11" x14ac:dyDescent="0.35">
      <c r="A5886" s="1">
        <v>44104</v>
      </c>
      <c r="B5886">
        <v>157.05700683593699</v>
      </c>
      <c r="C5886">
        <v>160.64399719238199</v>
      </c>
      <c r="D5886">
        <v>156.69949340820301</v>
      </c>
      <c r="E5886">
        <v>157.43649291992099</v>
      </c>
      <c r="F5886">
        <v>157.43649291992099</v>
      </c>
      <c r="G5886">
        <v>97922000</v>
      </c>
      <c r="H5886">
        <f t="shared" si="364"/>
        <v>2020</v>
      </c>
      <c r="I5886">
        <f t="shared" si="365"/>
        <v>9</v>
      </c>
      <c r="J5886" t="str">
        <f t="shared" si="366"/>
        <v>Sep</v>
      </c>
      <c r="K5886" t="str">
        <f t="shared" si="367"/>
        <v>Wed</v>
      </c>
    </row>
    <row r="5887" spans="1:11" x14ac:dyDescent="0.35">
      <c r="A5887" s="1">
        <v>44105</v>
      </c>
      <c r="B5887">
        <v>160.39999389648401</v>
      </c>
      <c r="C5887">
        <v>161.19999694824199</v>
      </c>
      <c r="D5887">
        <v>158.600006103515</v>
      </c>
      <c r="E5887">
        <v>161.06300354003901</v>
      </c>
      <c r="F5887">
        <v>161.06300354003901</v>
      </c>
      <c r="G5887">
        <v>99438000</v>
      </c>
      <c r="H5887">
        <f t="shared" si="364"/>
        <v>2020</v>
      </c>
      <c r="I5887">
        <f t="shared" si="365"/>
        <v>10</v>
      </c>
      <c r="J5887" t="str">
        <f t="shared" si="366"/>
        <v>Oct</v>
      </c>
      <c r="K5887" t="str">
        <f t="shared" si="367"/>
        <v>Thu</v>
      </c>
    </row>
    <row r="5888" spans="1:11" x14ac:dyDescent="0.35">
      <c r="A5888" s="1">
        <v>44106</v>
      </c>
      <c r="B5888">
        <v>157.68150329589801</v>
      </c>
      <c r="C5888">
        <v>159.78999328613199</v>
      </c>
      <c r="D5888">
        <v>156.14999389648401</v>
      </c>
      <c r="E5888">
        <v>156.25</v>
      </c>
      <c r="F5888">
        <v>156.25</v>
      </c>
      <c r="G5888">
        <v>112262000</v>
      </c>
      <c r="H5888">
        <f t="shared" si="364"/>
        <v>2020</v>
      </c>
      <c r="I5888">
        <f t="shared" si="365"/>
        <v>10</v>
      </c>
      <c r="J5888" t="str">
        <f t="shared" si="366"/>
        <v>Oct</v>
      </c>
      <c r="K5888" t="str">
        <f t="shared" si="367"/>
        <v>Fri</v>
      </c>
    </row>
    <row r="5889" spans="1:11" x14ac:dyDescent="0.35">
      <c r="A5889" s="1">
        <v>44109</v>
      </c>
      <c r="B5889">
        <v>157.29200744628901</v>
      </c>
      <c r="C5889">
        <v>160.12649536132801</v>
      </c>
      <c r="D5889">
        <v>157.04249572753901</v>
      </c>
      <c r="E5889">
        <v>159.96000671386699</v>
      </c>
      <c r="F5889">
        <v>159.96000671386699</v>
      </c>
      <c r="G5889">
        <v>75506000</v>
      </c>
      <c r="H5889">
        <f t="shared" si="364"/>
        <v>2020</v>
      </c>
      <c r="I5889">
        <f t="shared" si="365"/>
        <v>10</v>
      </c>
      <c r="J5889" t="str">
        <f t="shared" si="366"/>
        <v>Oct</v>
      </c>
      <c r="K5889" t="str">
        <f t="shared" si="367"/>
        <v>Mon</v>
      </c>
    </row>
    <row r="5890" spans="1:11" x14ac:dyDescent="0.35">
      <c r="A5890" s="1">
        <v>44110</v>
      </c>
      <c r="B5890">
        <v>158.25</v>
      </c>
      <c r="C5890">
        <v>159.100006103515</v>
      </c>
      <c r="D5890">
        <v>154.5</v>
      </c>
      <c r="E5890">
        <v>154.99800109863199</v>
      </c>
      <c r="F5890">
        <v>154.99800109863199</v>
      </c>
      <c r="G5890">
        <v>101738000</v>
      </c>
      <c r="H5890">
        <f t="shared" si="364"/>
        <v>2020</v>
      </c>
      <c r="I5890">
        <f t="shared" si="365"/>
        <v>10</v>
      </c>
      <c r="J5890" t="str">
        <f t="shared" si="366"/>
        <v>Oct</v>
      </c>
      <c r="K5890" t="str">
        <f t="shared" si="367"/>
        <v>Tue</v>
      </c>
    </row>
    <row r="5891" spans="1:11" x14ac:dyDescent="0.35">
      <c r="A5891" s="1">
        <v>44111</v>
      </c>
      <c r="B5891">
        <v>156.75</v>
      </c>
      <c r="C5891">
        <v>160</v>
      </c>
      <c r="D5891">
        <v>156.61950683593699</v>
      </c>
      <c r="E5891">
        <v>159.78450012207</v>
      </c>
      <c r="F5891">
        <v>159.78450012207</v>
      </c>
      <c r="G5891">
        <v>86188000</v>
      </c>
      <c r="H5891">
        <f t="shared" si="364"/>
        <v>2020</v>
      </c>
      <c r="I5891">
        <f t="shared" si="365"/>
        <v>10</v>
      </c>
      <c r="J5891" t="str">
        <f t="shared" si="366"/>
        <v>Oct</v>
      </c>
      <c r="K5891" t="str">
        <f t="shared" si="367"/>
        <v>Wed</v>
      </c>
    </row>
    <row r="5892" spans="1:11" x14ac:dyDescent="0.35">
      <c r="A5892" s="1">
        <v>44112</v>
      </c>
      <c r="B5892">
        <v>161.24949645996</v>
      </c>
      <c r="C5892">
        <v>161.66450500488199</v>
      </c>
      <c r="D5892">
        <v>158.74949645996</v>
      </c>
      <c r="E5892">
        <v>159.52749633789</v>
      </c>
      <c r="F5892">
        <v>159.52749633789</v>
      </c>
      <c r="G5892">
        <v>63482000</v>
      </c>
      <c r="H5892">
        <f t="shared" ref="H5892:H5955" si="368">YEAR($A5892)</f>
        <v>2020</v>
      </c>
      <c r="I5892">
        <f t="shared" ref="I5892:I5955" si="369">MONTH($A5892)</f>
        <v>10</v>
      </c>
      <c r="J5892" t="str">
        <f t="shared" ref="J5892:J5955" si="370">TEXT($A5892,"mmm")</f>
        <v>Oct</v>
      </c>
      <c r="K5892" t="str">
        <f t="shared" ref="K5892:K5955" si="371">TEXT($A5892,"ddd")</f>
        <v>Thu</v>
      </c>
    </row>
    <row r="5893" spans="1:11" x14ac:dyDescent="0.35">
      <c r="A5893" s="1">
        <v>44113</v>
      </c>
      <c r="B5893">
        <v>160.5</v>
      </c>
      <c r="C5893">
        <v>164.44949340820301</v>
      </c>
      <c r="D5893">
        <v>159.89149475097599</v>
      </c>
      <c r="E5893">
        <v>164.33250427246</v>
      </c>
      <c r="F5893">
        <v>164.33250427246</v>
      </c>
      <c r="G5893">
        <v>98158000</v>
      </c>
      <c r="H5893">
        <f t="shared" si="368"/>
        <v>2020</v>
      </c>
      <c r="I5893">
        <f t="shared" si="369"/>
        <v>10</v>
      </c>
      <c r="J5893" t="str">
        <f t="shared" si="370"/>
        <v>Oct</v>
      </c>
      <c r="K5893" t="str">
        <f t="shared" si="371"/>
        <v>Fri</v>
      </c>
    </row>
    <row r="5894" spans="1:11" x14ac:dyDescent="0.35">
      <c r="A5894" s="1">
        <v>44116</v>
      </c>
      <c r="B5894">
        <v>167.49699401855401</v>
      </c>
      <c r="C5894">
        <v>174.81199645996</v>
      </c>
      <c r="D5894">
        <v>166.97749328613199</v>
      </c>
      <c r="E5894">
        <v>172.14649963378901</v>
      </c>
      <c r="F5894">
        <v>172.14649963378901</v>
      </c>
      <c r="G5894">
        <v>167284000</v>
      </c>
      <c r="H5894">
        <f t="shared" si="368"/>
        <v>2020</v>
      </c>
      <c r="I5894">
        <f t="shared" si="369"/>
        <v>10</v>
      </c>
      <c r="J5894" t="str">
        <f t="shared" si="370"/>
        <v>Oct</v>
      </c>
      <c r="K5894" t="str">
        <f t="shared" si="371"/>
        <v>Mon</v>
      </c>
    </row>
    <row r="5895" spans="1:11" x14ac:dyDescent="0.35">
      <c r="A5895" s="1">
        <v>44117</v>
      </c>
      <c r="B5895">
        <v>173.39950561523401</v>
      </c>
      <c r="C5895">
        <v>174.61900329589801</v>
      </c>
      <c r="D5895">
        <v>171.21099853515599</v>
      </c>
      <c r="E5895">
        <v>172.18150329589801</v>
      </c>
      <c r="F5895">
        <v>172.18150329589801</v>
      </c>
      <c r="G5895">
        <v>114894000</v>
      </c>
      <c r="H5895">
        <f t="shared" si="368"/>
        <v>2020</v>
      </c>
      <c r="I5895">
        <f t="shared" si="369"/>
        <v>10</v>
      </c>
      <c r="J5895" t="str">
        <f t="shared" si="370"/>
        <v>Oct</v>
      </c>
      <c r="K5895" t="str">
        <f t="shared" si="371"/>
        <v>Tue</v>
      </c>
    </row>
    <row r="5896" spans="1:11" x14ac:dyDescent="0.35">
      <c r="A5896" s="1">
        <v>44118</v>
      </c>
      <c r="B5896">
        <v>172.350006103515</v>
      </c>
      <c r="C5896">
        <v>173.24400329589801</v>
      </c>
      <c r="D5896">
        <v>167</v>
      </c>
      <c r="E5896">
        <v>168.18550109863199</v>
      </c>
      <c r="F5896">
        <v>168.18550109863199</v>
      </c>
      <c r="G5896">
        <v>116254000</v>
      </c>
      <c r="H5896">
        <f t="shared" si="368"/>
        <v>2020</v>
      </c>
      <c r="I5896">
        <f t="shared" si="369"/>
        <v>10</v>
      </c>
      <c r="J5896" t="str">
        <f t="shared" si="370"/>
        <v>Oct</v>
      </c>
      <c r="K5896" t="str">
        <f t="shared" si="371"/>
        <v>Wed</v>
      </c>
    </row>
    <row r="5897" spans="1:11" x14ac:dyDescent="0.35">
      <c r="A5897" s="1">
        <v>44119</v>
      </c>
      <c r="B5897">
        <v>164.600494384765</v>
      </c>
      <c r="C5897">
        <v>167.79400634765599</v>
      </c>
      <c r="D5897">
        <v>164</v>
      </c>
      <c r="E5897">
        <v>166.93249511718699</v>
      </c>
      <c r="F5897">
        <v>166.93249511718699</v>
      </c>
      <c r="G5897">
        <v>104468000</v>
      </c>
      <c r="H5897">
        <f t="shared" si="368"/>
        <v>2020</v>
      </c>
      <c r="I5897">
        <f t="shared" si="369"/>
        <v>10</v>
      </c>
      <c r="J5897" t="str">
        <f t="shared" si="370"/>
        <v>Oct</v>
      </c>
      <c r="K5897" t="str">
        <f t="shared" si="371"/>
        <v>Thu</v>
      </c>
    </row>
    <row r="5898" spans="1:11" x14ac:dyDescent="0.35">
      <c r="A5898" s="1">
        <v>44120</v>
      </c>
      <c r="B5898">
        <v>168.16149902343699</v>
      </c>
      <c r="C5898">
        <v>169.98300170898401</v>
      </c>
      <c r="D5898">
        <v>158</v>
      </c>
      <c r="E5898">
        <v>163.635498046875</v>
      </c>
      <c r="F5898">
        <v>163.635498046875</v>
      </c>
      <c r="G5898">
        <v>129488000</v>
      </c>
      <c r="H5898">
        <f t="shared" si="368"/>
        <v>2020</v>
      </c>
      <c r="I5898">
        <f t="shared" si="369"/>
        <v>10</v>
      </c>
      <c r="J5898" t="str">
        <f t="shared" si="370"/>
        <v>Oct</v>
      </c>
      <c r="K5898" t="str">
        <f t="shared" si="371"/>
        <v>Fri</v>
      </c>
    </row>
    <row r="5899" spans="1:11" x14ac:dyDescent="0.35">
      <c r="A5899" s="1">
        <v>44123</v>
      </c>
      <c r="B5899">
        <v>164.98049926757801</v>
      </c>
      <c r="C5899">
        <v>166.44999694824199</v>
      </c>
      <c r="D5899">
        <v>159.63699340820301</v>
      </c>
      <c r="E5899">
        <v>160.36050415039</v>
      </c>
      <c r="F5899">
        <v>160.36050415039</v>
      </c>
      <c r="G5899">
        <v>104472000</v>
      </c>
      <c r="H5899">
        <f t="shared" si="368"/>
        <v>2020</v>
      </c>
      <c r="I5899">
        <f t="shared" si="369"/>
        <v>10</v>
      </c>
      <c r="J5899" t="str">
        <f t="shared" si="370"/>
        <v>Oct</v>
      </c>
      <c r="K5899" t="str">
        <f t="shared" si="371"/>
        <v>Mon</v>
      </c>
    </row>
    <row r="5900" spans="1:11" x14ac:dyDescent="0.35">
      <c r="A5900" s="1">
        <v>44124</v>
      </c>
      <c r="B5900">
        <v>161.113998413085</v>
      </c>
      <c r="C5900">
        <v>163.30000305175699</v>
      </c>
      <c r="D5900">
        <v>159.600494384765</v>
      </c>
      <c r="E5900">
        <v>160.850494384765</v>
      </c>
      <c r="F5900">
        <v>160.850494384765</v>
      </c>
      <c r="G5900">
        <v>90194000</v>
      </c>
      <c r="H5900">
        <f t="shared" si="368"/>
        <v>2020</v>
      </c>
      <c r="I5900">
        <f t="shared" si="369"/>
        <v>10</v>
      </c>
      <c r="J5900" t="str">
        <f t="shared" si="370"/>
        <v>Oct</v>
      </c>
      <c r="K5900" t="str">
        <f t="shared" si="371"/>
        <v>Tue</v>
      </c>
    </row>
    <row r="5901" spans="1:11" x14ac:dyDescent="0.35">
      <c r="A5901" s="1">
        <v>44125</v>
      </c>
      <c r="B5901">
        <v>160.625</v>
      </c>
      <c r="C5901">
        <v>161.69400024414</v>
      </c>
      <c r="D5901">
        <v>158</v>
      </c>
      <c r="E5901">
        <v>159.24699401855401</v>
      </c>
      <c r="F5901">
        <v>159.24699401855401</v>
      </c>
      <c r="G5901">
        <v>91854000</v>
      </c>
      <c r="H5901">
        <f t="shared" si="368"/>
        <v>2020</v>
      </c>
      <c r="I5901">
        <f t="shared" si="369"/>
        <v>10</v>
      </c>
      <c r="J5901" t="str">
        <f t="shared" si="370"/>
        <v>Oct</v>
      </c>
      <c r="K5901" t="str">
        <f t="shared" si="371"/>
        <v>Wed</v>
      </c>
    </row>
    <row r="5902" spans="1:11" x14ac:dyDescent="0.35">
      <c r="A5902" s="1">
        <v>44126</v>
      </c>
      <c r="B5902">
        <v>159.49349975585901</v>
      </c>
      <c r="C5902">
        <v>159.9375</v>
      </c>
      <c r="D5902">
        <v>156.09700012207</v>
      </c>
      <c r="E5902">
        <v>158.82000732421801</v>
      </c>
      <c r="F5902">
        <v>158.82000732421801</v>
      </c>
      <c r="G5902">
        <v>84240000</v>
      </c>
      <c r="H5902">
        <f t="shared" si="368"/>
        <v>2020</v>
      </c>
      <c r="I5902">
        <f t="shared" si="369"/>
        <v>10</v>
      </c>
      <c r="J5902" t="str">
        <f t="shared" si="370"/>
        <v>Oct</v>
      </c>
      <c r="K5902" t="str">
        <f t="shared" si="371"/>
        <v>Thu</v>
      </c>
    </row>
    <row r="5903" spans="1:11" x14ac:dyDescent="0.35">
      <c r="A5903" s="1">
        <v>44127</v>
      </c>
      <c r="B5903">
        <v>159.55000305175699</v>
      </c>
      <c r="C5903">
        <v>160.26649475097599</v>
      </c>
      <c r="D5903">
        <v>157</v>
      </c>
      <c r="E5903">
        <v>160.22000122070301</v>
      </c>
      <c r="F5903">
        <v>160.22000122070301</v>
      </c>
      <c r="G5903">
        <v>69334000</v>
      </c>
      <c r="H5903">
        <f t="shared" si="368"/>
        <v>2020</v>
      </c>
      <c r="I5903">
        <f t="shared" si="369"/>
        <v>10</v>
      </c>
      <c r="J5903" t="str">
        <f t="shared" si="370"/>
        <v>Oct</v>
      </c>
      <c r="K5903" t="str">
        <f t="shared" si="371"/>
        <v>Fri</v>
      </c>
    </row>
    <row r="5904" spans="1:11" x14ac:dyDescent="0.35">
      <c r="A5904" s="1">
        <v>44130</v>
      </c>
      <c r="B5904">
        <v>159.93699645996</v>
      </c>
      <c r="C5904">
        <v>164.149002075195</v>
      </c>
      <c r="D5904">
        <v>157.66499328613199</v>
      </c>
      <c r="E5904">
        <v>160.35200500488199</v>
      </c>
      <c r="F5904">
        <v>160.35200500488199</v>
      </c>
      <c r="G5904">
        <v>118024000</v>
      </c>
      <c r="H5904">
        <f t="shared" si="368"/>
        <v>2020</v>
      </c>
      <c r="I5904">
        <f t="shared" si="369"/>
        <v>10</v>
      </c>
      <c r="J5904" t="str">
        <f t="shared" si="370"/>
        <v>Oct</v>
      </c>
      <c r="K5904" t="str">
        <f t="shared" si="371"/>
        <v>Mon</v>
      </c>
    </row>
    <row r="5905" spans="1:11" x14ac:dyDescent="0.35">
      <c r="A5905" s="1">
        <v>44131</v>
      </c>
      <c r="B5905">
        <v>161.24699401855401</v>
      </c>
      <c r="C5905">
        <v>164.58299255371</v>
      </c>
      <c r="D5905">
        <v>160.56500244140599</v>
      </c>
      <c r="E5905">
        <v>164.31649780273401</v>
      </c>
      <c r="F5905">
        <v>164.31649780273401</v>
      </c>
      <c r="G5905">
        <v>85820000</v>
      </c>
      <c r="H5905">
        <f t="shared" si="368"/>
        <v>2020</v>
      </c>
      <c r="I5905">
        <f t="shared" si="369"/>
        <v>10</v>
      </c>
      <c r="J5905" t="str">
        <f t="shared" si="370"/>
        <v>Oct</v>
      </c>
      <c r="K5905" t="str">
        <f t="shared" si="371"/>
        <v>Tue</v>
      </c>
    </row>
    <row r="5906" spans="1:11" x14ac:dyDescent="0.35">
      <c r="A5906" s="1">
        <v>44132</v>
      </c>
      <c r="B5906">
        <v>162.46499633789</v>
      </c>
      <c r="C5906">
        <v>163.20100402832</v>
      </c>
      <c r="D5906">
        <v>158.12350463867099</v>
      </c>
      <c r="E5906">
        <v>158.13900756835901</v>
      </c>
      <c r="F5906">
        <v>158.13900756835901</v>
      </c>
      <c r="G5906">
        <v>111766000</v>
      </c>
      <c r="H5906">
        <f t="shared" si="368"/>
        <v>2020</v>
      </c>
      <c r="I5906">
        <f t="shared" si="369"/>
        <v>10</v>
      </c>
      <c r="J5906" t="str">
        <f t="shared" si="370"/>
        <v>Oct</v>
      </c>
      <c r="K5906" t="str">
        <f t="shared" si="371"/>
        <v>Wed</v>
      </c>
    </row>
    <row r="5907" spans="1:11" x14ac:dyDescent="0.35">
      <c r="A5907" s="1">
        <v>44133</v>
      </c>
      <c r="B5907">
        <v>160.06350708007801</v>
      </c>
      <c r="C5907">
        <v>162.86250305175699</v>
      </c>
      <c r="D5907">
        <v>158.19999694824199</v>
      </c>
      <c r="E5907">
        <v>160.55050659179599</v>
      </c>
      <c r="F5907">
        <v>160.55050659179599</v>
      </c>
      <c r="G5907">
        <v>131930000</v>
      </c>
      <c r="H5907">
        <f t="shared" si="368"/>
        <v>2020</v>
      </c>
      <c r="I5907">
        <f t="shared" si="369"/>
        <v>10</v>
      </c>
      <c r="J5907" t="str">
        <f t="shared" si="370"/>
        <v>Oct</v>
      </c>
      <c r="K5907" t="str">
        <f t="shared" si="371"/>
        <v>Thu</v>
      </c>
    </row>
    <row r="5908" spans="1:11" x14ac:dyDescent="0.35">
      <c r="A5908" s="1">
        <v>44134</v>
      </c>
      <c r="B5908">
        <v>157.88749694824199</v>
      </c>
      <c r="C5908">
        <v>158.350006103515</v>
      </c>
      <c r="D5908">
        <v>150.94999694824199</v>
      </c>
      <c r="E5908">
        <v>151.80749511718699</v>
      </c>
      <c r="F5908">
        <v>151.80749511718699</v>
      </c>
      <c r="G5908">
        <v>167728000</v>
      </c>
      <c r="H5908">
        <f t="shared" si="368"/>
        <v>2020</v>
      </c>
      <c r="I5908">
        <f t="shared" si="369"/>
        <v>10</v>
      </c>
      <c r="J5908" t="str">
        <f t="shared" si="370"/>
        <v>Oct</v>
      </c>
      <c r="K5908" t="str">
        <f t="shared" si="371"/>
        <v>Fri</v>
      </c>
    </row>
    <row r="5909" spans="1:11" x14ac:dyDescent="0.35">
      <c r="A5909" s="1">
        <v>44137</v>
      </c>
      <c r="B5909">
        <v>153.08700561523401</v>
      </c>
      <c r="C5909">
        <v>153.98550415039</v>
      </c>
      <c r="D5909">
        <v>147.50599670410099</v>
      </c>
      <c r="E5909">
        <v>150.22399902343699</v>
      </c>
      <c r="F5909">
        <v>150.22399902343699</v>
      </c>
      <c r="G5909">
        <v>145148000</v>
      </c>
      <c r="H5909">
        <f t="shared" si="368"/>
        <v>2020</v>
      </c>
      <c r="I5909">
        <f t="shared" si="369"/>
        <v>11</v>
      </c>
      <c r="J5909" t="str">
        <f t="shared" si="370"/>
        <v>Nov</v>
      </c>
      <c r="K5909" t="str">
        <f t="shared" si="371"/>
        <v>Mon</v>
      </c>
    </row>
    <row r="5910" spans="1:11" x14ac:dyDescent="0.35">
      <c r="A5910" s="1">
        <v>44138</v>
      </c>
      <c r="B5910">
        <v>150.926498413085</v>
      </c>
      <c r="C5910">
        <v>153.74499511718699</v>
      </c>
      <c r="D5910">
        <v>149.04899597167901</v>
      </c>
      <c r="E5910">
        <v>152.42050170898401</v>
      </c>
      <c r="F5910">
        <v>152.42050170898401</v>
      </c>
      <c r="G5910">
        <v>97958000</v>
      </c>
      <c r="H5910">
        <f t="shared" si="368"/>
        <v>2020</v>
      </c>
      <c r="I5910">
        <f t="shared" si="369"/>
        <v>11</v>
      </c>
      <c r="J5910" t="str">
        <f t="shared" si="370"/>
        <v>Nov</v>
      </c>
      <c r="K5910" t="str">
        <f t="shared" si="371"/>
        <v>Tue</v>
      </c>
    </row>
    <row r="5911" spans="1:11" x14ac:dyDescent="0.35">
      <c r="A5911" s="1">
        <v>44139</v>
      </c>
      <c r="B5911">
        <v>157.99949645996</v>
      </c>
      <c r="C5911">
        <v>162.24249267578099</v>
      </c>
      <c r="D5911">
        <v>156.98649597167901</v>
      </c>
      <c r="E5911">
        <v>162.05799865722599</v>
      </c>
      <c r="F5911">
        <v>162.05799865722599</v>
      </c>
      <c r="G5911">
        <v>136780000</v>
      </c>
      <c r="H5911">
        <f t="shared" si="368"/>
        <v>2020</v>
      </c>
      <c r="I5911">
        <f t="shared" si="369"/>
        <v>11</v>
      </c>
      <c r="J5911" t="str">
        <f t="shared" si="370"/>
        <v>Nov</v>
      </c>
      <c r="K5911" t="str">
        <f t="shared" si="371"/>
        <v>Wed</v>
      </c>
    </row>
    <row r="5912" spans="1:11" x14ac:dyDescent="0.35">
      <c r="A5912" s="1">
        <v>44140</v>
      </c>
      <c r="B5912">
        <v>165.99850463867099</v>
      </c>
      <c r="C5912">
        <v>168.33999633789</v>
      </c>
      <c r="D5912">
        <v>164.44400024414</v>
      </c>
      <c r="E5912">
        <v>166.100006103515</v>
      </c>
      <c r="F5912">
        <v>166.100006103515</v>
      </c>
      <c r="G5912">
        <v>115786000</v>
      </c>
      <c r="H5912">
        <f t="shared" si="368"/>
        <v>2020</v>
      </c>
      <c r="I5912">
        <f t="shared" si="369"/>
        <v>11</v>
      </c>
      <c r="J5912" t="str">
        <f t="shared" si="370"/>
        <v>Nov</v>
      </c>
      <c r="K5912" t="str">
        <f t="shared" si="371"/>
        <v>Thu</v>
      </c>
    </row>
    <row r="5913" spans="1:11" x14ac:dyDescent="0.35">
      <c r="A5913" s="1">
        <v>44141</v>
      </c>
      <c r="B5913">
        <v>165.23199462890599</v>
      </c>
      <c r="C5913">
        <v>166.100006103515</v>
      </c>
      <c r="D5913">
        <v>161.600006103515</v>
      </c>
      <c r="E5913">
        <v>165.56849670410099</v>
      </c>
      <c r="F5913">
        <v>165.56849670410099</v>
      </c>
      <c r="G5913">
        <v>92946000</v>
      </c>
      <c r="H5913">
        <f t="shared" si="368"/>
        <v>2020</v>
      </c>
      <c r="I5913">
        <f t="shared" si="369"/>
        <v>11</v>
      </c>
      <c r="J5913" t="str">
        <f t="shared" si="370"/>
        <v>Nov</v>
      </c>
      <c r="K5913" t="str">
        <f t="shared" si="371"/>
        <v>Fri</v>
      </c>
    </row>
    <row r="5914" spans="1:11" x14ac:dyDescent="0.35">
      <c r="A5914" s="1">
        <v>44144</v>
      </c>
      <c r="B5914">
        <v>161.551498413085</v>
      </c>
      <c r="C5914">
        <v>164.44999694824199</v>
      </c>
      <c r="D5914">
        <v>155.60549926757801</v>
      </c>
      <c r="E5914">
        <v>157.18699645996</v>
      </c>
      <c r="F5914">
        <v>157.18699645996</v>
      </c>
      <c r="G5914">
        <v>143808000</v>
      </c>
      <c r="H5914">
        <f t="shared" si="368"/>
        <v>2020</v>
      </c>
      <c r="I5914">
        <f t="shared" si="369"/>
        <v>11</v>
      </c>
      <c r="J5914" t="str">
        <f t="shared" si="370"/>
        <v>Nov</v>
      </c>
      <c r="K5914" t="str">
        <f t="shared" si="371"/>
        <v>Mon</v>
      </c>
    </row>
    <row r="5915" spans="1:11" x14ac:dyDescent="0.35">
      <c r="A5915" s="1">
        <v>44145</v>
      </c>
      <c r="B5915">
        <v>154.75100708007801</v>
      </c>
      <c r="C5915">
        <v>155.69999694824199</v>
      </c>
      <c r="D5915">
        <v>150.97399902343699</v>
      </c>
      <c r="E5915">
        <v>151.75100708007801</v>
      </c>
      <c r="F5915">
        <v>151.75100708007801</v>
      </c>
      <c r="G5915">
        <v>131820000</v>
      </c>
      <c r="H5915">
        <f t="shared" si="368"/>
        <v>2020</v>
      </c>
      <c r="I5915">
        <f t="shared" si="369"/>
        <v>11</v>
      </c>
      <c r="J5915" t="str">
        <f t="shared" si="370"/>
        <v>Nov</v>
      </c>
      <c r="K5915" t="str">
        <f t="shared" si="371"/>
        <v>Tue</v>
      </c>
    </row>
    <row r="5916" spans="1:11" x14ac:dyDescent="0.35">
      <c r="A5916" s="1">
        <v>44146</v>
      </c>
      <c r="B5916">
        <v>153.08900451660099</v>
      </c>
      <c r="C5916">
        <v>156.95750427246</v>
      </c>
      <c r="D5916">
        <v>152.5</v>
      </c>
      <c r="E5916">
        <v>156.86950683593699</v>
      </c>
      <c r="F5916">
        <v>156.86950683593699</v>
      </c>
      <c r="G5916">
        <v>87338000</v>
      </c>
      <c r="H5916">
        <f t="shared" si="368"/>
        <v>2020</v>
      </c>
      <c r="I5916">
        <f t="shared" si="369"/>
        <v>11</v>
      </c>
      <c r="J5916" t="str">
        <f t="shared" si="370"/>
        <v>Nov</v>
      </c>
      <c r="K5916" t="str">
        <f t="shared" si="371"/>
        <v>Wed</v>
      </c>
    </row>
    <row r="5917" spans="1:11" x14ac:dyDescent="0.35">
      <c r="A5917" s="1">
        <v>44147</v>
      </c>
      <c r="B5917">
        <v>157.99749755859301</v>
      </c>
      <c r="C5917">
        <v>158.79400634765599</v>
      </c>
      <c r="D5917">
        <v>154.30250549316401</v>
      </c>
      <c r="E5917">
        <v>155.51400756835901</v>
      </c>
      <c r="F5917">
        <v>155.51400756835901</v>
      </c>
      <c r="G5917">
        <v>87240000</v>
      </c>
      <c r="H5917">
        <f t="shared" si="368"/>
        <v>2020</v>
      </c>
      <c r="I5917">
        <f t="shared" si="369"/>
        <v>11</v>
      </c>
      <c r="J5917" t="str">
        <f t="shared" si="370"/>
        <v>Nov</v>
      </c>
      <c r="K5917" t="str">
        <f t="shared" si="371"/>
        <v>Thu</v>
      </c>
    </row>
    <row r="5918" spans="1:11" x14ac:dyDescent="0.35">
      <c r="A5918" s="1">
        <v>44148</v>
      </c>
      <c r="B5918">
        <v>156.100006103515</v>
      </c>
      <c r="C5918">
        <v>157.08599853515599</v>
      </c>
      <c r="D5918">
        <v>154.26950073242099</v>
      </c>
      <c r="E5918">
        <v>156.440505981445</v>
      </c>
      <c r="F5918">
        <v>156.440505981445</v>
      </c>
      <c r="G5918">
        <v>75124000</v>
      </c>
      <c r="H5918">
        <f t="shared" si="368"/>
        <v>2020</v>
      </c>
      <c r="I5918">
        <f t="shared" si="369"/>
        <v>11</v>
      </c>
      <c r="J5918" t="str">
        <f t="shared" si="370"/>
        <v>Nov</v>
      </c>
      <c r="K5918" t="str">
        <f t="shared" si="371"/>
        <v>Fri</v>
      </c>
    </row>
    <row r="5919" spans="1:11" x14ac:dyDescent="0.35">
      <c r="A5919" s="1">
        <v>44151</v>
      </c>
      <c r="B5919">
        <v>154.66000366210901</v>
      </c>
      <c r="C5919">
        <v>157.134994506835</v>
      </c>
      <c r="D5919">
        <v>153.634506225585</v>
      </c>
      <c r="E5919">
        <v>156.55299377441401</v>
      </c>
      <c r="F5919">
        <v>156.55299377441401</v>
      </c>
      <c r="G5919">
        <v>76174000</v>
      </c>
      <c r="H5919">
        <f t="shared" si="368"/>
        <v>2020</v>
      </c>
      <c r="I5919">
        <f t="shared" si="369"/>
        <v>11</v>
      </c>
      <c r="J5919" t="str">
        <f t="shared" si="370"/>
        <v>Nov</v>
      </c>
      <c r="K5919" t="str">
        <f t="shared" si="371"/>
        <v>Mon</v>
      </c>
    </row>
    <row r="5920" spans="1:11" x14ac:dyDescent="0.35">
      <c r="A5920" s="1">
        <v>44152</v>
      </c>
      <c r="B5920">
        <v>159.177001953125</v>
      </c>
      <c r="C5920">
        <v>159.46249389648401</v>
      </c>
      <c r="D5920">
        <v>156.76300048828099</v>
      </c>
      <c r="E5920">
        <v>156.78300476074199</v>
      </c>
      <c r="F5920">
        <v>156.78300476074199</v>
      </c>
      <c r="G5920">
        <v>68894000</v>
      </c>
      <c r="H5920">
        <f t="shared" si="368"/>
        <v>2020</v>
      </c>
      <c r="I5920">
        <f t="shared" si="369"/>
        <v>11</v>
      </c>
      <c r="J5920" t="str">
        <f t="shared" si="370"/>
        <v>Nov</v>
      </c>
      <c r="K5920" t="str">
        <f t="shared" si="371"/>
        <v>Tue</v>
      </c>
    </row>
    <row r="5921" spans="1:11" x14ac:dyDescent="0.35">
      <c r="A5921" s="1">
        <v>44153</v>
      </c>
      <c r="B5921">
        <v>156.69999694824199</v>
      </c>
      <c r="C5921">
        <v>157</v>
      </c>
      <c r="D5921">
        <v>155.25500488281199</v>
      </c>
      <c r="E5921">
        <v>155.27299499511699</v>
      </c>
      <c r="F5921">
        <v>155.27299499511699</v>
      </c>
      <c r="G5921">
        <v>58336000</v>
      </c>
      <c r="H5921">
        <f t="shared" si="368"/>
        <v>2020</v>
      </c>
      <c r="I5921">
        <f t="shared" si="369"/>
        <v>11</v>
      </c>
      <c r="J5921" t="str">
        <f t="shared" si="370"/>
        <v>Nov</v>
      </c>
      <c r="K5921" t="str">
        <f t="shared" si="371"/>
        <v>Wed</v>
      </c>
    </row>
    <row r="5922" spans="1:11" x14ac:dyDescent="0.35">
      <c r="A5922" s="1">
        <v>44154</v>
      </c>
      <c r="B5922">
        <v>155.26550292968699</v>
      </c>
      <c r="C5922">
        <v>156.25</v>
      </c>
      <c r="D5922">
        <v>154.04600524902301</v>
      </c>
      <c r="E5922">
        <v>155.85099792480401</v>
      </c>
      <c r="F5922">
        <v>155.85099792480401</v>
      </c>
      <c r="G5922">
        <v>60206000</v>
      </c>
      <c r="H5922">
        <f t="shared" si="368"/>
        <v>2020</v>
      </c>
      <c r="I5922">
        <f t="shared" si="369"/>
        <v>11</v>
      </c>
      <c r="J5922" t="str">
        <f t="shared" si="370"/>
        <v>Nov</v>
      </c>
      <c r="K5922" t="str">
        <f t="shared" si="371"/>
        <v>Thu</v>
      </c>
    </row>
    <row r="5923" spans="1:11" x14ac:dyDescent="0.35">
      <c r="A5923" s="1">
        <v>44155</v>
      </c>
      <c r="B5923">
        <v>155.85099792480401</v>
      </c>
      <c r="C5923">
        <v>156.64450073242099</v>
      </c>
      <c r="D5923">
        <v>154.90249633789</v>
      </c>
      <c r="E5923">
        <v>154.97000122070301</v>
      </c>
      <c r="F5923">
        <v>154.97000122070301</v>
      </c>
      <c r="G5923">
        <v>67488000</v>
      </c>
      <c r="H5923">
        <f t="shared" si="368"/>
        <v>2020</v>
      </c>
      <c r="I5923">
        <f t="shared" si="369"/>
        <v>11</v>
      </c>
      <c r="J5923" t="str">
        <f t="shared" si="370"/>
        <v>Nov</v>
      </c>
      <c r="K5923" t="str">
        <f t="shared" si="371"/>
        <v>Fri</v>
      </c>
    </row>
    <row r="5924" spans="1:11" x14ac:dyDescent="0.35">
      <c r="A5924" s="1">
        <v>44158</v>
      </c>
      <c r="B5924">
        <v>155.83500671386699</v>
      </c>
      <c r="C5924">
        <v>156.98750305175699</v>
      </c>
      <c r="D5924">
        <v>153.27299499511699</v>
      </c>
      <c r="E5924">
        <v>154.91949462890599</v>
      </c>
      <c r="F5924">
        <v>154.91949462890599</v>
      </c>
      <c r="G5924">
        <v>94178000</v>
      </c>
      <c r="H5924">
        <f t="shared" si="368"/>
        <v>2020</v>
      </c>
      <c r="I5924">
        <f t="shared" si="369"/>
        <v>11</v>
      </c>
      <c r="J5924" t="str">
        <f t="shared" si="370"/>
        <v>Nov</v>
      </c>
      <c r="K5924" t="str">
        <f t="shared" si="371"/>
        <v>Mon</v>
      </c>
    </row>
    <row r="5925" spans="1:11" x14ac:dyDescent="0.35">
      <c r="A5925" s="1">
        <v>44159</v>
      </c>
      <c r="B5925">
        <v>155.02499389648401</v>
      </c>
      <c r="C5925">
        <v>156.71249389648401</v>
      </c>
      <c r="D5925">
        <v>154.31300354003901</v>
      </c>
      <c r="E5925">
        <v>155.90299987792901</v>
      </c>
      <c r="F5925">
        <v>155.90299987792901</v>
      </c>
      <c r="G5925">
        <v>72042000</v>
      </c>
      <c r="H5925">
        <f t="shared" si="368"/>
        <v>2020</v>
      </c>
      <c r="I5925">
        <f t="shared" si="369"/>
        <v>11</v>
      </c>
      <c r="J5925" t="str">
        <f t="shared" si="370"/>
        <v>Nov</v>
      </c>
      <c r="K5925" t="str">
        <f t="shared" si="371"/>
        <v>Tue</v>
      </c>
    </row>
    <row r="5926" spans="1:11" x14ac:dyDescent="0.35">
      <c r="A5926" s="1">
        <v>44160</v>
      </c>
      <c r="B5926">
        <v>157.093505859375</v>
      </c>
      <c r="C5926">
        <v>159.89999389648401</v>
      </c>
      <c r="D5926">
        <v>157.01300048828099</v>
      </c>
      <c r="E5926">
        <v>159.253494262695</v>
      </c>
      <c r="F5926">
        <v>159.253494262695</v>
      </c>
      <c r="G5926">
        <v>75808000</v>
      </c>
      <c r="H5926">
        <f t="shared" si="368"/>
        <v>2020</v>
      </c>
      <c r="I5926">
        <f t="shared" si="369"/>
        <v>11</v>
      </c>
      <c r="J5926" t="str">
        <f t="shared" si="370"/>
        <v>Nov</v>
      </c>
      <c r="K5926" t="str">
        <f t="shared" si="371"/>
        <v>Wed</v>
      </c>
    </row>
    <row r="5927" spans="1:11" x14ac:dyDescent="0.35">
      <c r="A5927" s="1">
        <v>44162</v>
      </c>
      <c r="B5927">
        <v>160.56300354003901</v>
      </c>
      <c r="C5927">
        <v>160.80949401855401</v>
      </c>
      <c r="D5927">
        <v>159.50250244140599</v>
      </c>
      <c r="E5927">
        <v>159.766998291015</v>
      </c>
      <c r="F5927">
        <v>159.766998291015</v>
      </c>
      <c r="G5927">
        <v>47858000</v>
      </c>
      <c r="H5927">
        <f t="shared" si="368"/>
        <v>2020</v>
      </c>
      <c r="I5927">
        <f t="shared" si="369"/>
        <v>11</v>
      </c>
      <c r="J5927" t="str">
        <f t="shared" si="370"/>
        <v>Nov</v>
      </c>
      <c r="K5927" t="str">
        <f t="shared" si="371"/>
        <v>Fri</v>
      </c>
    </row>
    <row r="5928" spans="1:11" x14ac:dyDescent="0.35">
      <c r="A5928" s="1">
        <v>44165</v>
      </c>
      <c r="B5928">
        <v>160.42399597167901</v>
      </c>
      <c r="C5928">
        <v>161.41949462890599</v>
      </c>
      <c r="D5928">
        <v>156.27749633789</v>
      </c>
      <c r="E5928">
        <v>158.40199279785099</v>
      </c>
      <c r="F5928">
        <v>158.40199279785099</v>
      </c>
      <c r="G5928">
        <v>81278000</v>
      </c>
      <c r="H5928">
        <f t="shared" si="368"/>
        <v>2020</v>
      </c>
      <c r="I5928">
        <f t="shared" si="369"/>
        <v>11</v>
      </c>
      <c r="J5928" t="str">
        <f t="shared" si="370"/>
        <v>Nov</v>
      </c>
      <c r="K5928" t="str">
        <f t="shared" si="371"/>
        <v>Mon</v>
      </c>
    </row>
    <row r="5929" spans="1:11" x14ac:dyDescent="0.35">
      <c r="A5929" s="1">
        <v>44166</v>
      </c>
      <c r="B5929">
        <v>159.42500305175699</v>
      </c>
      <c r="C5929">
        <v>162.447494506835</v>
      </c>
      <c r="D5929">
        <v>157.85899353027301</v>
      </c>
      <c r="E5929">
        <v>161.00399780273401</v>
      </c>
      <c r="F5929">
        <v>161.00399780273401</v>
      </c>
      <c r="G5929">
        <v>90740000</v>
      </c>
      <c r="H5929">
        <f t="shared" si="368"/>
        <v>2020</v>
      </c>
      <c r="I5929">
        <f t="shared" si="369"/>
        <v>12</v>
      </c>
      <c r="J5929" t="str">
        <f t="shared" si="370"/>
        <v>Dec</v>
      </c>
      <c r="K5929" t="str">
        <f t="shared" si="371"/>
        <v>Tue</v>
      </c>
    </row>
    <row r="5930" spans="1:11" x14ac:dyDescent="0.35">
      <c r="A5930" s="1">
        <v>44167</v>
      </c>
      <c r="B5930">
        <v>161.08250427246</v>
      </c>
      <c r="C5930">
        <v>161.600006103515</v>
      </c>
      <c r="D5930">
        <v>158.662994384765</v>
      </c>
      <c r="E5930">
        <v>160.176498413085</v>
      </c>
      <c r="F5930">
        <v>160.176498413085</v>
      </c>
      <c r="G5930">
        <v>62586000</v>
      </c>
      <c r="H5930">
        <f t="shared" si="368"/>
        <v>2020</v>
      </c>
      <c r="I5930">
        <f t="shared" si="369"/>
        <v>12</v>
      </c>
      <c r="J5930" t="str">
        <f t="shared" si="370"/>
        <v>Dec</v>
      </c>
      <c r="K5930" t="str">
        <f t="shared" si="371"/>
        <v>Wed</v>
      </c>
    </row>
    <row r="5931" spans="1:11" x14ac:dyDescent="0.35">
      <c r="A5931" s="1">
        <v>44168</v>
      </c>
      <c r="B5931">
        <v>160.27299499511699</v>
      </c>
      <c r="C5931">
        <v>161.43200683593699</v>
      </c>
      <c r="D5931">
        <v>159.065505981445</v>
      </c>
      <c r="E5931">
        <v>159.336502075195</v>
      </c>
      <c r="F5931">
        <v>159.336502075195</v>
      </c>
      <c r="G5931">
        <v>57840000</v>
      </c>
      <c r="H5931">
        <f t="shared" si="368"/>
        <v>2020</v>
      </c>
      <c r="I5931">
        <f t="shared" si="369"/>
        <v>12</v>
      </c>
      <c r="J5931" t="str">
        <f t="shared" si="370"/>
        <v>Dec</v>
      </c>
      <c r="K5931" t="str">
        <f t="shared" si="371"/>
        <v>Thu</v>
      </c>
    </row>
    <row r="5932" spans="1:11" x14ac:dyDescent="0.35">
      <c r="A5932" s="1">
        <v>44169</v>
      </c>
      <c r="B5932">
        <v>159.91050720214801</v>
      </c>
      <c r="C5932">
        <v>159.91050720214801</v>
      </c>
      <c r="D5932">
        <v>157.93800354003901</v>
      </c>
      <c r="E5932">
        <v>158.12899780273401</v>
      </c>
      <c r="F5932">
        <v>158.12899780273401</v>
      </c>
      <c r="G5932">
        <v>58272000</v>
      </c>
      <c r="H5932">
        <f t="shared" si="368"/>
        <v>2020</v>
      </c>
      <c r="I5932">
        <f t="shared" si="369"/>
        <v>12</v>
      </c>
      <c r="J5932" t="str">
        <f t="shared" si="370"/>
        <v>Dec</v>
      </c>
      <c r="K5932" t="str">
        <f t="shared" si="371"/>
        <v>Fri</v>
      </c>
    </row>
    <row r="5933" spans="1:11" x14ac:dyDescent="0.35">
      <c r="A5933" s="1">
        <v>44172</v>
      </c>
      <c r="B5933">
        <v>157.82400512695301</v>
      </c>
      <c r="C5933">
        <v>159.037994384765</v>
      </c>
      <c r="D5933">
        <v>157.08450317382801</v>
      </c>
      <c r="E5933">
        <v>157.89999389648401</v>
      </c>
      <c r="F5933">
        <v>157.89999389648401</v>
      </c>
      <c r="G5933">
        <v>55026000</v>
      </c>
      <c r="H5933">
        <f t="shared" si="368"/>
        <v>2020</v>
      </c>
      <c r="I5933">
        <f t="shared" si="369"/>
        <v>12</v>
      </c>
      <c r="J5933" t="str">
        <f t="shared" si="370"/>
        <v>Dec</v>
      </c>
      <c r="K5933" t="str">
        <f t="shared" si="371"/>
        <v>Mon</v>
      </c>
    </row>
    <row r="5934" spans="1:11" x14ac:dyDescent="0.35">
      <c r="A5934" s="1">
        <v>44173</v>
      </c>
      <c r="B5934">
        <v>157.94500732421801</v>
      </c>
      <c r="C5934">
        <v>159.20649719238199</v>
      </c>
      <c r="D5934">
        <v>156.00100708007801</v>
      </c>
      <c r="E5934">
        <v>158.864501953125</v>
      </c>
      <c r="F5934">
        <v>158.864501953125</v>
      </c>
      <c r="G5934">
        <v>65726000</v>
      </c>
      <c r="H5934">
        <f t="shared" si="368"/>
        <v>2020</v>
      </c>
      <c r="I5934">
        <f t="shared" si="369"/>
        <v>12</v>
      </c>
      <c r="J5934" t="str">
        <f t="shared" si="370"/>
        <v>Dec</v>
      </c>
      <c r="K5934" t="str">
        <f t="shared" si="371"/>
        <v>Tue</v>
      </c>
    </row>
    <row r="5935" spans="1:11" x14ac:dyDescent="0.35">
      <c r="A5935" s="1">
        <v>44174</v>
      </c>
      <c r="B5935">
        <v>158.39450073242099</v>
      </c>
      <c r="C5935">
        <v>158.72149658203099</v>
      </c>
      <c r="D5935">
        <v>154.39999389648401</v>
      </c>
      <c r="E5935">
        <v>155.21000671386699</v>
      </c>
      <c r="F5935">
        <v>155.21000671386699</v>
      </c>
      <c r="G5935">
        <v>82016000</v>
      </c>
      <c r="H5935">
        <f t="shared" si="368"/>
        <v>2020</v>
      </c>
      <c r="I5935">
        <f t="shared" si="369"/>
        <v>12</v>
      </c>
      <c r="J5935" t="str">
        <f t="shared" si="370"/>
        <v>Dec</v>
      </c>
      <c r="K5935" t="str">
        <f t="shared" si="371"/>
        <v>Wed</v>
      </c>
    </row>
    <row r="5936" spans="1:11" x14ac:dyDescent="0.35">
      <c r="A5936" s="1">
        <v>44175</v>
      </c>
      <c r="B5936">
        <v>154.44949340820301</v>
      </c>
      <c r="C5936">
        <v>157.10499572753901</v>
      </c>
      <c r="D5936">
        <v>153.80000305175699</v>
      </c>
      <c r="E5936">
        <v>155.07449340820301</v>
      </c>
      <c r="F5936">
        <v>155.07449340820301</v>
      </c>
      <c r="G5936">
        <v>60604000</v>
      </c>
      <c r="H5936">
        <f t="shared" si="368"/>
        <v>2020</v>
      </c>
      <c r="I5936">
        <f t="shared" si="369"/>
        <v>12</v>
      </c>
      <c r="J5936" t="str">
        <f t="shared" si="370"/>
        <v>Dec</v>
      </c>
      <c r="K5936" t="str">
        <f t="shared" si="371"/>
        <v>Thu</v>
      </c>
    </row>
    <row r="5937" spans="1:11" x14ac:dyDescent="0.35">
      <c r="A5937" s="1">
        <v>44176</v>
      </c>
      <c r="B5937">
        <v>154.83299255371</v>
      </c>
      <c r="C5937">
        <v>155.933502197265</v>
      </c>
      <c r="D5937">
        <v>153.64100646972599</v>
      </c>
      <c r="E5937">
        <v>155.82099914550699</v>
      </c>
      <c r="F5937">
        <v>155.82099914550699</v>
      </c>
      <c r="G5937">
        <v>61294000</v>
      </c>
      <c r="H5937">
        <f t="shared" si="368"/>
        <v>2020</v>
      </c>
      <c r="I5937">
        <f t="shared" si="369"/>
        <v>12</v>
      </c>
      <c r="J5937" t="str">
        <f t="shared" si="370"/>
        <v>Dec</v>
      </c>
      <c r="K5937" t="str">
        <f t="shared" si="371"/>
        <v>Fri</v>
      </c>
    </row>
    <row r="5938" spans="1:11" x14ac:dyDescent="0.35">
      <c r="A5938" s="1">
        <v>44179</v>
      </c>
      <c r="B5938">
        <v>157.14999389648401</v>
      </c>
      <c r="C5938">
        <v>159.52349853515599</v>
      </c>
      <c r="D5938">
        <v>156.30000305175699</v>
      </c>
      <c r="E5938">
        <v>157.84849548339801</v>
      </c>
      <c r="F5938">
        <v>157.84849548339801</v>
      </c>
      <c r="G5938">
        <v>83116000</v>
      </c>
      <c r="H5938">
        <f t="shared" si="368"/>
        <v>2020</v>
      </c>
      <c r="I5938">
        <f t="shared" si="369"/>
        <v>12</v>
      </c>
      <c r="J5938" t="str">
        <f t="shared" si="370"/>
        <v>Dec</v>
      </c>
      <c r="K5938" t="str">
        <f t="shared" si="371"/>
        <v>Mon</v>
      </c>
    </row>
    <row r="5939" spans="1:11" x14ac:dyDescent="0.35">
      <c r="A5939" s="1">
        <v>44180</v>
      </c>
      <c r="B5939">
        <v>159.05050659179599</v>
      </c>
      <c r="C5939">
        <v>159.42500305175699</v>
      </c>
      <c r="D5939">
        <v>156.52450561523401</v>
      </c>
      <c r="E5939">
        <v>158.25599670410099</v>
      </c>
      <c r="F5939">
        <v>158.25599670410099</v>
      </c>
      <c r="G5939">
        <v>66390000</v>
      </c>
      <c r="H5939">
        <f t="shared" si="368"/>
        <v>2020</v>
      </c>
      <c r="I5939">
        <f t="shared" si="369"/>
        <v>12</v>
      </c>
      <c r="J5939" t="str">
        <f t="shared" si="370"/>
        <v>Dec</v>
      </c>
      <c r="K5939" t="str">
        <f t="shared" si="371"/>
        <v>Tue</v>
      </c>
    </row>
    <row r="5940" spans="1:11" x14ac:dyDescent="0.35">
      <c r="A5940" s="1">
        <v>44181</v>
      </c>
      <c r="B5940">
        <v>158.80050659179599</v>
      </c>
      <c r="C5940">
        <v>162.350006103515</v>
      </c>
      <c r="D5940">
        <v>158.18400573730401</v>
      </c>
      <c r="E5940">
        <v>162.04800415039</v>
      </c>
      <c r="F5940">
        <v>162.04800415039</v>
      </c>
      <c r="G5940">
        <v>88552000</v>
      </c>
      <c r="H5940">
        <f t="shared" si="368"/>
        <v>2020</v>
      </c>
      <c r="I5940">
        <f t="shared" si="369"/>
        <v>12</v>
      </c>
      <c r="J5940" t="str">
        <f t="shared" si="370"/>
        <v>Dec</v>
      </c>
      <c r="K5940" t="str">
        <f t="shared" si="371"/>
        <v>Wed</v>
      </c>
    </row>
    <row r="5941" spans="1:11" x14ac:dyDescent="0.35">
      <c r="A5941" s="1">
        <v>44182</v>
      </c>
      <c r="B5941">
        <v>162.5</v>
      </c>
      <c r="C5941">
        <v>163.17550659179599</v>
      </c>
      <c r="D5941">
        <v>161.05000305175699</v>
      </c>
      <c r="E5941">
        <v>161.80400085449199</v>
      </c>
      <c r="F5941">
        <v>161.80400085449199</v>
      </c>
      <c r="G5941">
        <v>69486000</v>
      </c>
      <c r="H5941">
        <f t="shared" si="368"/>
        <v>2020</v>
      </c>
      <c r="I5941">
        <f t="shared" si="369"/>
        <v>12</v>
      </c>
      <c r="J5941" t="str">
        <f t="shared" si="370"/>
        <v>Dec</v>
      </c>
      <c r="K5941" t="str">
        <f t="shared" si="371"/>
        <v>Thu</v>
      </c>
    </row>
    <row r="5942" spans="1:11" x14ac:dyDescent="0.35">
      <c r="A5942" s="1">
        <v>44183</v>
      </c>
      <c r="B5942">
        <v>162.19949340820301</v>
      </c>
      <c r="C5942">
        <v>162.47099304199199</v>
      </c>
      <c r="D5942">
        <v>158.58000183105401</v>
      </c>
      <c r="E5942">
        <v>160.08250427246</v>
      </c>
      <c r="F5942">
        <v>160.08250427246</v>
      </c>
      <c r="G5942">
        <v>119914000</v>
      </c>
      <c r="H5942">
        <f t="shared" si="368"/>
        <v>2020</v>
      </c>
      <c r="I5942">
        <f t="shared" si="369"/>
        <v>12</v>
      </c>
      <c r="J5942" t="str">
        <f t="shared" si="370"/>
        <v>Dec</v>
      </c>
      <c r="K5942" t="str">
        <f t="shared" si="371"/>
        <v>Fri</v>
      </c>
    </row>
    <row r="5943" spans="1:11" x14ac:dyDescent="0.35">
      <c r="A5943" s="1">
        <v>44186</v>
      </c>
      <c r="B5943">
        <v>160.00050354003901</v>
      </c>
      <c r="C5943">
        <v>161.34849548339801</v>
      </c>
      <c r="D5943">
        <v>158.30000305175699</v>
      </c>
      <c r="E5943">
        <v>160.30900573730401</v>
      </c>
      <c r="F5943">
        <v>160.30900573730401</v>
      </c>
      <c r="G5943">
        <v>76736000</v>
      </c>
      <c r="H5943">
        <f t="shared" si="368"/>
        <v>2020</v>
      </c>
      <c r="I5943">
        <f t="shared" si="369"/>
        <v>12</v>
      </c>
      <c r="J5943" t="str">
        <f t="shared" si="370"/>
        <v>Dec</v>
      </c>
      <c r="K5943" t="str">
        <f t="shared" si="371"/>
        <v>Mon</v>
      </c>
    </row>
    <row r="5944" spans="1:11" x14ac:dyDescent="0.35">
      <c r="A5944" s="1">
        <v>44187</v>
      </c>
      <c r="B5944">
        <v>160.141998291015</v>
      </c>
      <c r="C5944">
        <v>161.100006103515</v>
      </c>
      <c r="D5944">
        <v>159.00399780273401</v>
      </c>
      <c r="E5944">
        <v>160.32600402832</v>
      </c>
      <c r="F5944">
        <v>160.32600402832</v>
      </c>
      <c r="G5944">
        <v>47388000</v>
      </c>
      <c r="H5944">
        <f t="shared" si="368"/>
        <v>2020</v>
      </c>
      <c r="I5944">
        <f t="shared" si="369"/>
        <v>12</v>
      </c>
      <c r="J5944" t="str">
        <f t="shared" si="370"/>
        <v>Dec</v>
      </c>
      <c r="K5944" t="str">
        <f t="shared" si="371"/>
        <v>Tue</v>
      </c>
    </row>
    <row r="5945" spans="1:11" x14ac:dyDescent="0.35">
      <c r="A5945" s="1">
        <v>44188</v>
      </c>
      <c r="B5945">
        <v>160.25</v>
      </c>
      <c r="C5945">
        <v>160.50650024414</v>
      </c>
      <c r="D5945">
        <v>159.20849609375</v>
      </c>
      <c r="E5945">
        <v>159.26350402832</v>
      </c>
      <c r="F5945">
        <v>159.26350402832</v>
      </c>
      <c r="G5945">
        <v>41876000</v>
      </c>
      <c r="H5945">
        <f t="shared" si="368"/>
        <v>2020</v>
      </c>
      <c r="I5945">
        <f t="shared" si="369"/>
        <v>12</v>
      </c>
      <c r="J5945" t="str">
        <f t="shared" si="370"/>
        <v>Dec</v>
      </c>
      <c r="K5945" t="str">
        <f t="shared" si="371"/>
        <v>Wed</v>
      </c>
    </row>
    <row r="5946" spans="1:11" x14ac:dyDescent="0.35">
      <c r="A5946" s="1">
        <v>44189</v>
      </c>
      <c r="B5946">
        <v>159.69500732421801</v>
      </c>
      <c r="C5946">
        <v>160.100006103515</v>
      </c>
      <c r="D5946">
        <v>158.44999694824199</v>
      </c>
      <c r="E5946">
        <v>158.634506225585</v>
      </c>
      <c r="F5946">
        <v>158.634506225585</v>
      </c>
      <c r="G5946">
        <v>29038000</v>
      </c>
      <c r="H5946">
        <f t="shared" si="368"/>
        <v>2020</v>
      </c>
      <c r="I5946">
        <f t="shared" si="369"/>
        <v>12</v>
      </c>
      <c r="J5946" t="str">
        <f t="shared" si="370"/>
        <v>Dec</v>
      </c>
      <c r="K5946" t="str">
        <f t="shared" si="371"/>
        <v>Thu</v>
      </c>
    </row>
    <row r="5947" spans="1:11" x14ac:dyDescent="0.35">
      <c r="A5947" s="1">
        <v>44193</v>
      </c>
      <c r="B5947">
        <v>159.69999694824199</v>
      </c>
      <c r="C5947">
        <v>165.19999694824199</v>
      </c>
      <c r="D5947">
        <v>158.634506225585</v>
      </c>
      <c r="E5947">
        <v>164.197998046875</v>
      </c>
      <c r="F5947">
        <v>164.197998046875</v>
      </c>
      <c r="G5947">
        <v>113736000</v>
      </c>
      <c r="H5947">
        <f t="shared" si="368"/>
        <v>2020</v>
      </c>
      <c r="I5947">
        <f t="shared" si="369"/>
        <v>12</v>
      </c>
      <c r="J5947" t="str">
        <f t="shared" si="370"/>
        <v>Dec</v>
      </c>
      <c r="K5947" t="str">
        <f t="shared" si="371"/>
        <v>Mon</v>
      </c>
    </row>
    <row r="5948" spans="1:11" x14ac:dyDescent="0.35">
      <c r="A5948" s="1">
        <v>44194</v>
      </c>
      <c r="B5948">
        <v>165.49699401855401</v>
      </c>
      <c r="C5948">
        <v>167.53250122070301</v>
      </c>
      <c r="D5948">
        <v>164.06100463867099</v>
      </c>
      <c r="E5948">
        <v>166.100006103515</v>
      </c>
      <c r="F5948">
        <v>166.100006103515</v>
      </c>
      <c r="G5948">
        <v>97458000</v>
      </c>
      <c r="H5948">
        <f t="shared" si="368"/>
        <v>2020</v>
      </c>
      <c r="I5948">
        <f t="shared" si="369"/>
        <v>12</v>
      </c>
      <c r="J5948" t="str">
        <f t="shared" si="370"/>
        <v>Dec</v>
      </c>
      <c r="K5948" t="str">
        <f t="shared" si="371"/>
        <v>Tue</v>
      </c>
    </row>
    <row r="5949" spans="1:11" x14ac:dyDescent="0.35">
      <c r="A5949" s="1">
        <v>44195</v>
      </c>
      <c r="B5949">
        <v>167.05000305175699</v>
      </c>
      <c r="C5949">
        <v>167.10499572753901</v>
      </c>
      <c r="D5949">
        <v>164.12350463867099</v>
      </c>
      <c r="E5949">
        <v>164.29249572753901</v>
      </c>
      <c r="F5949">
        <v>164.29249572753901</v>
      </c>
      <c r="G5949">
        <v>64186000</v>
      </c>
      <c r="H5949">
        <f t="shared" si="368"/>
        <v>2020</v>
      </c>
      <c r="I5949">
        <f t="shared" si="369"/>
        <v>12</v>
      </c>
      <c r="J5949" t="str">
        <f t="shared" si="370"/>
        <v>Dec</v>
      </c>
      <c r="K5949" t="str">
        <f t="shared" si="371"/>
        <v>Wed</v>
      </c>
    </row>
    <row r="5950" spans="1:11" x14ac:dyDescent="0.35">
      <c r="A5950" s="1">
        <v>44196</v>
      </c>
      <c r="B5950">
        <v>163.75</v>
      </c>
      <c r="C5950">
        <v>164.14599609375</v>
      </c>
      <c r="D5950">
        <v>162.05999755859301</v>
      </c>
      <c r="E5950">
        <v>162.84649658203099</v>
      </c>
      <c r="F5950">
        <v>162.84649658203099</v>
      </c>
      <c r="G5950">
        <v>59144000</v>
      </c>
      <c r="H5950">
        <f t="shared" si="368"/>
        <v>2020</v>
      </c>
      <c r="I5950">
        <f t="shared" si="369"/>
        <v>12</v>
      </c>
      <c r="J5950" t="str">
        <f t="shared" si="370"/>
        <v>Dec</v>
      </c>
      <c r="K5950" t="str">
        <f t="shared" si="371"/>
        <v>Thu</v>
      </c>
    </row>
    <row r="5951" spans="1:11" x14ac:dyDescent="0.35">
      <c r="A5951" s="1">
        <v>44200</v>
      </c>
      <c r="B5951">
        <v>163.5</v>
      </c>
      <c r="C5951">
        <v>163.600006103515</v>
      </c>
      <c r="D5951">
        <v>157.20100402832</v>
      </c>
      <c r="E5951">
        <v>159.33149719238199</v>
      </c>
      <c r="F5951">
        <v>159.33149719238199</v>
      </c>
      <c r="G5951">
        <v>88228000</v>
      </c>
      <c r="H5951">
        <f t="shared" si="368"/>
        <v>2021</v>
      </c>
      <c r="I5951">
        <f t="shared" si="369"/>
        <v>1</v>
      </c>
      <c r="J5951" t="str">
        <f t="shared" si="370"/>
        <v>Jan</v>
      </c>
      <c r="K5951" t="str">
        <f t="shared" si="371"/>
        <v>Mon</v>
      </c>
    </row>
    <row r="5952" spans="1:11" x14ac:dyDescent="0.35">
      <c r="A5952" s="1">
        <v>44201</v>
      </c>
      <c r="B5952">
        <v>158.30050659179599</v>
      </c>
      <c r="C5952">
        <v>161.16900634765599</v>
      </c>
      <c r="D5952">
        <v>158.253005981445</v>
      </c>
      <c r="E5952">
        <v>160.92550659179599</v>
      </c>
      <c r="F5952">
        <v>160.92550659179599</v>
      </c>
      <c r="G5952">
        <v>53110000</v>
      </c>
      <c r="H5952">
        <f t="shared" si="368"/>
        <v>2021</v>
      </c>
      <c r="I5952">
        <f t="shared" si="369"/>
        <v>1</v>
      </c>
      <c r="J5952" t="str">
        <f t="shared" si="370"/>
        <v>Jan</v>
      </c>
      <c r="K5952" t="str">
        <f t="shared" si="371"/>
        <v>Tue</v>
      </c>
    </row>
    <row r="5953" spans="1:11" x14ac:dyDescent="0.35">
      <c r="A5953" s="1">
        <v>44202</v>
      </c>
      <c r="B5953">
        <v>157.32400512695301</v>
      </c>
      <c r="C5953">
        <v>159.87550354003901</v>
      </c>
      <c r="D5953">
        <v>156.55799865722599</v>
      </c>
      <c r="E5953">
        <v>156.91900634765599</v>
      </c>
      <c r="F5953">
        <v>156.91900634765599</v>
      </c>
      <c r="G5953">
        <v>87896000</v>
      </c>
      <c r="H5953">
        <f t="shared" si="368"/>
        <v>2021</v>
      </c>
      <c r="I5953">
        <f t="shared" si="369"/>
        <v>1</v>
      </c>
      <c r="J5953" t="str">
        <f t="shared" si="370"/>
        <v>Jan</v>
      </c>
      <c r="K5953" t="str">
        <f t="shared" si="371"/>
        <v>Wed</v>
      </c>
    </row>
    <row r="5954" spans="1:11" x14ac:dyDescent="0.35">
      <c r="A5954" s="1">
        <v>44203</v>
      </c>
      <c r="B5954">
        <v>157.850006103515</v>
      </c>
      <c r="C5954">
        <v>160.427001953125</v>
      </c>
      <c r="D5954">
        <v>157.75</v>
      </c>
      <c r="E5954">
        <v>158.10800170898401</v>
      </c>
      <c r="F5954">
        <v>158.10800170898401</v>
      </c>
      <c r="G5954">
        <v>70290000</v>
      </c>
      <c r="H5954">
        <f t="shared" si="368"/>
        <v>2021</v>
      </c>
      <c r="I5954">
        <f t="shared" si="369"/>
        <v>1</v>
      </c>
      <c r="J5954" t="str">
        <f t="shared" si="370"/>
        <v>Jan</v>
      </c>
      <c r="K5954" t="str">
        <f t="shared" si="371"/>
        <v>Thu</v>
      </c>
    </row>
    <row r="5955" spans="1:11" x14ac:dyDescent="0.35">
      <c r="A5955" s="1">
        <v>44204</v>
      </c>
      <c r="B5955">
        <v>159</v>
      </c>
      <c r="C5955">
        <v>159.53199768066401</v>
      </c>
      <c r="D5955">
        <v>157.11000061035099</v>
      </c>
      <c r="E5955">
        <v>159.134994506835</v>
      </c>
      <c r="F5955">
        <v>159.134994506835</v>
      </c>
      <c r="G5955">
        <v>70754000</v>
      </c>
      <c r="H5955">
        <f t="shared" si="368"/>
        <v>2021</v>
      </c>
      <c r="I5955">
        <f t="shared" si="369"/>
        <v>1</v>
      </c>
      <c r="J5955" t="str">
        <f t="shared" si="370"/>
        <v>Jan</v>
      </c>
      <c r="K5955" t="str">
        <f t="shared" si="371"/>
        <v>Fri</v>
      </c>
    </row>
    <row r="5956" spans="1:11" x14ac:dyDescent="0.35">
      <c r="A5956" s="1">
        <v>44207</v>
      </c>
      <c r="B5956">
        <v>157.40049743652301</v>
      </c>
      <c r="C5956">
        <v>157.81900024414</v>
      </c>
      <c r="D5956">
        <v>155.5</v>
      </c>
      <c r="E5956">
        <v>155.71049499511699</v>
      </c>
      <c r="F5956">
        <v>155.71049499511699</v>
      </c>
      <c r="G5956">
        <v>73668000</v>
      </c>
      <c r="H5956">
        <f t="shared" ref="H5956:H6019" si="372">YEAR($A5956)</f>
        <v>2021</v>
      </c>
      <c r="I5956">
        <f t="shared" ref="I5956:I6019" si="373">MONTH($A5956)</f>
        <v>1</v>
      </c>
      <c r="J5956" t="str">
        <f t="shared" ref="J5956:J6019" si="374">TEXT($A5956,"mmm")</f>
        <v>Jan</v>
      </c>
      <c r="K5956" t="str">
        <f t="shared" ref="K5956:K6019" si="375">TEXT($A5956,"ddd")</f>
        <v>Mon</v>
      </c>
    </row>
    <row r="5957" spans="1:11" x14ac:dyDescent="0.35">
      <c r="A5957" s="1">
        <v>44208</v>
      </c>
      <c r="B5957">
        <v>156</v>
      </c>
      <c r="C5957">
        <v>157.10699462890599</v>
      </c>
      <c r="D5957">
        <v>154.30000305175699</v>
      </c>
      <c r="E5957">
        <v>156.04150390625</v>
      </c>
      <c r="F5957">
        <v>156.04150390625</v>
      </c>
      <c r="G5957">
        <v>70292000</v>
      </c>
      <c r="H5957">
        <f t="shared" si="372"/>
        <v>2021</v>
      </c>
      <c r="I5957">
        <f t="shared" si="373"/>
        <v>1</v>
      </c>
      <c r="J5957" t="str">
        <f t="shared" si="374"/>
        <v>Jan</v>
      </c>
      <c r="K5957" t="str">
        <f t="shared" si="375"/>
        <v>Tue</v>
      </c>
    </row>
    <row r="5958" spans="1:11" x14ac:dyDescent="0.35">
      <c r="A5958" s="1">
        <v>44209</v>
      </c>
      <c r="B5958">
        <v>156.42199707031199</v>
      </c>
      <c r="C5958">
        <v>159.49749755859301</v>
      </c>
      <c r="D5958">
        <v>156.10400390625</v>
      </c>
      <c r="E5958">
        <v>158.29449462890599</v>
      </c>
      <c r="F5958">
        <v>158.29449462890599</v>
      </c>
      <c r="G5958">
        <v>66424000</v>
      </c>
      <c r="H5958">
        <f t="shared" si="372"/>
        <v>2021</v>
      </c>
      <c r="I5958">
        <f t="shared" si="373"/>
        <v>1</v>
      </c>
      <c r="J5958" t="str">
        <f t="shared" si="374"/>
        <v>Jan</v>
      </c>
      <c r="K5958" t="str">
        <f t="shared" si="375"/>
        <v>Wed</v>
      </c>
    </row>
    <row r="5959" spans="1:11" x14ac:dyDescent="0.35">
      <c r="A5959" s="1">
        <v>44210</v>
      </c>
      <c r="B5959">
        <v>158.37600708007801</v>
      </c>
      <c r="C5959">
        <v>158.89999389648401</v>
      </c>
      <c r="D5959">
        <v>156.02949523925699</v>
      </c>
      <c r="E5959">
        <v>156.37350463867099</v>
      </c>
      <c r="F5959">
        <v>156.37350463867099</v>
      </c>
      <c r="G5959">
        <v>61418000</v>
      </c>
      <c r="H5959">
        <f t="shared" si="372"/>
        <v>2021</v>
      </c>
      <c r="I5959">
        <f t="shared" si="373"/>
        <v>1</v>
      </c>
      <c r="J5959" t="str">
        <f t="shared" si="374"/>
        <v>Jan</v>
      </c>
      <c r="K5959" t="str">
        <f t="shared" si="375"/>
        <v>Thu</v>
      </c>
    </row>
    <row r="5960" spans="1:11" x14ac:dyDescent="0.35">
      <c r="A5960" s="1">
        <v>44211</v>
      </c>
      <c r="B5960">
        <v>156.15100097656199</v>
      </c>
      <c r="C5960">
        <v>157.12750244140599</v>
      </c>
      <c r="D5960">
        <v>154.75849914550699</v>
      </c>
      <c r="E5960">
        <v>155.21249389648401</v>
      </c>
      <c r="F5960">
        <v>155.21249389648401</v>
      </c>
      <c r="G5960">
        <v>84880000</v>
      </c>
      <c r="H5960">
        <f t="shared" si="372"/>
        <v>2021</v>
      </c>
      <c r="I5960">
        <f t="shared" si="373"/>
        <v>1</v>
      </c>
      <c r="J5960" t="str">
        <f t="shared" si="374"/>
        <v>Jan</v>
      </c>
      <c r="K5960" t="str">
        <f t="shared" si="375"/>
        <v>Fri</v>
      </c>
    </row>
    <row r="5961" spans="1:11" x14ac:dyDescent="0.35">
      <c r="A5961" s="1">
        <v>44215</v>
      </c>
      <c r="B5961">
        <v>155.350006103515</v>
      </c>
      <c r="C5961">
        <v>157.25</v>
      </c>
      <c r="D5961">
        <v>154.80000305175699</v>
      </c>
      <c r="E5961">
        <v>156.037994384765</v>
      </c>
      <c r="F5961">
        <v>156.037994384765</v>
      </c>
      <c r="G5961">
        <v>66102000</v>
      </c>
      <c r="H5961">
        <f t="shared" si="372"/>
        <v>2021</v>
      </c>
      <c r="I5961">
        <f t="shared" si="373"/>
        <v>1</v>
      </c>
      <c r="J5961" t="str">
        <f t="shared" si="374"/>
        <v>Jan</v>
      </c>
      <c r="K5961" t="str">
        <f t="shared" si="375"/>
        <v>Tue</v>
      </c>
    </row>
    <row r="5962" spans="1:11" x14ac:dyDescent="0.35">
      <c r="A5962" s="1">
        <v>44216</v>
      </c>
      <c r="B5962">
        <v>159.09950256347599</v>
      </c>
      <c r="C5962">
        <v>163.99000549316401</v>
      </c>
      <c r="D5962">
        <v>158.75</v>
      </c>
      <c r="E5962">
        <v>163.16900634765599</v>
      </c>
      <c r="F5962">
        <v>163.16900634765599</v>
      </c>
      <c r="G5962">
        <v>106196000</v>
      </c>
      <c r="H5962">
        <f t="shared" si="372"/>
        <v>2021</v>
      </c>
      <c r="I5962">
        <f t="shared" si="373"/>
        <v>1</v>
      </c>
      <c r="J5962" t="str">
        <f t="shared" si="374"/>
        <v>Jan</v>
      </c>
      <c r="K5962" t="str">
        <f t="shared" si="375"/>
        <v>Wed</v>
      </c>
    </row>
    <row r="5963" spans="1:11" x14ac:dyDescent="0.35">
      <c r="A5963" s="1">
        <v>44217</v>
      </c>
      <c r="B5963">
        <v>164.64999389648401</v>
      </c>
      <c r="C5963">
        <v>167.42750549316401</v>
      </c>
      <c r="D5963">
        <v>164.47850036621</v>
      </c>
      <c r="E5963">
        <v>165.34950256347599</v>
      </c>
      <c r="F5963">
        <v>165.34950256347599</v>
      </c>
      <c r="G5963">
        <v>98722000</v>
      </c>
      <c r="H5963">
        <f t="shared" si="372"/>
        <v>2021</v>
      </c>
      <c r="I5963">
        <f t="shared" si="373"/>
        <v>1</v>
      </c>
      <c r="J5963" t="str">
        <f t="shared" si="374"/>
        <v>Jan</v>
      </c>
      <c r="K5963" t="str">
        <f t="shared" si="375"/>
        <v>Thu</v>
      </c>
    </row>
    <row r="5964" spans="1:11" x14ac:dyDescent="0.35">
      <c r="A5964" s="1">
        <v>44218</v>
      </c>
      <c r="B5964">
        <v>165.21549987792901</v>
      </c>
      <c r="C5964">
        <v>166.09550476074199</v>
      </c>
      <c r="D5964">
        <v>164.15800476074199</v>
      </c>
      <c r="E5964">
        <v>164.61149597167901</v>
      </c>
      <c r="F5964">
        <v>164.61149597167901</v>
      </c>
      <c r="G5964">
        <v>56438000</v>
      </c>
      <c r="H5964">
        <f t="shared" si="372"/>
        <v>2021</v>
      </c>
      <c r="I5964">
        <f t="shared" si="373"/>
        <v>1</v>
      </c>
      <c r="J5964" t="str">
        <f t="shared" si="374"/>
        <v>Jan</v>
      </c>
      <c r="K5964" t="str">
        <f t="shared" si="375"/>
        <v>Fri</v>
      </c>
    </row>
    <row r="5965" spans="1:11" x14ac:dyDescent="0.35">
      <c r="A5965" s="1">
        <v>44221</v>
      </c>
      <c r="B5965">
        <v>166.42500305175699</v>
      </c>
      <c r="C5965">
        <v>168.19450378417901</v>
      </c>
      <c r="D5965">
        <v>162.15750122070301</v>
      </c>
      <c r="E5965">
        <v>164.69999694824199</v>
      </c>
      <c r="F5965">
        <v>164.69999694824199</v>
      </c>
      <c r="G5965">
        <v>74996000</v>
      </c>
      <c r="H5965">
        <f t="shared" si="372"/>
        <v>2021</v>
      </c>
      <c r="I5965">
        <f t="shared" si="373"/>
        <v>1</v>
      </c>
      <c r="J5965" t="str">
        <f t="shared" si="374"/>
        <v>Jan</v>
      </c>
      <c r="K5965" t="str">
        <f t="shared" si="375"/>
        <v>Mon</v>
      </c>
    </row>
    <row r="5966" spans="1:11" x14ac:dyDescent="0.35">
      <c r="A5966" s="1">
        <v>44222</v>
      </c>
      <c r="B5966">
        <v>164.81799316406199</v>
      </c>
      <c r="C5966">
        <v>166.89999389648401</v>
      </c>
      <c r="D5966">
        <v>164.14349365234301</v>
      </c>
      <c r="E5966">
        <v>166.30650329589801</v>
      </c>
      <c r="F5966">
        <v>166.30650329589801</v>
      </c>
      <c r="G5966">
        <v>59104000</v>
      </c>
      <c r="H5966">
        <f t="shared" si="372"/>
        <v>2021</v>
      </c>
      <c r="I5966">
        <f t="shared" si="373"/>
        <v>1</v>
      </c>
      <c r="J5966" t="str">
        <f t="shared" si="374"/>
        <v>Jan</v>
      </c>
      <c r="K5966" t="str">
        <f t="shared" si="375"/>
        <v>Tue</v>
      </c>
    </row>
    <row r="5967" spans="1:11" x14ac:dyDescent="0.35">
      <c r="A5967" s="1">
        <v>44223</v>
      </c>
      <c r="B5967">
        <v>167.07449340820301</v>
      </c>
      <c r="C5967">
        <v>167.32600402832</v>
      </c>
      <c r="D5967">
        <v>160.35400390625</v>
      </c>
      <c r="E5967">
        <v>161.62899780273401</v>
      </c>
      <c r="F5967">
        <v>161.62899780273401</v>
      </c>
      <c r="G5967">
        <v>93204000</v>
      </c>
      <c r="H5967">
        <f t="shared" si="372"/>
        <v>2021</v>
      </c>
      <c r="I5967">
        <f t="shared" si="373"/>
        <v>1</v>
      </c>
      <c r="J5967" t="str">
        <f t="shared" si="374"/>
        <v>Jan</v>
      </c>
      <c r="K5967" t="str">
        <f t="shared" si="375"/>
        <v>Wed</v>
      </c>
    </row>
    <row r="5968" spans="1:11" x14ac:dyDescent="0.35">
      <c r="A5968" s="1">
        <v>44224</v>
      </c>
      <c r="B5968">
        <v>161.75199890136699</v>
      </c>
      <c r="C5968">
        <v>165.08399963378901</v>
      </c>
      <c r="D5968">
        <v>161.43449401855401</v>
      </c>
      <c r="E5968">
        <v>161.88099670410099</v>
      </c>
      <c r="F5968">
        <v>161.88099670410099</v>
      </c>
      <c r="G5968">
        <v>62984000</v>
      </c>
      <c r="H5968">
        <f t="shared" si="372"/>
        <v>2021</v>
      </c>
      <c r="I5968">
        <f t="shared" si="373"/>
        <v>1</v>
      </c>
      <c r="J5968" t="str">
        <f t="shared" si="374"/>
        <v>Jan</v>
      </c>
      <c r="K5968" t="str">
        <f t="shared" si="375"/>
        <v>Thu</v>
      </c>
    </row>
    <row r="5969" spans="1:11" x14ac:dyDescent="0.35">
      <c r="A5969" s="1">
        <v>44225</v>
      </c>
      <c r="B5969">
        <v>161.5</v>
      </c>
      <c r="C5969">
        <v>161.84950256347599</v>
      </c>
      <c r="D5969">
        <v>159.22749328613199</v>
      </c>
      <c r="E5969">
        <v>160.30999755859301</v>
      </c>
      <c r="F5969">
        <v>160.30999755859301</v>
      </c>
      <c r="G5969">
        <v>85872000</v>
      </c>
      <c r="H5969">
        <f t="shared" si="372"/>
        <v>2021</v>
      </c>
      <c r="I5969">
        <f t="shared" si="373"/>
        <v>1</v>
      </c>
      <c r="J5969" t="str">
        <f t="shared" si="374"/>
        <v>Jan</v>
      </c>
      <c r="K5969" t="str">
        <f t="shared" si="375"/>
        <v>Fri</v>
      </c>
    </row>
    <row r="5970" spans="1:11" x14ac:dyDescent="0.35">
      <c r="A5970" s="1">
        <v>44228</v>
      </c>
      <c r="B5970">
        <v>162.11799621582</v>
      </c>
      <c r="C5970">
        <v>167.51300048828099</v>
      </c>
      <c r="D5970">
        <v>161.75149536132801</v>
      </c>
      <c r="E5970">
        <v>167.14399719238199</v>
      </c>
      <c r="F5970">
        <v>167.14399719238199</v>
      </c>
      <c r="G5970">
        <v>83204000</v>
      </c>
      <c r="H5970">
        <f t="shared" si="372"/>
        <v>2021</v>
      </c>
      <c r="I5970">
        <f t="shared" si="373"/>
        <v>2</v>
      </c>
      <c r="J5970" t="str">
        <f t="shared" si="374"/>
        <v>Feb</v>
      </c>
      <c r="K5970" t="str">
        <f t="shared" si="375"/>
        <v>Mon</v>
      </c>
    </row>
    <row r="5971" spans="1:11" x14ac:dyDescent="0.35">
      <c r="A5971" s="1">
        <v>44229</v>
      </c>
      <c r="B5971">
        <v>169</v>
      </c>
      <c r="C5971">
        <v>171.38699340820301</v>
      </c>
      <c r="D5971">
        <v>168.05650329589801</v>
      </c>
      <c r="E5971">
        <v>169</v>
      </c>
      <c r="F5971">
        <v>169</v>
      </c>
      <c r="G5971">
        <v>141972000</v>
      </c>
      <c r="H5971">
        <f t="shared" si="372"/>
        <v>2021</v>
      </c>
      <c r="I5971">
        <f t="shared" si="373"/>
        <v>2</v>
      </c>
      <c r="J5971" t="str">
        <f t="shared" si="374"/>
        <v>Feb</v>
      </c>
      <c r="K5971" t="str">
        <f t="shared" si="375"/>
        <v>Tue</v>
      </c>
    </row>
    <row r="5972" spans="1:11" x14ac:dyDescent="0.35">
      <c r="A5972" s="1">
        <v>44230</v>
      </c>
      <c r="B5972">
        <v>171.25050354003901</v>
      </c>
      <c r="C5972">
        <v>171.69999694824199</v>
      </c>
      <c r="D5972">
        <v>165.43099975585901</v>
      </c>
      <c r="E5972">
        <v>165.62649536132801</v>
      </c>
      <c r="F5972">
        <v>165.62649536132801</v>
      </c>
      <c r="G5972">
        <v>141776000</v>
      </c>
      <c r="H5972">
        <f t="shared" si="372"/>
        <v>2021</v>
      </c>
      <c r="I5972">
        <f t="shared" si="373"/>
        <v>2</v>
      </c>
      <c r="J5972" t="str">
        <f t="shared" si="374"/>
        <v>Feb</v>
      </c>
      <c r="K5972" t="str">
        <f t="shared" si="375"/>
        <v>Wed</v>
      </c>
    </row>
    <row r="5973" spans="1:11" x14ac:dyDescent="0.35">
      <c r="A5973" s="1">
        <v>44231</v>
      </c>
      <c r="B5973">
        <v>166.5</v>
      </c>
      <c r="C5973">
        <v>167.350006103515</v>
      </c>
      <c r="D5973">
        <v>163.88749694824199</v>
      </c>
      <c r="E5973">
        <v>166.55000305175699</v>
      </c>
      <c r="F5973">
        <v>166.55000305175699</v>
      </c>
      <c r="G5973">
        <v>73414000</v>
      </c>
      <c r="H5973">
        <f t="shared" si="372"/>
        <v>2021</v>
      </c>
      <c r="I5973">
        <f t="shared" si="373"/>
        <v>2</v>
      </c>
      <c r="J5973" t="str">
        <f t="shared" si="374"/>
        <v>Feb</v>
      </c>
      <c r="K5973" t="str">
        <f t="shared" si="375"/>
        <v>Thu</v>
      </c>
    </row>
    <row r="5974" spans="1:11" x14ac:dyDescent="0.35">
      <c r="A5974" s="1">
        <v>44232</v>
      </c>
      <c r="B5974">
        <v>165.94999694824199</v>
      </c>
      <c r="C5974">
        <v>168.850006103515</v>
      </c>
      <c r="D5974">
        <v>165.135498046875</v>
      </c>
      <c r="E5974">
        <v>167.607498168945</v>
      </c>
      <c r="F5974">
        <v>167.607498168945</v>
      </c>
      <c r="G5974">
        <v>72416000</v>
      </c>
      <c r="H5974">
        <f t="shared" si="372"/>
        <v>2021</v>
      </c>
      <c r="I5974">
        <f t="shared" si="373"/>
        <v>2</v>
      </c>
      <c r="J5974" t="str">
        <f t="shared" si="374"/>
        <v>Feb</v>
      </c>
      <c r="K5974" t="str">
        <f t="shared" si="375"/>
        <v>Fri</v>
      </c>
    </row>
    <row r="5975" spans="1:11" x14ac:dyDescent="0.35">
      <c r="A5975" s="1">
        <v>44235</v>
      </c>
      <c r="B5975">
        <v>167.92500305175699</v>
      </c>
      <c r="C5975">
        <v>168.25</v>
      </c>
      <c r="D5975">
        <v>165.19999694824199</v>
      </c>
      <c r="E5975">
        <v>166.14700317382801</v>
      </c>
      <c r="F5975">
        <v>166.14700317382801</v>
      </c>
      <c r="G5975">
        <v>65148000</v>
      </c>
      <c r="H5975">
        <f t="shared" si="372"/>
        <v>2021</v>
      </c>
      <c r="I5975">
        <f t="shared" si="373"/>
        <v>2</v>
      </c>
      <c r="J5975" t="str">
        <f t="shared" si="374"/>
        <v>Feb</v>
      </c>
      <c r="K5975" t="str">
        <f t="shared" si="375"/>
        <v>Mon</v>
      </c>
    </row>
    <row r="5976" spans="1:11" x14ac:dyDescent="0.35">
      <c r="A5976" s="1">
        <v>44236</v>
      </c>
      <c r="B5976">
        <v>165.62449645996</v>
      </c>
      <c r="C5976">
        <v>166.89999389648401</v>
      </c>
      <c r="D5976">
        <v>164.891998291015</v>
      </c>
      <c r="E5976">
        <v>165.25</v>
      </c>
      <c r="F5976">
        <v>165.25</v>
      </c>
      <c r="G5976">
        <v>44070000</v>
      </c>
      <c r="H5976">
        <f t="shared" si="372"/>
        <v>2021</v>
      </c>
      <c r="I5976">
        <f t="shared" si="373"/>
        <v>2</v>
      </c>
      <c r="J5976" t="str">
        <f t="shared" si="374"/>
        <v>Feb</v>
      </c>
      <c r="K5976" t="str">
        <f t="shared" si="375"/>
        <v>Tue</v>
      </c>
    </row>
    <row r="5977" spans="1:11" x14ac:dyDescent="0.35">
      <c r="A5977" s="1">
        <v>44237</v>
      </c>
      <c r="B5977">
        <v>165.69999694824199</v>
      </c>
      <c r="C5977">
        <v>165.89750671386699</v>
      </c>
      <c r="D5977">
        <v>162.69999694824199</v>
      </c>
      <c r="E5977">
        <v>164.32899475097599</v>
      </c>
      <c r="F5977">
        <v>164.32899475097599</v>
      </c>
      <c r="G5977">
        <v>63032000</v>
      </c>
      <c r="H5977">
        <f t="shared" si="372"/>
        <v>2021</v>
      </c>
      <c r="I5977">
        <f t="shared" si="373"/>
        <v>2</v>
      </c>
      <c r="J5977" t="str">
        <f t="shared" si="374"/>
        <v>Feb</v>
      </c>
      <c r="K5977" t="str">
        <f t="shared" si="375"/>
        <v>Wed</v>
      </c>
    </row>
    <row r="5978" spans="1:11" x14ac:dyDescent="0.35">
      <c r="A5978" s="1">
        <v>44238</v>
      </c>
      <c r="B5978">
        <v>164.600006103515</v>
      </c>
      <c r="C5978">
        <v>164.600006103515</v>
      </c>
      <c r="D5978">
        <v>162.40299987792901</v>
      </c>
      <c r="E5978">
        <v>163.10650634765599</v>
      </c>
      <c r="F5978">
        <v>163.10650634765599</v>
      </c>
      <c r="G5978">
        <v>46028000</v>
      </c>
      <c r="H5978">
        <f t="shared" si="372"/>
        <v>2021</v>
      </c>
      <c r="I5978">
        <f t="shared" si="373"/>
        <v>2</v>
      </c>
      <c r="J5978" t="str">
        <f t="shared" si="374"/>
        <v>Feb</v>
      </c>
      <c r="K5978" t="str">
        <f t="shared" si="375"/>
        <v>Thu</v>
      </c>
    </row>
    <row r="5979" spans="1:11" x14ac:dyDescent="0.35">
      <c r="A5979" s="1">
        <v>44239</v>
      </c>
      <c r="B5979">
        <v>162.5</v>
      </c>
      <c r="C5979">
        <v>164.01249694824199</v>
      </c>
      <c r="D5979">
        <v>161.66549682617099</v>
      </c>
      <c r="E5979">
        <v>163.885498046875</v>
      </c>
      <c r="F5979">
        <v>163.885498046875</v>
      </c>
      <c r="G5979">
        <v>46706000</v>
      </c>
      <c r="H5979">
        <f t="shared" si="372"/>
        <v>2021</v>
      </c>
      <c r="I5979">
        <f t="shared" si="373"/>
        <v>2</v>
      </c>
      <c r="J5979" t="str">
        <f t="shared" si="374"/>
        <v>Feb</v>
      </c>
      <c r="K5979" t="str">
        <f t="shared" si="375"/>
        <v>Fri</v>
      </c>
    </row>
    <row r="5980" spans="1:11" x14ac:dyDescent="0.35">
      <c r="A5980" s="1">
        <v>44243</v>
      </c>
      <c r="B5980">
        <v>162.70249938964801</v>
      </c>
      <c r="C5980">
        <v>165.41499328613199</v>
      </c>
      <c r="D5980">
        <v>162.67950439453099</v>
      </c>
      <c r="E5980">
        <v>163.447494506835</v>
      </c>
      <c r="F5980">
        <v>163.447494506835</v>
      </c>
      <c r="G5980">
        <v>51494000</v>
      </c>
      <c r="H5980">
        <f t="shared" si="372"/>
        <v>2021</v>
      </c>
      <c r="I5980">
        <f t="shared" si="373"/>
        <v>2</v>
      </c>
      <c r="J5980" t="str">
        <f t="shared" si="374"/>
        <v>Feb</v>
      </c>
      <c r="K5980" t="str">
        <f t="shared" si="375"/>
        <v>Tue</v>
      </c>
    </row>
    <row r="5981" spans="1:11" x14ac:dyDescent="0.35">
      <c r="A5981" s="1">
        <v>44244</v>
      </c>
      <c r="B5981">
        <v>163.17999267578099</v>
      </c>
      <c r="C5981">
        <v>166.04550170898401</v>
      </c>
      <c r="D5981">
        <v>162.975006103515</v>
      </c>
      <c r="E5981">
        <v>165.43200683593699</v>
      </c>
      <c r="F5981">
        <v>165.43200683593699</v>
      </c>
      <c r="G5981">
        <v>65950000</v>
      </c>
      <c r="H5981">
        <f t="shared" si="372"/>
        <v>2021</v>
      </c>
      <c r="I5981">
        <f t="shared" si="373"/>
        <v>2</v>
      </c>
      <c r="J5981" t="str">
        <f t="shared" si="374"/>
        <v>Feb</v>
      </c>
      <c r="K5981" t="str">
        <f t="shared" si="375"/>
        <v>Wed</v>
      </c>
    </row>
    <row r="5982" spans="1:11" x14ac:dyDescent="0.35">
      <c r="A5982" s="1">
        <v>44245</v>
      </c>
      <c r="B5982">
        <v>164.121002197265</v>
      </c>
      <c r="C5982">
        <v>166.89999389648401</v>
      </c>
      <c r="D5982">
        <v>163.697006225585</v>
      </c>
      <c r="E5982">
        <v>166.41149902343699</v>
      </c>
      <c r="F5982">
        <v>166.41149902343699</v>
      </c>
      <c r="G5982">
        <v>60548000</v>
      </c>
      <c r="H5982">
        <f t="shared" si="372"/>
        <v>2021</v>
      </c>
      <c r="I5982">
        <f t="shared" si="373"/>
        <v>2</v>
      </c>
      <c r="J5982" t="str">
        <f t="shared" si="374"/>
        <v>Feb</v>
      </c>
      <c r="K5982" t="str">
        <f t="shared" si="375"/>
        <v>Thu</v>
      </c>
    </row>
    <row r="5983" spans="1:11" x14ac:dyDescent="0.35">
      <c r="A5983" s="1">
        <v>44246</v>
      </c>
      <c r="B5983">
        <v>166.41149902343699</v>
      </c>
      <c r="C5983">
        <v>166.67500305175699</v>
      </c>
      <c r="D5983">
        <v>162.287506103515</v>
      </c>
      <c r="E5983">
        <v>162.49499511718699</v>
      </c>
      <c r="F5983">
        <v>162.49499511718699</v>
      </c>
      <c r="G5983">
        <v>86104000</v>
      </c>
      <c r="H5983">
        <f t="shared" si="372"/>
        <v>2021</v>
      </c>
      <c r="I5983">
        <f t="shared" si="373"/>
        <v>2</v>
      </c>
      <c r="J5983" t="str">
        <f t="shared" si="374"/>
        <v>Feb</v>
      </c>
      <c r="K5983" t="str">
        <f t="shared" si="375"/>
        <v>Fri</v>
      </c>
    </row>
    <row r="5984" spans="1:11" x14ac:dyDescent="0.35">
      <c r="A5984" s="1">
        <v>44249</v>
      </c>
      <c r="B5984">
        <v>160.406494140625</v>
      </c>
      <c r="C5984">
        <v>161.61599731445301</v>
      </c>
      <c r="D5984">
        <v>158.61300659179599</v>
      </c>
      <c r="E5984">
        <v>159.03700256347599</v>
      </c>
      <c r="F5984">
        <v>159.03700256347599</v>
      </c>
      <c r="G5984">
        <v>70314000</v>
      </c>
      <c r="H5984">
        <f t="shared" si="372"/>
        <v>2021</v>
      </c>
      <c r="I5984">
        <f t="shared" si="373"/>
        <v>2</v>
      </c>
      <c r="J5984" t="str">
        <f t="shared" si="374"/>
        <v>Feb</v>
      </c>
      <c r="K5984" t="str">
        <f t="shared" si="375"/>
        <v>Mon</v>
      </c>
    </row>
    <row r="5985" spans="1:11" x14ac:dyDescent="0.35">
      <c r="A5985" s="1">
        <v>44250</v>
      </c>
      <c r="B5985">
        <v>156.35150146484301</v>
      </c>
      <c r="C5985">
        <v>160.23649597167901</v>
      </c>
      <c r="D5985">
        <v>154.67999267578099</v>
      </c>
      <c r="E5985">
        <v>159.725006103515</v>
      </c>
      <c r="F5985">
        <v>159.725006103515</v>
      </c>
      <c r="G5985">
        <v>93544000</v>
      </c>
      <c r="H5985">
        <f t="shared" si="372"/>
        <v>2021</v>
      </c>
      <c r="I5985">
        <f t="shared" si="373"/>
        <v>2</v>
      </c>
      <c r="J5985" t="str">
        <f t="shared" si="374"/>
        <v>Feb</v>
      </c>
      <c r="K5985" t="str">
        <f t="shared" si="375"/>
        <v>Tue</v>
      </c>
    </row>
    <row r="5986" spans="1:11" x14ac:dyDescent="0.35">
      <c r="A5986" s="1">
        <v>44251</v>
      </c>
      <c r="B5986">
        <v>158.33749389648401</v>
      </c>
      <c r="C5986">
        <v>158.56149291992099</v>
      </c>
      <c r="D5986">
        <v>156.26899719238199</v>
      </c>
      <c r="E5986">
        <v>157.97650146484301</v>
      </c>
      <c r="F5986">
        <v>157.97650146484301</v>
      </c>
      <c r="G5986">
        <v>60226000</v>
      </c>
      <c r="H5986">
        <f t="shared" si="372"/>
        <v>2021</v>
      </c>
      <c r="I5986">
        <f t="shared" si="373"/>
        <v>2</v>
      </c>
      <c r="J5986" t="str">
        <f t="shared" si="374"/>
        <v>Feb</v>
      </c>
      <c r="K5986" t="str">
        <f t="shared" si="375"/>
        <v>Wed</v>
      </c>
    </row>
    <row r="5987" spans="1:11" x14ac:dyDescent="0.35">
      <c r="A5987" s="1">
        <v>44252</v>
      </c>
      <c r="B5987">
        <v>156.83700561523401</v>
      </c>
      <c r="C5987">
        <v>158.912994384765</v>
      </c>
      <c r="D5987">
        <v>152.38800048828099</v>
      </c>
      <c r="E5987">
        <v>152.85800170898401</v>
      </c>
      <c r="F5987">
        <v>152.85800170898401</v>
      </c>
      <c r="G5987">
        <v>90676000</v>
      </c>
      <c r="H5987">
        <f t="shared" si="372"/>
        <v>2021</v>
      </c>
      <c r="I5987">
        <f t="shared" si="373"/>
        <v>2</v>
      </c>
      <c r="J5987" t="str">
        <f t="shared" si="374"/>
        <v>Feb</v>
      </c>
      <c r="K5987" t="str">
        <f t="shared" si="375"/>
        <v>Thu</v>
      </c>
    </row>
    <row r="5988" spans="1:11" x14ac:dyDescent="0.35">
      <c r="A5988" s="1">
        <v>44253</v>
      </c>
      <c r="B5988">
        <v>154.759994506835</v>
      </c>
      <c r="C5988">
        <v>156.12199401855401</v>
      </c>
      <c r="D5988">
        <v>151.83500671386699</v>
      </c>
      <c r="E5988">
        <v>154.64649963378901</v>
      </c>
      <c r="F5988">
        <v>154.64649963378901</v>
      </c>
      <c r="G5988">
        <v>85518000</v>
      </c>
      <c r="H5988">
        <f t="shared" si="372"/>
        <v>2021</v>
      </c>
      <c r="I5988">
        <f t="shared" si="373"/>
        <v>2</v>
      </c>
      <c r="J5988" t="str">
        <f t="shared" si="374"/>
        <v>Feb</v>
      </c>
      <c r="K5988" t="str">
        <f t="shared" si="375"/>
        <v>Fri</v>
      </c>
    </row>
    <row r="5989" spans="1:11" x14ac:dyDescent="0.35">
      <c r="A5989" s="1">
        <v>44256</v>
      </c>
      <c r="B5989">
        <v>156.39450073242099</v>
      </c>
      <c r="C5989">
        <v>157.47799682617099</v>
      </c>
      <c r="D5989">
        <v>154.89950561523401</v>
      </c>
      <c r="E5989">
        <v>157.30700683593699</v>
      </c>
      <c r="F5989">
        <v>157.30700683593699</v>
      </c>
      <c r="G5989">
        <v>54582000</v>
      </c>
      <c r="H5989">
        <f t="shared" si="372"/>
        <v>2021</v>
      </c>
      <c r="I5989">
        <f t="shared" si="373"/>
        <v>3</v>
      </c>
      <c r="J5989" t="str">
        <f t="shared" si="374"/>
        <v>Mar</v>
      </c>
      <c r="K5989" t="str">
        <f t="shared" si="375"/>
        <v>Mon</v>
      </c>
    </row>
    <row r="5990" spans="1:11" x14ac:dyDescent="0.35">
      <c r="A5990" s="1">
        <v>44257</v>
      </c>
      <c r="B5990">
        <v>157.17349243164</v>
      </c>
      <c r="C5990">
        <v>158.17599487304599</v>
      </c>
      <c r="D5990">
        <v>154.35600280761699</v>
      </c>
      <c r="E5990">
        <v>154.72650146484301</v>
      </c>
      <c r="F5990">
        <v>154.72650146484301</v>
      </c>
      <c r="G5990">
        <v>51916000</v>
      </c>
      <c r="H5990">
        <f t="shared" si="372"/>
        <v>2021</v>
      </c>
      <c r="I5990">
        <f t="shared" si="373"/>
        <v>3</v>
      </c>
      <c r="J5990" t="str">
        <f t="shared" si="374"/>
        <v>Mar</v>
      </c>
      <c r="K5990" t="str">
        <f t="shared" si="375"/>
        <v>Tue</v>
      </c>
    </row>
    <row r="5991" spans="1:11" x14ac:dyDescent="0.35">
      <c r="A5991" s="1">
        <v>44258</v>
      </c>
      <c r="B5991">
        <v>154.05900573730401</v>
      </c>
      <c r="C5991">
        <v>155.38900756835901</v>
      </c>
      <c r="D5991">
        <v>149.75</v>
      </c>
      <c r="E5991">
        <v>150.25</v>
      </c>
      <c r="F5991">
        <v>150.25</v>
      </c>
      <c r="G5991">
        <v>79774000</v>
      </c>
      <c r="H5991">
        <f t="shared" si="372"/>
        <v>2021</v>
      </c>
      <c r="I5991">
        <f t="shared" si="373"/>
        <v>3</v>
      </c>
      <c r="J5991" t="str">
        <f t="shared" si="374"/>
        <v>Mar</v>
      </c>
      <c r="K5991" t="str">
        <f t="shared" si="375"/>
        <v>Wed</v>
      </c>
    </row>
    <row r="5992" spans="1:11" x14ac:dyDescent="0.35">
      <c r="A5992" s="1">
        <v>44259</v>
      </c>
      <c r="B5992">
        <v>150.600006103515</v>
      </c>
      <c r="C5992">
        <v>152.906494140625</v>
      </c>
      <c r="D5992">
        <v>147.27149963378901</v>
      </c>
      <c r="E5992">
        <v>148.878494262695</v>
      </c>
      <c r="F5992">
        <v>148.878494262695</v>
      </c>
      <c r="G5992">
        <v>109632000</v>
      </c>
      <c r="H5992">
        <f t="shared" si="372"/>
        <v>2021</v>
      </c>
      <c r="I5992">
        <f t="shared" si="373"/>
        <v>3</v>
      </c>
      <c r="J5992" t="str">
        <f t="shared" si="374"/>
        <v>Mar</v>
      </c>
      <c r="K5992" t="str">
        <f t="shared" si="375"/>
        <v>Thu</v>
      </c>
    </row>
    <row r="5993" spans="1:11" x14ac:dyDescent="0.35">
      <c r="A5993" s="1">
        <v>44260</v>
      </c>
      <c r="B5993">
        <v>150.25</v>
      </c>
      <c r="C5993">
        <v>150.44999694824199</v>
      </c>
      <c r="D5993">
        <v>144.05000305175699</v>
      </c>
      <c r="E5993">
        <v>150.02299499511699</v>
      </c>
      <c r="F5993">
        <v>150.02299499511699</v>
      </c>
      <c r="G5993">
        <v>107772000</v>
      </c>
      <c r="H5993">
        <f t="shared" si="372"/>
        <v>2021</v>
      </c>
      <c r="I5993">
        <f t="shared" si="373"/>
        <v>3</v>
      </c>
      <c r="J5993" t="str">
        <f t="shared" si="374"/>
        <v>Mar</v>
      </c>
      <c r="K5993" t="str">
        <f t="shared" si="375"/>
        <v>Fri</v>
      </c>
    </row>
    <row r="5994" spans="1:11" x14ac:dyDescent="0.35">
      <c r="A5994" s="1">
        <v>44263</v>
      </c>
      <c r="B5994">
        <v>150.75</v>
      </c>
      <c r="C5994">
        <v>153.22950744628901</v>
      </c>
      <c r="D5994">
        <v>147.565505981445</v>
      </c>
      <c r="E5994">
        <v>147.59750366210901</v>
      </c>
      <c r="F5994">
        <v>147.59750366210901</v>
      </c>
      <c r="G5994">
        <v>83700000</v>
      </c>
      <c r="H5994">
        <f t="shared" si="372"/>
        <v>2021</v>
      </c>
      <c r="I5994">
        <f t="shared" si="373"/>
        <v>3</v>
      </c>
      <c r="J5994" t="str">
        <f t="shared" si="374"/>
        <v>Mar</v>
      </c>
      <c r="K5994" t="str">
        <f t="shared" si="375"/>
        <v>Mon</v>
      </c>
    </row>
    <row r="5995" spans="1:11" x14ac:dyDescent="0.35">
      <c r="A5995" s="1">
        <v>44264</v>
      </c>
      <c r="B5995">
        <v>150.89950561523401</v>
      </c>
      <c r="C5995">
        <v>154.54800415039</v>
      </c>
      <c r="D5995">
        <v>150.25750732421801</v>
      </c>
      <c r="E5995">
        <v>153.14250183105401</v>
      </c>
      <c r="F5995">
        <v>153.14250183105401</v>
      </c>
      <c r="G5995">
        <v>80600000</v>
      </c>
      <c r="H5995">
        <f t="shared" si="372"/>
        <v>2021</v>
      </c>
      <c r="I5995">
        <f t="shared" si="373"/>
        <v>3</v>
      </c>
      <c r="J5995" t="str">
        <f t="shared" si="374"/>
        <v>Mar</v>
      </c>
      <c r="K5995" t="str">
        <f t="shared" si="375"/>
        <v>Tue</v>
      </c>
    </row>
    <row r="5996" spans="1:11" x14ac:dyDescent="0.35">
      <c r="A5996" s="1">
        <v>44265</v>
      </c>
      <c r="B5996">
        <v>154.92250061035099</v>
      </c>
      <c r="C5996">
        <v>155.822998046875</v>
      </c>
      <c r="D5996">
        <v>151.50250244140599</v>
      </c>
      <c r="E5996">
        <v>152.88200378417901</v>
      </c>
      <c r="F5996">
        <v>152.88200378417901</v>
      </c>
      <c r="G5996">
        <v>60250000</v>
      </c>
      <c r="H5996">
        <f t="shared" si="372"/>
        <v>2021</v>
      </c>
      <c r="I5996">
        <f t="shared" si="373"/>
        <v>3</v>
      </c>
      <c r="J5996" t="str">
        <f t="shared" si="374"/>
        <v>Mar</v>
      </c>
      <c r="K5996" t="str">
        <f t="shared" si="375"/>
        <v>Wed</v>
      </c>
    </row>
    <row r="5997" spans="1:11" x14ac:dyDescent="0.35">
      <c r="A5997" s="1">
        <v>44266</v>
      </c>
      <c r="B5997">
        <v>155.20050048828099</v>
      </c>
      <c r="C5997">
        <v>156.58900451660099</v>
      </c>
      <c r="D5997">
        <v>154.14649963378901</v>
      </c>
      <c r="E5997">
        <v>155.67950439453099</v>
      </c>
      <c r="F5997">
        <v>155.67950439453099</v>
      </c>
      <c r="G5997">
        <v>55528000</v>
      </c>
      <c r="H5997">
        <f t="shared" si="372"/>
        <v>2021</v>
      </c>
      <c r="I5997">
        <f t="shared" si="373"/>
        <v>3</v>
      </c>
      <c r="J5997" t="str">
        <f t="shared" si="374"/>
        <v>Mar</v>
      </c>
      <c r="K5997" t="str">
        <f t="shared" si="375"/>
        <v>Thu</v>
      </c>
    </row>
    <row r="5998" spans="1:11" x14ac:dyDescent="0.35">
      <c r="A5998" s="1">
        <v>44267</v>
      </c>
      <c r="B5998">
        <v>153.75</v>
      </c>
      <c r="C5998">
        <v>154.94900512695301</v>
      </c>
      <c r="D5998">
        <v>152.27499389648401</v>
      </c>
      <c r="E5998">
        <v>154.47450256347599</v>
      </c>
      <c r="F5998">
        <v>154.47450256347599</v>
      </c>
      <c r="G5998">
        <v>48438000</v>
      </c>
      <c r="H5998">
        <f t="shared" si="372"/>
        <v>2021</v>
      </c>
      <c r="I5998">
        <f t="shared" si="373"/>
        <v>3</v>
      </c>
      <c r="J5998" t="str">
        <f t="shared" si="374"/>
        <v>Mar</v>
      </c>
      <c r="K5998" t="str">
        <f t="shared" si="375"/>
        <v>Fri</v>
      </c>
    </row>
    <row r="5999" spans="1:11" x14ac:dyDescent="0.35">
      <c r="A5999" s="1">
        <v>44270</v>
      </c>
      <c r="B5999">
        <v>153.72850036621</v>
      </c>
      <c r="C5999">
        <v>154.11199951171801</v>
      </c>
      <c r="D5999">
        <v>151.60450744628901</v>
      </c>
      <c r="E5999">
        <v>154.08399963378901</v>
      </c>
      <c r="F5999">
        <v>154.08399963378901</v>
      </c>
      <c r="G5999">
        <v>58272000</v>
      </c>
      <c r="H5999">
        <f t="shared" si="372"/>
        <v>2021</v>
      </c>
      <c r="I5999">
        <f t="shared" si="373"/>
        <v>3</v>
      </c>
      <c r="J5999" t="str">
        <f t="shared" si="374"/>
        <v>Mar</v>
      </c>
      <c r="K5999" t="str">
        <f t="shared" si="375"/>
        <v>Mon</v>
      </c>
    </row>
    <row r="6000" spans="1:11" x14ac:dyDescent="0.35">
      <c r="A6000" s="1">
        <v>44271</v>
      </c>
      <c r="B6000">
        <v>155.24850463867099</v>
      </c>
      <c r="C6000">
        <v>156.44549560546801</v>
      </c>
      <c r="D6000">
        <v>153.79299926757801</v>
      </c>
      <c r="E6000">
        <v>154.593002319335</v>
      </c>
      <c r="F6000">
        <v>154.593002319335</v>
      </c>
      <c r="G6000">
        <v>50776000</v>
      </c>
      <c r="H6000">
        <f t="shared" si="372"/>
        <v>2021</v>
      </c>
      <c r="I6000">
        <f t="shared" si="373"/>
        <v>3</v>
      </c>
      <c r="J6000" t="str">
        <f t="shared" si="374"/>
        <v>Mar</v>
      </c>
      <c r="K6000" t="str">
        <f t="shared" si="375"/>
        <v>Tue</v>
      </c>
    </row>
    <row r="6001" spans="1:11" x14ac:dyDescent="0.35">
      <c r="A6001" s="1">
        <v>44272</v>
      </c>
      <c r="B6001">
        <v>153.66099548339801</v>
      </c>
      <c r="C6001">
        <v>158.65249633789</v>
      </c>
      <c r="D6001">
        <v>153.51100158691401</v>
      </c>
      <c r="E6001">
        <v>156.78649902343699</v>
      </c>
      <c r="F6001">
        <v>156.78649902343699</v>
      </c>
      <c r="G6001">
        <v>62372000</v>
      </c>
      <c r="H6001">
        <f t="shared" si="372"/>
        <v>2021</v>
      </c>
      <c r="I6001">
        <f t="shared" si="373"/>
        <v>3</v>
      </c>
      <c r="J6001" t="str">
        <f t="shared" si="374"/>
        <v>Mar</v>
      </c>
      <c r="K6001" t="str">
        <f t="shared" si="375"/>
        <v>Wed</v>
      </c>
    </row>
    <row r="6002" spans="1:11" x14ac:dyDescent="0.35">
      <c r="A6002" s="1">
        <v>44273</v>
      </c>
      <c r="B6002">
        <v>155.05000305175699</v>
      </c>
      <c r="C6002">
        <v>155.83149719238199</v>
      </c>
      <c r="D6002">
        <v>151.25</v>
      </c>
      <c r="E6002">
        <v>151.39950561523401</v>
      </c>
      <c r="F6002">
        <v>151.39950561523401</v>
      </c>
      <c r="G6002">
        <v>72992000</v>
      </c>
      <c r="H6002">
        <f t="shared" si="372"/>
        <v>2021</v>
      </c>
      <c r="I6002">
        <f t="shared" si="373"/>
        <v>3</v>
      </c>
      <c r="J6002" t="str">
        <f t="shared" si="374"/>
        <v>Mar</v>
      </c>
      <c r="K6002" t="str">
        <f t="shared" si="375"/>
        <v>Thu</v>
      </c>
    </row>
    <row r="6003" spans="1:11" x14ac:dyDescent="0.35">
      <c r="A6003" s="1">
        <v>44274</v>
      </c>
      <c r="B6003">
        <v>151.461502075195</v>
      </c>
      <c r="C6003">
        <v>153.864501953125</v>
      </c>
      <c r="D6003">
        <v>150.83149719238199</v>
      </c>
      <c r="E6003">
        <v>153.74800109863199</v>
      </c>
      <c r="F6003">
        <v>153.74800109863199</v>
      </c>
      <c r="G6003">
        <v>92508000</v>
      </c>
      <c r="H6003">
        <f t="shared" si="372"/>
        <v>2021</v>
      </c>
      <c r="I6003">
        <f t="shared" si="373"/>
        <v>3</v>
      </c>
      <c r="J6003" t="str">
        <f t="shared" si="374"/>
        <v>Mar</v>
      </c>
      <c r="K6003" t="str">
        <f t="shared" si="375"/>
        <v>Fri</v>
      </c>
    </row>
    <row r="6004" spans="1:11" x14ac:dyDescent="0.35">
      <c r="A6004" s="1">
        <v>44277</v>
      </c>
      <c r="B6004">
        <v>153.39250183105401</v>
      </c>
      <c r="C6004">
        <v>156.32899475097599</v>
      </c>
      <c r="D6004">
        <v>153.00250244140599</v>
      </c>
      <c r="E6004">
        <v>155.54350280761699</v>
      </c>
      <c r="F6004">
        <v>155.54350280761699</v>
      </c>
      <c r="G6004">
        <v>58044000</v>
      </c>
      <c r="H6004">
        <f t="shared" si="372"/>
        <v>2021</v>
      </c>
      <c r="I6004">
        <f t="shared" si="373"/>
        <v>3</v>
      </c>
      <c r="J6004" t="str">
        <f t="shared" si="374"/>
        <v>Mar</v>
      </c>
      <c r="K6004" t="str">
        <f t="shared" si="375"/>
        <v>Mon</v>
      </c>
    </row>
    <row r="6005" spans="1:11" x14ac:dyDescent="0.35">
      <c r="A6005" s="1">
        <v>44278</v>
      </c>
      <c r="B6005">
        <v>156.350006103515</v>
      </c>
      <c r="C6005">
        <v>159.100006103515</v>
      </c>
      <c r="D6005">
        <v>156.04249572753901</v>
      </c>
      <c r="E6005">
        <v>156.875</v>
      </c>
      <c r="F6005">
        <v>156.875</v>
      </c>
      <c r="G6005">
        <v>76346000</v>
      </c>
      <c r="H6005">
        <f t="shared" si="372"/>
        <v>2021</v>
      </c>
      <c r="I6005">
        <f t="shared" si="373"/>
        <v>3</v>
      </c>
      <c r="J6005" t="str">
        <f t="shared" si="374"/>
        <v>Mar</v>
      </c>
      <c r="K6005" t="str">
        <f t="shared" si="375"/>
        <v>Tue</v>
      </c>
    </row>
    <row r="6006" spans="1:11" x14ac:dyDescent="0.35">
      <c r="A6006" s="1">
        <v>44279</v>
      </c>
      <c r="B6006">
        <v>157.552001953125</v>
      </c>
      <c r="C6006">
        <v>158.01550292968699</v>
      </c>
      <c r="D6006">
        <v>154.25750732421801</v>
      </c>
      <c r="E6006">
        <v>154.35350036621</v>
      </c>
      <c r="F6006">
        <v>154.35350036621</v>
      </c>
      <c r="G6006">
        <v>59180000</v>
      </c>
      <c r="H6006">
        <f t="shared" si="372"/>
        <v>2021</v>
      </c>
      <c r="I6006">
        <f t="shared" si="373"/>
        <v>3</v>
      </c>
      <c r="J6006" t="str">
        <f t="shared" si="374"/>
        <v>Mar</v>
      </c>
      <c r="K6006" t="str">
        <f t="shared" si="375"/>
        <v>Wed</v>
      </c>
    </row>
    <row r="6007" spans="1:11" x14ac:dyDescent="0.35">
      <c r="A6007" s="1">
        <v>44280</v>
      </c>
      <c r="B6007">
        <v>153.64950561523401</v>
      </c>
      <c r="C6007">
        <v>155.488998413085</v>
      </c>
      <c r="D6007">
        <v>151.85699462890599</v>
      </c>
      <c r="E6007">
        <v>152.31300354003901</v>
      </c>
      <c r="F6007">
        <v>152.31300354003901</v>
      </c>
      <c r="G6007">
        <v>71270000</v>
      </c>
      <c r="H6007">
        <f t="shared" si="372"/>
        <v>2021</v>
      </c>
      <c r="I6007">
        <f t="shared" si="373"/>
        <v>3</v>
      </c>
      <c r="J6007" t="str">
        <f t="shared" si="374"/>
        <v>Mar</v>
      </c>
      <c r="K6007" t="str">
        <f t="shared" si="375"/>
        <v>Thu</v>
      </c>
    </row>
    <row r="6008" spans="1:11" x14ac:dyDescent="0.35">
      <c r="A6008" s="1">
        <v>44281</v>
      </c>
      <c r="B6008">
        <v>152.20300292968699</v>
      </c>
      <c r="C6008">
        <v>152.83299255371</v>
      </c>
      <c r="D6008">
        <v>149.80000305175699</v>
      </c>
      <c r="E6008">
        <v>152.60150146484301</v>
      </c>
      <c r="F6008">
        <v>152.60150146484301</v>
      </c>
      <c r="G6008">
        <v>66258000</v>
      </c>
      <c r="H6008">
        <f t="shared" si="372"/>
        <v>2021</v>
      </c>
      <c r="I6008">
        <f t="shared" si="373"/>
        <v>3</v>
      </c>
      <c r="J6008" t="str">
        <f t="shared" si="374"/>
        <v>Mar</v>
      </c>
      <c r="K6008" t="str">
        <f t="shared" si="375"/>
        <v>Fri</v>
      </c>
    </row>
    <row r="6009" spans="1:11" x14ac:dyDescent="0.35">
      <c r="A6009" s="1">
        <v>44284</v>
      </c>
      <c r="B6009">
        <v>152.77200317382801</v>
      </c>
      <c r="C6009">
        <v>154.5625</v>
      </c>
      <c r="D6009">
        <v>151.42250061035099</v>
      </c>
      <c r="E6009">
        <v>153.78649902343699</v>
      </c>
      <c r="F6009">
        <v>153.78649902343699</v>
      </c>
      <c r="G6009">
        <v>54920000</v>
      </c>
      <c r="H6009">
        <f t="shared" si="372"/>
        <v>2021</v>
      </c>
      <c r="I6009">
        <f t="shared" si="373"/>
        <v>3</v>
      </c>
      <c r="J6009" t="str">
        <f t="shared" si="374"/>
        <v>Mar</v>
      </c>
      <c r="K6009" t="str">
        <f t="shared" si="375"/>
        <v>Mon</v>
      </c>
    </row>
    <row r="6010" spans="1:11" x14ac:dyDescent="0.35">
      <c r="A6010" s="1">
        <v>44285</v>
      </c>
      <c r="B6010">
        <v>153.50050354003901</v>
      </c>
      <c r="C6010">
        <v>153.64999389648401</v>
      </c>
      <c r="D6010">
        <v>151.69999694824199</v>
      </c>
      <c r="E6010">
        <v>152.76449584960901</v>
      </c>
      <c r="F6010">
        <v>152.76449584960901</v>
      </c>
      <c r="G6010">
        <v>46752000</v>
      </c>
      <c r="H6010">
        <f t="shared" si="372"/>
        <v>2021</v>
      </c>
      <c r="I6010">
        <f t="shared" si="373"/>
        <v>3</v>
      </c>
      <c r="J6010" t="str">
        <f t="shared" si="374"/>
        <v>Mar</v>
      </c>
      <c r="K6010" t="str">
        <f t="shared" si="375"/>
        <v>Tue</v>
      </c>
    </row>
    <row r="6011" spans="1:11" x14ac:dyDescent="0.35">
      <c r="A6011" s="1">
        <v>44286</v>
      </c>
      <c r="B6011">
        <v>153.20300292968699</v>
      </c>
      <c r="C6011">
        <v>155.96650695800699</v>
      </c>
      <c r="D6011">
        <v>153.125</v>
      </c>
      <c r="E6011">
        <v>154.70399475097599</v>
      </c>
      <c r="F6011">
        <v>154.70399475097599</v>
      </c>
      <c r="G6011">
        <v>61878000</v>
      </c>
      <c r="H6011">
        <f t="shared" si="372"/>
        <v>2021</v>
      </c>
      <c r="I6011">
        <f t="shared" si="373"/>
        <v>3</v>
      </c>
      <c r="J6011" t="str">
        <f t="shared" si="374"/>
        <v>Mar</v>
      </c>
      <c r="K6011" t="str">
        <f t="shared" si="375"/>
        <v>Wed</v>
      </c>
    </row>
    <row r="6012" spans="1:11" x14ac:dyDescent="0.35">
      <c r="A6012" s="1">
        <v>44287</v>
      </c>
      <c r="B6012">
        <v>155.89700317382801</v>
      </c>
      <c r="C6012">
        <v>158.12199401855401</v>
      </c>
      <c r="D6012">
        <v>155.77749633789</v>
      </c>
      <c r="E6012">
        <v>158.05000305175699</v>
      </c>
      <c r="F6012">
        <v>158.05000305175699</v>
      </c>
      <c r="G6012">
        <v>58806000</v>
      </c>
      <c r="H6012">
        <f t="shared" si="372"/>
        <v>2021</v>
      </c>
      <c r="I6012">
        <f t="shared" si="373"/>
        <v>4</v>
      </c>
      <c r="J6012" t="str">
        <f t="shared" si="374"/>
        <v>Apr</v>
      </c>
      <c r="K6012" t="str">
        <f t="shared" si="375"/>
        <v>Thu</v>
      </c>
    </row>
    <row r="6013" spans="1:11" x14ac:dyDescent="0.35">
      <c r="A6013" s="1">
        <v>44291</v>
      </c>
      <c r="B6013">
        <v>158.64999389648401</v>
      </c>
      <c r="C6013">
        <v>161.79800415039</v>
      </c>
      <c r="D6013">
        <v>158.06199645996</v>
      </c>
      <c r="E6013">
        <v>161.336502075195</v>
      </c>
      <c r="F6013">
        <v>161.336502075195</v>
      </c>
      <c r="G6013">
        <v>66698000</v>
      </c>
      <c r="H6013">
        <f t="shared" si="372"/>
        <v>2021</v>
      </c>
      <c r="I6013">
        <f t="shared" si="373"/>
        <v>4</v>
      </c>
      <c r="J6013" t="str">
        <f t="shared" si="374"/>
        <v>Apr</v>
      </c>
      <c r="K6013" t="str">
        <f t="shared" si="375"/>
        <v>Mon</v>
      </c>
    </row>
    <row r="6014" spans="1:11" x14ac:dyDescent="0.35">
      <c r="A6014" s="1">
        <v>44292</v>
      </c>
      <c r="B6014">
        <v>161.1875</v>
      </c>
      <c r="C6014">
        <v>162.36549377441401</v>
      </c>
      <c r="D6014">
        <v>160.85200500488199</v>
      </c>
      <c r="E6014">
        <v>161.190994262695</v>
      </c>
      <c r="F6014">
        <v>161.190994262695</v>
      </c>
      <c r="G6014">
        <v>50756000</v>
      </c>
      <c r="H6014">
        <f t="shared" si="372"/>
        <v>2021</v>
      </c>
      <c r="I6014">
        <f t="shared" si="373"/>
        <v>4</v>
      </c>
      <c r="J6014" t="str">
        <f t="shared" si="374"/>
        <v>Apr</v>
      </c>
      <c r="K6014" t="str">
        <f t="shared" si="375"/>
        <v>Tue</v>
      </c>
    </row>
    <row r="6015" spans="1:11" x14ac:dyDescent="0.35">
      <c r="A6015" s="1">
        <v>44293</v>
      </c>
      <c r="B6015">
        <v>161.69000244140599</v>
      </c>
      <c r="C6015">
        <v>165.18049621582</v>
      </c>
      <c r="D6015">
        <v>161.18249511718699</v>
      </c>
      <c r="E6015">
        <v>163.96949768066401</v>
      </c>
      <c r="F6015">
        <v>163.96949768066401</v>
      </c>
      <c r="G6015">
        <v>66924000</v>
      </c>
      <c r="H6015">
        <f t="shared" si="372"/>
        <v>2021</v>
      </c>
      <c r="I6015">
        <f t="shared" si="373"/>
        <v>4</v>
      </c>
      <c r="J6015" t="str">
        <f t="shared" si="374"/>
        <v>Apr</v>
      </c>
      <c r="K6015" t="str">
        <f t="shared" si="375"/>
        <v>Wed</v>
      </c>
    </row>
    <row r="6016" spans="1:11" x14ac:dyDescent="0.35">
      <c r="A6016" s="1">
        <v>44294</v>
      </c>
      <c r="B6016">
        <v>165.544998168945</v>
      </c>
      <c r="C6016">
        <v>166.225006103515</v>
      </c>
      <c r="D6016">
        <v>164.600006103515</v>
      </c>
      <c r="E6016">
        <v>164.96499633789</v>
      </c>
      <c r="F6016">
        <v>164.96499633789</v>
      </c>
      <c r="G6016">
        <v>56242000</v>
      </c>
      <c r="H6016">
        <f t="shared" si="372"/>
        <v>2021</v>
      </c>
      <c r="I6016">
        <f t="shared" si="373"/>
        <v>4</v>
      </c>
      <c r="J6016" t="str">
        <f t="shared" si="374"/>
        <v>Apr</v>
      </c>
      <c r="K6016" t="str">
        <f t="shared" si="375"/>
        <v>Thu</v>
      </c>
    </row>
    <row r="6017" spans="1:11" x14ac:dyDescent="0.35">
      <c r="A6017" s="1">
        <v>44295</v>
      </c>
      <c r="B6017">
        <v>165.23500061035099</v>
      </c>
      <c r="C6017">
        <v>168.61000061035099</v>
      </c>
      <c r="D6017">
        <v>164.44500732421801</v>
      </c>
      <c r="E6017">
        <v>168.61000061035099</v>
      </c>
      <c r="F6017">
        <v>168.61000061035099</v>
      </c>
      <c r="G6017">
        <v>86830000</v>
      </c>
      <c r="H6017">
        <f t="shared" si="372"/>
        <v>2021</v>
      </c>
      <c r="I6017">
        <f t="shared" si="373"/>
        <v>4</v>
      </c>
      <c r="J6017" t="str">
        <f t="shared" si="374"/>
        <v>Apr</v>
      </c>
      <c r="K6017" t="str">
        <f t="shared" si="375"/>
        <v>Fri</v>
      </c>
    </row>
    <row r="6018" spans="1:11" x14ac:dyDescent="0.35">
      <c r="A6018" s="1">
        <v>44298</v>
      </c>
      <c r="B6018">
        <v>167.760498046875</v>
      </c>
      <c r="C6018">
        <v>169.75199890136699</v>
      </c>
      <c r="D6018">
        <v>167.55749511718699</v>
      </c>
      <c r="E6018">
        <v>168.96949768066401</v>
      </c>
      <c r="F6018">
        <v>168.96949768066401</v>
      </c>
      <c r="G6018">
        <v>65636000</v>
      </c>
      <c r="H6018">
        <f t="shared" si="372"/>
        <v>2021</v>
      </c>
      <c r="I6018">
        <f t="shared" si="373"/>
        <v>4</v>
      </c>
      <c r="J6018" t="str">
        <f t="shared" si="374"/>
        <v>Apr</v>
      </c>
      <c r="K6018" t="str">
        <f t="shared" si="375"/>
        <v>Mon</v>
      </c>
    </row>
    <row r="6019" spans="1:11" x14ac:dyDescent="0.35">
      <c r="A6019" s="1">
        <v>44299</v>
      </c>
      <c r="B6019">
        <v>170.04249572753901</v>
      </c>
      <c r="C6019">
        <v>171.600006103515</v>
      </c>
      <c r="D6019">
        <v>169.781494140625</v>
      </c>
      <c r="E6019">
        <v>170</v>
      </c>
      <c r="F6019">
        <v>170</v>
      </c>
      <c r="G6019">
        <v>66316000</v>
      </c>
      <c r="H6019">
        <f t="shared" si="372"/>
        <v>2021</v>
      </c>
      <c r="I6019">
        <f t="shared" si="373"/>
        <v>4</v>
      </c>
      <c r="J6019" t="str">
        <f t="shared" si="374"/>
        <v>Apr</v>
      </c>
      <c r="K6019" t="str">
        <f t="shared" si="375"/>
        <v>Tue</v>
      </c>
    </row>
    <row r="6020" spans="1:11" x14ac:dyDescent="0.35">
      <c r="A6020" s="1">
        <v>44300</v>
      </c>
      <c r="B6020">
        <v>170.20199584960901</v>
      </c>
      <c r="C6020">
        <v>170.20649719238199</v>
      </c>
      <c r="D6020">
        <v>166.30000305175699</v>
      </c>
      <c r="E6020">
        <v>166.64999389648401</v>
      </c>
      <c r="F6020">
        <v>166.64999389648401</v>
      </c>
      <c r="G6020">
        <v>62904000</v>
      </c>
      <c r="H6020">
        <f t="shared" ref="H6020:H6083" si="376">YEAR($A6020)</f>
        <v>2021</v>
      </c>
      <c r="I6020">
        <f t="shared" ref="I6020:I6083" si="377">MONTH($A6020)</f>
        <v>4</v>
      </c>
      <c r="J6020" t="str">
        <f t="shared" ref="J6020:J6083" si="378">TEXT($A6020,"mmm")</f>
        <v>Apr</v>
      </c>
      <c r="K6020" t="str">
        <f t="shared" ref="K6020:K6083" si="379">TEXT($A6020,"ddd")</f>
        <v>Wed</v>
      </c>
    </row>
    <row r="6021" spans="1:11" x14ac:dyDescent="0.35">
      <c r="A6021" s="1">
        <v>44301</v>
      </c>
      <c r="B6021">
        <v>168.55000305175699</v>
      </c>
      <c r="C6021">
        <v>169.850006103515</v>
      </c>
      <c r="D6021">
        <v>167.600006103515</v>
      </c>
      <c r="E6021">
        <v>168.954498291015</v>
      </c>
      <c r="F6021">
        <v>168.954498291015</v>
      </c>
      <c r="G6021">
        <v>64672000</v>
      </c>
      <c r="H6021">
        <f t="shared" si="376"/>
        <v>2021</v>
      </c>
      <c r="I6021">
        <f t="shared" si="377"/>
        <v>4</v>
      </c>
      <c r="J6021" t="str">
        <f t="shared" si="378"/>
        <v>Apr</v>
      </c>
      <c r="K6021" t="str">
        <f t="shared" si="379"/>
        <v>Thu</v>
      </c>
    </row>
    <row r="6022" spans="1:11" x14ac:dyDescent="0.35">
      <c r="A6022" s="1">
        <v>44302</v>
      </c>
      <c r="B6022">
        <v>169</v>
      </c>
      <c r="C6022">
        <v>170.33999633789</v>
      </c>
      <c r="D6022">
        <v>167.77949523925699</v>
      </c>
      <c r="E6022">
        <v>169.97200012207</v>
      </c>
      <c r="F6022">
        <v>169.97200012207</v>
      </c>
      <c r="G6022">
        <v>63720000</v>
      </c>
      <c r="H6022">
        <f t="shared" si="376"/>
        <v>2021</v>
      </c>
      <c r="I6022">
        <f t="shared" si="377"/>
        <v>4</v>
      </c>
      <c r="J6022" t="str">
        <f t="shared" si="378"/>
        <v>Apr</v>
      </c>
      <c r="K6022" t="str">
        <f t="shared" si="379"/>
        <v>Fri</v>
      </c>
    </row>
    <row r="6023" spans="1:11" x14ac:dyDescent="0.35">
      <c r="A6023" s="1">
        <v>44305</v>
      </c>
      <c r="B6023">
        <v>169.51649475097599</v>
      </c>
      <c r="C6023">
        <v>171.79649353027301</v>
      </c>
      <c r="D6023">
        <v>168.00799560546801</v>
      </c>
      <c r="E6023">
        <v>168.600494384765</v>
      </c>
      <c r="F6023">
        <v>168.600494384765</v>
      </c>
      <c r="G6023">
        <v>54508000</v>
      </c>
      <c r="H6023">
        <f t="shared" si="376"/>
        <v>2021</v>
      </c>
      <c r="I6023">
        <f t="shared" si="377"/>
        <v>4</v>
      </c>
      <c r="J6023" t="str">
        <f t="shared" si="378"/>
        <v>Apr</v>
      </c>
      <c r="K6023" t="str">
        <f t="shared" si="379"/>
        <v>Mon</v>
      </c>
    </row>
    <row r="6024" spans="1:11" x14ac:dyDescent="0.35">
      <c r="A6024" s="1">
        <v>44306</v>
      </c>
      <c r="B6024">
        <v>168.67999267578099</v>
      </c>
      <c r="C6024">
        <v>169.14950561523401</v>
      </c>
      <c r="D6024">
        <v>165.80000305175699</v>
      </c>
      <c r="E6024">
        <v>166.73449707031199</v>
      </c>
      <c r="F6024">
        <v>166.73449707031199</v>
      </c>
      <c r="G6024">
        <v>52460000</v>
      </c>
      <c r="H6024">
        <f t="shared" si="376"/>
        <v>2021</v>
      </c>
      <c r="I6024">
        <f t="shared" si="377"/>
        <v>4</v>
      </c>
      <c r="J6024" t="str">
        <f t="shared" si="378"/>
        <v>Apr</v>
      </c>
      <c r="K6024" t="str">
        <f t="shared" si="379"/>
        <v>Tue</v>
      </c>
    </row>
    <row r="6025" spans="1:11" x14ac:dyDescent="0.35">
      <c r="A6025" s="1">
        <v>44307</v>
      </c>
      <c r="B6025">
        <v>165.80000305175699</v>
      </c>
      <c r="C6025">
        <v>168.14300537109301</v>
      </c>
      <c r="D6025">
        <v>165.190505981445</v>
      </c>
      <c r="E6025">
        <v>168.10099792480401</v>
      </c>
      <c r="F6025">
        <v>168.10099792480401</v>
      </c>
      <c r="G6025">
        <v>44224000</v>
      </c>
      <c r="H6025">
        <f t="shared" si="376"/>
        <v>2021</v>
      </c>
      <c r="I6025">
        <f t="shared" si="377"/>
        <v>4</v>
      </c>
      <c r="J6025" t="str">
        <f t="shared" si="378"/>
        <v>Apr</v>
      </c>
      <c r="K6025" t="str">
        <f t="shared" si="379"/>
        <v>Wed</v>
      </c>
    </row>
    <row r="6026" spans="1:11" x14ac:dyDescent="0.35">
      <c r="A6026" s="1">
        <v>44308</v>
      </c>
      <c r="B6026">
        <v>168.58399963378901</v>
      </c>
      <c r="C6026">
        <v>168.64349365234301</v>
      </c>
      <c r="D6026">
        <v>165.072494506835</v>
      </c>
      <c r="E6026">
        <v>165.45199584960901</v>
      </c>
      <c r="F6026">
        <v>165.45199584960901</v>
      </c>
      <c r="G6026">
        <v>51612000</v>
      </c>
      <c r="H6026">
        <f t="shared" si="376"/>
        <v>2021</v>
      </c>
      <c r="I6026">
        <f t="shared" si="377"/>
        <v>4</v>
      </c>
      <c r="J6026" t="str">
        <f t="shared" si="378"/>
        <v>Apr</v>
      </c>
      <c r="K6026" t="str">
        <f t="shared" si="379"/>
        <v>Thu</v>
      </c>
    </row>
    <row r="6027" spans="1:11" x14ac:dyDescent="0.35">
      <c r="A6027" s="1">
        <v>44309</v>
      </c>
      <c r="B6027">
        <v>165.95500183105401</v>
      </c>
      <c r="C6027">
        <v>168.75</v>
      </c>
      <c r="D6027">
        <v>165.42500305175699</v>
      </c>
      <c r="E6027">
        <v>167.04400634765599</v>
      </c>
      <c r="F6027">
        <v>167.04400634765599</v>
      </c>
      <c r="G6027">
        <v>63856000</v>
      </c>
      <c r="H6027">
        <f t="shared" si="376"/>
        <v>2021</v>
      </c>
      <c r="I6027">
        <f t="shared" si="377"/>
        <v>4</v>
      </c>
      <c r="J6027" t="str">
        <f t="shared" si="378"/>
        <v>Apr</v>
      </c>
      <c r="K6027" t="str">
        <f t="shared" si="379"/>
        <v>Fri</v>
      </c>
    </row>
    <row r="6028" spans="1:11" x14ac:dyDescent="0.35">
      <c r="A6028" s="1">
        <v>44312</v>
      </c>
      <c r="B6028">
        <v>167.39999389648401</v>
      </c>
      <c r="C6028">
        <v>171.42250061035099</v>
      </c>
      <c r="D6028">
        <v>166.54699707031199</v>
      </c>
      <c r="E6028">
        <v>170.44999694824199</v>
      </c>
      <c r="F6028">
        <v>170.44999694824199</v>
      </c>
      <c r="G6028">
        <v>97614000</v>
      </c>
      <c r="H6028">
        <f t="shared" si="376"/>
        <v>2021</v>
      </c>
      <c r="I6028">
        <f t="shared" si="377"/>
        <v>4</v>
      </c>
      <c r="J6028" t="str">
        <f t="shared" si="378"/>
        <v>Apr</v>
      </c>
      <c r="K6028" t="str">
        <f t="shared" si="379"/>
        <v>Mon</v>
      </c>
    </row>
    <row r="6029" spans="1:11" x14ac:dyDescent="0.35">
      <c r="A6029" s="1">
        <v>44313</v>
      </c>
      <c r="B6029">
        <v>172.17349243164</v>
      </c>
      <c r="C6029">
        <v>173</v>
      </c>
      <c r="D6029">
        <v>169.90049743652301</v>
      </c>
      <c r="E6029">
        <v>170.87150573730401</v>
      </c>
      <c r="F6029">
        <v>170.87150573730401</v>
      </c>
      <c r="G6029">
        <v>76542000</v>
      </c>
      <c r="H6029">
        <f t="shared" si="376"/>
        <v>2021</v>
      </c>
      <c r="I6029">
        <f t="shared" si="377"/>
        <v>4</v>
      </c>
      <c r="J6029" t="str">
        <f t="shared" si="378"/>
        <v>Apr</v>
      </c>
      <c r="K6029" t="str">
        <f t="shared" si="379"/>
        <v>Tue</v>
      </c>
    </row>
    <row r="6030" spans="1:11" x14ac:dyDescent="0.35">
      <c r="A6030" s="1">
        <v>44314</v>
      </c>
      <c r="B6030">
        <v>171.74000549316401</v>
      </c>
      <c r="C6030">
        <v>174.49400329589801</v>
      </c>
      <c r="D6030">
        <v>171.25</v>
      </c>
      <c r="E6030">
        <v>172.92500305175699</v>
      </c>
      <c r="F6030">
        <v>172.92500305175699</v>
      </c>
      <c r="G6030">
        <v>92638000</v>
      </c>
      <c r="H6030">
        <f t="shared" si="376"/>
        <v>2021</v>
      </c>
      <c r="I6030">
        <f t="shared" si="377"/>
        <v>4</v>
      </c>
      <c r="J6030" t="str">
        <f t="shared" si="378"/>
        <v>Apr</v>
      </c>
      <c r="K6030" t="str">
        <f t="shared" si="379"/>
        <v>Wed</v>
      </c>
    </row>
    <row r="6031" spans="1:11" x14ac:dyDescent="0.35">
      <c r="A6031" s="1">
        <v>44315</v>
      </c>
      <c r="B6031">
        <v>175.25500488281199</v>
      </c>
      <c r="C6031">
        <v>175.72250366210901</v>
      </c>
      <c r="D6031">
        <v>171.75</v>
      </c>
      <c r="E6031">
        <v>173.565505981445</v>
      </c>
      <c r="F6031">
        <v>173.565505981445</v>
      </c>
      <c r="G6031">
        <v>153648000</v>
      </c>
      <c r="H6031">
        <f t="shared" si="376"/>
        <v>2021</v>
      </c>
      <c r="I6031">
        <f t="shared" si="377"/>
        <v>4</v>
      </c>
      <c r="J6031" t="str">
        <f t="shared" si="378"/>
        <v>Apr</v>
      </c>
      <c r="K6031" t="str">
        <f t="shared" si="379"/>
        <v>Thu</v>
      </c>
    </row>
    <row r="6032" spans="1:11" x14ac:dyDescent="0.35">
      <c r="A6032" s="1">
        <v>44316</v>
      </c>
      <c r="B6032">
        <v>176.25599670410099</v>
      </c>
      <c r="C6032">
        <v>177.69999694824199</v>
      </c>
      <c r="D6032">
        <v>173.125</v>
      </c>
      <c r="E6032">
        <v>173.371002197265</v>
      </c>
      <c r="F6032">
        <v>173.371002197265</v>
      </c>
      <c r="G6032">
        <v>140186000</v>
      </c>
      <c r="H6032">
        <f t="shared" si="376"/>
        <v>2021</v>
      </c>
      <c r="I6032">
        <f t="shared" si="377"/>
        <v>4</v>
      </c>
      <c r="J6032" t="str">
        <f t="shared" si="378"/>
        <v>Apr</v>
      </c>
      <c r="K6032" t="str">
        <f t="shared" si="379"/>
        <v>Fri</v>
      </c>
    </row>
    <row r="6033" spans="1:11" x14ac:dyDescent="0.35">
      <c r="A6033" s="1">
        <v>44319</v>
      </c>
      <c r="B6033">
        <v>174.23649597167901</v>
      </c>
      <c r="C6033">
        <v>174.33250427246</v>
      </c>
      <c r="D6033">
        <v>168.634994506835</v>
      </c>
      <c r="E6033">
        <v>169.32449340820301</v>
      </c>
      <c r="F6033">
        <v>169.32449340820301</v>
      </c>
      <c r="G6033">
        <v>117510000</v>
      </c>
      <c r="H6033">
        <f t="shared" si="376"/>
        <v>2021</v>
      </c>
      <c r="I6033">
        <f t="shared" si="377"/>
        <v>5</v>
      </c>
      <c r="J6033" t="str">
        <f t="shared" si="378"/>
        <v>May</v>
      </c>
      <c r="K6033" t="str">
        <f t="shared" si="379"/>
        <v>Mon</v>
      </c>
    </row>
    <row r="6034" spans="1:11" x14ac:dyDescent="0.35">
      <c r="A6034" s="1">
        <v>44320</v>
      </c>
      <c r="B6034">
        <v>167.80949401855401</v>
      </c>
      <c r="C6034">
        <v>168.399002075195</v>
      </c>
      <c r="D6034">
        <v>163.60650634765599</v>
      </c>
      <c r="E6034">
        <v>165.593505859375</v>
      </c>
      <c r="F6034">
        <v>165.593505859375</v>
      </c>
      <c r="G6034">
        <v>108788000</v>
      </c>
      <c r="H6034">
        <f t="shared" si="376"/>
        <v>2021</v>
      </c>
      <c r="I6034">
        <f t="shared" si="377"/>
        <v>5</v>
      </c>
      <c r="J6034" t="str">
        <f t="shared" si="378"/>
        <v>May</v>
      </c>
      <c r="K6034" t="str">
        <f t="shared" si="379"/>
        <v>Tue</v>
      </c>
    </row>
    <row r="6035" spans="1:11" x14ac:dyDescent="0.35">
      <c r="A6035" s="1">
        <v>44321</v>
      </c>
      <c r="B6035">
        <v>166.94299316406199</v>
      </c>
      <c r="C6035">
        <v>167.73500061035099</v>
      </c>
      <c r="D6035">
        <v>163.218002319335</v>
      </c>
      <c r="E6035">
        <v>163.52699279785099</v>
      </c>
      <c r="F6035">
        <v>163.52699279785099</v>
      </c>
      <c r="G6035">
        <v>74226000</v>
      </c>
      <c r="H6035">
        <f t="shared" si="376"/>
        <v>2021</v>
      </c>
      <c r="I6035">
        <f t="shared" si="377"/>
        <v>5</v>
      </c>
      <c r="J6035" t="str">
        <f t="shared" si="378"/>
        <v>May</v>
      </c>
      <c r="K6035" t="str">
        <f t="shared" si="379"/>
        <v>Wed</v>
      </c>
    </row>
    <row r="6036" spans="1:11" x14ac:dyDescent="0.35">
      <c r="A6036" s="1">
        <v>44322</v>
      </c>
      <c r="B6036">
        <v>163.5</v>
      </c>
      <c r="C6036">
        <v>165.72000122070301</v>
      </c>
      <c r="D6036">
        <v>162.36000061035099</v>
      </c>
      <c r="E6036">
        <v>165.31849670410099</v>
      </c>
      <c r="F6036">
        <v>165.31849670410099</v>
      </c>
      <c r="G6036">
        <v>88954000</v>
      </c>
      <c r="H6036">
        <f t="shared" si="376"/>
        <v>2021</v>
      </c>
      <c r="I6036">
        <f t="shared" si="377"/>
        <v>5</v>
      </c>
      <c r="J6036" t="str">
        <f t="shared" si="378"/>
        <v>May</v>
      </c>
      <c r="K6036" t="str">
        <f t="shared" si="379"/>
        <v>Thu</v>
      </c>
    </row>
    <row r="6037" spans="1:11" x14ac:dyDescent="0.35">
      <c r="A6037" s="1">
        <v>44323</v>
      </c>
      <c r="B6037">
        <v>165.954498291015</v>
      </c>
      <c r="C6037">
        <v>166.54449462890599</v>
      </c>
      <c r="D6037">
        <v>164.45350646972599</v>
      </c>
      <c r="E6037">
        <v>164.58050537109301</v>
      </c>
      <c r="F6037">
        <v>164.58050537109301</v>
      </c>
      <c r="G6037">
        <v>94206000</v>
      </c>
      <c r="H6037">
        <f t="shared" si="376"/>
        <v>2021</v>
      </c>
      <c r="I6037">
        <f t="shared" si="377"/>
        <v>5</v>
      </c>
      <c r="J6037" t="str">
        <f t="shared" si="378"/>
        <v>May</v>
      </c>
      <c r="K6037" t="str">
        <f t="shared" si="379"/>
        <v>Fri</v>
      </c>
    </row>
    <row r="6038" spans="1:11" x14ac:dyDescent="0.35">
      <c r="A6038" s="1">
        <v>44326</v>
      </c>
      <c r="B6038">
        <v>164.11599731445301</v>
      </c>
      <c r="C6038">
        <v>164.14999389648401</v>
      </c>
      <c r="D6038">
        <v>159.5</v>
      </c>
      <c r="E6038">
        <v>159.52450561523401</v>
      </c>
      <c r="F6038">
        <v>159.52450561523401</v>
      </c>
      <c r="G6038">
        <v>116772000</v>
      </c>
      <c r="H6038">
        <f t="shared" si="376"/>
        <v>2021</v>
      </c>
      <c r="I6038">
        <f t="shared" si="377"/>
        <v>5</v>
      </c>
      <c r="J6038" t="str">
        <f t="shared" si="378"/>
        <v>May</v>
      </c>
      <c r="K6038" t="str">
        <f t="shared" si="379"/>
        <v>Mon</v>
      </c>
    </row>
    <row r="6039" spans="1:11" x14ac:dyDescent="0.35">
      <c r="A6039" s="1">
        <v>44327</v>
      </c>
      <c r="B6039">
        <v>156.81399536132801</v>
      </c>
      <c r="C6039">
        <v>161.89999389648401</v>
      </c>
      <c r="D6039">
        <v>156.36849975585901</v>
      </c>
      <c r="E6039">
        <v>161.19549560546801</v>
      </c>
      <c r="F6039">
        <v>161.19549560546801</v>
      </c>
      <c r="G6039">
        <v>92396000</v>
      </c>
      <c r="H6039">
        <f t="shared" si="376"/>
        <v>2021</v>
      </c>
      <c r="I6039">
        <f t="shared" si="377"/>
        <v>5</v>
      </c>
      <c r="J6039" t="str">
        <f t="shared" si="378"/>
        <v>May</v>
      </c>
      <c r="K6039" t="str">
        <f t="shared" si="379"/>
        <v>Tue</v>
      </c>
    </row>
    <row r="6040" spans="1:11" x14ac:dyDescent="0.35">
      <c r="A6040" s="1">
        <v>44328</v>
      </c>
      <c r="B6040">
        <v>159.25</v>
      </c>
      <c r="C6040">
        <v>160.39700317382801</v>
      </c>
      <c r="D6040">
        <v>156.65499877929599</v>
      </c>
      <c r="E6040">
        <v>157.59700012207</v>
      </c>
      <c r="F6040">
        <v>157.59700012207</v>
      </c>
      <c r="G6040">
        <v>98728000</v>
      </c>
      <c r="H6040">
        <f t="shared" si="376"/>
        <v>2021</v>
      </c>
      <c r="I6040">
        <f t="shared" si="377"/>
        <v>5</v>
      </c>
      <c r="J6040" t="str">
        <f t="shared" si="378"/>
        <v>May</v>
      </c>
      <c r="K6040" t="str">
        <f t="shared" si="379"/>
        <v>Wed</v>
      </c>
    </row>
    <row r="6041" spans="1:11" x14ac:dyDescent="0.35">
      <c r="A6041" s="1">
        <v>44329</v>
      </c>
      <c r="B6041">
        <v>159.27349853515599</v>
      </c>
      <c r="C6041">
        <v>160.19200134277301</v>
      </c>
      <c r="D6041">
        <v>156.64999389648401</v>
      </c>
      <c r="E6041">
        <v>158.07350158691401</v>
      </c>
      <c r="F6041">
        <v>158.07350158691401</v>
      </c>
      <c r="G6041">
        <v>67018000</v>
      </c>
      <c r="H6041">
        <f t="shared" si="376"/>
        <v>2021</v>
      </c>
      <c r="I6041">
        <f t="shared" si="377"/>
        <v>5</v>
      </c>
      <c r="J6041" t="str">
        <f t="shared" si="378"/>
        <v>May</v>
      </c>
      <c r="K6041" t="str">
        <f t="shared" si="379"/>
        <v>Thu</v>
      </c>
    </row>
    <row r="6042" spans="1:11" x14ac:dyDescent="0.35">
      <c r="A6042" s="1">
        <v>44330</v>
      </c>
      <c r="B6042">
        <v>159.27799987792901</v>
      </c>
      <c r="C6042">
        <v>161.44299316406199</v>
      </c>
      <c r="D6042">
        <v>159.14999389648401</v>
      </c>
      <c r="E6042">
        <v>161.14500427246</v>
      </c>
      <c r="F6042">
        <v>161.14500427246</v>
      </c>
      <c r="G6042">
        <v>66500000</v>
      </c>
      <c r="H6042">
        <f t="shared" si="376"/>
        <v>2021</v>
      </c>
      <c r="I6042">
        <f t="shared" si="377"/>
        <v>5</v>
      </c>
      <c r="J6042" t="str">
        <f t="shared" si="378"/>
        <v>May</v>
      </c>
      <c r="K6042" t="str">
        <f t="shared" si="379"/>
        <v>Fri</v>
      </c>
    </row>
    <row r="6043" spans="1:11" x14ac:dyDescent="0.35">
      <c r="A6043" s="1">
        <v>44333</v>
      </c>
      <c r="B6043">
        <v>162.29649353027301</v>
      </c>
      <c r="C6043">
        <v>164.63749694824199</v>
      </c>
      <c r="D6043">
        <v>161.72950744628901</v>
      </c>
      <c r="E6043">
        <v>163.51950073242099</v>
      </c>
      <c r="F6043">
        <v>163.51950073242099</v>
      </c>
      <c r="G6043">
        <v>74478000</v>
      </c>
      <c r="H6043">
        <f t="shared" si="376"/>
        <v>2021</v>
      </c>
      <c r="I6043">
        <f t="shared" si="377"/>
        <v>5</v>
      </c>
      <c r="J6043" t="str">
        <f t="shared" si="378"/>
        <v>May</v>
      </c>
      <c r="K6043" t="str">
        <f t="shared" si="379"/>
        <v>Mon</v>
      </c>
    </row>
    <row r="6044" spans="1:11" x14ac:dyDescent="0.35">
      <c r="A6044" s="1">
        <v>44334</v>
      </c>
      <c r="B6044">
        <v>164.62899780273401</v>
      </c>
      <c r="C6044">
        <v>165.600006103515</v>
      </c>
      <c r="D6044">
        <v>161.51849365234301</v>
      </c>
      <c r="E6044">
        <v>161.613998413085</v>
      </c>
      <c r="F6044">
        <v>161.613998413085</v>
      </c>
      <c r="G6044">
        <v>56568000</v>
      </c>
      <c r="H6044">
        <f t="shared" si="376"/>
        <v>2021</v>
      </c>
      <c r="I6044">
        <f t="shared" si="377"/>
        <v>5</v>
      </c>
      <c r="J6044" t="str">
        <f t="shared" si="378"/>
        <v>May</v>
      </c>
      <c r="K6044" t="str">
        <f t="shared" si="379"/>
        <v>Tue</v>
      </c>
    </row>
    <row r="6045" spans="1:11" x14ac:dyDescent="0.35">
      <c r="A6045" s="1">
        <v>44335</v>
      </c>
      <c r="B6045">
        <v>159.75</v>
      </c>
      <c r="C6045">
        <v>161.73750305175699</v>
      </c>
      <c r="D6045">
        <v>159.19999694824199</v>
      </c>
      <c r="E6045">
        <v>161.58999633789</v>
      </c>
      <c r="F6045">
        <v>161.58999633789</v>
      </c>
      <c r="G6045">
        <v>53594000</v>
      </c>
      <c r="H6045">
        <f t="shared" si="376"/>
        <v>2021</v>
      </c>
      <c r="I6045">
        <f t="shared" si="377"/>
        <v>5</v>
      </c>
      <c r="J6045" t="str">
        <f t="shared" si="378"/>
        <v>May</v>
      </c>
      <c r="K6045" t="str">
        <f t="shared" si="379"/>
        <v>Wed</v>
      </c>
    </row>
    <row r="6046" spans="1:11" x14ac:dyDescent="0.35">
      <c r="A6046" s="1">
        <v>44336</v>
      </c>
      <c r="B6046">
        <v>162.22000122070301</v>
      </c>
      <c r="C6046">
        <v>162.98399353027301</v>
      </c>
      <c r="D6046">
        <v>161.80900573730401</v>
      </c>
      <c r="E6046">
        <v>162.38400268554599</v>
      </c>
      <c r="F6046">
        <v>162.38400268554599</v>
      </c>
      <c r="G6046">
        <v>52664000</v>
      </c>
      <c r="H6046">
        <f t="shared" si="376"/>
        <v>2021</v>
      </c>
      <c r="I6046">
        <f t="shared" si="377"/>
        <v>5</v>
      </c>
      <c r="J6046" t="str">
        <f t="shared" si="378"/>
        <v>May</v>
      </c>
      <c r="K6046" t="str">
        <f t="shared" si="379"/>
        <v>Thu</v>
      </c>
    </row>
    <row r="6047" spans="1:11" x14ac:dyDescent="0.35">
      <c r="A6047" s="1">
        <v>44337</v>
      </c>
      <c r="B6047">
        <v>162.5</v>
      </c>
      <c r="C6047">
        <v>162.83450317382801</v>
      </c>
      <c r="D6047">
        <v>159.850494384765</v>
      </c>
      <c r="E6047">
        <v>160.15400695800699</v>
      </c>
      <c r="F6047">
        <v>160.15400695800699</v>
      </c>
      <c r="G6047">
        <v>82098000</v>
      </c>
      <c r="H6047">
        <f t="shared" si="376"/>
        <v>2021</v>
      </c>
      <c r="I6047">
        <f t="shared" si="377"/>
        <v>5</v>
      </c>
      <c r="J6047" t="str">
        <f t="shared" si="378"/>
        <v>May</v>
      </c>
      <c r="K6047" t="str">
        <f t="shared" si="379"/>
        <v>Fri</v>
      </c>
    </row>
    <row r="6048" spans="1:11" x14ac:dyDescent="0.35">
      <c r="A6048" s="1">
        <v>44340</v>
      </c>
      <c r="B6048">
        <v>160.77499389648401</v>
      </c>
      <c r="C6048">
        <v>162.89750671386699</v>
      </c>
      <c r="D6048">
        <v>160.52499389648401</v>
      </c>
      <c r="E6048">
        <v>162.24949645996</v>
      </c>
      <c r="F6048">
        <v>162.24949645996</v>
      </c>
      <c r="G6048">
        <v>48456000</v>
      </c>
      <c r="H6048">
        <f t="shared" si="376"/>
        <v>2021</v>
      </c>
      <c r="I6048">
        <f t="shared" si="377"/>
        <v>5</v>
      </c>
      <c r="J6048" t="str">
        <f t="shared" si="378"/>
        <v>May</v>
      </c>
      <c r="K6048" t="str">
        <f t="shared" si="379"/>
        <v>Mon</v>
      </c>
    </row>
    <row r="6049" spans="1:11" x14ac:dyDescent="0.35">
      <c r="A6049" s="1">
        <v>44341</v>
      </c>
      <c r="B6049">
        <v>163.33349609375</v>
      </c>
      <c r="C6049">
        <v>163.99099731445301</v>
      </c>
      <c r="D6049">
        <v>160.68800354003901</v>
      </c>
      <c r="E6049">
        <v>162.95249938964801</v>
      </c>
      <c r="F6049">
        <v>162.95249938964801</v>
      </c>
      <c r="G6049">
        <v>65222000</v>
      </c>
      <c r="H6049">
        <f t="shared" si="376"/>
        <v>2021</v>
      </c>
      <c r="I6049">
        <f t="shared" si="377"/>
        <v>5</v>
      </c>
      <c r="J6049" t="str">
        <f t="shared" si="378"/>
        <v>May</v>
      </c>
      <c r="K6049" t="str">
        <f t="shared" si="379"/>
        <v>Tue</v>
      </c>
    </row>
    <row r="6050" spans="1:11" x14ac:dyDescent="0.35">
      <c r="A6050" s="1">
        <v>44342</v>
      </c>
      <c r="B6050">
        <v>163.72950744628901</v>
      </c>
      <c r="C6050">
        <v>164.78649902343699</v>
      </c>
      <c r="D6050">
        <v>162.92550659179599</v>
      </c>
      <c r="E6050">
        <v>163.25799560546801</v>
      </c>
      <c r="F6050">
        <v>163.25799560546801</v>
      </c>
      <c r="G6050">
        <v>47680000</v>
      </c>
      <c r="H6050">
        <f t="shared" si="376"/>
        <v>2021</v>
      </c>
      <c r="I6050">
        <f t="shared" si="377"/>
        <v>5</v>
      </c>
      <c r="J6050" t="str">
        <f t="shared" si="378"/>
        <v>May</v>
      </c>
      <c r="K6050" t="str">
        <f t="shared" si="379"/>
        <v>Wed</v>
      </c>
    </row>
    <row r="6051" spans="1:11" x14ac:dyDescent="0.35">
      <c r="A6051" s="1">
        <v>44343</v>
      </c>
      <c r="B6051">
        <v>162.80000305175699</v>
      </c>
      <c r="C6051">
        <v>163.01800537109301</v>
      </c>
      <c r="D6051">
        <v>161.50199890136699</v>
      </c>
      <c r="E6051">
        <v>161.50549316406199</v>
      </c>
      <c r="F6051">
        <v>161.50549316406199</v>
      </c>
      <c r="G6051">
        <v>51224000</v>
      </c>
      <c r="H6051">
        <f t="shared" si="376"/>
        <v>2021</v>
      </c>
      <c r="I6051">
        <f t="shared" si="377"/>
        <v>5</v>
      </c>
      <c r="J6051" t="str">
        <f t="shared" si="378"/>
        <v>May</v>
      </c>
      <c r="K6051" t="str">
        <f t="shared" si="379"/>
        <v>Thu</v>
      </c>
    </row>
    <row r="6052" spans="1:11" x14ac:dyDescent="0.35">
      <c r="A6052" s="1">
        <v>44344</v>
      </c>
      <c r="B6052">
        <v>162.100006103515</v>
      </c>
      <c r="C6052">
        <v>162.39950561523401</v>
      </c>
      <c r="D6052">
        <v>160.98500061035099</v>
      </c>
      <c r="E6052">
        <v>161.15350341796801</v>
      </c>
      <c r="F6052">
        <v>161.15350341796801</v>
      </c>
      <c r="G6052">
        <v>46596000</v>
      </c>
      <c r="H6052">
        <f t="shared" si="376"/>
        <v>2021</v>
      </c>
      <c r="I6052">
        <f t="shared" si="377"/>
        <v>5</v>
      </c>
      <c r="J6052" t="str">
        <f t="shared" si="378"/>
        <v>May</v>
      </c>
      <c r="K6052" t="str">
        <f t="shared" si="379"/>
        <v>Fri</v>
      </c>
    </row>
    <row r="6053" spans="1:11" x14ac:dyDescent="0.35">
      <c r="A6053" s="1">
        <v>44348</v>
      </c>
      <c r="B6053">
        <v>162.17500305175699</v>
      </c>
      <c r="C6053">
        <v>162.54899597167901</v>
      </c>
      <c r="D6053">
        <v>160.45300292968699</v>
      </c>
      <c r="E6053">
        <v>160.93249511718699</v>
      </c>
      <c r="F6053">
        <v>160.93249511718699</v>
      </c>
      <c r="G6053">
        <v>48600000</v>
      </c>
      <c r="H6053">
        <f t="shared" si="376"/>
        <v>2021</v>
      </c>
      <c r="I6053">
        <f t="shared" si="377"/>
        <v>6</v>
      </c>
      <c r="J6053" t="str">
        <f t="shared" si="378"/>
        <v>Jun</v>
      </c>
      <c r="K6053" t="str">
        <f t="shared" si="379"/>
        <v>Tue</v>
      </c>
    </row>
    <row r="6054" spans="1:11" x14ac:dyDescent="0.35">
      <c r="A6054" s="1">
        <v>44349</v>
      </c>
      <c r="B6054">
        <v>161.15499877929599</v>
      </c>
      <c r="C6054">
        <v>161.75</v>
      </c>
      <c r="D6054">
        <v>160.39999389648401</v>
      </c>
      <c r="E6054">
        <v>161.69949340820301</v>
      </c>
      <c r="F6054">
        <v>161.69949340820301</v>
      </c>
      <c r="G6054">
        <v>40290000</v>
      </c>
      <c r="H6054">
        <f t="shared" si="376"/>
        <v>2021</v>
      </c>
      <c r="I6054">
        <f t="shared" si="377"/>
        <v>6</v>
      </c>
      <c r="J6054" t="str">
        <f t="shared" si="378"/>
        <v>Jun</v>
      </c>
      <c r="K6054" t="str">
        <f t="shared" si="379"/>
        <v>Wed</v>
      </c>
    </row>
    <row r="6055" spans="1:11" x14ac:dyDescent="0.35">
      <c r="A6055" s="1">
        <v>44350</v>
      </c>
      <c r="B6055">
        <v>160.211502075195</v>
      </c>
      <c r="C6055">
        <v>160.72200012207</v>
      </c>
      <c r="D6055">
        <v>159.20150756835901</v>
      </c>
      <c r="E6055">
        <v>159.350494384765</v>
      </c>
      <c r="F6055">
        <v>159.350494384765</v>
      </c>
      <c r="G6055">
        <v>47966000</v>
      </c>
      <c r="H6055">
        <f t="shared" si="376"/>
        <v>2021</v>
      </c>
      <c r="I6055">
        <f t="shared" si="377"/>
        <v>6</v>
      </c>
      <c r="J6055" t="str">
        <f t="shared" si="378"/>
        <v>Jun</v>
      </c>
      <c r="K6055" t="str">
        <f t="shared" si="379"/>
        <v>Thu</v>
      </c>
    </row>
    <row r="6056" spans="1:11" x14ac:dyDescent="0.35">
      <c r="A6056" s="1">
        <v>44351</v>
      </c>
      <c r="B6056">
        <v>160.600006103515</v>
      </c>
      <c r="C6056">
        <v>161.05000305175699</v>
      </c>
      <c r="D6056">
        <v>159.940505981445</v>
      </c>
      <c r="E6056">
        <v>160.31100463867099</v>
      </c>
      <c r="F6056">
        <v>160.31100463867099</v>
      </c>
      <c r="G6056">
        <v>44994000</v>
      </c>
      <c r="H6056">
        <f t="shared" si="376"/>
        <v>2021</v>
      </c>
      <c r="I6056">
        <f t="shared" si="377"/>
        <v>6</v>
      </c>
      <c r="J6056" t="str">
        <f t="shared" si="378"/>
        <v>Jun</v>
      </c>
      <c r="K6056" t="str">
        <f t="shared" si="379"/>
        <v>Fri</v>
      </c>
    </row>
    <row r="6057" spans="1:11" x14ac:dyDescent="0.35">
      <c r="A6057" s="1">
        <v>44354</v>
      </c>
      <c r="B6057">
        <v>159.86650085449199</v>
      </c>
      <c r="C6057">
        <v>160.39999389648401</v>
      </c>
      <c r="D6057">
        <v>158.61000061035099</v>
      </c>
      <c r="E6057">
        <v>159.90049743652301</v>
      </c>
      <c r="F6057">
        <v>159.90049743652301</v>
      </c>
      <c r="G6057">
        <v>44316000</v>
      </c>
      <c r="H6057">
        <f t="shared" si="376"/>
        <v>2021</v>
      </c>
      <c r="I6057">
        <f t="shared" si="377"/>
        <v>6</v>
      </c>
      <c r="J6057" t="str">
        <f t="shared" si="378"/>
        <v>Jun</v>
      </c>
      <c r="K6057" t="str">
        <f t="shared" si="379"/>
        <v>Mon</v>
      </c>
    </row>
    <row r="6058" spans="1:11" x14ac:dyDescent="0.35">
      <c r="A6058" s="1">
        <v>44355</v>
      </c>
      <c r="B6058">
        <v>161.13049316406199</v>
      </c>
      <c r="C6058">
        <v>163.97650146484301</v>
      </c>
      <c r="D6058">
        <v>160.90049743652301</v>
      </c>
      <c r="E6058">
        <v>163.20550537109301</v>
      </c>
      <c r="F6058">
        <v>163.20550537109301</v>
      </c>
      <c r="G6058">
        <v>68334000</v>
      </c>
      <c r="H6058">
        <f t="shared" si="376"/>
        <v>2021</v>
      </c>
      <c r="I6058">
        <f t="shared" si="377"/>
        <v>6</v>
      </c>
      <c r="J6058" t="str">
        <f t="shared" si="378"/>
        <v>Jun</v>
      </c>
      <c r="K6058" t="str">
        <f t="shared" si="379"/>
        <v>Tue</v>
      </c>
    </row>
    <row r="6059" spans="1:11" x14ac:dyDescent="0.35">
      <c r="A6059" s="1">
        <v>44356</v>
      </c>
      <c r="B6059">
        <v>163.64349365234301</v>
      </c>
      <c r="C6059">
        <v>164.87899780273401</v>
      </c>
      <c r="D6059">
        <v>163.53500366210901</v>
      </c>
      <c r="E6059">
        <v>164.05749511718699</v>
      </c>
      <c r="F6059">
        <v>164.05749511718699</v>
      </c>
      <c r="G6059">
        <v>49110000</v>
      </c>
      <c r="H6059">
        <f t="shared" si="376"/>
        <v>2021</v>
      </c>
      <c r="I6059">
        <f t="shared" si="377"/>
        <v>6</v>
      </c>
      <c r="J6059" t="str">
        <f t="shared" si="378"/>
        <v>Jun</v>
      </c>
      <c r="K6059" t="str">
        <f t="shared" si="379"/>
        <v>Wed</v>
      </c>
    </row>
    <row r="6060" spans="1:11" x14ac:dyDescent="0.35">
      <c r="A6060" s="1">
        <v>44357</v>
      </c>
      <c r="B6060">
        <v>164.100494384765</v>
      </c>
      <c r="C6060">
        <v>167.55000305175699</v>
      </c>
      <c r="D6060">
        <v>164.05749511718699</v>
      </c>
      <c r="E6060">
        <v>167.482498168945</v>
      </c>
      <c r="F6060">
        <v>167.482498168945</v>
      </c>
      <c r="G6060">
        <v>69530000</v>
      </c>
      <c r="H6060">
        <f t="shared" si="376"/>
        <v>2021</v>
      </c>
      <c r="I6060">
        <f t="shared" si="377"/>
        <v>6</v>
      </c>
      <c r="J6060" t="str">
        <f t="shared" si="378"/>
        <v>Jun</v>
      </c>
      <c r="K6060" t="str">
        <f t="shared" si="379"/>
        <v>Thu</v>
      </c>
    </row>
    <row r="6061" spans="1:11" x14ac:dyDescent="0.35">
      <c r="A6061" s="1">
        <v>44358</v>
      </c>
      <c r="B6061">
        <v>167.482498168945</v>
      </c>
      <c r="C6061">
        <v>168.32899475097599</v>
      </c>
      <c r="D6061">
        <v>166.67250061035099</v>
      </c>
      <c r="E6061">
        <v>167.34150695800699</v>
      </c>
      <c r="F6061">
        <v>167.34150695800699</v>
      </c>
      <c r="G6061">
        <v>56348000</v>
      </c>
      <c r="H6061">
        <f t="shared" si="376"/>
        <v>2021</v>
      </c>
      <c r="I6061">
        <f t="shared" si="377"/>
        <v>6</v>
      </c>
      <c r="J6061" t="str">
        <f t="shared" si="378"/>
        <v>Jun</v>
      </c>
      <c r="K6061" t="str">
        <f t="shared" si="379"/>
        <v>Fri</v>
      </c>
    </row>
    <row r="6062" spans="1:11" x14ac:dyDescent="0.35">
      <c r="A6062" s="1">
        <v>44361</v>
      </c>
      <c r="B6062">
        <v>167.34150695800699</v>
      </c>
      <c r="C6062">
        <v>169.25</v>
      </c>
      <c r="D6062">
        <v>166.77499389648401</v>
      </c>
      <c r="E6062">
        <v>169.19349670410099</v>
      </c>
      <c r="F6062">
        <v>169.19349670410099</v>
      </c>
      <c r="G6062">
        <v>51394000</v>
      </c>
      <c r="H6062">
        <f t="shared" si="376"/>
        <v>2021</v>
      </c>
      <c r="I6062">
        <f t="shared" si="377"/>
        <v>6</v>
      </c>
      <c r="J6062" t="str">
        <f t="shared" si="378"/>
        <v>Jun</v>
      </c>
      <c r="K6062" t="str">
        <f t="shared" si="379"/>
        <v>Mon</v>
      </c>
    </row>
    <row r="6063" spans="1:11" x14ac:dyDescent="0.35">
      <c r="A6063" s="1">
        <v>44362</v>
      </c>
      <c r="B6063">
        <v>169.19999694824199</v>
      </c>
      <c r="C6063">
        <v>169.84950256347599</v>
      </c>
      <c r="D6063">
        <v>168.155502319335</v>
      </c>
      <c r="E6063">
        <v>169.156494140625</v>
      </c>
      <c r="F6063">
        <v>169.156494140625</v>
      </c>
      <c r="G6063">
        <v>48524000</v>
      </c>
      <c r="H6063">
        <f t="shared" si="376"/>
        <v>2021</v>
      </c>
      <c r="I6063">
        <f t="shared" si="377"/>
        <v>6</v>
      </c>
      <c r="J6063" t="str">
        <f t="shared" si="378"/>
        <v>Jun</v>
      </c>
      <c r="K6063" t="str">
        <f t="shared" si="379"/>
        <v>Tue</v>
      </c>
    </row>
    <row r="6064" spans="1:11" x14ac:dyDescent="0.35">
      <c r="A6064" s="1">
        <v>44363</v>
      </c>
      <c r="B6064">
        <v>169.600006103515</v>
      </c>
      <c r="C6064">
        <v>171.31750488281199</v>
      </c>
      <c r="D6064">
        <v>168.02650451660099</v>
      </c>
      <c r="E6064">
        <v>170.76249694824199</v>
      </c>
      <c r="F6064">
        <v>170.76249694824199</v>
      </c>
      <c r="G6064">
        <v>84056000</v>
      </c>
      <c r="H6064">
        <f t="shared" si="376"/>
        <v>2021</v>
      </c>
      <c r="I6064">
        <f t="shared" si="377"/>
        <v>6</v>
      </c>
      <c r="J6064" t="str">
        <f t="shared" si="378"/>
        <v>Jun</v>
      </c>
      <c r="K6064" t="str">
        <f t="shared" si="379"/>
        <v>Wed</v>
      </c>
    </row>
    <row r="6065" spans="1:11" x14ac:dyDescent="0.35">
      <c r="A6065" s="1">
        <v>44364</v>
      </c>
      <c r="B6065">
        <v>170.15899658203099</v>
      </c>
      <c r="C6065">
        <v>174.86000061035099</v>
      </c>
      <c r="D6065">
        <v>170.05000305175699</v>
      </c>
      <c r="E6065">
        <v>174.46200561523401</v>
      </c>
      <c r="F6065">
        <v>174.46200561523401</v>
      </c>
      <c r="G6065">
        <v>102730000</v>
      </c>
      <c r="H6065">
        <f t="shared" si="376"/>
        <v>2021</v>
      </c>
      <c r="I6065">
        <f t="shared" si="377"/>
        <v>6</v>
      </c>
      <c r="J6065" t="str">
        <f t="shared" si="378"/>
        <v>Jun</v>
      </c>
      <c r="K6065" t="str">
        <f t="shared" si="379"/>
        <v>Thu</v>
      </c>
    </row>
    <row r="6066" spans="1:11" x14ac:dyDescent="0.35">
      <c r="A6066" s="1">
        <v>44365</v>
      </c>
      <c r="B6066">
        <v>173.99949645996</v>
      </c>
      <c r="C6066">
        <v>175.350006103515</v>
      </c>
      <c r="D6066">
        <v>173.68550109863199</v>
      </c>
      <c r="E6066">
        <v>174.34500122070301</v>
      </c>
      <c r="F6066">
        <v>174.34500122070301</v>
      </c>
      <c r="G6066">
        <v>104954000</v>
      </c>
      <c r="H6066">
        <f t="shared" si="376"/>
        <v>2021</v>
      </c>
      <c r="I6066">
        <f t="shared" si="377"/>
        <v>6</v>
      </c>
      <c r="J6066" t="str">
        <f t="shared" si="378"/>
        <v>Jun</v>
      </c>
      <c r="K6066" t="str">
        <f t="shared" si="379"/>
        <v>Fri</v>
      </c>
    </row>
    <row r="6067" spans="1:11" x14ac:dyDescent="0.35">
      <c r="A6067" s="1">
        <v>44368</v>
      </c>
      <c r="B6067">
        <v>173.82099914550699</v>
      </c>
      <c r="C6067">
        <v>174.100006103515</v>
      </c>
      <c r="D6067">
        <v>171.69999694824199</v>
      </c>
      <c r="E6067">
        <v>172.697998046875</v>
      </c>
      <c r="F6067">
        <v>172.697998046875</v>
      </c>
      <c r="G6067">
        <v>65542000</v>
      </c>
      <c r="H6067">
        <f t="shared" si="376"/>
        <v>2021</v>
      </c>
      <c r="I6067">
        <f t="shared" si="377"/>
        <v>6</v>
      </c>
      <c r="J6067" t="str">
        <f t="shared" si="378"/>
        <v>Jun</v>
      </c>
      <c r="K6067" t="str">
        <f t="shared" si="379"/>
        <v>Mon</v>
      </c>
    </row>
    <row r="6068" spans="1:11" x14ac:dyDescent="0.35">
      <c r="A6068" s="1">
        <v>44369</v>
      </c>
      <c r="B6068">
        <v>172.90299987792901</v>
      </c>
      <c r="C6068">
        <v>176.18899536132801</v>
      </c>
      <c r="D6068">
        <v>172.80450439453099</v>
      </c>
      <c r="E6068">
        <v>175.27200317382801</v>
      </c>
      <c r="F6068">
        <v>175.27200317382801</v>
      </c>
      <c r="G6068">
        <v>66902000</v>
      </c>
      <c r="H6068">
        <f t="shared" si="376"/>
        <v>2021</v>
      </c>
      <c r="I6068">
        <f t="shared" si="377"/>
        <v>6</v>
      </c>
      <c r="J6068" t="str">
        <f t="shared" si="378"/>
        <v>Jun</v>
      </c>
      <c r="K6068" t="str">
        <f t="shared" si="379"/>
        <v>Tue</v>
      </c>
    </row>
    <row r="6069" spans="1:11" x14ac:dyDescent="0.35">
      <c r="A6069" s="1">
        <v>44370</v>
      </c>
      <c r="B6069">
        <v>175.25</v>
      </c>
      <c r="C6069">
        <v>176.05000305175699</v>
      </c>
      <c r="D6069">
        <v>174.16000366210901</v>
      </c>
      <c r="E6069">
        <v>175.190994262695</v>
      </c>
      <c r="F6069">
        <v>175.190994262695</v>
      </c>
      <c r="G6069">
        <v>56266000</v>
      </c>
      <c r="H6069">
        <f t="shared" si="376"/>
        <v>2021</v>
      </c>
      <c r="I6069">
        <f t="shared" si="377"/>
        <v>6</v>
      </c>
      <c r="J6069" t="str">
        <f t="shared" si="378"/>
        <v>Jun</v>
      </c>
      <c r="K6069" t="str">
        <f t="shared" si="379"/>
        <v>Wed</v>
      </c>
    </row>
    <row r="6070" spans="1:11" x14ac:dyDescent="0.35">
      <c r="A6070" s="1">
        <v>44371</v>
      </c>
      <c r="B6070">
        <v>175.38200378417901</v>
      </c>
      <c r="C6070">
        <v>176.24299621582</v>
      </c>
      <c r="D6070">
        <v>171.54249572753901</v>
      </c>
      <c r="E6070">
        <v>172.45399475097599</v>
      </c>
      <c r="F6070">
        <v>172.45399475097599</v>
      </c>
      <c r="G6070">
        <v>76640000</v>
      </c>
      <c r="H6070">
        <f t="shared" si="376"/>
        <v>2021</v>
      </c>
      <c r="I6070">
        <f t="shared" si="377"/>
        <v>6</v>
      </c>
      <c r="J6070" t="str">
        <f t="shared" si="378"/>
        <v>Jun</v>
      </c>
      <c r="K6070" t="str">
        <f t="shared" si="379"/>
        <v>Thu</v>
      </c>
    </row>
    <row r="6071" spans="1:11" x14ac:dyDescent="0.35">
      <c r="A6071" s="1">
        <v>44372</v>
      </c>
      <c r="B6071">
        <v>173.19999694824199</v>
      </c>
      <c r="C6071">
        <v>173.24099731445301</v>
      </c>
      <c r="D6071">
        <v>169.70899963378901</v>
      </c>
      <c r="E6071">
        <v>170.072998046875</v>
      </c>
      <c r="F6071">
        <v>170.072998046875</v>
      </c>
      <c r="G6071">
        <v>78820000</v>
      </c>
      <c r="H6071">
        <f t="shared" si="376"/>
        <v>2021</v>
      </c>
      <c r="I6071">
        <f t="shared" si="377"/>
        <v>6</v>
      </c>
      <c r="J6071" t="str">
        <f t="shared" si="378"/>
        <v>Jun</v>
      </c>
      <c r="K6071" t="str">
        <f t="shared" si="379"/>
        <v>Fri</v>
      </c>
    </row>
    <row r="6072" spans="1:11" x14ac:dyDescent="0.35">
      <c r="A6072" s="1">
        <v>44375</v>
      </c>
      <c r="B6072">
        <v>170.80000305175699</v>
      </c>
      <c r="C6072">
        <v>172.39999389648401</v>
      </c>
      <c r="D6072">
        <v>170.67550659179599</v>
      </c>
      <c r="E6072">
        <v>172.19450378417901</v>
      </c>
      <c r="F6072">
        <v>172.19450378417901</v>
      </c>
      <c r="G6072">
        <v>44856000</v>
      </c>
      <c r="H6072">
        <f t="shared" si="376"/>
        <v>2021</v>
      </c>
      <c r="I6072">
        <f t="shared" si="377"/>
        <v>6</v>
      </c>
      <c r="J6072" t="str">
        <f t="shared" si="378"/>
        <v>Jun</v>
      </c>
      <c r="K6072" t="str">
        <f t="shared" si="379"/>
        <v>Mon</v>
      </c>
    </row>
    <row r="6073" spans="1:11" x14ac:dyDescent="0.35">
      <c r="A6073" s="1">
        <v>44376</v>
      </c>
      <c r="B6073">
        <v>171.940994262695</v>
      </c>
      <c r="C6073">
        <v>172.801498413085</v>
      </c>
      <c r="D6073">
        <v>171.15150451660099</v>
      </c>
      <c r="E6073">
        <v>172.40699768066401</v>
      </c>
      <c r="F6073">
        <v>172.40699768066401</v>
      </c>
      <c r="G6073">
        <v>41968000</v>
      </c>
      <c r="H6073">
        <f t="shared" si="376"/>
        <v>2021</v>
      </c>
      <c r="I6073">
        <f t="shared" si="377"/>
        <v>6</v>
      </c>
      <c r="J6073" t="str">
        <f t="shared" si="378"/>
        <v>Jun</v>
      </c>
      <c r="K6073" t="str">
        <f t="shared" si="379"/>
        <v>Tue</v>
      </c>
    </row>
    <row r="6074" spans="1:11" x14ac:dyDescent="0.35">
      <c r="A6074" s="1">
        <v>44377</v>
      </c>
      <c r="B6074">
        <v>172.05299377441401</v>
      </c>
      <c r="C6074">
        <v>173.58000183105401</v>
      </c>
      <c r="D6074">
        <v>171.75</v>
      </c>
      <c r="E6074">
        <v>172.00799560546801</v>
      </c>
      <c r="F6074">
        <v>172.00799560546801</v>
      </c>
      <c r="G6074">
        <v>48080000</v>
      </c>
      <c r="H6074">
        <f t="shared" si="376"/>
        <v>2021</v>
      </c>
      <c r="I6074">
        <f t="shared" si="377"/>
        <v>6</v>
      </c>
      <c r="J6074" t="str">
        <f t="shared" si="378"/>
        <v>Jun</v>
      </c>
      <c r="K6074" t="str">
        <f t="shared" si="379"/>
        <v>Wed</v>
      </c>
    </row>
    <row r="6075" spans="1:11" x14ac:dyDescent="0.35">
      <c r="A6075" s="1">
        <v>44378</v>
      </c>
      <c r="B6075">
        <v>171.73049926757801</v>
      </c>
      <c r="C6075">
        <v>172.850006103515</v>
      </c>
      <c r="D6075">
        <v>170.47099304199199</v>
      </c>
      <c r="E6075">
        <v>171.64849853515599</v>
      </c>
      <c r="F6075">
        <v>171.64849853515599</v>
      </c>
      <c r="G6075">
        <v>40742000</v>
      </c>
      <c r="H6075">
        <f t="shared" si="376"/>
        <v>2021</v>
      </c>
      <c r="I6075">
        <f t="shared" si="377"/>
        <v>7</v>
      </c>
      <c r="J6075" t="str">
        <f t="shared" si="378"/>
        <v>Jul</v>
      </c>
      <c r="K6075" t="str">
        <f t="shared" si="379"/>
        <v>Thu</v>
      </c>
    </row>
    <row r="6076" spans="1:11" x14ac:dyDescent="0.35">
      <c r="A6076" s="1">
        <v>44379</v>
      </c>
      <c r="B6076">
        <v>172.58200073242099</v>
      </c>
      <c r="C6076">
        <v>175.58599853515599</v>
      </c>
      <c r="D6076">
        <v>171.84599304199199</v>
      </c>
      <c r="E6076">
        <v>175.54899597167901</v>
      </c>
      <c r="F6076">
        <v>175.54899597167901</v>
      </c>
      <c r="G6076">
        <v>63388000</v>
      </c>
      <c r="H6076">
        <f t="shared" si="376"/>
        <v>2021</v>
      </c>
      <c r="I6076">
        <f t="shared" si="377"/>
        <v>7</v>
      </c>
      <c r="J6076" t="str">
        <f t="shared" si="378"/>
        <v>Jul</v>
      </c>
      <c r="K6076" t="str">
        <f t="shared" si="379"/>
        <v>Fri</v>
      </c>
    </row>
    <row r="6077" spans="1:11" x14ac:dyDescent="0.35">
      <c r="A6077" s="1">
        <v>44383</v>
      </c>
      <c r="B6077">
        <v>176.50549316406199</v>
      </c>
      <c r="C6077">
        <v>184.274002075195</v>
      </c>
      <c r="D6077">
        <v>176.44999694824199</v>
      </c>
      <c r="E6077">
        <v>183.78700256347599</v>
      </c>
      <c r="F6077">
        <v>183.78700256347599</v>
      </c>
      <c r="G6077">
        <v>134896000</v>
      </c>
      <c r="H6077">
        <f t="shared" si="376"/>
        <v>2021</v>
      </c>
      <c r="I6077">
        <f t="shared" si="377"/>
        <v>7</v>
      </c>
      <c r="J6077" t="str">
        <f t="shared" si="378"/>
        <v>Jul</v>
      </c>
      <c r="K6077" t="str">
        <f t="shared" si="379"/>
        <v>Tue</v>
      </c>
    </row>
    <row r="6078" spans="1:11" x14ac:dyDescent="0.35">
      <c r="A6078" s="1">
        <v>44384</v>
      </c>
      <c r="B6078">
        <v>185.86900329589801</v>
      </c>
      <c r="C6078">
        <v>186.71000671386699</v>
      </c>
      <c r="D6078">
        <v>183.94549560546801</v>
      </c>
      <c r="E6078">
        <v>184.82899475097599</v>
      </c>
      <c r="F6078">
        <v>184.82899475097599</v>
      </c>
      <c r="G6078">
        <v>106562000</v>
      </c>
      <c r="H6078">
        <f t="shared" si="376"/>
        <v>2021</v>
      </c>
      <c r="I6078">
        <f t="shared" si="377"/>
        <v>7</v>
      </c>
      <c r="J6078" t="str">
        <f t="shared" si="378"/>
        <v>Jul</v>
      </c>
      <c r="K6078" t="str">
        <f t="shared" si="379"/>
        <v>Wed</v>
      </c>
    </row>
    <row r="6079" spans="1:11" x14ac:dyDescent="0.35">
      <c r="A6079" s="1">
        <v>44385</v>
      </c>
      <c r="B6079">
        <v>182.17799377441401</v>
      </c>
      <c r="C6079">
        <v>187.99949645996</v>
      </c>
      <c r="D6079">
        <v>181.05599975585901</v>
      </c>
      <c r="E6079">
        <v>186.57049560546801</v>
      </c>
      <c r="F6079">
        <v>186.57049560546801</v>
      </c>
      <c r="G6079">
        <v>103612000</v>
      </c>
      <c r="H6079">
        <f t="shared" si="376"/>
        <v>2021</v>
      </c>
      <c r="I6079">
        <f t="shared" si="377"/>
        <v>7</v>
      </c>
      <c r="J6079" t="str">
        <f t="shared" si="378"/>
        <v>Jul</v>
      </c>
      <c r="K6079" t="str">
        <f t="shared" si="379"/>
        <v>Thu</v>
      </c>
    </row>
    <row r="6080" spans="1:11" x14ac:dyDescent="0.35">
      <c r="A6080" s="1">
        <v>44386</v>
      </c>
      <c r="B6080">
        <v>186.12600708007801</v>
      </c>
      <c r="C6080">
        <v>187.39999389648401</v>
      </c>
      <c r="D6080">
        <v>184.669998168945</v>
      </c>
      <c r="E6080">
        <v>185.96699523925699</v>
      </c>
      <c r="F6080">
        <v>185.96699523925699</v>
      </c>
      <c r="G6080">
        <v>74964000</v>
      </c>
      <c r="H6080">
        <f t="shared" si="376"/>
        <v>2021</v>
      </c>
      <c r="I6080">
        <f t="shared" si="377"/>
        <v>7</v>
      </c>
      <c r="J6080" t="str">
        <f t="shared" si="378"/>
        <v>Jul</v>
      </c>
      <c r="K6080" t="str">
        <f t="shared" si="379"/>
        <v>Fri</v>
      </c>
    </row>
    <row r="6081" spans="1:11" x14ac:dyDescent="0.35">
      <c r="A6081" s="1">
        <v>44389</v>
      </c>
      <c r="B6081">
        <v>187.19999694824199</v>
      </c>
      <c r="C6081">
        <v>187.864501953125</v>
      </c>
      <c r="D6081">
        <v>184.83949279785099</v>
      </c>
      <c r="E6081">
        <v>185.92750549316401</v>
      </c>
      <c r="F6081">
        <v>185.92750549316401</v>
      </c>
      <c r="G6081">
        <v>51432000</v>
      </c>
      <c r="H6081">
        <f t="shared" si="376"/>
        <v>2021</v>
      </c>
      <c r="I6081">
        <f t="shared" si="377"/>
        <v>7</v>
      </c>
      <c r="J6081" t="str">
        <f t="shared" si="378"/>
        <v>Jul</v>
      </c>
      <c r="K6081" t="str">
        <f t="shared" si="379"/>
        <v>Mon</v>
      </c>
    </row>
    <row r="6082" spans="1:11" x14ac:dyDescent="0.35">
      <c r="A6082" s="1">
        <v>44390</v>
      </c>
      <c r="B6082">
        <v>185.10499572753901</v>
      </c>
      <c r="C6082">
        <v>188.65400695800699</v>
      </c>
      <c r="D6082">
        <v>183.565994262695</v>
      </c>
      <c r="E6082">
        <v>183.86799621582</v>
      </c>
      <c r="F6082">
        <v>183.86799621582</v>
      </c>
      <c r="G6082">
        <v>76918000</v>
      </c>
      <c r="H6082">
        <f t="shared" si="376"/>
        <v>2021</v>
      </c>
      <c r="I6082">
        <f t="shared" si="377"/>
        <v>7</v>
      </c>
      <c r="J6082" t="str">
        <f t="shared" si="378"/>
        <v>Jul</v>
      </c>
      <c r="K6082" t="str">
        <f t="shared" si="379"/>
        <v>Tue</v>
      </c>
    </row>
    <row r="6083" spans="1:11" x14ac:dyDescent="0.35">
      <c r="A6083" s="1">
        <v>44391</v>
      </c>
      <c r="B6083">
        <v>185.44250488281199</v>
      </c>
      <c r="C6083">
        <v>185.88299560546801</v>
      </c>
      <c r="D6083">
        <v>183.04150390625</v>
      </c>
      <c r="E6083">
        <v>184.08399963378901</v>
      </c>
      <c r="F6083">
        <v>184.08399963378901</v>
      </c>
      <c r="G6083">
        <v>65932000</v>
      </c>
      <c r="H6083">
        <f t="shared" si="376"/>
        <v>2021</v>
      </c>
      <c r="I6083">
        <f t="shared" si="377"/>
        <v>7</v>
      </c>
      <c r="J6083" t="str">
        <f t="shared" si="378"/>
        <v>Jul</v>
      </c>
      <c r="K6083" t="str">
        <f t="shared" si="379"/>
        <v>Wed</v>
      </c>
    </row>
    <row r="6084" spans="1:11" x14ac:dyDescent="0.35">
      <c r="A6084" s="1">
        <v>44392</v>
      </c>
      <c r="B6084">
        <v>184.71000671386699</v>
      </c>
      <c r="C6084">
        <v>184.77000427246</v>
      </c>
      <c r="D6084">
        <v>181.04600524902301</v>
      </c>
      <c r="E6084">
        <v>181.55999755859301</v>
      </c>
      <c r="F6084">
        <v>181.55999755859301</v>
      </c>
      <c r="G6084">
        <v>63706000</v>
      </c>
      <c r="H6084">
        <f t="shared" ref="H6084:H6147" si="380">YEAR($A6084)</f>
        <v>2021</v>
      </c>
      <c r="I6084">
        <f t="shared" ref="I6084:I6147" si="381">MONTH($A6084)</f>
        <v>7</v>
      </c>
      <c r="J6084" t="str">
        <f t="shared" ref="J6084:J6147" si="382">TEXT($A6084,"mmm")</f>
        <v>Jul</v>
      </c>
      <c r="K6084" t="str">
        <f t="shared" ref="K6084:K6147" si="383">TEXT($A6084,"ddd")</f>
        <v>Thu</v>
      </c>
    </row>
    <row r="6085" spans="1:11" x14ac:dyDescent="0.35">
      <c r="A6085" s="1">
        <v>44393</v>
      </c>
      <c r="B6085">
        <v>181.66549682617099</v>
      </c>
      <c r="C6085">
        <v>182.30299377441401</v>
      </c>
      <c r="D6085">
        <v>178.52299499511699</v>
      </c>
      <c r="E6085">
        <v>178.68150329589801</v>
      </c>
      <c r="F6085">
        <v>178.68150329589801</v>
      </c>
      <c r="G6085">
        <v>80874000</v>
      </c>
      <c r="H6085">
        <f t="shared" si="380"/>
        <v>2021</v>
      </c>
      <c r="I6085">
        <f t="shared" si="381"/>
        <v>7</v>
      </c>
      <c r="J6085" t="str">
        <f t="shared" si="382"/>
        <v>Jul</v>
      </c>
      <c r="K6085" t="str">
        <f t="shared" si="383"/>
        <v>Fri</v>
      </c>
    </row>
    <row r="6086" spans="1:11" x14ac:dyDescent="0.35">
      <c r="A6086" s="1">
        <v>44396</v>
      </c>
      <c r="B6086">
        <v>176.62899780273401</v>
      </c>
      <c r="C6086">
        <v>177.510498046875</v>
      </c>
      <c r="D6086">
        <v>174.95799255371</v>
      </c>
      <c r="E6086">
        <v>177.47950744628901</v>
      </c>
      <c r="F6086">
        <v>177.47950744628901</v>
      </c>
      <c r="G6086">
        <v>75692000</v>
      </c>
      <c r="H6086">
        <f t="shared" si="380"/>
        <v>2021</v>
      </c>
      <c r="I6086">
        <f t="shared" si="381"/>
        <v>7</v>
      </c>
      <c r="J6086" t="str">
        <f t="shared" si="382"/>
        <v>Jul</v>
      </c>
      <c r="K6086" t="str">
        <f t="shared" si="383"/>
        <v>Mon</v>
      </c>
    </row>
    <row r="6087" spans="1:11" x14ac:dyDescent="0.35">
      <c r="A6087" s="1">
        <v>44397</v>
      </c>
      <c r="B6087">
        <v>178.36599731445301</v>
      </c>
      <c r="C6087">
        <v>179.600006103515</v>
      </c>
      <c r="D6087">
        <v>175.89999389648401</v>
      </c>
      <c r="E6087">
        <v>178.65950012207</v>
      </c>
      <c r="F6087">
        <v>178.65950012207</v>
      </c>
      <c r="G6087">
        <v>65114000</v>
      </c>
      <c r="H6087">
        <f t="shared" si="380"/>
        <v>2021</v>
      </c>
      <c r="I6087">
        <f t="shared" si="381"/>
        <v>7</v>
      </c>
      <c r="J6087" t="str">
        <f t="shared" si="382"/>
        <v>Jul</v>
      </c>
      <c r="K6087" t="str">
        <f t="shared" si="383"/>
        <v>Tue</v>
      </c>
    </row>
    <row r="6088" spans="1:11" x14ac:dyDescent="0.35">
      <c r="A6088" s="1">
        <v>44398</v>
      </c>
      <c r="B6088">
        <v>178.81900024414</v>
      </c>
      <c r="C6088">
        <v>179.322494506835</v>
      </c>
      <c r="D6088">
        <v>177.18200683593699</v>
      </c>
      <c r="E6088">
        <v>179.259994506835</v>
      </c>
      <c r="F6088">
        <v>179.259994506835</v>
      </c>
      <c r="G6088">
        <v>46380000</v>
      </c>
      <c r="H6088">
        <f t="shared" si="380"/>
        <v>2021</v>
      </c>
      <c r="I6088">
        <f t="shared" si="381"/>
        <v>7</v>
      </c>
      <c r="J6088" t="str">
        <f t="shared" si="382"/>
        <v>Jul</v>
      </c>
      <c r="K6088" t="str">
        <f t="shared" si="383"/>
        <v>Wed</v>
      </c>
    </row>
    <row r="6089" spans="1:11" x14ac:dyDescent="0.35">
      <c r="A6089" s="1">
        <v>44399</v>
      </c>
      <c r="B6089">
        <v>179.36149597167901</v>
      </c>
      <c r="C6089">
        <v>182.00100708007801</v>
      </c>
      <c r="D6089">
        <v>179.11349487304599</v>
      </c>
      <c r="E6089">
        <v>181.90150451660099</v>
      </c>
      <c r="F6089">
        <v>181.90150451660099</v>
      </c>
      <c r="G6089">
        <v>65308000</v>
      </c>
      <c r="H6089">
        <f t="shared" si="380"/>
        <v>2021</v>
      </c>
      <c r="I6089">
        <f t="shared" si="381"/>
        <v>7</v>
      </c>
      <c r="J6089" t="str">
        <f t="shared" si="382"/>
        <v>Jul</v>
      </c>
      <c r="K6089" t="str">
        <f t="shared" si="383"/>
        <v>Thu</v>
      </c>
    </row>
    <row r="6090" spans="1:11" x14ac:dyDescent="0.35">
      <c r="A6090" s="1">
        <v>44400</v>
      </c>
      <c r="B6090">
        <v>182</v>
      </c>
      <c r="C6090">
        <v>183.30549621582</v>
      </c>
      <c r="D6090">
        <v>181.10200500488199</v>
      </c>
      <c r="E6090">
        <v>182.83200073242099</v>
      </c>
      <c r="F6090">
        <v>182.83200073242099</v>
      </c>
      <c r="G6090">
        <v>48726000</v>
      </c>
      <c r="H6090">
        <f t="shared" si="380"/>
        <v>2021</v>
      </c>
      <c r="I6090">
        <f t="shared" si="381"/>
        <v>7</v>
      </c>
      <c r="J6090" t="str">
        <f t="shared" si="382"/>
        <v>Jul</v>
      </c>
      <c r="K6090" t="str">
        <f t="shared" si="383"/>
        <v>Fri</v>
      </c>
    </row>
    <row r="6091" spans="1:11" x14ac:dyDescent="0.35">
      <c r="A6091" s="1">
        <v>44403</v>
      </c>
      <c r="B6091">
        <v>183.65849304199199</v>
      </c>
      <c r="C6091">
        <v>185.60400390625</v>
      </c>
      <c r="D6091">
        <v>182.36250305175699</v>
      </c>
      <c r="E6091">
        <v>184.99099731445301</v>
      </c>
      <c r="F6091">
        <v>184.99099731445301</v>
      </c>
      <c r="G6091">
        <v>58002000</v>
      </c>
      <c r="H6091">
        <f t="shared" si="380"/>
        <v>2021</v>
      </c>
      <c r="I6091">
        <f t="shared" si="381"/>
        <v>7</v>
      </c>
      <c r="J6091" t="str">
        <f t="shared" si="382"/>
        <v>Jul</v>
      </c>
      <c r="K6091" t="str">
        <f t="shared" si="383"/>
        <v>Mon</v>
      </c>
    </row>
    <row r="6092" spans="1:11" x14ac:dyDescent="0.35">
      <c r="A6092" s="1">
        <v>44404</v>
      </c>
      <c r="B6092">
        <v>184.92500305175699</v>
      </c>
      <c r="C6092">
        <v>184.92500305175699</v>
      </c>
      <c r="D6092">
        <v>179.30749511718699</v>
      </c>
      <c r="E6092">
        <v>181.31950378417901</v>
      </c>
      <c r="F6092">
        <v>181.31950378417901</v>
      </c>
      <c r="G6092">
        <v>82638000</v>
      </c>
      <c r="H6092">
        <f t="shared" si="380"/>
        <v>2021</v>
      </c>
      <c r="I6092">
        <f t="shared" si="381"/>
        <v>7</v>
      </c>
      <c r="J6092" t="str">
        <f t="shared" si="382"/>
        <v>Jul</v>
      </c>
      <c r="K6092" t="str">
        <f t="shared" si="383"/>
        <v>Tue</v>
      </c>
    </row>
    <row r="6093" spans="1:11" x14ac:dyDescent="0.35">
      <c r="A6093" s="1">
        <v>44405</v>
      </c>
      <c r="B6093">
        <v>181.68899536132801</v>
      </c>
      <c r="C6093">
        <v>182.92100524902301</v>
      </c>
      <c r="D6093">
        <v>180.05000305175699</v>
      </c>
      <c r="E6093">
        <v>181.51600646972599</v>
      </c>
      <c r="F6093">
        <v>181.51600646972599</v>
      </c>
      <c r="G6093">
        <v>59988000</v>
      </c>
      <c r="H6093">
        <f t="shared" si="380"/>
        <v>2021</v>
      </c>
      <c r="I6093">
        <f t="shared" si="381"/>
        <v>7</v>
      </c>
      <c r="J6093" t="str">
        <f t="shared" si="382"/>
        <v>Jul</v>
      </c>
      <c r="K6093" t="str">
        <f t="shared" si="383"/>
        <v>Wed</v>
      </c>
    </row>
    <row r="6094" spans="1:11" x14ac:dyDescent="0.35">
      <c r="A6094" s="1">
        <v>44406</v>
      </c>
      <c r="B6094">
        <v>181.38749694824199</v>
      </c>
      <c r="C6094">
        <v>181.89750671386699</v>
      </c>
      <c r="D6094">
        <v>179.00050354003901</v>
      </c>
      <c r="E6094">
        <v>179.996002197265</v>
      </c>
      <c r="F6094">
        <v>179.996002197265</v>
      </c>
      <c r="G6094">
        <v>110400000</v>
      </c>
      <c r="H6094">
        <f t="shared" si="380"/>
        <v>2021</v>
      </c>
      <c r="I6094">
        <f t="shared" si="381"/>
        <v>7</v>
      </c>
      <c r="J6094" t="str">
        <f t="shared" si="382"/>
        <v>Jul</v>
      </c>
      <c r="K6094" t="str">
        <f t="shared" si="383"/>
        <v>Thu</v>
      </c>
    </row>
    <row r="6095" spans="1:11" x14ac:dyDescent="0.35">
      <c r="A6095" s="1">
        <v>44407</v>
      </c>
      <c r="B6095">
        <v>167.39750671386699</v>
      </c>
      <c r="C6095">
        <v>168.40699768066401</v>
      </c>
      <c r="D6095">
        <v>165.34899902343699</v>
      </c>
      <c r="E6095">
        <v>166.37950134277301</v>
      </c>
      <c r="F6095">
        <v>166.37950134277301</v>
      </c>
      <c r="G6095">
        <v>199312000</v>
      </c>
      <c r="H6095">
        <f t="shared" si="380"/>
        <v>2021</v>
      </c>
      <c r="I6095">
        <f t="shared" si="381"/>
        <v>7</v>
      </c>
      <c r="J6095" t="str">
        <f t="shared" si="382"/>
        <v>Jul</v>
      </c>
      <c r="K6095" t="str">
        <f t="shared" si="383"/>
        <v>Fri</v>
      </c>
    </row>
    <row r="6096" spans="1:11" x14ac:dyDescent="0.35">
      <c r="A6096" s="1">
        <v>44410</v>
      </c>
      <c r="B6096">
        <v>167.65499877929599</v>
      </c>
      <c r="C6096">
        <v>167.94599914550699</v>
      </c>
      <c r="D6096">
        <v>165.850006103515</v>
      </c>
      <c r="E6096">
        <v>166.57400512695301</v>
      </c>
      <c r="F6096">
        <v>166.57400512695301</v>
      </c>
      <c r="G6096">
        <v>67078000</v>
      </c>
      <c r="H6096">
        <f t="shared" si="380"/>
        <v>2021</v>
      </c>
      <c r="I6096">
        <f t="shared" si="381"/>
        <v>8</v>
      </c>
      <c r="J6096" t="str">
        <f t="shared" si="382"/>
        <v>Aug</v>
      </c>
      <c r="K6096" t="str">
        <f t="shared" si="383"/>
        <v>Mon</v>
      </c>
    </row>
    <row r="6097" spans="1:11" x14ac:dyDescent="0.35">
      <c r="A6097" s="1">
        <v>44411</v>
      </c>
      <c r="B6097">
        <v>167.03599548339801</v>
      </c>
      <c r="C6097">
        <v>169.55000305175699</v>
      </c>
      <c r="D6097">
        <v>164.98849487304599</v>
      </c>
      <c r="E6097">
        <v>168.31199645996</v>
      </c>
      <c r="F6097">
        <v>168.31199645996</v>
      </c>
      <c r="G6097">
        <v>83146000</v>
      </c>
      <c r="H6097">
        <f t="shared" si="380"/>
        <v>2021</v>
      </c>
      <c r="I6097">
        <f t="shared" si="381"/>
        <v>8</v>
      </c>
      <c r="J6097" t="str">
        <f t="shared" si="382"/>
        <v>Aug</v>
      </c>
      <c r="K6097" t="str">
        <f t="shared" si="383"/>
        <v>Tue</v>
      </c>
    </row>
    <row r="6098" spans="1:11" x14ac:dyDescent="0.35">
      <c r="A6098" s="1">
        <v>44412</v>
      </c>
      <c r="B6098">
        <v>168.96749877929599</v>
      </c>
      <c r="C6098">
        <v>169.44400024414</v>
      </c>
      <c r="D6098">
        <v>167.27799987792901</v>
      </c>
      <c r="E6098">
        <v>167.73599243164</v>
      </c>
      <c r="F6098">
        <v>167.73599243164</v>
      </c>
      <c r="G6098">
        <v>43678000</v>
      </c>
      <c r="H6098">
        <f t="shared" si="380"/>
        <v>2021</v>
      </c>
      <c r="I6098">
        <f t="shared" si="381"/>
        <v>8</v>
      </c>
      <c r="J6098" t="str">
        <f t="shared" si="382"/>
        <v>Aug</v>
      </c>
      <c r="K6098" t="str">
        <f t="shared" si="383"/>
        <v>Wed</v>
      </c>
    </row>
    <row r="6099" spans="1:11" x14ac:dyDescent="0.35">
      <c r="A6099" s="1">
        <v>44413</v>
      </c>
      <c r="B6099">
        <v>167.81100463867099</v>
      </c>
      <c r="C6099">
        <v>169.44999694824199</v>
      </c>
      <c r="D6099">
        <v>167.04600524902301</v>
      </c>
      <c r="E6099">
        <v>168.79949951171801</v>
      </c>
      <c r="F6099">
        <v>168.79949951171801</v>
      </c>
      <c r="G6099">
        <v>48670000</v>
      </c>
      <c r="H6099">
        <f t="shared" si="380"/>
        <v>2021</v>
      </c>
      <c r="I6099">
        <f t="shared" si="381"/>
        <v>8</v>
      </c>
      <c r="J6099" t="str">
        <f t="shared" si="382"/>
        <v>Aug</v>
      </c>
      <c r="K6099" t="str">
        <f t="shared" si="383"/>
        <v>Thu</v>
      </c>
    </row>
    <row r="6100" spans="1:11" x14ac:dyDescent="0.35">
      <c r="A6100" s="1">
        <v>44414</v>
      </c>
      <c r="B6100">
        <v>168.75</v>
      </c>
      <c r="C6100">
        <v>168.75</v>
      </c>
      <c r="D6100">
        <v>166.45199584960901</v>
      </c>
      <c r="E6100">
        <v>167.24699401855401</v>
      </c>
      <c r="F6100">
        <v>167.24699401855401</v>
      </c>
      <c r="G6100">
        <v>52752000</v>
      </c>
      <c r="H6100">
        <f t="shared" si="380"/>
        <v>2021</v>
      </c>
      <c r="I6100">
        <f t="shared" si="381"/>
        <v>8</v>
      </c>
      <c r="J6100" t="str">
        <f t="shared" si="382"/>
        <v>Aug</v>
      </c>
      <c r="K6100" t="str">
        <f t="shared" si="383"/>
        <v>Fri</v>
      </c>
    </row>
    <row r="6101" spans="1:11" x14ac:dyDescent="0.35">
      <c r="A6101" s="1">
        <v>44417</v>
      </c>
      <c r="B6101">
        <v>167.18049621582</v>
      </c>
      <c r="C6101">
        <v>167.74400329589801</v>
      </c>
      <c r="D6101">
        <v>166.42599487304599</v>
      </c>
      <c r="E6101">
        <v>167.093505859375</v>
      </c>
      <c r="F6101">
        <v>167.093505859375</v>
      </c>
      <c r="G6101">
        <v>42964000</v>
      </c>
      <c r="H6101">
        <f t="shared" si="380"/>
        <v>2021</v>
      </c>
      <c r="I6101">
        <f t="shared" si="381"/>
        <v>8</v>
      </c>
      <c r="J6101" t="str">
        <f t="shared" si="382"/>
        <v>Aug</v>
      </c>
      <c r="K6101" t="str">
        <f t="shared" si="383"/>
        <v>Mon</v>
      </c>
    </row>
    <row r="6102" spans="1:11" x14ac:dyDescent="0.35">
      <c r="A6102" s="1">
        <v>44418</v>
      </c>
      <c r="B6102">
        <v>167.25050354003901</v>
      </c>
      <c r="C6102">
        <v>167.89999389648401</v>
      </c>
      <c r="D6102">
        <v>165.75</v>
      </c>
      <c r="E6102">
        <v>166.03399658203099</v>
      </c>
      <c r="F6102">
        <v>166.03399658203099</v>
      </c>
      <c r="G6102">
        <v>48252000</v>
      </c>
      <c r="H6102">
        <f t="shared" si="380"/>
        <v>2021</v>
      </c>
      <c r="I6102">
        <f t="shared" si="381"/>
        <v>8</v>
      </c>
      <c r="J6102" t="str">
        <f t="shared" si="382"/>
        <v>Aug</v>
      </c>
      <c r="K6102" t="str">
        <f t="shared" si="383"/>
        <v>Tue</v>
      </c>
    </row>
    <row r="6103" spans="1:11" x14ac:dyDescent="0.35">
      <c r="A6103" s="1">
        <v>44419</v>
      </c>
      <c r="B6103">
        <v>166.572494506835</v>
      </c>
      <c r="C6103">
        <v>166.884994506835</v>
      </c>
      <c r="D6103">
        <v>163.88949584960901</v>
      </c>
      <c r="E6103">
        <v>164.60549926757801</v>
      </c>
      <c r="F6103">
        <v>164.60549926757801</v>
      </c>
      <c r="G6103">
        <v>58944000</v>
      </c>
      <c r="H6103">
        <f t="shared" si="380"/>
        <v>2021</v>
      </c>
      <c r="I6103">
        <f t="shared" si="381"/>
        <v>8</v>
      </c>
      <c r="J6103" t="str">
        <f t="shared" si="382"/>
        <v>Aug</v>
      </c>
      <c r="K6103" t="str">
        <f t="shared" si="383"/>
        <v>Wed</v>
      </c>
    </row>
    <row r="6104" spans="1:11" x14ac:dyDescent="0.35">
      <c r="A6104" s="1">
        <v>44420</v>
      </c>
      <c r="B6104">
        <v>164.5</v>
      </c>
      <c r="C6104">
        <v>165.725494384765</v>
      </c>
      <c r="D6104">
        <v>163.48350524902301</v>
      </c>
      <c r="E6104">
        <v>165.17500305175699</v>
      </c>
      <c r="F6104">
        <v>165.17500305175699</v>
      </c>
      <c r="G6104">
        <v>46282000</v>
      </c>
      <c r="H6104">
        <f t="shared" si="380"/>
        <v>2021</v>
      </c>
      <c r="I6104">
        <f t="shared" si="381"/>
        <v>8</v>
      </c>
      <c r="J6104" t="str">
        <f t="shared" si="382"/>
        <v>Aug</v>
      </c>
      <c r="K6104" t="str">
        <f t="shared" si="383"/>
        <v>Thu</v>
      </c>
    </row>
    <row r="6105" spans="1:11" x14ac:dyDescent="0.35">
      <c r="A6105" s="1">
        <v>44421</v>
      </c>
      <c r="B6105">
        <v>165.28349304199199</v>
      </c>
      <c r="C6105">
        <v>165.30349731445301</v>
      </c>
      <c r="D6105">
        <v>164.14999389648401</v>
      </c>
      <c r="E6105">
        <v>164.69850158691401</v>
      </c>
      <c r="F6105">
        <v>164.69850158691401</v>
      </c>
      <c r="G6105">
        <v>41134000</v>
      </c>
      <c r="H6105">
        <f t="shared" si="380"/>
        <v>2021</v>
      </c>
      <c r="I6105">
        <f t="shared" si="381"/>
        <v>8</v>
      </c>
      <c r="J6105" t="str">
        <f t="shared" si="382"/>
        <v>Aug</v>
      </c>
      <c r="K6105" t="str">
        <f t="shared" si="383"/>
        <v>Fri</v>
      </c>
    </row>
    <row r="6106" spans="1:11" x14ac:dyDescent="0.35">
      <c r="A6106" s="1">
        <v>44424</v>
      </c>
      <c r="B6106">
        <v>164.14999389648401</v>
      </c>
      <c r="C6106">
        <v>165</v>
      </c>
      <c r="D6106">
        <v>160.55650329589801</v>
      </c>
      <c r="E6106">
        <v>164.94949340820301</v>
      </c>
      <c r="F6106">
        <v>164.94949340820301</v>
      </c>
      <c r="G6106">
        <v>66394000</v>
      </c>
      <c r="H6106">
        <f t="shared" si="380"/>
        <v>2021</v>
      </c>
      <c r="I6106">
        <f t="shared" si="381"/>
        <v>8</v>
      </c>
      <c r="J6106" t="str">
        <f t="shared" si="382"/>
        <v>Aug</v>
      </c>
      <c r="K6106" t="str">
        <f t="shared" si="383"/>
        <v>Mon</v>
      </c>
    </row>
    <row r="6107" spans="1:11" x14ac:dyDescent="0.35">
      <c r="A6107" s="1">
        <v>44425</v>
      </c>
      <c r="B6107">
        <v>163.875</v>
      </c>
      <c r="C6107">
        <v>164.02450561523401</v>
      </c>
      <c r="D6107">
        <v>161.28399658203099</v>
      </c>
      <c r="E6107">
        <v>162.09800720214801</v>
      </c>
      <c r="F6107">
        <v>162.09800720214801</v>
      </c>
      <c r="G6107">
        <v>67758000</v>
      </c>
      <c r="H6107">
        <f t="shared" si="380"/>
        <v>2021</v>
      </c>
      <c r="I6107">
        <f t="shared" si="381"/>
        <v>8</v>
      </c>
      <c r="J6107" t="str">
        <f t="shared" si="382"/>
        <v>Aug</v>
      </c>
      <c r="K6107" t="str">
        <f t="shared" si="383"/>
        <v>Tue</v>
      </c>
    </row>
    <row r="6108" spans="1:11" x14ac:dyDescent="0.35">
      <c r="A6108" s="1">
        <v>44426</v>
      </c>
      <c r="B6108">
        <v>162.09950256347599</v>
      </c>
      <c r="C6108">
        <v>162.70500183105401</v>
      </c>
      <c r="D6108">
        <v>160</v>
      </c>
      <c r="E6108">
        <v>160.06100463867099</v>
      </c>
      <c r="F6108">
        <v>160.06100463867099</v>
      </c>
      <c r="G6108">
        <v>56086000</v>
      </c>
      <c r="H6108">
        <f t="shared" si="380"/>
        <v>2021</v>
      </c>
      <c r="I6108">
        <f t="shared" si="381"/>
        <v>8</v>
      </c>
      <c r="J6108" t="str">
        <f t="shared" si="382"/>
        <v>Aug</v>
      </c>
      <c r="K6108" t="str">
        <f t="shared" si="383"/>
        <v>Wed</v>
      </c>
    </row>
    <row r="6109" spans="1:11" x14ac:dyDescent="0.35">
      <c r="A6109" s="1">
        <v>44427</v>
      </c>
      <c r="B6109">
        <v>159.70100402832</v>
      </c>
      <c r="C6109">
        <v>161.64999389648401</v>
      </c>
      <c r="D6109">
        <v>159.12300109863199</v>
      </c>
      <c r="E6109">
        <v>159.38749694824199</v>
      </c>
      <c r="F6109">
        <v>159.38749694824199</v>
      </c>
      <c r="G6109">
        <v>75658000</v>
      </c>
      <c r="H6109">
        <f t="shared" si="380"/>
        <v>2021</v>
      </c>
      <c r="I6109">
        <f t="shared" si="381"/>
        <v>8</v>
      </c>
      <c r="J6109" t="str">
        <f t="shared" si="382"/>
        <v>Aug</v>
      </c>
      <c r="K6109" t="str">
        <f t="shared" si="383"/>
        <v>Thu</v>
      </c>
    </row>
    <row r="6110" spans="1:11" x14ac:dyDescent="0.35">
      <c r="A6110" s="1">
        <v>44428</v>
      </c>
      <c r="B6110">
        <v>160.19349670410099</v>
      </c>
      <c r="C6110">
        <v>160.39050292968699</v>
      </c>
      <c r="D6110">
        <v>158.787994384765</v>
      </c>
      <c r="E6110">
        <v>159.99749755859301</v>
      </c>
      <c r="F6110">
        <v>159.99749755859301</v>
      </c>
      <c r="G6110">
        <v>67168000</v>
      </c>
      <c r="H6110">
        <f t="shared" si="380"/>
        <v>2021</v>
      </c>
      <c r="I6110">
        <f t="shared" si="381"/>
        <v>8</v>
      </c>
      <c r="J6110" t="str">
        <f t="shared" si="382"/>
        <v>Aug</v>
      </c>
      <c r="K6110" t="str">
        <f t="shared" si="383"/>
        <v>Fri</v>
      </c>
    </row>
    <row r="6111" spans="1:11" x14ac:dyDescent="0.35">
      <c r="A6111" s="1">
        <v>44431</v>
      </c>
      <c r="B6111">
        <v>160.59500122070301</v>
      </c>
      <c r="C6111">
        <v>164.044998168945</v>
      </c>
      <c r="D6111">
        <v>160.50050354003901</v>
      </c>
      <c r="E6111">
        <v>163.29350280761699</v>
      </c>
      <c r="F6111">
        <v>163.29350280761699</v>
      </c>
      <c r="G6111">
        <v>65362000</v>
      </c>
      <c r="H6111">
        <f t="shared" si="380"/>
        <v>2021</v>
      </c>
      <c r="I6111">
        <f t="shared" si="381"/>
        <v>8</v>
      </c>
      <c r="J6111" t="str">
        <f t="shared" si="382"/>
        <v>Aug</v>
      </c>
      <c r="K6111" t="str">
        <f t="shared" si="383"/>
        <v>Mon</v>
      </c>
    </row>
    <row r="6112" spans="1:11" x14ac:dyDescent="0.35">
      <c r="A6112" s="1">
        <v>44432</v>
      </c>
      <c r="B6112">
        <v>164</v>
      </c>
      <c r="C6112">
        <v>165.77450561523401</v>
      </c>
      <c r="D6112">
        <v>163.72900390625</v>
      </c>
      <c r="E6112">
        <v>165.28900146484301</v>
      </c>
      <c r="F6112">
        <v>165.28900146484301</v>
      </c>
      <c r="G6112">
        <v>51036000</v>
      </c>
      <c r="H6112">
        <f t="shared" si="380"/>
        <v>2021</v>
      </c>
      <c r="I6112">
        <f t="shared" si="381"/>
        <v>8</v>
      </c>
      <c r="J6112" t="str">
        <f t="shared" si="382"/>
        <v>Aug</v>
      </c>
      <c r="K6112" t="str">
        <f t="shared" si="383"/>
        <v>Tue</v>
      </c>
    </row>
    <row r="6113" spans="1:11" x14ac:dyDescent="0.35">
      <c r="A6113" s="1">
        <v>44433</v>
      </c>
      <c r="B6113">
        <v>165.49349975585901</v>
      </c>
      <c r="C6113">
        <v>166.05000305175699</v>
      </c>
      <c r="D6113">
        <v>164.30749511718699</v>
      </c>
      <c r="E6113">
        <v>164.95899963378901</v>
      </c>
      <c r="F6113">
        <v>164.95899963378901</v>
      </c>
      <c r="G6113">
        <v>33606000</v>
      </c>
      <c r="H6113">
        <f t="shared" si="380"/>
        <v>2021</v>
      </c>
      <c r="I6113">
        <f t="shared" si="381"/>
        <v>8</v>
      </c>
      <c r="J6113" t="str">
        <f t="shared" si="382"/>
        <v>Aug</v>
      </c>
      <c r="K6113" t="str">
        <f t="shared" si="383"/>
        <v>Wed</v>
      </c>
    </row>
    <row r="6114" spans="1:11" x14ac:dyDescent="0.35">
      <c r="A6114" s="1">
        <v>44434</v>
      </c>
      <c r="B6114">
        <v>164.94999694824199</v>
      </c>
      <c r="C6114">
        <v>166.600006103515</v>
      </c>
      <c r="D6114">
        <v>164.80000305175699</v>
      </c>
      <c r="E6114">
        <v>165.80000305175699</v>
      </c>
      <c r="F6114">
        <v>165.80000305175699</v>
      </c>
      <c r="G6114">
        <v>41976000</v>
      </c>
      <c r="H6114">
        <f t="shared" si="380"/>
        <v>2021</v>
      </c>
      <c r="I6114">
        <f t="shared" si="381"/>
        <v>8</v>
      </c>
      <c r="J6114" t="str">
        <f t="shared" si="382"/>
        <v>Aug</v>
      </c>
      <c r="K6114" t="str">
        <f t="shared" si="383"/>
        <v>Thu</v>
      </c>
    </row>
    <row r="6115" spans="1:11" x14ac:dyDescent="0.35">
      <c r="A6115" s="1">
        <v>44435</v>
      </c>
      <c r="B6115">
        <v>166.66149902343699</v>
      </c>
      <c r="C6115">
        <v>167.61599731445301</v>
      </c>
      <c r="D6115">
        <v>165.6875</v>
      </c>
      <c r="E6115">
        <v>167.48150634765599</v>
      </c>
      <c r="F6115">
        <v>167.48150634765599</v>
      </c>
      <c r="G6115">
        <v>48048000</v>
      </c>
      <c r="H6115">
        <f t="shared" si="380"/>
        <v>2021</v>
      </c>
      <c r="I6115">
        <f t="shared" si="381"/>
        <v>8</v>
      </c>
      <c r="J6115" t="str">
        <f t="shared" si="382"/>
        <v>Aug</v>
      </c>
      <c r="K6115" t="str">
        <f t="shared" si="383"/>
        <v>Fri</v>
      </c>
    </row>
    <row r="6116" spans="1:11" x14ac:dyDescent="0.35">
      <c r="A6116" s="1">
        <v>44438</v>
      </c>
      <c r="B6116">
        <v>167.87150573730401</v>
      </c>
      <c r="C6116">
        <v>172.25</v>
      </c>
      <c r="D6116">
        <v>167.76100158691401</v>
      </c>
      <c r="E6116">
        <v>171.07850646972599</v>
      </c>
      <c r="F6116">
        <v>171.07850646972599</v>
      </c>
      <c r="G6116">
        <v>63844000</v>
      </c>
      <c r="H6116">
        <f t="shared" si="380"/>
        <v>2021</v>
      </c>
      <c r="I6116">
        <f t="shared" si="381"/>
        <v>8</v>
      </c>
      <c r="J6116" t="str">
        <f t="shared" si="382"/>
        <v>Aug</v>
      </c>
      <c r="K6116" t="str">
        <f t="shared" si="383"/>
        <v>Mon</v>
      </c>
    </row>
    <row r="6117" spans="1:11" x14ac:dyDescent="0.35">
      <c r="A6117" s="1">
        <v>44439</v>
      </c>
      <c r="B6117">
        <v>171.24000549316401</v>
      </c>
      <c r="C6117">
        <v>173.62899780273401</v>
      </c>
      <c r="D6117">
        <v>169.77949523925699</v>
      </c>
      <c r="E6117">
        <v>173.53950500488199</v>
      </c>
      <c r="F6117">
        <v>173.53950500488199</v>
      </c>
      <c r="G6117">
        <v>87128000</v>
      </c>
      <c r="H6117">
        <f t="shared" si="380"/>
        <v>2021</v>
      </c>
      <c r="I6117">
        <f t="shared" si="381"/>
        <v>8</v>
      </c>
      <c r="J6117" t="str">
        <f t="shared" si="382"/>
        <v>Aug</v>
      </c>
      <c r="K6117" t="str">
        <f t="shared" si="383"/>
        <v>Tue</v>
      </c>
    </row>
    <row r="6118" spans="1:11" x14ac:dyDescent="0.35">
      <c r="A6118" s="1">
        <v>44440</v>
      </c>
      <c r="B6118">
        <v>174.82000732421801</v>
      </c>
      <c r="C6118">
        <v>176.350006103515</v>
      </c>
      <c r="D6118">
        <v>173.76199340820301</v>
      </c>
      <c r="E6118">
        <v>173.94999694824199</v>
      </c>
      <c r="F6118">
        <v>173.94999694824199</v>
      </c>
      <c r="G6118">
        <v>72598000</v>
      </c>
      <c r="H6118">
        <f t="shared" si="380"/>
        <v>2021</v>
      </c>
      <c r="I6118">
        <f t="shared" si="381"/>
        <v>9</v>
      </c>
      <c r="J6118" t="str">
        <f t="shared" si="382"/>
        <v>Sep</v>
      </c>
      <c r="K6118" t="str">
        <f t="shared" si="383"/>
        <v>Wed</v>
      </c>
    </row>
    <row r="6119" spans="1:11" x14ac:dyDescent="0.35">
      <c r="A6119" s="1">
        <v>44441</v>
      </c>
      <c r="B6119">
        <v>174.73800659179599</v>
      </c>
      <c r="C6119">
        <v>175.59800720214801</v>
      </c>
      <c r="D6119">
        <v>172.75</v>
      </c>
      <c r="E6119">
        <v>173.156005859375</v>
      </c>
      <c r="F6119">
        <v>173.156005859375</v>
      </c>
      <c r="G6119">
        <v>58474000</v>
      </c>
      <c r="H6119">
        <f t="shared" si="380"/>
        <v>2021</v>
      </c>
      <c r="I6119">
        <f t="shared" si="381"/>
        <v>9</v>
      </c>
      <c r="J6119" t="str">
        <f t="shared" si="382"/>
        <v>Sep</v>
      </c>
      <c r="K6119" t="str">
        <f t="shared" si="383"/>
        <v>Thu</v>
      </c>
    </row>
    <row r="6120" spans="1:11" x14ac:dyDescent="0.35">
      <c r="A6120" s="1">
        <v>44442</v>
      </c>
      <c r="B6120">
        <v>172.600006103515</v>
      </c>
      <c r="C6120">
        <v>174.13349914550699</v>
      </c>
      <c r="D6120">
        <v>171.822006225585</v>
      </c>
      <c r="E6120">
        <v>173.90249633789</v>
      </c>
      <c r="F6120">
        <v>173.90249633789</v>
      </c>
      <c r="G6120">
        <v>51514000</v>
      </c>
      <c r="H6120">
        <f t="shared" si="380"/>
        <v>2021</v>
      </c>
      <c r="I6120">
        <f t="shared" si="381"/>
        <v>9</v>
      </c>
      <c r="J6120" t="str">
        <f t="shared" si="382"/>
        <v>Sep</v>
      </c>
      <c r="K6120" t="str">
        <f t="shared" si="383"/>
        <v>Fri</v>
      </c>
    </row>
    <row r="6121" spans="1:11" x14ac:dyDescent="0.35">
      <c r="A6121" s="1">
        <v>44446</v>
      </c>
      <c r="B6121">
        <v>173.89999389648401</v>
      </c>
      <c r="C6121">
        <v>176.40449523925699</v>
      </c>
      <c r="D6121">
        <v>173.84700012207</v>
      </c>
      <c r="E6121">
        <v>175.46449279785099</v>
      </c>
      <c r="F6121">
        <v>175.46449279785099</v>
      </c>
      <c r="G6121">
        <v>54758000</v>
      </c>
      <c r="H6121">
        <f t="shared" si="380"/>
        <v>2021</v>
      </c>
      <c r="I6121">
        <f t="shared" si="381"/>
        <v>9</v>
      </c>
      <c r="J6121" t="str">
        <f t="shared" si="382"/>
        <v>Sep</v>
      </c>
      <c r="K6121" t="str">
        <f t="shared" si="383"/>
        <v>Tue</v>
      </c>
    </row>
    <row r="6122" spans="1:11" x14ac:dyDescent="0.35">
      <c r="A6122" s="1">
        <v>44447</v>
      </c>
      <c r="B6122">
        <v>175.58250427246</v>
      </c>
      <c r="C6122">
        <v>177.281494140625</v>
      </c>
      <c r="D6122">
        <v>174.78349304199199</v>
      </c>
      <c r="E6122">
        <v>176.27499389648401</v>
      </c>
      <c r="F6122">
        <v>176.27499389648401</v>
      </c>
      <c r="G6122">
        <v>61068000</v>
      </c>
      <c r="H6122">
        <f t="shared" si="380"/>
        <v>2021</v>
      </c>
      <c r="I6122">
        <f t="shared" si="381"/>
        <v>9</v>
      </c>
      <c r="J6122" t="str">
        <f t="shared" si="382"/>
        <v>Sep</v>
      </c>
      <c r="K6122" t="str">
        <f t="shared" si="383"/>
        <v>Wed</v>
      </c>
    </row>
    <row r="6123" spans="1:11" x14ac:dyDescent="0.35">
      <c r="A6123" s="1">
        <v>44448</v>
      </c>
      <c r="B6123">
        <v>176.30099487304599</v>
      </c>
      <c r="C6123">
        <v>177.49949645996</v>
      </c>
      <c r="D6123">
        <v>174.01849365234301</v>
      </c>
      <c r="E6123">
        <v>174.20799255371</v>
      </c>
      <c r="F6123">
        <v>174.20799255371</v>
      </c>
      <c r="G6123">
        <v>54384000</v>
      </c>
      <c r="H6123">
        <f t="shared" si="380"/>
        <v>2021</v>
      </c>
      <c r="I6123">
        <f t="shared" si="381"/>
        <v>9</v>
      </c>
      <c r="J6123" t="str">
        <f t="shared" si="382"/>
        <v>Sep</v>
      </c>
      <c r="K6123" t="str">
        <f t="shared" si="383"/>
        <v>Thu</v>
      </c>
    </row>
    <row r="6124" spans="1:11" x14ac:dyDescent="0.35">
      <c r="A6124" s="1">
        <v>44449</v>
      </c>
      <c r="B6124">
        <v>175.09150695800699</v>
      </c>
      <c r="C6124">
        <v>175.42250061035099</v>
      </c>
      <c r="D6124">
        <v>173.14549255371</v>
      </c>
      <c r="E6124">
        <v>173.45750427246</v>
      </c>
      <c r="F6124">
        <v>173.45750427246</v>
      </c>
      <c r="G6124">
        <v>47946000</v>
      </c>
      <c r="H6124">
        <f t="shared" si="380"/>
        <v>2021</v>
      </c>
      <c r="I6124">
        <f t="shared" si="381"/>
        <v>9</v>
      </c>
      <c r="J6124" t="str">
        <f t="shared" si="382"/>
        <v>Sep</v>
      </c>
      <c r="K6124" t="str">
        <f t="shared" si="383"/>
        <v>Fri</v>
      </c>
    </row>
    <row r="6125" spans="1:11" x14ac:dyDescent="0.35">
      <c r="A6125" s="1">
        <v>44452</v>
      </c>
      <c r="B6125">
        <v>174.13999938964801</v>
      </c>
      <c r="C6125">
        <v>174.89799499511699</v>
      </c>
      <c r="D6125">
        <v>171.89999389648401</v>
      </c>
      <c r="E6125">
        <v>172.85850524902301</v>
      </c>
      <c r="F6125">
        <v>172.85850524902301</v>
      </c>
      <c r="G6125">
        <v>51380000</v>
      </c>
      <c r="H6125">
        <f t="shared" si="380"/>
        <v>2021</v>
      </c>
      <c r="I6125">
        <f t="shared" si="381"/>
        <v>9</v>
      </c>
      <c r="J6125" t="str">
        <f t="shared" si="382"/>
        <v>Sep</v>
      </c>
      <c r="K6125" t="str">
        <f t="shared" si="383"/>
        <v>Mon</v>
      </c>
    </row>
    <row r="6126" spans="1:11" x14ac:dyDescent="0.35">
      <c r="A6126" s="1">
        <v>44453</v>
      </c>
      <c r="B6126">
        <v>173.77749633789</v>
      </c>
      <c r="C6126">
        <v>174.34049987792901</v>
      </c>
      <c r="D6126">
        <v>171.885498046875</v>
      </c>
      <c r="E6126">
        <v>172.5</v>
      </c>
      <c r="F6126">
        <v>172.5</v>
      </c>
      <c r="G6126">
        <v>38738000</v>
      </c>
      <c r="H6126">
        <f t="shared" si="380"/>
        <v>2021</v>
      </c>
      <c r="I6126">
        <f t="shared" si="381"/>
        <v>9</v>
      </c>
      <c r="J6126" t="str">
        <f t="shared" si="382"/>
        <v>Sep</v>
      </c>
      <c r="K6126" t="str">
        <f t="shared" si="383"/>
        <v>Tue</v>
      </c>
    </row>
    <row r="6127" spans="1:11" x14ac:dyDescent="0.35">
      <c r="A6127" s="1">
        <v>44454</v>
      </c>
      <c r="B6127">
        <v>172.12600708007801</v>
      </c>
      <c r="C6127">
        <v>174.27099609375</v>
      </c>
      <c r="D6127">
        <v>170.100494384765</v>
      </c>
      <c r="E6127">
        <v>173.78950500488199</v>
      </c>
      <c r="F6127">
        <v>173.78950500488199</v>
      </c>
      <c r="G6127">
        <v>59150000</v>
      </c>
      <c r="H6127">
        <f t="shared" si="380"/>
        <v>2021</v>
      </c>
      <c r="I6127">
        <f t="shared" si="381"/>
        <v>9</v>
      </c>
      <c r="J6127" t="str">
        <f t="shared" si="382"/>
        <v>Sep</v>
      </c>
      <c r="K6127" t="str">
        <f t="shared" si="383"/>
        <v>Wed</v>
      </c>
    </row>
    <row r="6128" spans="1:11" x14ac:dyDescent="0.35">
      <c r="A6128" s="1">
        <v>44455</v>
      </c>
      <c r="B6128">
        <v>172.99800109863199</v>
      </c>
      <c r="C6128">
        <v>174.62750244140599</v>
      </c>
      <c r="D6128">
        <v>172.30700683593699</v>
      </c>
      <c r="E6128">
        <v>174.41200256347599</v>
      </c>
      <c r="F6128">
        <v>174.41200256347599</v>
      </c>
      <c r="G6128">
        <v>51672000</v>
      </c>
      <c r="H6128">
        <f t="shared" si="380"/>
        <v>2021</v>
      </c>
      <c r="I6128">
        <f t="shared" si="381"/>
        <v>9</v>
      </c>
      <c r="J6128" t="str">
        <f t="shared" si="382"/>
        <v>Sep</v>
      </c>
      <c r="K6128" t="str">
        <f t="shared" si="383"/>
        <v>Thu</v>
      </c>
    </row>
    <row r="6129" spans="1:11" x14ac:dyDescent="0.35">
      <c r="A6129" s="1">
        <v>44456</v>
      </c>
      <c r="B6129">
        <v>174.42050170898401</v>
      </c>
      <c r="C6129">
        <v>174.87049865722599</v>
      </c>
      <c r="D6129">
        <v>172.60650634765599</v>
      </c>
      <c r="E6129">
        <v>173.12600708007801</v>
      </c>
      <c r="F6129">
        <v>173.12600708007801</v>
      </c>
      <c r="G6129">
        <v>92332000</v>
      </c>
      <c r="H6129">
        <f t="shared" si="380"/>
        <v>2021</v>
      </c>
      <c r="I6129">
        <f t="shared" si="381"/>
        <v>9</v>
      </c>
      <c r="J6129" t="str">
        <f t="shared" si="382"/>
        <v>Sep</v>
      </c>
      <c r="K6129" t="str">
        <f t="shared" si="383"/>
        <v>Fri</v>
      </c>
    </row>
    <row r="6130" spans="1:11" x14ac:dyDescent="0.35">
      <c r="A6130" s="1">
        <v>44459</v>
      </c>
      <c r="B6130">
        <v>169.80000305175699</v>
      </c>
      <c r="C6130">
        <v>170.94999694824199</v>
      </c>
      <c r="D6130">
        <v>165.25050354003901</v>
      </c>
      <c r="E6130">
        <v>167.78649902343699</v>
      </c>
      <c r="F6130">
        <v>167.78649902343699</v>
      </c>
      <c r="G6130">
        <v>93382000</v>
      </c>
      <c r="H6130">
        <f t="shared" si="380"/>
        <v>2021</v>
      </c>
      <c r="I6130">
        <f t="shared" si="381"/>
        <v>9</v>
      </c>
      <c r="J6130" t="str">
        <f t="shared" si="382"/>
        <v>Sep</v>
      </c>
      <c r="K6130" t="str">
        <f t="shared" si="383"/>
        <v>Mon</v>
      </c>
    </row>
    <row r="6131" spans="1:11" x14ac:dyDescent="0.35">
      <c r="A6131" s="1">
        <v>44460</v>
      </c>
      <c r="B6131">
        <v>168.75</v>
      </c>
      <c r="C6131">
        <v>168.98500061035099</v>
      </c>
      <c r="D6131">
        <v>166.61950683593699</v>
      </c>
      <c r="E6131">
        <v>167.18150329589801</v>
      </c>
      <c r="F6131">
        <v>167.18150329589801</v>
      </c>
      <c r="G6131">
        <v>55618000</v>
      </c>
      <c r="H6131">
        <f t="shared" si="380"/>
        <v>2021</v>
      </c>
      <c r="I6131">
        <f t="shared" si="381"/>
        <v>9</v>
      </c>
      <c r="J6131" t="str">
        <f t="shared" si="382"/>
        <v>Sep</v>
      </c>
      <c r="K6131" t="str">
        <f t="shared" si="383"/>
        <v>Tue</v>
      </c>
    </row>
    <row r="6132" spans="1:11" x14ac:dyDescent="0.35">
      <c r="A6132" s="1">
        <v>44461</v>
      </c>
      <c r="B6132">
        <v>167.55000305175699</v>
      </c>
      <c r="C6132">
        <v>169.44999694824199</v>
      </c>
      <c r="D6132">
        <v>167.05250549316401</v>
      </c>
      <c r="E6132">
        <v>169.00250244140599</v>
      </c>
      <c r="F6132">
        <v>169.00250244140599</v>
      </c>
      <c r="G6132">
        <v>48228000</v>
      </c>
      <c r="H6132">
        <f t="shared" si="380"/>
        <v>2021</v>
      </c>
      <c r="I6132">
        <f t="shared" si="381"/>
        <v>9</v>
      </c>
      <c r="J6132" t="str">
        <f t="shared" si="382"/>
        <v>Sep</v>
      </c>
      <c r="K6132" t="str">
        <f t="shared" si="383"/>
        <v>Wed</v>
      </c>
    </row>
    <row r="6133" spans="1:11" x14ac:dyDescent="0.35">
      <c r="A6133" s="1">
        <v>44462</v>
      </c>
      <c r="B6133">
        <v>169.00250244140599</v>
      </c>
      <c r="C6133">
        <v>171.447998046875</v>
      </c>
      <c r="D6133">
        <v>169.00250244140599</v>
      </c>
      <c r="E6133">
        <v>170.80000305175699</v>
      </c>
      <c r="F6133">
        <v>170.80000305175699</v>
      </c>
      <c r="G6133">
        <v>47588000</v>
      </c>
      <c r="H6133">
        <f t="shared" si="380"/>
        <v>2021</v>
      </c>
      <c r="I6133">
        <f t="shared" si="381"/>
        <v>9</v>
      </c>
      <c r="J6133" t="str">
        <f t="shared" si="382"/>
        <v>Sep</v>
      </c>
      <c r="K6133" t="str">
        <f t="shared" si="383"/>
        <v>Thu</v>
      </c>
    </row>
    <row r="6134" spans="1:11" x14ac:dyDescent="0.35">
      <c r="A6134" s="1">
        <v>44463</v>
      </c>
      <c r="B6134">
        <v>170.100494384765</v>
      </c>
      <c r="C6134">
        <v>171.46299743652301</v>
      </c>
      <c r="D6134">
        <v>169.669998168945</v>
      </c>
      <c r="E6134">
        <v>171.27600097656199</v>
      </c>
      <c r="F6134">
        <v>171.27600097656199</v>
      </c>
      <c r="G6134">
        <v>42324000</v>
      </c>
      <c r="H6134">
        <f t="shared" si="380"/>
        <v>2021</v>
      </c>
      <c r="I6134">
        <f t="shared" si="381"/>
        <v>9</v>
      </c>
      <c r="J6134" t="str">
        <f t="shared" si="382"/>
        <v>Sep</v>
      </c>
      <c r="K6134" t="str">
        <f t="shared" si="383"/>
        <v>Fri</v>
      </c>
    </row>
    <row r="6135" spans="1:11" x14ac:dyDescent="0.35">
      <c r="A6135" s="1">
        <v>44466</v>
      </c>
      <c r="B6135">
        <v>168.57499694824199</v>
      </c>
      <c r="C6135">
        <v>170.77850341796801</v>
      </c>
      <c r="D6135">
        <v>166.98049926757801</v>
      </c>
      <c r="E6135">
        <v>170.28999328613199</v>
      </c>
      <c r="F6135">
        <v>170.28999328613199</v>
      </c>
      <c r="G6135">
        <v>72690000</v>
      </c>
      <c r="H6135">
        <f t="shared" si="380"/>
        <v>2021</v>
      </c>
      <c r="I6135">
        <f t="shared" si="381"/>
        <v>9</v>
      </c>
      <c r="J6135" t="str">
        <f t="shared" si="382"/>
        <v>Sep</v>
      </c>
      <c r="K6135" t="str">
        <f t="shared" si="383"/>
        <v>Mon</v>
      </c>
    </row>
    <row r="6136" spans="1:11" x14ac:dyDescent="0.35">
      <c r="A6136" s="1">
        <v>44467</v>
      </c>
      <c r="B6136">
        <v>167.885498046875</v>
      </c>
      <c r="C6136">
        <v>168.45950317382801</v>
      </c>
      <c r="D6136">
        <v>164.50500488281199</v>
      </c>
      <c r="E6136">
        <v>165.79800415039</v>
      </c>
      <c r="F6136">
        <v>165.79800415039</v>
      </c>
      <c r="G6136">
        <v>88616000</v>
      </c>
      <c r="H6136">
        <f t="shared" si="380"/>
        <v>2021</v>
      </c>
      <c r="I6136">
        <f t="shared" si="381"/>
        <v>9</v>
      </c>
      <c r="J6136" t="str">
        <f t="shared" si="382"/>
        <v>Sep</v>
      </c>
      <c r="K6136" t="str">
        <f t="shared" si="383"/>
        <v>Tue</v>
      </c>
    </row>
    <row r="6137" spans="1:11" x14ac:dyDescent="0.35">
      <c r="A6137" s="1">
        <v>44468</v>
      </c>
      <c r="B6137">
        <v>166.10549926757801</v>
      </c>
      <c r="C6137">
        <v>167.56500244140599</v>
      </c>
      <c r="D6137">
        <v>164.89349365234301</v>
      </c>
      <c r="E6137">
        <v>165.05599975585901</v>
      </c>
      <c r="F6137">
        <v>165.05599975585901</v>
      </c>
      <c r="G6137">
        <v>51246000</v>
      </c>
      <c r="H6137">
        <f t="shared" si="380"/>
        <v>2021</v>
      </c>
      <c r="I6137">
        <f t="shared" si="381"/>
        <v>9</v>
      </c>
      <c r="J6137" t="str">
        <f t="shared" si="382"/>
        <v>Sep</v>
      </c>
      <c r="K6137" t="str">
        <f t="shared" si="383"/>
        <v>Wed</v>
      </c>
    </row>
    <row r="6138" spans="1:11" x14ac:dyDescent="0.35">
      <c r="A6138" s="1">
        <v>44469</v>
      </c>
      <c r="B6138">
        <v>165.80000305175699</v>
      </c>
      <c r="C6138">
        <v>166.39250183105401</v>
      </c>
      <c r="D6138">
        <v>163.69949340820301</v>
      </c>
      <c r="E6138">
        <v>164.25199890136699</v>
      </c>
      <c r="F6138">
        <v>164.25199890136699</v>
      </c>
      <c r="G6138">
        <v>56848000</v>
      </c>
      <c r="H6138">
        <f t="shared" si="380"/>
        <v>2021</v>
      </c>
      <c r="I6138">
        <f t="shared" si="381"/>
        <v>9</v>
      </c>
      <c r="J6138" t="str">
        <f t="shared" si="382"/>
        <v>Sep</v>
      </c>
      <c r="K6138" t="str">
        <f t="shared" si="383"/>
        <v>Thu</v>
      </c>
    </row>
    <row r="6139" spans="1:11" x14ac:dyDescent="0.35">
      <c r="A6139" s="1">
        <v>44470</v>
      </c>
      <c r="B6139">
        <v>164.45050048828099</v>
      </c>
      <c r="C6139">
        <v>165.45849609375</v>
      </c>
      <c r="D6139">
        <v>162.79699707031199</v>
      </c>
      <c r="E6139">
        <v>164.162994384765</v>
      </c>
      <c r="F6139">
        <v>164.162994384765</v>
      </c>
      <c r="G6139">
        <v>56712000</v>
      </c>
      <c r="H6139">
        <f t="shared" si="380"/>
        <v>2021</v>
      </c>
      <c r="I6139">
        <f t="shared" si="381"/>
        <v>10</v>
      </c>
      <c r="J6139" t="str">
        <f t="shared" si="382"/>
        <v>Oct</v>
      </c>
      <c r="K6139" t="str">
        <f t="shared" si="383"/>
        <v>Fri</v>
      </c>
    </row>
    <row r="6140" spans="1:11" x14ac:dyDescent="0.35">
      <c r="A6140" s="1">
        <v>44473</v>
      </c>
      <c r="B6140">
        <v>163.96949768066401</v>
      </c>
      <c r="C6140">
        <v>163.99949645996</v>
      </c>
      <c r="D6140">
        <v>158.8125</v>
      </c>
      <c r="E6140">
        <v>159.488998413085</v>
      </c>
      <c r="F6140">
        <v>159.488998413085</v>
      </c>
      <c r="G6140">
        <v>90462000</v>
      </c>
      <c r="H6140">
        <f t="shared" si="380"/>
        <v>2021</v>
      </c>
      <c r="I6140">
        <f t="shared" si="381"/>
        <v>10</v>
      </c>
      <c r="J6140" t="str">
        <f t="shared" si="382"/>
        <v>Oct</v>
      </c>
      <c r="K6140" t="str">
        <f t="shared" si="383"/>
        <v>Mon</v>
      </c>
    </row>
    <row r="6141" spans="1:11" x14ac:dyDescent="0.35">
      <c r="A6141" s="1">
        <v>44474</v>
      </c>
      <c r="B6141">
        <v>160.225006103515</v>
      </c>
      <c r="C6141">
        <v>163.03649902343699</v>
      </c>
      <c r="D6141">
        <v>160.12300109863199</v>
      </c>
      <c r="E6141">
        <v>161.05000305175699</v>
      </c>
      <c r="F6141">
        <v>161.05000305175699</v>
      </c>
      <c r="G6141">
        <v>65384000</v>
      </c>
      <c r="H6141">
        <f t="shared" si="380"/>
        <v>2021</v>
      </c>
      <c r="I6141">
        <f t="shared" si="381"/>
        <v>10</v>
      </c>
      <c r="J6141" t="str">
        <f t="shared" si="382"/>
        <v>Oct</v>
      </c>
      <c r="K6141" t="str">
        <f t="shared" si="383"/>
        <v>Tue</v>
      </c>
    </row>
    <row r="6142" spans="1:11" x14ac:dyDescent="0.35">
      <c r="A6142" s="1">
        <v>44475</v>
      </c>
      <c r="B6142">
        <v>160.676498413085</v>
      </c>
      <c r="C6142">
        <v>163.21699523925699</v>
      </c>
      <c r="D6142">
        <v>159.93099975585901</v>
      </c>
      <c r="E6142">
        <v>163.100494384765</v>
      </c>
      <c r="F6142">
        <v>163.100494384765</v>
      </c>
      <c r="G6142">
        <v>50660000</v>
      </c>
      <c r="H6142">
        <f t="shared" si="380"/>
        <v>2021</v>
      </c>
      <c r="I6142">
        <f t="shared" si="381"/>
        <v>10</v>
      </c>
      <c r="J6142" t="str">
        <f t="shared" si="382"/>
        <v>Oct</v>
      </c>
      <c r="K6142" t="str">
        <f t="shared" si="383"/>
        <v>Wed</v>
      </c>
    </row>
    <row r="6143" spans="1:11" x14ac:dyDescent="0.35">
      <c r="A6143" s="1">
        <v>44476</v>
      </c>
      <c r="B6143">
        <v>164.57699584960901</v>
      </c>
      <c r="C6143">
        <v>166.287506103515</v>
      </c>
      <c r="D6143">
        <v>164.15299987792901</v>
      </c>
      <c r="E6143">
        <v>165.12150573730401</v>
      </c>
      <c r="F6143">
        <v>165.12150573730401</v>
      </c>
      <c r="G6143">
        <v>48182000</v>
      </c>
      <c r="H6143">
        <f t="shared" si="380"/>
        <v>2021</v>
      </c>
      <c r="I6143">
        <f t="shared" si="381"/>
        <v>10</v>
      </c>
      <c r="J6143" t="str">
        <f t="shared" si="382"/>
        <v>Oct</v>
      </c>
      <c r="K6143" t="str">
        <f t="shared" si="383"/>
        <v>Thu</v>
      </c>
    </row>
    <row r="6144" spans="1:11" x14ac:dyDescent="0.35">
      <c r="A6144" s="1">
        <v>44477</v>
      </c>
      <c r="B6144">
        <v>165.850006103515</v>
      </c>
      <c r="C6144">
        <v>166.07150268554599</v>
      </c>
      <c r="D6144">
        <v>164.41000366210901</v>
      </c>
      <c r="E6144">
        <v>164.43099975585901</v>
      </c>
      <c r="F6144">
        <v>164.43099975585901</v>
      </c>
      <c r="G6144">
        <v>39964000</v>
      </c>
      <c r="H6144">
        <f t="shared" si="380"/>
        <v>2021</v>
      </c>
      <c r="I6144">
        <f t="shared" si="381"/>
        <v>10</v>
      </c>
      <c r="J6144" t="str">
        <f t="shared" si="382"/>
        <v>Oct</v>
      </c>
      <c r="K6144" t="str">
        <f t="shared" si="383"/>
        <v>Fri</v>
      </c>
    </row>
    <row r="6145" spans="1:11" x14ac:dyDescent="0.35">
      <c r="A6145" s="1">
        <v>44480</v>
      </c>
      <c r="B6145">
        <v>163.75</v>
      </c>
      <c r="C6145">
        <v>164.62950134277301</v>
      </c>
      <c r="D6145">
        <v>161.90499877929599</v>
      </c>
      <c r="E6145">
        <v>162.31500244140599</v>
      </c>
      <c r="F6145">
        <v>162.31500244140599</v>
      </c>
      <c r="G6145">
        <v>40684000</v>
      </c>
      <c r="H6145">
        <f t="shared" si="380"/>
        <v>2021</v>
      </c>
      <c r="I6145">
        <f t="shared" si="381"/>
        <v>10</v>
      </c>
      <c r="J6145" t="str">
        <f t="shared" si="382"/>
        <v>Oct</v>
      </c>
      <c r="K6145" t="str">
        <f t="shared" si="383"/>
        <v>Mon</v>
      </c>
    </row>
    <row r="6146" spans="1:11" x14ac:dyDescent="0.35">
      <c r="A6146" s="1">
        <v>44481</v>
      </c>
      <c r="B6146">
        <v>162.850006103515</v>
      </c>
      <c r="C6146">
        <v>163.37649536132801</v>
      </c>
      <c r="D6146">
        <v>161.81399536132801</v>
      </c>
      <c r="E6146">
        <v>162.36650085449199</v>
      </c>
      <c r="F6146">
        <v>162.36650085449199</v>
      </c>
      <c r="G6146">
        <v>36392000</v>
      </c>
      <c r="H6146">
        <f t="shared" si="380"/>
        <v>2021</v>
      </c>
      <c r="I6146">
        <f t="shared" si="381"/>
        <v>10</v>
      </c>
      <c r="J6146" t="str">
        <f t="shared" si="382"/>
        <v>Oct</v>
      </c>
      <c r="K6146" t="str">
        <f t="shared" si="383"/>
        <v>Tue</v>
      </c>
    </row>
    <row r="6147" spans="1:11" x14ac:dyDescent="0.35">
      <c r="A6147" s="1">
        <v>44482</v>
      </c>
      <c r="B6147">
        <v>163.48550415039</v>
      </c>
      <c r="C6147">
        <v>164.41900634765599</v>
      </c>
      <c r="D6147">
        <v>163.05450439453099</v>
      </c>
      <c r="E6147">
        <v>164.21400451660099</v>
      </c>
      <c r="F6147">
        <v>164.21400451660099</v>
      </c>
      <c r="G6147">
        <v>48402000</v>
      </c>
      <c r="H6147">
        <f t="shared" si="380"/>
        <v>2021</v>
      </c>
      <c r="I6147">
        <f t="shared" si="381"/>
        <v>10</v>
      </c>
      <c r="J6147" t="str">
        <f t="shared" si="382"/>
        <v>Oct</v>
      </c>
      <c r="K6147" t="str">
        <f t="shared" si="383"/>
        <v>Wed</v>
      </c>
    </row>
    <row r="6148" spans="1:11" x14ac:dyDescent="0.35">
      <c r="A6148" s="1">
        <v>44483</v>
      </c>
      <c r="B6148">
        <v>165.12249755859301</v>
      </c>
      <c r="C6148">
        <v>165.63000488281199</v>
      </c>
      <c r="D6148">
        <v>164.53900146484301</v>
      </c>
      <c r="E6148">
        <v>164.99299621582</v>
      </c>
      <c r="F6148">
        <v>164.99299621582</v>
      </c>
      <c r="G6148">
        <v>42190000</v>
      </c>
      <c r="H6148">
        <f t="shared" ref="H6148:H6211" si="384">YEAR($A6148)</f>
        <v>2021</v>
      </c>
      <c r="I6148">
        <f t="shared" ref="I6148:I6211" si="385">MONTH($A6148)</f>
        <v>10</v>
      </c>
      <c r="J6148" t="str">
        <f t="shared" ref="J6148:J6211" si="386">TEXT($A6148,"mmm")</f>
        <v>Oct</v>
      </c>
      <c r="K6148" t="str">
        <f t="shared" ref="K6148:K6211" si="387">TEXT($A6148,"ddd")</f>
        <v>Thu</v>
      </c>
    </row>
    <row r="6149" spans="1:11" x14ac:dyDescent="0.35">
      <c r="A6149" s="1">
        <v>44484</v>
      </c>
      <c r="B6149">
        <v>165.57099914550699</v>
      </c>
      <c r="C6149">
        <v>170.52099609375</v>
      </c>
      <c r="D6149">
        <v>165.19999694824199</v>
      </c>
      <c r="E6149">
        <v>170.45100402832</v>
      </c>
      <c r="F6149">
        <v>170.45100402832</v>
      </c>
      <c r="G6149">
        <v>103598000</v>
      </c>
      <c r="H6149">
        <f t="shared" si="384"/>
        <v>2021</v>
      </c>
      <c r="I6149">
        <f t="shared" si="385"/>
        <v>10</v>
      </c>
      <c r="J6149" t="str">
        <f t="shared" si="386"/>
        <v>Oct</v>
      </c>
      <c r="K6149" t="str">
        <f t="shared" si="387"/>
        <v>Fri</v>
      </c>
    </row>
    <row r="6150" spans="1:11" x14ac:dyDescent="0.35">
      <c r="A6150" s="1">
        <v>44487</v>
      </c>
      <c r="B6150">
        <v>169.41799926757801</v>
      </c>
      <c r="C6150">
        <v>172.45849609375</v>
      </c>
      <c r="D6150">
        <v>169.25500488281199</v>
      </c>
      <c r="E6150">
        <v>172.33700561523401</v>
      </c>
      <c r="F6150">
        <v>172.33700561523401</v>
      </c>
      <c r="G6150">
        <v>63482000</v>
      </c>
      <c r="H6150">
        <f t="shared" si="384"/>
        <v>2021</v>
      </c>
      <c r="I6150">
        <f t="shared" si="385"/>
        <v>10</v>
      </c>
      <c r="J6150" t="str">
        <f t="shared" si="386"/>
        <v>Oct</v>
      </c>
      <c r="K6150" t="str">
        <f t="shared" si="387"/>
        <v>Mon</v>
      </c>
    </row>
    <row r="6151" spans="1:11" x14ac:dyDescent="0.35">
      <c r="A6151" s="1">
        <v>44488</v>
      </c>
      <c r="B6151">
        <v>171.71449279785099</v>
      </c>
      <c r="C6151">
        <v>172.73449707031199</v>
      </c>
      <c r="D6151">
        <v>171.100006103515</v>
      </c>
      <c r="E6151">
        <v>172.20750427246</v>
      </c>
      <c r="F6151">
        <v>172.20750427246</v>
      </c>
      <c r="G6151">
        <v>47722000</v>
      </c>
      <c r="H6151">
        <f t="shared" si="384"/>
        <v>2021</v>
      </c>
      <c r="I6151">
        <f t="shared" si="385"/>
        <v>10</v>
      </c>
      <c r="J6151" t="str">
        <f t="shared" si="386"/>
        <v>Oct</v>
      </c>
      <c r="K6151" t="str">
        <f t="shared" si="387"/>
        <v>Tue</v>
      </c>
    </row>
    <row r="6152" spans="1:11" x14ac:dyDescent="0.35">
      <c r="A6152" s="1">
        <v>44489</v>
      </c>
      <c r="B6152">
        <v>172.63299560546801</v>
      </c>
      <c r="C6152">
        <v>173.14300537109301</v>
      </c>
      <c r="D6152">
        <v>170.01849365234301</v>
      </c>
      <c r="E6152">
        <v>170.753005981445</v>
      </c>
      <c r="F6152">
        <v>170.753005981445</v>
      </c>
      <c r="G6152">
        <v>42796000</v>
      </c>
      <c r="H6152">
        <f t="shared" si="384"/>
        <v>2021</v>
      </c>
      <c r="I6152">
        <f t="shared" si="385"/>
        <v>10</v>
      </c>
      <c r="J6152" t="str">
        <f t="shared" si="386"/>
        <v>Oct</v>
      </c>
      <c r="K6152" t="str">
        <f t="shared" si="387"/>
        <v>Wed</v>
      </c>
    </row>
    <row r="6153" spans="1:11" x14ac:dyDescent="0.35">
      <c r="A6153" s="1">
        <v>44490</v>
      </c>
      <c r="B6153">
        <v>170.71249389648401</v>
      </c>
      <c r="C6153">
        <v>172.01400756835901</v>
      </c>
      <c r="D6153">
        <v>170.14999389648401</v>
      </c>
      <c r="E6153">
        <v>171.75050354003901</v>
      </c>
      <c r="F6153">
        <v>171.75050354003901</v>
      </c>
      <c r="G6153">
        <v>37628000</v>
      </c>
      <c r="H6153">
        <f t="shared" si="384"/>
        <v>2021</v>
      </c>
      <c r="I6153">
        <f t="shared" si="385"/>
        <v>10</v>
      </c>
      <c r="J6153" t="str">
        <f t="shared" si="386"/>
        <v>Oct</v>
      </c>
      <c r="K6153" t="str">
        <f t="shared" si="387"/>
        <v>Thu</v>
      </c>
    </row>
    <row r="6154" spans="1:11" x14ac:dyDescent="0.35">
      <c r="A6154" s="1">
        <v>44491</v>
      </c>
      <c r="B6154">
        <v>171.05000305175699</v>
      </c>
      <c r="C6154">
        <v>171.49200439453099</v>
      </c>
      <c r="D6154">
        <v>166.56500244140599</v>
      </c>
      <c r="E6154">
        <v>166.77749633789</v>
      </c>
      <c r="F6154">
        <v>166.77749633789</v>
      </c>
      <c r="G6154">
        <v>62782000</v>
      </c>
      <c r="H6154">
        <f t="shared" si="384"/>
        <v>2021</v>
      </c>
      <c r="I6154">
        <f t="shared" si="385"/>
        <v>10</v>
      </c>
      <c r="J6154" t="str">
        <f t="shared" si="386"/>
        <v>Oct</v>
      </c>
      <c r="K6154" t="str">
        <f t="shared" si="387"/>
        <v>Fri</v>
      </c>
    </row>
    <row r="6155" spans="1:11" x14ac:dyDescent="0.35">
      <c r="A6155" s="1">
        <v>44494</v>
      </c>
      <c r="B6155">
        <v>166.75</v>
      </c>
      <c r="C6155">
        <v>167.38999938964801</v>
      </c>
      <c r="D6155">
        <v>164.884994506835</v>
      </c>
      <c r="E6155">
        <v>166.01849365234301</v>
      </c>
      <c r="F6155">
        <v>166.01849365234301</v>
      </c>
      <c r="G6155">
        <v>44520000</v>
      </c>
      <c r="H6155">
        <f t="shared" si="384"/>
        <v>2021</v>
      </c>
      <c r="I6155">
        <f t="shared" si="385"/>
        <v>10</v>
      </c>
      <c r="J6155" t="str">
        <f t="shared" si="386"/>
        <v>Oct</v>
      </c>
      <c r="K6155" t="str">
        <f t="shared" si="387"/>
        <v>Mon</v>
      </c>
    </row>
    <row r="6156" spans="1:11" x14ac:dyDescent="0.35">
      <c r="A6156" s="1">
        <v>44495</v>
      </c>
      <c r="B6156">
        <v>167.475494384765</v>
      </c>
      <c r="C6156">
        <v>170.80599975585901</v>
      </c>
      <c r="D6156">
        <v>167.19900512695301</v>
      </c>
      <c r="E6156">
        <v>168.80349731445301</v>
      </c>
      <c r="F6156">
        <v>168.80349731445301</v>
      </c>
      <c r="G6156">
        <v>53966000</v>
      </c>
      <c r="H6156">
        <f t="shared" si="384"/>
        <v>2021</v>
      </c>
      <c r="I6156">
        <f t="shared" si="385"/>
        <v>10</v>
      </c>
      <c r="J6156" t="str">
        <f t="shared" si="386"/>
        <v>Oct</v>
      </c>
      <c r="K6156" t="str">
        <f t="shared" si="387"/>
        <v>Tue</v>
      </c>
    </row>
    <row r="6157" spans="1:11" x14ac:dyDescent="0.35">
      <c r="A6157" s="1">
        <v>44496</v>
      </c>
      <c r="B6157">
        <v>169.39999389648401</v>
      </c>
      <c r="C6157">
        <v>171.850006103515</v>
      </c>
      <c r="D6157">
        <v>168.572494506835</v>
      </c>
      <c r="E6157">
        <v>169.62449645996</v>
      </c>
      <c r="F6157">
        <v>169.62449645996</v>
      </c>
      <c r="G6157">
        <v>54044000</v>
      </c>
      <c r="H6157">
        <f t="shared" si="384"/>
        <v>2021</v>
      </c>
      <c r="I6157">
        <f t="shared" si="385"/>
        <v>10</v>
      </c>
      <c r="J6157" t="str">
        <f t="shared" si="386"/>
        <v>Oct</v>
      </c>
      <c r="K6157" t="str">
        <f t="shared" si="387"/>
        <v>Wed</v>
      </c>
    </row>
    <row r="6158" spans="1:11" x14ac:dyDescent="0.35">
      <c r="A6158" s="1">
        <v>44497</v>
      </c>
      <c r="B6158">
        <v>170.10499572753901</v>
      </c>
      <c r="C6158">
        <v>173.94999694824199</v>
      </c>
      <c r="D6158">
        <v>169.30000305175699</v>
      </c>
      <c r="E6158">
        <v>172.32850646972599</v>
      </c>
      <c r="F6158">
        <v>172.32850646972599</v>
      </c>
      <c r="G6158">
        <v>114174000</v>
      </c>
      <c r="H6158">
        <f t="shared" si="384"/>
        <v>2021</v>
      </c>
      <c r="I6158">
        <f t="shared" si="385"/>
        <v>10</v>
      </c>
      <c r="J6158" t="str">
        <f t="shared" si="386"/>
        <v>Oct</v>
      </c>
      <c r="K6158" t="str">
        <f t="shared" si="387"/>
        <v>Thu</v>
      </c>
    </row>
    <row r="6159" spans="1:11" x14ac:dyDescent="0.35">
      <c r="A6159" s="1">
        <v>44498</v>
      </c>
      <c r="B6159">
        <v>165.00100708007801</v>
      </c>
      <c r="C6159">
        <v>168.74099731445301</v>
      </c>
      <c r="D6159">
        <v>163.66600036621</v>
      </c>
      <c r="E6159">
        <v>168.62150573730401</v>
      </c>
      <c r="F6159">
        <v>168.62150573730401</v>
      </c>
      <c r="G6159">
        <v>129722000</v>
      </c>
      <c r="H6159">
        <f t="shared" si="384"/>
        <v>2021</v>
      </c>
      <c r="I6159">
        <f t="shared" si="385"/>
        <v>10</v>
      </c>
      <c r="J6159" t="str">
        <f t="shared" si="386"/>
        <v>Oct</v>
      </c>
      <c r="K6159" t="str">
        <f t="shared" si="387"/>
        <v>Fri</v>
      </c>
    </row>
    <row r="6160" spans="1:11" x14ac:dyDescent="0.35">
      <c r="A6160" s="1">
        <v>44501</v>
      </c>
      <c r="B6160">
        <v>168.08999633789</v>
      </c>
      <c r="C6160">
        <v>168.79299926757801</v>
      </c>
      <c r="D6160">
        <v>164.60099792480401</v>
      </c>
      <c r="E6160">
        <v>165.905502319335</v>
      </c>
      <c r="F6160">
        <v>165.905502319335</v>
      </c>
      <c r="G6160">
        <v>72178000</v>
      </c>
      <c r="H6160">
        <f t="shared" si="384"/>
        <v>2021</v>
      </c>
      <c r="I6160">
        <f t="shared" si="385"/>
        <v>11</v>
      </c>
      <c r="J6160" t="str">
        <f t="shared" si="386"/>
        <v>Nov</v>
      </c>
      <c r="K6160" t="str">
        <f t="shared" si="387"/>
        <v>Mon</v>
      </c>
    </row>
    <row r="6161" spans="1:11" x14ac:dyDescent="0.35">
      <c r="A6161" s="1">
        <v>44502</v>
      </c>
      <c r="B6161">
        <v>165.75050354003901</v>
      </c>
      <c r="C6161">
        <v>166.55599975585901</v>
      </c>
      <c r="D6161">
        <v>164.17750549316401</v>
      </c>
      <c r="E6161">
        <v>165.63749694824199</v>
      </c>
      <c r="F6161">
        <v>165.63749694824199</v>
      </c>
      <c r="G6161">
        <v>52552000</v>
      </c>
      <c r="H6161">
        <f t="shared" si="384"/>
        <v>2021</v>
      </c>
      <c r="I6161">
        <f t="shared" si="385"/>
        <v>11</v>
      </c>
      <c r="J6161" t="str">
        <f t="shared" si="386"/>
        <v>Nov</v>
      </c>
      <c r="K6161" t="str">
        <f t="shared" si="387"/>
        <v>Tue</v>
      </c>
    </row>
    <row r="6162" spans="1:11" x14ac:dyDescent="0.35">
      <c r="A6162" s="1">
        <v>44503</v>
      </c>
      <c r="B6162">
        <v>165.44999694824199</v>
      </c>
      <c r="C6162">
        <v>169.746002197265</v>
      </c>
      <c r="D6162">
        <v>164.87600708007801</v>
      </c>
      <c r="E6162">
        <v>169.19999694824199</v>
      </c>
      <c r="F6162">
        <v>169.19999694824199</v>
      </c>
      <c r="G6162">
        <v>67944000</v>
      </c>
      <c r="H6162">
        <f t="shared" si="384"/>
        <v>2021</v>
      </c>
      <c r="I6162">
        <f t="shared" si="385"/>
        <v>11</v>
      </c>
      <c r="J6162" t="str">
        <f t="shared" si="386"/>
        <v>Nov</v>
      </c>
      <c r="K6162" t="str">
        <f t="shared" si="387"/>
        <v>Wed</v>
      </c>
    </row>
    <row r="6163" spans="1:11" x14ac:dyDescent="0.35">
      <c r="A6163" s="1">
        <v>44504</v>
      </c>
      <c r="B6163">
        <v>168.5</v>
      </c>
      <c r="C6163">
        <v>174.93150329589801</v>
      </c>
      <c r="D6163">
        <v>168.25</v>
      </c>
      <c r="E6163">
        <v>173.850006103515</v>
      </c>
      <c r="F6163">
        <v>173.850006103515</v>
      </c>
      <c r="G6163">
        <v>107060000</v>
      </c>
      <c r="H6163">
        <f t="shared" si="384"/>
        <v>2021</v>
      </c>
      <c r="I6163">
        <f t="shared" si="385"/>
        <v>11</v>
      </c>
      <c r="J6163" t="str">
        <f t="shared" si="386"/>
        <v>Nov</v>
      </c>
      <c r="K6163" t="str">
        <f t="shared" si="387"/>
        <v>Thu</v>
      </c>
    </row>
    <row r="6164" spans="1:11" x14ac:dyDescent="0.35">
      <c r="A6164" s="1">
        <v>44505</v>
      </c>
      <c r="B6164">
        <v>173.850006103515</v>
      </c>
      <c r="C6164">
        <v>178.3125</v>
      </c>
      <c r="D6164">
        <v>173.84899902343699</v>
      </c>
      <c r="E6164">
        <v>175.94949340820301</v>
      </c>
      <c r="F6164">
        <v>175.94949340820301</v>
      </c>
      <c r="G6164">
        <v>99940000</v>
      </c>
      <c r="H6164">
        <f t="shared" si="384"/>
        <v>2021</v>
      </c>
      <c r="I6164">
        <f t="shared" si="385"/>
        <v>11</v>
      </c>
      <c r="J6164" t="str">
        <f t="shared" si="386"/>
        <v>Nov</v>
      </c>
      <c r="K6164" t="str">
        <f t="shared" si="387"/>
        <v>Fri</v>
      </c>
    </row>
    <row r="6165" spans="1:11" x14ac:dyDescent="0.35">
      <c r="A6165" s="1">
        <v>44508</v>
      </c>
      <c r="B6165">
        <v>176.16200256347599</v>
      </c>
      <c r="C6165">
        <v>178.94999694824199</v>
      </c>
      <c r="D6165">
        <v>174.39300537109301</v>
      </c>
      <c r="E6165">
        <v>174.44900512695301</v>
      </c>
      <c r="F6165">
        <v>174.44900512695301</v>
      </c>
      <c r="G6165">
        <v>61480000</v>
      </c>
      <c r="H6165">
        <f t="shared" si="384"/>
        <v>2021</v>
      </c>
      <c r="I6165">
        <f t="shared" si="385"/>
        <v>11</v>
      </c>
      <c r="J6165" t="str">
        <f t="shared" si="386"/>
        <v>Nov</v>
      </c>
      <c r="K6165" t="str">
        <f t="shared" si="387"/>
        <v>Mon</v>
      </c>
    </row>
    <row r="6166" spans="1:11" x14ac:dyDescent="0.35">
      <c r="A6166" s="1">
        <v>44509</v>
      </c>
      <c r="B6166">
        <v>175.76249694824199</v>
      </c>
      <c r="C6166">
        <v>179.68850708007801</v>
      </c>
      <c r="D6166">
        <v>175.07150268554599</v>
      </c>
      <c r="E6166">
        <v>178.81149291992099</v>
      </c>
      <c r="F6166">
        <v>178.81149291992099</v>
      </c>
      <c r="G6166">
        <v>85898000</v>
      </c>
      <c r="H6166">
        <f t="shared" si="384"/>
        <v>2021</v>
      </c>
      <c r="I6166">
        <f t="shared" si="385"/>
        <v>11</v>
      </c>
      <c r="J6166" t="str">
        <f t="shared" si="386"/>
        <v>Nov</v>
      </c>
      <c r="K6166" t="str">
        <f t="shared" si="387"/>
        <v>Tue</v>
      </c>
    </row>
    <row r="6167" spans="1:11" x14ac:dyDescent="0.35">
      <c r="A6167" s="1">
        <v>44510</v>
      </c>
      <c r="B6167">
        <v>178.19349670410099</v>
      </c>
      <c r="C6167">
        <v>180.27250671386699</v>
      </c>
      <c r="D6167">
        <v>173.15449523925699</v>
      </c>
      <c r="E6167">
        <v>174.10249328613199</v>
      </c>
      <c r="F6167">
        <v>174.10249328613199</v>
      </c>
      <c r="G6167">
        <v>80548000</v>
      </c>
      <c r="H6167">
        <f t="shared" si="384"/>
        <v>2021</v>
      </c>
      <c r="I6167">
        <f t="shared" si="385"/>
        <v>11</v>
      </c>
      <c r="J6167" t="str">
        <f t="shared" si="386"/>
        <v>Nov</v>
      </c>
      <c r="K6167" t="str">
        <f t="shared" si="387"/>
        <v>Wed</v>
      </c>
    </row>
    <row r="6168" spans="1:11" x14ac:dyDescent="0.35">
      <c r="A6168" s="1">
        <v>44511</v>
      </c>
      <c r="B6168">
        <v>175.64999389648401</v>
      </c>
      <c r="C6168">
        <v>177.16200256347599</v>
      </c>
      <c r="D6168">
        <v>173.37350463867099</v>
      </c>
      <c r="E6168">
        <v>173.625</v>
      </c>
      <c r="F6168">
        <v>173.625</v>
      </c>
      <c r="G6168">
        <v>45288000</v>
      </c>
      <c r="H6168">
        <f t="shared" si="384"/>
        <v>2021</v>
      </c>
      <c r="I6168">
        <f t="shared" si="385"/>
        <v>11</v>
      </c>
      <c r="J6168" t="str">
        <f t="shared" si="386"/>
        <v>Nov</v>
      </c>
      <c r="K6168" t="str">
        <f t="shared" si="387"/>
        <v>Thu</v>
      </c>
    </row>
    <row r="6169" spans="1:11" x14ac:dyDescent="0.35">
      <c r="A6169" s="1">
        <v>44512</v>
      </c>
      <c r="B6169">
        <v>174.25</v>
      </c>
      <c r="C6169">
        <v>177.03649902343699</v>
      </c>
      <c r="D6169">
        <v>172.35249328613199</v>
      </c>
      <c r="E6169">
        <v>176.25750732421801</v>
      </c>
      <c r="F6169">
        <v>176.25750732421801</v>
      </c>
      <c r="G6169">
        <v>53788000</v>
      </c>
      <c r="H6169">
        <f t="shared" si="384"/>
        <v>2021</v>
      </c>
      <c r="I6169">
        <f t="shared" si="385"/>
        <v>11</v>
      </c>
      <c r="J6169" t="str">
        <f t="shared" si="386"/>
        <v>Nov</v>
      </c>
      <c r="K6169" t="str">
        <f t="shared" si="387"/>
        <v>Fri</v>
      </c>
    </row>
    <row r="6170" spans="1:11" x14ac:dyDescent="0.35">
      <c r="A6170" s="1">
        <v>44515</v>
      </c>
      <c r="B6170">
        <v>176.850006103515</v>
      </c>
      <c r="C6170">
        <v>179.69400024414</v>
      </c>
      <c r="D6170">
        <v>176.29049682617099</v>
      </c>
      <c r="E6170">
        <v>177.28399658203099</v>
      </c>
      <c r="F6170">
        <v>177.28399658203099</v>
      </c>
      <c r="G6170">
        <v>58594000</v>
      </c>
      <c r="H6170">
        <f t="shared" si="384"/>
        <v>2021</v>
      </c>
      <c r="I6170">
        <f t="shared" si="385"/>
        <v>11</v>
      </c>
      <c r="J6170" t="str">
        <f t="shared" si="386"/>
        <v>Nov</v>
      </c>
      <c r="K6170" t="str">
        <f t="shared" si="387"/>
        <v>Mon</v>
      </c>
    </row>
    <row r="6171" spans="1:11" x14ac:dyDescent="0.35">
      <c r="A6171" s="1">
        <v>44516</v>
      </c>
      <c r="B6171">
        <v>176.94999694824199</v>
      </c>
      <c r="C6171">
        <v>178.82499694824199</v>
      </c>
      <c r="D6171">
        <v>176.25750732421801</v>
      </c>
      <c r="E6171">
        <v>177.03500366210901</v>
      </c>
      <c r="F6171">
        <v>177.03500366210901</v>
      </c>
      <c r="G6171">
        <v>44342000</v>
      </c>
      <c r="H6171">
        <f t="shared" si="384"/>
        <v>2021</v>
      </c>
      <c r="I6171">
        <f t="shared" si="385"/>
        <v>11</v>
      </c>
      <c r="J6171" t="str">
        <f t="shared" si="386"/>
        <v>Nov</v>
      </c>
      <c r="K6171" t="str">
        <f t="shared" si="387"/>
        <v>Tue</v>
      </c>
    </row>
    <row r="6172" spans="1:11" x14ac:dyDescent="0.35">
      <c r="A6172" s="1">
        <v>44517</v>
      </c>
      <c r="B6172">
        <v>178.23599243164</v>
      </c>
      <c r="C6172">
        <v>179.36250305175699</v>
      </c>
      <c r="D6172">
        <v>177.26750183105401</v>
      </c>
      <c r="E6172">
        <v>177.44999694824199</v>
      </c>
      <c r="F6172">
        <v>177.44999694824199</v>
      </c>
      <c r="G6172">
        <v>51206000</v>
      </c>
      <c r="H6172">
        <f t="shared" si="384"/>
        <v>2021</v>
      </c>
      <c r="I6172">
        <f t="shared" si="385"/>
        <v>11</v>
      </c>
      <c r="J6172" t="str">
        <f t="shared" si="386"/>
        <v>Nov</v>
      </c>
      <c r="K6172" t="str">
        <f t="shared" si="387"/>
        <v>Wed</v>
      </c>
    </row>
    <row r="6173" spans="1:11" x14ac:dyDescent="0.35">
      <c r="A6173" s="1">
        <v>44518</v>
      </c>
      <c r="B6173">
        <v>178.31750488281199</v>
      </c>
      <c r="C6173">
        <v>185.21000671386699</v>
      </c>
      <c r="D6173">
        <v>178.05000305175699</v>
      </c>
      <c r="E6173">
        <v>184.80299377441401</v>
      </c>
      <c r="F6173">
        <v>184.80299377441401</v>
      </c>
      <c r="G6173">
        <v>114070000</v>
      </c>
      <c r="H6173">
        <f t="shared" si="384"/>
        <v>2021</v>
      </c>
      <c r="I6173">
        <f t="shared" si="385"/>
        <v>11</v>
      </c>
      <c r="J6173" t="str">
        <f t="shared" si="386"/>
        <v>Nov</v>
      </c>
      <c r="K6173" t="str">
        <f t="shared" si="387"/>
        <v>Thu</v>
      </c>
    </row>
    <row r="6174" spans="1:11" x14ac:dyDescent="0.35">
      <c r="A6174" s="1">
        <v>44519</v>
      </c>
      <c r="B6174">
        <v>185.634506225585</v>
      </c>
      <c r="C6174">
        <v>188.107498168945</v>
      </c>
      <c r="D6174">
        <v>183.78599548339801</v>
      </c>
      <c r="E6174">
        <v>183.82850646972599</v>
      </c>
      <c r="F6174">
        <v>183.82850646972599</v>
      </c>
      <c r="G6174">
        <v>98734000</v>
      </c>
      <c r="H6174">
        <f t="shared" si="384"/>
        <v>2021</v>
      </c>
      <c r="I6174">
        <f t="shared" si="385"/>
        <v>11</v>
      </c>
      <c r="J6174" t="str">
        <f t="shared" si="386"/>
        <v>Nov</v>
      </c>
      <c r="K6174" t="str">
        <f t="shared" si="387"/>
        <v>Fri</v>
      </c>
    </row>
    <row r="6175" spans="1:11" x14ac:dyDescent="0.35">
      <c r="A6175" s="1">
        <v>44522</v>
      </c>
      <c r="B6175">
        <v>183.81900024414</v>
      </c>
      <c r="C6175">
        <v>185.67300415039</v>
      </c>
      <c r="D6175">
        <v>178.375</v>
      </c>
      <c r="E6175">
        <v>178.628494262695</v>
      </c>
      <c r="F6175">
        <v>178.628494262695</v>
      </c>
      <c r="G6175">
        <v>96844000</v>
      </c>
      <c r="H6175">
        <f t="shared" si="384"/>
        <v>2021</v>
      </c>
      <c r="I6175">
        <f t="shared" si="385"/>
        <v>11</v>
      </c>
      <c r="J6175" t="str">
        <f t="shared" si="386"/>
        <v>Nov</v>
      </c>
      <c r="K6175" t="str">
        <f t="shared" si="387"/>
        <v>Mon</v>
      </c>
    </row>
    <row r="6176" spans="1:11" x14ac:dyDescent="0.35">
      <c r="A6176" s="1">
        <v>44523</v>
      </c>
      <c r="B6176">
        <v>179.25199890136699</v>
      </c>
      <c r="C6176">
        <v>181.05250549316401</v>
      </c>
      <c r="D6176">
        <v>176.385498046875</v>
      </c>
      <c r="E6176">
        <v>179.00199890136699</v>
      </c>
      <c r="F6176">
        <v>179.00199890136699</v>
      </c>
      <c r="G6176">
        <v>73804000</v>
      </c>
      <c r="H6176">
        <f t="shared" si="384"/>
        <v>2021</v>
      </c>
      <c r="I6176">
        <f t="shared" si="385"/>
        <v>11</v>
      </c>
      <c r="J6176" t="str">
        <f t="shared" si="386"/>
        <v>Nov</v>
      </c>
      <c r="K6176" t="str">
        <f t="shared" si="387"/>
        <v>Tue</v>
      </c>
    </row>
    <row r="6177" spans="1:11" x14ac:dyDescent="0.35">
      <c r="A6177" s="1">
        <v>44524</v>
      </c>
      <c r="B6177">
        <v>178.13349914550699</v>
      </c>
      <c r="C6177">
        <v>180.68200683593699</v>
      </c>
      <c r="D6177">
        <v>176.84249877929599</v>
      </c>
      <c r="E6177">
        <v>179.02049255371</v>
      </c>
      <c r="F6177">
        <v>179.02049255371</v>
      </c>
      <c r="G6177">
        <v>46560000</v>
      </c>
      <c r="H6177">
        <f t="shared" si="384"/>
        <v>2021</v>
      </c>
      <c r="I6177">
        <f t="shared" si="385"/>
        <v>11</v>
      </c>
      <c r="J6177" t="str">
        <f t="shared" si="386"/>
        <v>Nov</v>
      </c>
      <c r="K6177" t="str">
        <f t="shared" si="387"/>
        <v>Wed</v>
      </c>
    </row>
    <row r="6178" spans="1:11" x14ac:dyDescent="0.35">
      <c r="A6178" s="1">
        <v>44526</v>
      </c>
      <c r="B6178">
        <v>180.10499572753901</v>
      </c>
      <c r="C6178">
        <v>181.67500305175699</v>
      </c>
      <c r="D6178">
        <v>175.20750427246</v>
      </c>
      <c r="E6178">
        <v>175.22799682617099</v>
      </c>
      <c r="F6178">
        <v>175.22799682617099</v>
      </c>
      <c r="G6178">
        <v>59826000</v>
      </c>
      <c r="H6178">
        <f t="shared" si="384"/>
        <v>2021</v>
      </c>
      <c r="I6178">
        <f t="shared" si="385"/>
        <v>11</v>
      </c>
      <c r="J6178" t="str">
        <f t="shared" si="386"/>
        <v>Nov</v>
      </c>
      <c r="K6178" t="str">
        <f t="shared" si="387"/>
        <v>Fri</v>
      </c>
    </row>
    <row r="6179" spans="1:11" x14ac:dyDescent="0.35">
      <c r="A6179" s="1">
        <v>44529</v>
      </c>
      <c r="B6179">
        <v>177.38200378417901</v>
      </c>
      <c r="C6179">
        <v>179.80000305175699</v>
      </c>
      <c r="D6179">
        <v>176.57499694824199</v>
      </c>
      <c r="E6179">
        <v>178.07850646972599</v>
      </c>
      <c r="F6179">
        <v>178.07850646972599</v>
      </c>
      <c r="G6179">
        <v>65312000</v>
      </c>
      <c r="H6179">
        <f t="shared" si="384"/>
        <v>2021</v>
      </c>
      <c r="I6179">
        <f t="shared" si="385"/>
        <v>11</v>
      </c>
      <c r="J6179" t="str">
        <f t="shared" si="386"/>
        <v>Nov</v>
      </c>
      <c r="K6179" t="str">
        <f t="shared" si="387"/>
        <v>Mon</v>
      </c>
    </row>
    <row r="6180" spans="1:11" x14ac:dyDescent="0.35">
      <c r="A6180" s="1">
        <v>44530</v>
      </c>
      <c r="B6180">
        <v>178.17500305175699</v>
      </c>
      <c r="C6180">
        <v>179.28849792480401</v>
      </c>
      <c r="D6180">
        <v>174.600494384765</v>
      </c>
      <c r="E6180">
        <v>175.35350036621</v>
      </c>
      <c r="F6180">
        <v>175.35350036621</v>
      </c>
      <c r="G6180">
        <v>80022000</v>
      </c>
      <c r="H6180">
        <f t="shared" si="384"/>
        <v>2021</v>
      </c>
      <c r="I6180">
        <f t="shared" si="385"/>
        <v>11</v>
      </c>
      <c r="J6180" t="str">
        <f t="shared" si="386"/>
        <v>Nov</v>
      </c>
      <c r="K6180" t="str">
        <f t="shared" si="387"/>
        <v>Tue</v>
      </c>
    </row>
    <row r="6181" spans="1:11" x14ac:dyDescent="0.35">
      <c r="A6181" s="1">
        <v>44531</v>
      </c>
      <c r="B6181">
        <v>177.25</v>
      </c>
      <c r="C6181">
        <v>177.99400329589801</v>
      </c>
      <c r="D6181">
        <v>172.08000183105401</v>
      </c>
      <c r="E6181">
        <v>172.18600463867099</v>
      </c>
      <c r="F6181">
        <v>172.18600463867099</v>
      </c>
      <c r="G6181">
        <v>74916000</v>
      </c>
      <c r="H6181">
        <f t="shared" si="384"/>
        <v>2021</v>
      </c>
      <c r="I6181">
        <f t="shared" si="385"/>
        <v>12</v>
      </c>
      <c r="J6181" t="str">
        <f t="shared" si="386"/>
        <v>Dec</v>
      </c>
      <c r="K6181" t="str">
        <f t="shared" si="387"/>
        <v>Wed</v>
      </c>
    </row>
    <row r="6182" spans="1:11" x14ac:dyDescent="0.35">
      <c r="A6182" s="1">
        <v>44532</v>
      </c>
      <c r="B6182">
        <v>173</v>
      </c>
      <c r="C6182">
        <v>174.634994506835</v>
      </c>
      <c r="D6182">
        <v>171.1875</v>
      </c>
      <c r="E6182">
        <v>171.86799621582</v>
      </c>
      <c r="F6182">
        <v>171.86799621582</v>
      </c>
      <c r="G6182">
        <v>64726000</v>
      </c>
      <c r="H6182">
        <f t="shared" si="384"/>
        <v>2021</v>
      </c>
      <c r="I6182">
        <f t="shared" si="385"/>
        <v>12</v>
      </c>
      <c r="J6182" t="str">
        <f t="shared" si="386"/>
        <v>Dec</v>
      </c>
      <c r="K6182" t="str">
        <f t="shared" si="387"/>
        <v>Thu</v>
      </c>
    </row>
    <row r="6183" spans="1:11" x14ac:dyDescent="0.35">
      <c r="A6183" s="1">
        <v>44533</v>
      </c>
      <c r="B6183">
        <v>172.75</v>
      </c>
      <c r="C6183">
        <v>173.49349975585901</v>
      </c>
      <c r="D6183">
        <v>166.92999267578099</v>
      </c>
      <c r="E6183">
        <v>169.489501953125</v>
      </c>
      <c r="F6183">
        <v>169.489501953125</v>
      </c>
      <c r="G6183">
        <v>80712000</v>
      </c>
      <c r="H6183">
        <f t="shared" si="384"/>
        <v>2021</v>
      </c>
      <c r="I6183">
        <f t="shared" si="385"/>
        <v>12</v>
      </c>
      <c r="J6183" t="str">
        <f t="shared" si="386"/>
        <v>Dec</v>
      </c>
      <c r="K6183" t="str">
        <f t="shared" si="387"/>
        <v>Fri</v>
      </c>
    </row>
    <row r="6184" spans="1:11" x14ac:dyDescent="0.35">
      <c r="A6184" s="1">
        <v>44536</v>
      </c>
      <c r="B6184">
        <v>169.64999389648401</v>
      </c>
      <c r="C6184">
        <v>173.69549560546801</v>
      </c>
      <c r="D6184">
        <v>166.93449401855401</v>
      </c>
      <c r="E6184">
        <v>171.36849975585901</v>
      </c>
      <c r="F6184">
        <v>171.36849975585901</v>
      </c>
      <c r="G6184">
        <v>68860000</v>
      </c>
      <c r="H6184">
        <f t="shared" si="384"/>
        <v>2021</v>
      </c>
      <c r="I6184">
        <f t="shared" si="385"/>
        <v>12</v>
      </c>
      <c r="J6184" t="str">
        <f t="shared" si="386"/>
        <v>Dec</v>
      </c>
      <c r="K6184" t="str">
        <f t="shared" si="387"/>
        <v>Mon</v>
      </c>
    </row>
    <row r="6185" spans="1:11" x14ac:dyDescent="0.35">
      <c r="A6185" s="1">
        <v>44537</v>
      </c>
      <c r="B6185">
        <v>174.600006103515</v>
      </c>
      <c r="C6185">
        <v>177.49949645996</v>
      </c>
      <c r="D6185">
        <v>173.33450317382801</v>
      </c>
      <c r="E6185">
        <v>176.16450500488199</v>
      </c>
      <c r="F6185">
        <v>176.16450500488199</v>
      </c>
      <c r="G6185">
        <v>66410000</v>
      </c>
      <c r="H6185">
        <f t="shared" si="384"/>
        <v>2021</v>
      </c>
      <c r="I6185">
        <f t="shared" si="385"/>
        <v>12</v>
      </c>
      <c r="J6185" t="str">
        <f t="shared" si="386"/>
        <v>Dec</v>
      </c>
      <c r="K6185" t="str">
        <f t="shared" si="387"/>
        <v>Tue</v>
      </c>
    </row>
    <row r="6186" spans="1:11" x14ac:dyDescent="0.35">
      <c r="A6186" s="1">
        <v>44538</v>
      </c>
      <c r="B6186">
        <v>176.15049743652301</v>
      </c>
      <c r="C6186">
        <v>177.17999267578099</v>
      </c>
      <c r="D6186">
        <v>174.75050354003901</v>
      </c>
      <c r="E6186">
        <v>176.15800476074199</v>
      </c>
      <c r="F6186">
        <v>176.15800476074199</v>
      </c>
      <c r="G6186">
        <v>45254000</v>
      </c>
      <c r="H6186">
        <f t="shared" si="384"/>
        <v>2021</v>
      </c>
      <c r="I6186">
        <f t="shared" si="385"/>
        <v>12</v>
      </c>
      <c r="J6186" t="str">
        <f t="shared" si="386"/>
        <v>Dec</v>
      </c>
      <c r="K6186" t="str">
        <f t="shared" si="387"/>
        <v>Wed</v>
      </c>
    </row>
    <row r="6187" spans="1:11" x14ac:dyDescent="0.35">
      <c r="A6187" s="1">
        <v>44539</v>
      </c>
      <c r="B6187">
        <v>175.75</v>
      </c>
      <c r="C6187">
        <v>176.96949768066401</v>
      </c>
      <c r="D6187">
        <v>174.13949584960901</v>
      </c>
      <c r="E6187">
        <v>174.17100524902301</v>
      </c>
      <c r="F6187">
        <v>174.17100524902301</v>
      </c>
      <c r="G6187">
        <v>46062000</v>
      </c>
      <c r="H6187">
        <f t="shared" si="384"/>
        <v>2021</v>
      </c>
      <c r="I6187">
        <f t="shared" si="385"/>
        <v>12</v>
      </c>
      <c r="J6187" t="str">
        <f t="shared" si="386"/>
        <v>Dec</v>
      </c>
      <c r="K6187" t="str">
        <f t="shared" si="387"/>
        <v>Thu</v>
      </c>
    </row>
    <row r="6188" spans="1:11" x14ac:dyDescent="0.35">
      <c r="A6188" s="1">
        <v>44540</v>
      </c>
      <c r="B6188">
        <v>175.41700744628901</v>
      </c>
      <c r="C6188">
        <v>175.927001953125</v>
      </c>
      <c r="D6188">
        <v>170.5</v>
      </c>
      <c r="E6188">
        <v>172.21200561523401</v>
      </c>
      <c r="F6188">
        <v>172.21200561523401</v>
      </c>
      <c r="G6188">
        <v>60690000</v>
      </c>
      <c r="H6188">
        <f t="shared" si="384"/>
        <v>2021</v>
      </c>
      <c r="I6188">
        <f t="shared" si="385"/>
        <v>12</v>
      </c>
      <c r="J6188" t="str">
        <f t="shared" si="386"/>
        <v>Dec</v>
      </c>
      <c r="K6188" t="str">
        <f t="shared" si="387"/>
        <v>Fri</v>
      </c>
    </row>
    <row r="6189" spans="1:11" x14ac:dyDescent="0.35">
      <c r="A6189" s="1">
        <v>44543</v>
      </c>
      <c r="B6189">
        <v>172</v>
      </c>
      <c r="C6189">
        <v>172.100006103515</v>
      </c>
      <c r="D6189">
        <v>169.13000488281199</v>
      </c>
      <c r="E6189">
        <v>169.56750488281199</v>
      </c>
      <c r="F6189">
        <v>169.56750488281199</v>
      </c>
      <c r="G6189">
        <v>62170000</v>
      </c>
      <c r="H6189">
        <f t="shared" si="384"/>
        <v>2021</v>
      </c>
      <c r="I6189">
        <f t="shared" si="385"/>
        <v>12</v>
      </c>
      <c r="J6189" t="str">
        <f t="shared" si="386"/>
        <v>Dec</v>
      </c>
      <c r="K6189" t="str">
        <f t="shared" si="387"/>
        <v>Mon</v>
      </c>
    </row>
    <row r="6190" spans="1:11" x14ac:dyDescent="0.35">
      <c r="A6190" s="1">
        <v>44544</v>
      </c>
      <c r="B6190">
        <v>167.55000305175699</v>
      </c>
      <c r="C6190">
        <v>169.49899291992099</v>
      </c>
      <c r="D6190">
        <v>166.44000244140599</v>
      </c>
      <c r="E6190">
        <v>169.09150695800699</v>
      </c>
      <c r="F6190">
        <v>169.09150695800699</v>
      </c>
      <c r="G6190">
        <v>55976000</v>
      </c>
      <c r="H6190">
        <f t="shared" si="384"/>
        <v>2021</v>
      </c>
      <c r="I6190">
        <f t="shared" si="385"/>
        <v>12</v>
      </c>
      <c r="J6190" t="str">
        <f t="shared" si="386"/>
        <v>Dec</v>
      </c>
      <c r="K6190" t="str">
        <f t="shared" si="387"/>
        <v>Tue</v>
      </c>
    </row>
    <row r="6191" spans="1:11" x14ac:dyDescent="0.35">
      <c r="A6191" s="1">
        <v>44545</v>
      </c>
      <c r="B6191">
        <v>168.59800720214801</v>
      </c>
      <c r="C6191">
        <v>173.600006103515</v>
      </c>
      <c r="D6191">
        <v>165.19500732421801</v>
      </c>
      <c r="E6191">
        <v>173.31500244140599</v>
      </c>
      <c r="F6191">
        <v>173.31500244140599</v>
      </c>
      <c r="G6191">
        <v>75794000</v>
      </c>
      <c r="H6191">
        <f t="shared" si="384"/>
        <v>2021</v>
      </c>
      <c r="I6191">
        <f t="shared" si="385"/>
        <v>12</v>
      </c>
      <c r="J6191" t="str">
        <f t="shared" si="386"/>
        <v>Dec</v>
      </c>
      <c r="K6191" t="str">
        <f t="shared" si="387"/>
        <v>Wed</v>
      </c>
    </row>
    <row r="6192" spans="1:11" x14ac:dyDescent="0.35">
      <c r="A6192" s="1">
        <v>44546</v>
      </c>
      <c r="B6192">
        <v>173.36849975585901</v>
      </c>
      <c r="C6192">
        <v>174.16600036621</v>
      </c>
      <c r="D6192">
        <v>168.16050720214801</v>
      </c>
      <c r="E6192">
        <v>168.871002197265</v>
      </c>
      <c r="F6192">
        <v>168.871002197265</v>
      </c>
      <c r="G6192">
        <v>60876000</v>
      </c>
      <c r="H6192">
        <f t="shared" si="384"/>
        <v>2021</v>
      </c>
      <c r="I6192">
        <f t="shared" si="385"/>
        <v>12</v>
      </c>
      <c r="J6192" t="str">
        <f t="shared" si="386"/>
        <v>Dec</v>
      </c>
      <c r="K6192" t="str">
        <f t="shared" si="387"/>
        <v>Thu</v>
      </c>
    </row>
    <row r="6193" spans="1:11" x14ac:dyDescent="0.35">
      <c r="A6193" s="1">
        <v>44547</v>
      </c>
      <c r="B6193">
        <v>167.71049499511699</v>
      </c>
      <c r="C6193">
        <v>170.89849853515599</v>
      </c>
      <c r="D6193">
        <v>165.61349487304599</v>
      </c>
      <c r="E6193">
        <v>170.01750183105401</v>
      </c>
      <c r="F6193">
        <v>170.01750183105401</v>
      </c>
      <c r="G6193">
        <v>85542000</v>
      </c>
      <c r="H6193">
        <f t="shared" si="384"/>
        <v>2021</v>
      </c>
      <c r="I6193">
        <f t="shared" si="385"/>
        <v>12</v>
      </c>
      <c r="J6193" t="str">
        <f t="shared" si="386"/>
        <v>Dec</v>
      </c>
      <c r="K6193" t="str">
        <f t="shared" si="387"/>
        <v>Fri</v>
      </c>
    </row>
    <row r="6194" spans="1:11" x14ac:dyDescent="0.35">
      <c r="A6194" s="1">
        <v>44550</v>
      </c>
      <c r="B6194">
        <v>166.850006103515</v>
      </c>
      <c r="C6194">
        <v>167.87449645996</v>
      </c>
      <c r="D6194">
        <v>165.600006103515</v>
      </c>
      <c r="E6194">
        <v>167.07899475097599</v>
      </c>
      <c r="F6194">
        <v>167.07899475097599</v>
      </c>
      <c r="G6194">
        <v>57372000</v>
      </c>
      <c r="H6194">
        <f t="shared" si="384"/>
        <v>2021</v>
      </c>
      <c r="I6194">
        <f t="shared" si="385"/>
        <v>12</v>
      </c>
      <c r="J6194" t="str">
        <f t="shared" si="386"/>
        <v>Dec</v>
      </c>
      <c r="K6194" t="str">
        <f t="shared" si="387"/>
        <v>Mon</v>
      </c>
    </row>
    <row r="6195" spans="1:11" x14ac:dyDescent="0.35">
      <c r="A6195" s="1">
        <v>44551</v>
      </c>
      <c r="B6195">
        <v>167.850494384765</v>
      </c>
      <c r="C6195">
        <v>170.71650695800699</v>
      </c>
      <c r="D6195">
        <v>165.64750671386699</v>
      </c>
      <c r="E6195">
        <v>170.41700744628901</v>
      </c>
      <c r="F6195">
        <v>170.41700744628901</v>
      </c>
      <c r="G6195">
        <v>55956000</v>
      </c>
      <c r="H6195">
        <f t="shared" si="384"/>
        <v>2021</v>
      </c>
      <c r="I6195">
        <f t="shared" si="385"/>
        <v>12</v>
      </c>
      <c r="J6195" t="str">
        <f t="shared" si="386"/>
        <v>Dec</v>
      </c>
      <c r="K6195" t="str">
        <f t="shared" si="387"/>
        <v>Tue</v>
      </c>
    </row>
    <row r="6196" spans="1:11" x14ac:dyDescent="0.35">
      <c r="A6196" s="1">
        <v>44552</v>
      </c>
      <c r="B6196">
        <v>169.27000427246</v>
      </c>
      <c r="C6196">
        <v>172.05000305175699</v>
      </c>
      <c r="D6196">
        <v>168.50050354003901</v>
      </c>
      <c r="E6196">
        <v>171.03700256347599</v>
      </c>
      <c r="F6196">
        <v>171.03700256347599</v>
      </c>
      <c r="G6196">
        <v>55036000</v>
      </c>
      <c r="H6196">
        <f t="shared" si="384"/>
        <v>2021</v>
      </c>
      <c r="I6196">
        <f t="shared" si="385"/>
        <v>12</v>
      </c>
      <c r="J6196" t="str">
        <f t="shared" si="386"/>
        <v>Dec</v>
      </c>
      <c r="K6196" t="str">
        <f t="shared" si="387"/>
        <v>Wed</v>
      </c>
    </row>
    <row r="6197" spans="1:11" x14ac:dyDescent="0.35">
      <c r="A6197" s="1">
        <v>44553</v>
      </c>
      <c r="B6197">
        <v>170.42799377441401</v>
      </c>
      <c r="C6197">
        <v>171.975006103515</v>
      </c>
      <c r="D6197">
        <v>170.14999389648401</v>
      </c>
      <c r="E6197">
        <v>171.06849670410099</v>
      </c>
      <c r="F6197">
        <v>171.06849670410099</v>
      </c>
      <c r="G6197">
        <v>36788000</v>
      </c>
      <c r="H6197">
        <f t="shared" si="384"/>
        <v>2021</v>
      </c>
      <c r="I6197">
        <f t="shared" si="385"/>
        <v>12</v>
      </c>
      <c r="J6197" t="str">
        <f t="shared" si="386"/>
        <v>Dec</v>
      </c>
      <c r="K6197" t="str">
        <f t="shared" si="387"/>
        <v>Thu</v>
      </c>
    </row>
    <row r="6198" spans="1:11" x14ac:dyDescent="0.35">
      <c r="A6198" s="1">
        <v>44557</v>
      </c>
      <c r="B6198">
        <v>171.03700256347599</v>
      </c>
      <c r="C6198">
        <v>172.94299316406199</v>
      </c>
      <c r="D6198">
        <v>169.21549987792901</v>
      </c>
      <c r="E6198">
        <v>169.66949462890599</v>
      </c>
      <c r="F6198">
        <v>169.66949462890599</v>
      </c>
      <c r="G6198">
        <v>58688000</v>
      </c>
      <c r="H6198">
        <f t="shared" si="384"/>
        <v>2021</v>
      </c>
      <c r="I6198">
        <f t="shared" si="385"/>
        <v>12</v>
      </c>
      <c r="J6198" t="str">
        <f t="shared" si="386"/>
        <v>Dec</v>
      </c>
      <c r="K6198" t="str">
        <f t="shared" si="387"/>
        <v>Mon</v>
      </c>
    </row>
    <row r="6199" spans="1:11" x14ac:dyDescent="0.35">
      <c r="A6199" s="1">
        <v>44558</v>
      </c>
      <c r="B6199">
        <v>170.18249511718699</v>
      </c>
      <c r="C6199">
        <v>172.17599487304599</v>
      </c>
      <c r="D6199">
        <v>169.135498046875</v>
      </c>
      <c r="E6199">
        <v>170.66099548339801</v>
      </c>
      <c r="F6199">
        <v>170.66099548339801</v>
      </c>
      <c r="G6199">
        <v>54638000</v>
      </c>
      <c r="H6199">
        <f t="shared" si="384"/>
        <v>2021</v>
      </c>
      <c r="I6199">
        <f t="shared" si="385"/>
        <v>12</v>
      </c>
      <c r="J6199" t="str">
        <f t="shared" si="386"/>
        <v>Dec</v>
      </c>
      <c r="K6199" t="str">
        <f t="shared" si="387"/>
        <v>Tue</v>
      </c>
    </row>
    <row r="6200" spans="1:11" x14ac:dyDescent="0.35">
      <c r="A6200" s="1">
        <v>44559</v>
      </c>
      <c r="B6200">
        <v>170.83999633789</v>
      </c>
      <c r="C6200">
        <v>171.21200561523401</v>
      </c>
      <c r="D6200">
        <v>168.600494384765</v>
      </c>
      <c r="E6200">
        <v>169.20100402832</v>
      </c>
      <c r="F6200">
        <v>169.20100402832</v>
      </c>
      <c r="G6200">
        <v>35754000</v>
      </c>
      <c r="H6200">
        <f t="shared" si="384"/>
        <v>2021</v>
      </c>
      <c r="I6200">
        <f t="shared" si="385"/>
        <v>12</v>
      </c>
      <c r="J6200" t="str">
        <f t="shared" si="386"/>
        <v>Dec</v>
      </c>
      <c r="K6200" t="str">
        <f t="shared" si="387"/>
        <v>Wed</v>
      </c>
    </row>
    <row r="6201" spans="1:11" x14ac:dyDescent="0.35">
      <c r="A6201" s="1">
        <v>44560</v>
      </c>
      <c r="B6201">
        <v>169.69999694824199</v>
      </c>
      <c r="C6201">
        <v>170.88800048828099</v>
      </c>
      <c r="D6201">
        <v>168.524002075195</v>
      </c>
      <c r="E6201">
        <v>168.64450073242099</v>
      </c>
      <c r="F6201">
        <v>168.64450073242099</v>
      </c>
      <c r="G6201">
        <v>37584000</v>
      </c>
      <c r="H6201">
        <f t="shared" si="384"/>
        <v>2021</v>
      </c>
      <c r="I6201">
        <f t="shared" si="385"/>
        <v>12</v>
      </c>
      <c r="J6201" t="str">
        <f t="shared" si="386"/>
        <v>Dec</v>
      </c>
      <c r="K6201" t="str">
        <f t="shared" si="387"/>
        <v>Thu</v>
      </c>
    </row>
    <row r="6202" spans="1:11" x14ac:dyDescent="0.35">
      <c r="A6202" s="1">
        <v>44561</v>
      </c>
      <c r="B6202">
        <v>168.95599365234301</v>
      </c>
      <c r="C6202">
        <v>169.350006103515</v>
      </c>
      <c r="D6202">
        <v>166.558502197265</v>
      </c>
      <c r="E6202">
        <v>166.71699523925699</v>
      </c>
      <c r="F6202">
        <v>166.71699523925699</v>
      </c>
      <c r="G6202">
        <v>47830000</v>
      </c>
      <c r="H6202">
        <f t="shared" si="384"/>
        <v>2021</v>
      </c>
      <c r="I6202">
        <f t="shared" si="385"/>
        <v>12</v>
      </c>
      <c r="J6202" t="str">
        <f t="shared" si="386"/>
        <v>Dec</v>
      </c>
      <c r="K6202" t="str">
        <f t="shared" si="387"/>
        <v>Fri</v>
      </c>
    </row>
    <row r="6203" spans="1:11" x14ac:dyDescent="0.35">
      <c r="A6203" s="1">
        <v>44564</v>
      </c>
      <c r="B6203">
        <v>167.55000305175699</v>
      </c>
      <c r="C6203">
        <v>170.70350646972599</v>
      </c>
      <c r="D6203">
        <v>166.16050720214801</v>
      </c>
      <c r="E6203">
        <v>170.40449523925699</v>
      </c>
      <c r="F6203">
        <v>170.40449523925699</v>
      </c>
      <c r="G6203">
        <v>63520000</v>
      </c>
      <c r="H6203">
        <f t="shared" si="384"/>
        <v>2022</v>
      </c>
      <c r="I6203">
        <f t="shared" si="385"/>
        <v>1</v>
      </c>
      <c r="J6203" t="str">
        <f t="shared" si="386"/>
        <v>Jan</v>
      </c>
      <c r="K6203" t="str">
        <f t="shared" si="387"/>
        <v>Mon</v>
      </c>
    </row>
    <row r="6204" spans="1:11" x14ac:dyDescent="0.35">
      <c r="A6204" s="1">
        <v>44565</v>
      </c>
      <c r="B6204">
        <v>170.43800354003901</v>
      </c>
      <c r="C6204">
        <v>171.39999389648401</v>
      </c>
      <c r="D6204">
        <v>166.34950256347599</v>
      </c>
      <c r="E6204">
        <v>167.52200317382801</v>
      </c>
      <c r="F6204">
        <v>167.52200317382801</v>
      </c>
      <c r="G6204">
        <v>70726000</v>
      </c>
      <c r="H6204">
        <f t="shared" si="384"/>
        <v>2022</v>
      </c>
      <c r="I6204">
        <f t="shared" si="385"/>
        <v>1</v>
      </c>
      <c r="J6204" t="str">
        <f t="shared" si="386"/>
        <v>Jan</v>
      </c>
      <c r="K6204" t="str">
        <f t="shared" si="387"/>
        <v>Tue</v>
      </c>
    </row>
    <row r="6205" spans="1:11" x14ac:dyDescent="0.35">
      <c r="A6205" s="1">
        <v>44566</v>
      </c>
      <c r="B6205">
        <v>166.88299560546801</v>
      </c>
      <c r="C6205">
        <v>167.12649536132801</v>
      </c>
      <c r="D6205">
        <v>164.35699462890599</v>
      </c>
      <c r="E6205">
        <v>164.35699462890599</v>
      </c>
      <c r="F6205">
        <v>164.35699462890599</v>
      </c>
      <c r="G6205">
        <v>64302000</v>
      </c>
      <c r="H6205">
        <f t="shared" si="384"/>
        <v>2022</v>
      </c>
      <c r="I6205">
        <f t="shared" si="385"/>
        <v>1</v>
      </c>
      <c r="J6205" t="str">
        <f t="shared" si="386"/>
        <v>Jan</v>
      </c>
      <c r="K6205" t="str">
        <f t="shared" si="387"/>
        <v>Wed</v>
      </c>
    </row>
    <row r="6206" spans="1:11" x14ac:dyDescent="0.35">
      <c r="A6206" s="1">
        <v>44567</v>
      </c>
      <c r="B6206">
        <v>163.45050048828099</v>
      </c>
      <c r="C6206">
        <v>164.80000305175699</v>
      </c>
      <c r="D6206">
        <v>161.93699645996</v>
      </c>
      <c r="E6206">
        <v>163.25399780273401</v>
      </c>
      <c r="F6206">
        <v>163.25399780273401</v>
      </c>
      <c r="G6206">
        <v>51958000</v>
      </c>
      <c r="H6206">
        <f t="shared" si="384"/>
        <v>2022</v>
      </c>
      <c r="I6206">
        <f t="shared" si="385"/>
        <v>1</v>
      </c>
      <c r="J6206" t="str">
        <f t="shared" si="386"/>
        <v>Jan</v>
      </c>
      <c r="K6206" t="str">
        <f t="shared" si="387"/>
        <v>Thu</v>
      </c>
    </row>
    <row r="6207" spans="1:11" x14ac:dyDescent="0.35">
      <c r="A6207" s="1">
        <v>44568</v>
      </c>
      <c r="B6207">
        <v>163.83900451660099</v>
      </c>
      <c r="C6207">
        <v>165.24349975585901</v>
      </c>
      <c r="D6207">
        <v>162.031005859375</v>
      </c>
      <c r="E6207">
        <v>162.55400085449199</v>
      </c>
      <c r="F6207">
        <v>162.55400085449199</v>
      </c>
      <c r="G6207">
        <v>46606000</v>
      </c>
      <c r="H6207">
        <f t="shared" si="384"/>
        <v>2022</v>
      </c>
      <c r="I6207">
        <f t="shared" si="385"/>
        <v>1</v>
      </c>
      <c r="J6207" t="str">
        <f t="shared" si="386"/>
        <v>Jan</v>
      </c>
      <c r="K6207" t="str">
        <f t="shared" si="387"/>
        <v>Fri</v>
      </c>
    </row>
    <row r="6208" spans="1:11" x14ac:dyDescent="0.35">
      <c r="A6208" s="1">
        <v>44571</v>
      </c>
      <c r="B6208">
        <v>160.58549499511699</v>
      </c>
      <c r="C6208">
        <v>161.66149902343699</v>
      </c>
      <c r="D6208">
        <v>156.30450439453099</v>
      </c>
      <c r="E6208">
        <v>161.48599243164</v>
      </c>
      <c r="F6208">
        <v>161.48599243164</v>
      </c>
      <c r="G6208">
        <v>87798000</v>
      </c>
      <c r="H6208">
        <f t="shared" si="384"/>
        <v>2022</v>
      </c>
      <c r="I6208">
        <f t="shared" si="385"/>
        <v>1</v>
      </c>
      <c r="J6208" t="str">
        <f t="shared" si="386"/>
        <v>Jan</v>
      </c>
      <c r="K6208" t="str">
        <f t="shared" si="387"/>
        <v>Mon</v>
      </c>
    </row>
    <row r="6209" spans="1:11" x14ac:dyDescent="0.35">
      <c r="A6209" s="1">
        <v>44572</v>
      </c>
      <c r="B6209">
        <v>161.5</v>
      </c>
      <c r="C6209">
        <v>166.350006103515</v>
      </c>
      <c r="D6209">
        <v>160.70150756835901</v>
      </c>
      <c r="E6209">
        <v>165.36199951171801</v>
      </c>
      <c r="F6209">
        <v>165.36199951171801</v>
      </c>
      <c r="G6209">
        <v>62806000</v>
      </c>
      <c r="H6209">
        <f t="shared" si="384"/>
        <v>2022</v>
      </c>
      <c r="I6209">
        <f t="shared" si="385"/>
        <v>1</v>
      </c>
      <c r="J6209" t="str">
        <f t="shared" si="386"/>
        <v>Jan</v>
      </c>
      <c r="K6209" t="str">
        <f t="shared" si="387"/>
        <v>Tue</v>
      </c>
    </row>
    <row r="6210" spans="1:11" x14ac:dyDescent="0.35">
      <c r="A6210" s="1">
        <v>44573</v>
      </c>
      <c r="B6210">
        <v>166.57499694824199</v>
      </c>
      <c r="C6210">
        <v>166.878005981445</v>
      </c>
      <c r="D6210">
        <v>164.41700744628901</v>
      </c>
      <c r="E6210">
        <v>165.20700073242099</v>
      </c>
      <c r="F6210">
        <v>165.20700073242099</v>
      </c>
      <c r="G6210">
        <v>50030000</v>
      </c>
      <c r="H6210">
        <f t="shared" si="384"/>
        <v>2022</v>
      </c>
      <c r="I6210">
        <f t="shared" si="385"/>
        <v>1</v>
      </c>
      <c r="J6210" t="str">
        <f t="shared" si="386"/>
        <v>Jan</v>
      </c>
      <c r="K6210" t="str">
        <f t="shared" si="387"/>
        <v>Wed</v>
      </c>
    </row>
    <row r="6211" spans="1:11" x14ac:dyDescent="0.35">
      <c r="A6211" s="1">
        <v>44574</v>
      </c>
      <c r="B6211">
        <v>165.25050354003901</v>
      </c>
      <c r="C6211">
        <v>166.22149658203099</v>
      </c>
      <c r="D6211">
        <v>161.09100341796801</v>
      </c>
      <c r="E6211">
        <v>161.21400451660099</v>
      </c>
      <c r="F6211">
        <v>161.21400451660099</v>
      </c>
      <c r="G6211">
        <v>52188000</v>
      </c>
      <c r="H6211">
        <f t="shared" si="384"/>
        <v>2022</v>
      </c>
      <c r="I6211">
        <f t="shared" si="385"/>
        <v>1</v>
      </c>
      <c r="J6211" t="str">
        <f t="shared" si="386"/>
        <v>Jan</v>
      </c>
      <c r="K6211" t="str">
        <f t="shared" si="387"/>
        <v>Thu</v>
      </c>
    </row>
    <row r="6212" spans="1:11" x14ac:dyDescent="0.35">
      <c r="A6212" s="1">
        <v>44575</v>
      </c>
      <c r="B6212">
        <v>160.14999389648401</v>
      </c>
      <c r="C6212">
        <v>162.25</v>
      </c>
      <c r="D6212">
        <v>159.80050659179599</v>
      </c>
      <c r="E6212">
        <v>162.13800048828099</v>
      </c>
      <c r="F6212">
        <v>162.13800048828099</v>
      </c>
      <c r="G6212">
        <v>45974000</v>
      </c>
      <c r="H6212">
        <f t="shared" ref="H6212:H6275" si="388">YEAR($A6212)</f>
        <v>2022</v>
      </c>
      <c r="I6212">
        <f t="shared" ref="I6212:I6275" si="389">MONTH($A6212)</f>
        <v>1</v>
      </c>
      <c r="J6212" t="str">
        <f t="shared" ref="J6212:J6275" si="390">TEXT($A6212,"mmm")</f>
        <v>Jan</v>
      </c>
      <c r="K6212" t="str">
        <f t="shared" ref="K6212:K6275" si="391">TEXT($A6212,"ddd")</f>
        <v>Fri</v>
      </c>
    </row>
    <row r="6213" spans="1:11" x14ac:dyDescent="0.35">
      <c r="A6213" s="1">
        <v>44579</v>
      </c>
      <c r="B6213">
        <v>159.10499572753901</v>
      </c>
      <c r="C6213">
        <v>159.73449707031199</v>
      </c>
      <c r="D6213">
        <v>157.66450500488199</v>
      </c>
      <c r="E6213">
        <v>158.91749572753901</v>
      </c>
      <c r="F6213">
        <v>158.91749572753901</v>
      </c>
      <c r="G6213">
        <v>67292000</v>
      </c>
      <c r="H6213">
        <f t="shared" si="388"/>
        <v>2022</v>
      </c>
      <c r="I6213">
        <f t="shared" si="389"/>
        <v>1</v>
      </c>
      <c r="J6213" t="str">
        <f t="shared" si="390"/>
        <v>Jan</v>
      </c>
      <c r="K6213" t="str">
        <f t="shared" si="391"/>
        <v>Tue</v>
      </c>
    </row>
    <row r="6214" spans="1:11" x14ac:dyDescent="0.35">
      <c r="A6214" s="1">
        <v>44580</v>
      </c>
      <c r="B6214">
        <v>158.76199340820301</v>
      </c>
      <c r="C6214">
        <v>159.25</v>
      </c>
      <c r="D6214">
        <v>156.25</v>
      </c>
      <c r="E6214">
        <v>156.29899597167901</v>
      </c>
      <c r="F6214">
        <v>156.29899597167901</v>
      </c>
      <c r="G6214">
        <v>53242000</v>
      </c>
      <c r="H6214">
        <f t="shared" si="388"/>
        <v>2022</v>
      </c>
      <c r="I6214">
        <f t="shared" si="389"/>
        <v>1</v>
      </c>
      <c r="J6214" t="str">
        <f t="shared" si="390"/>
        <v>Jan</v>
      </c>
      <c r="K6214" t="str">
        <f t="shared" si="391"/>
        <v>Wed</v>
      </c>
    </row>
    <row r="6215" spans="1:11" x14ac:dyDescent="0.35">
      <c r="A6215" s="1">
        <v>44581</v>
      </c>
      <c r="B6215">
        <v>156.76600646972599</v>
      </c>
      <c r="C6215">
        <v>158</v>
      </c>
      <c r="D6215">
        <v>151.35099792480401</v>
      </c>
      <c r="E6215">
        <v>151.66749572753901</v>
      </c>
      <c r="F6215">
        <v>151.66749572753901</v>
      </c>
      <c r="G6215">
        <v>71974000</v>
      </c>
      <c r="H6215">
        <f t="shared" si="388"/>
        <v>2022</v>
      </c>
      <c r="I6215">
        <f t="shared" si="389"/>
        <v>1</v>
      </c>
      <c r="J6215" t="str">
        <f t="shared" si="390"/>
        <v>Jan</v>
      </c>
      <c r="K6215" t="str">
        <f t="shared" si="391"/>
        <v>Thu</v>
      </c>
    </row>
    <row r="6216" spans="1:11" x14ac:dyDescent="0.35">
      <c r="A6216" s="1">
        <v>44582</v>
      </c>
      <c r="B6216">
        <v>149.94999694824199</v>
      </c>
      <c r="C6216">
        <v>150.89999389648401</v>
      </c>
      <c r="D6216">
        <v>142.07049560546801</v>
      </c>
      <c r="E6216">
        <v>142.64300537109301</v>
      </c>
      <c r="F6216">
        <v>142.64300537109301</v>
      </c>
      <c r="G6216">
        <v>163972000</v>
      </c>
      <c r="H6216">
        <f t="shared" si="388"/>
        <v>2022</v>
      </c>
      <c r="I6216">
        <f t="shared" si="389"/>
        <v>1</v>
      </c>
      <c r="J6216" t="str">
        <f t="shared" si="390"/>
        <v>Jan</v>
      </c>
      <c r="K6216" t="str">
        <f t="shared" si="391"/>
        <v>Fri</v>
      </c>
    </row>
    <row r="6217" spans="1:11" x14ac:dyDescent="0.35">
      <c r="A6217" s="1">
        <v>44585</v>
      </c>
      <c r="B6217">
        <v>139</v>
      </c>
      <c r="C6217">
        <v>144.94500732421801</v>
      </c>
      <c r="D6217">
        <v>135.35200500488199</v>
      </c>
      <c r="E6217">
        <v>144.54400634765599</v>
      </c>
      <c r="F6217">
        <v>144.54400634765599</v>
      </c>
      <c r="G6217">
        <v>155624000</v>
      </c>
      <c r="H6217">
        <f t="shared" si="388"/>
        <v>2022</v>
      </c>
      <c r="I6217">
        <f t="shared" si="389"/>
        <v>1</v>
      </c>
      <c r="J6217" t="str">
        <f t="shared" si="390"/>
        <v>Jan</v>
      </c>
      <c r="K6217" t="str">
        <f t="shared" si="391"/>
        <v>Mon</v>
      </c>
    </row>
    <row r="6218" spans="1:11" x14ac:dyDescent="0.35">
      <c r="A6218" s="1">
        <v>44586</v>
      </c>
      <c r="B6218">
        <v>142.24249267578099</v>
      </c>
      <c r="C6218">
        <v>143.600006103515</v>
      </c>
      <c r="D6218">
        <v>138.14500427246</v>
      </c>
      <c r="E6218">
        <v>139.98599243164</v>
      </c>
      <c r="F6218">
        <v>139.98599243164</v>
      </c>
      <c r="G6218">
        <v>90824000</v>
      </c>
      <c r="H6218">
        <f t="shared" si="388"/>
        <v>2022</v>
      </c>
      <c r="I6218">
        <f t="shared" si="389"/>
        <v>1</v>
      </c>
      <c r="J6218" t="str">
        <f t="shared" si="390"/>
        <v>Jan</v>
      </c>
      <c r="K6218" t="str">
        <f t="shared" si="391"/>
        <v>Tue</v>
      </c>
    </row>
    <row r="6219" spans="1:11" x14ac:dyDescent="0.35">
      <c r="A6219" s="1">
        <v>44587</v>
      </c>
      <c r="B6219">
        <v>144.75</v>
      </c>
      <c r="C6219">
        <v>145.18499755859301</v>
      </c>
      <c r="D6219">
        <v>137.31849670410099</v>
      </c>
      <c r="E6219">
        <v>138.87249755859301</v>
      </c>
      <c r="F6219">
        <v>138.87249755859301</v>
      </c>
      <c r="G6219">
        <v>95602000</v>
      </c>
      <c r="H6219">
        <f t="shared" si="388"/>
        <v>2022</v>
      </c>
      <c r="I6219">
        <f t="shared" si="389"/>
        <v>1</v>
      </c>
      <c r="J6219" t="str">
        <f t="shared" si="390"/>
        <v>Jan</v>
      </c>
      <c r="K6219" t="str">
        <f t="shared" si="391"/>
        <v>Wed</v>
      </c>
    </row>
    <row r="6220" spans="1:11" x14ac:dyDescent="0.35">
      <c r="A6220" s="1">
        <v>44588</v>
      </c>
      <c r="B6220">
        <v>140.80000305175699</v>
      </c>
      <c r="C6220">
        <v>144.24349975585901</v>
      </c>
      <c r="D6220">
        <v>139.350006103515</v>
      </c>
      <c r="E6220">
        <v>139.63749694824199</v>
      </c>
      <c r="F6220">
        <v>139.63749694824199</v>
      </c>
      <c r="G6220">
        <v>77516000</v>
      </c>
      <c r="H6220">
        <f t="shared" si="388"/>
        <v>2022</v>
      </c>
      <c r="I6220">
        <f t="shared" si="389"/>
        <v>1</v>
      </c>
      <c r="J6220" t="str">
        <f t="shared" si="390"/>
        <v>Jan</v>
      </c>
      <c r="K6220" t="str">
        <f t="shared" si="391"/>
        <v>Thu</v>
      </c>
    </row>
    <row r="6221" spans="1:11" x14ac:dyDescent="0.35">
      <c r="A6221" s="1">
        <v>44589</v>
      </c>
      <c r="B6221">
        <v>140.86050415039</v>
      </c>
      <c r="C6221">
        <v>143.99800109863199</v>
      </c>
      <c r="D6221">
        <v>137.92950439453099</v>
      </c>
      <c r="E6221">
        <v>143.97799682617099</v>
      </c>
      <c r="F6221">
        <v>143.97799682617099</v>
      </c>
      <c r="G6221">
        <v>74392000</v>
      </c>
      <c r="H6221">
        <f t="shared" si="388"/>
        <v>2022</v>
      </c>
      <c r="I6221">
        <f t="shared" si="389"/>
        <v>1</v>
      </c>
      <c r="J6221" t="str">
        <f t="shared" si="390"/>
        <v>Jan</v>
      </c>
      <c r="K6221" t="str">
        <f t="shared" si="391"/>
        <v>Fri</v>
      </c>
    </row>
    <row r="6222" spans="1:11" x14ac:dyDescent="0.35">
      <c r="A6222" s="1">
        <v>44592</v>
      </c>
      <c r="B6222">
        <v>144.75</v>
      </c>
      <c r="C6222">
        <v>150.36050415039</v>
      </c>
      <c r="D6222">
        <v>144.30050659179599</v>
      </c>
      <c r="E6222">
        <v>149.57350158691401</v>
      </c>
      <c r="F6222">
        <v>149.57350158691401</v>
      </c>
      <c r="G6222">
        <v>78308000</v>
      </c>
      <c r="H6222">
        <f t="shared" si="388"/>
        <v>2022</v>
      </c>
      <c r="I6222">
        <f t="shared" si="389"/>
        <v>1</v>
      </c>
      <c r="J6222" t="str">
        <f t="shared" si="390"/>
        <v>Jan</v>
      </c>
      <c r="K6222" t="str">
        <f t="shared" si="391"/>
        <v>Mon</v>
      </c>
    </row>
    <row r="6223" spans="1:11" x14ac:dyDescent="0.35">
      <c r="A6223" s="1">
        <v>44593</v>
      </c>
      <c r="B6223">
        <v>150</v>
      </c>
      <c r="C6223">
        <v>151.70799255371</v>
      </c>
      <c r="D6223">
        <v>147.62750244140599</v>
      </c>
      <c r="E6223">
        <v>151.19349670410099</v>
      </c>
      <c r="F6223">
        <v>151.19349670410099</v>
      </c>
      <c r="G6223">
        <v>59220000</v>
      </c>
      <c r="H6223">
        <f t="shared" si="388"/>
        <v>2022</v>
      </c>
      <c r="I6223">
        <f t="shared" si="389"/>
        <v>2</v>
      </c>
      <c r="J6223" t="str">
        <f t="shared" si="390"/>
        <v>Feb</v>
      </c>
      <c r="K6223" t="str">
        <f t="shared" si="391"/>
        <v>Tue</v>
      </c>
    </row>
    <row r="6224" spans="1:11" x14ac:dyDescent="0.35">
      <c r="A6224" s="1">
        <v>44594</v>
      </c>
      <c r="B6224">
        <v>155.05050659179599</v>
      </c>
      <c r="C6224">
        <v>155.07499694824199</v>
      </c>
      <c r="D6224">
        <v>148.86349487304599</v>
      </c>
      <c r="E6224">
        <v>150.61250305175699</v>
      </c>
      <c r="F6224">
        <v>150.61250305175699</v>
      </c>
      <c r="G6224">
        <v>87330000</v>
      </c>
      <c r="H6224">
        <f t="shared" si="388"/>
        <v>2022</v>
      </c>
      <c r="I6224">
        <f t="shared" si="389"/>
        <v>2</v>
      </c>
      <c r="J6224" t="str">
        <f t="shared" si="390"/>
        <v>Feb</v>
      </c>
      <c r="K6224" t="str">
        <f t="shared" si="391"/>
        <v>Wed</v>
      </c>
    </row>
    <row r="6225" spans="1:11" x14ac:dyDescent="0.35">
      <c r="A6225" s="1">
        <v>44595</v>
      </c>
      <c r="B6225">
        <v>141.73750305175699</v>
      </c>
      <c r="C6225">
        <v>144.24749755859301</v>
      </c>
      <c r="D6225">
        <v>138.33299255371</v>
      </c>
      <c r="E6225">
        <v>138.84550476074199</v>
      </c>
      <c r="F6225">
        <v>138.84550476074199</v>
      </c>
      <c r="G6225">
        <v>225532000</v>
      </c>
      <c r="H6225">
        <f t="shared" si="388"/>
        <v>2022</v>
      </c>
      <c r="I6225">
        <f t="shared" si="389"/>
        <v>2</v>
      </c>
      <c r="J6225" t="str">
        <f t="shared" si="390"/>
        <v>Feb</v>
      </c>
      <c r="K6225" t="str">
        <f t="shared" si="391"/>
        <v>Thu</v>
      </c>
    </row>
    <row r="6226" spans="1:11" x14ac:dyDescent="0.35">
      <c r="A6226" s="1">
        <v>44596</v>
      </c>
      <c r="B6226">
        <v>155.60650634765599</v>
      </c>
      <c r="C6226">
        <v>161.19999694824199</v>
      </c>
      <c r="D6226">
        <v>150.60800170898401</v>
      </c>
      <c r="E6226">
        <v>157.63949584960901</v>
      </c>
      <c r="F6226">
        <v>157.63949584960901</v>
      </c>
      <c r="G6226">
        <v>253456000</v>
      </c>
      <c r="H6226">
        <f t="shared" si="388"/>
        <v>2022</v>
      </c>
      <c r="I6226">
        <f t="shared" si="389"/>
        <v>2</v>
      </c>
      <c r="J6226" t="str">
        <f t="shared" si="390"/>
        <v>Feb</v>
      </c>
      <c r="K6226" t="str">
        <f t="shared" si="391"/>
        <v>Fri</v>
      </c>
    </row>
    <row r="6227" spans="1:11" x14ac:dyDescent="0.35">
      <c r="A6227" s="1">
        <v>44599</v>
      </c>
      <c r="B6227">
        <v>158.52000427246</v>
      </c>
      <c r="C6227">
        <v>162.690994262695</v>
      </c>
      <c r="D6227">
        <v>157.25</v>
      </c>
      <c r="E6227">
        <v>157.93550109863199</v>
      </c>
      <c r="F6227">
        <v>157.93550109863199</v>
      </c>
      <c r="G6227">
        <v>102624000</v>
      </c>
      <c r="H6227">
        <f t="shared" si="388"/>
        <v>2022</v>
      </c>
      <c r="I6227">
        <f t="shared" si="389"/>
        <v>2</v>
      </c>
      <c r="J6227" t="str">
        <f t="shared" si="390"/>
        <v>Feb</v>
      </c>
      <c r="K6227" t="str">
        <f t="shared" si="391"/>
        <v>Mon</v>
      </c>
    </row>
    <row r="6228" spans="1:11" x14ac:dyDescent="0.35">
      <c r="A6228" s="1">
        <v>44600</v>
      </c>
      <c r="B6228">
        <v>156.75050354003901</v>
      </c>
      <c r="C6228">
        <v>161.79249572753901</v>
      </c>
      <c r="D6228">
        <v>155.55050659179599</v>
      </c>
      <c r="E6228">
        <v>161.41349792480401</v>
      </c>
      <c r="F6228">
        <v>161.41349792480401</v>
      </c>
      <c r="G6228">
        <v>76040000</v>
      </c>
      <c r="H6228">
        <f t="shared" si="388"/>
        <v>2022</v>
      </c>
      <c r="I6228">
        <f t="shared" si="389"/>
        <v>2</v>
      </c>
      <c r="J6228" t="str">
        <f t="shared" si="390"/>
        <v>Feb</v>
      </c>
      <c r="K6228" t="str">
        <f t="shared" si="391"/>
        <v>Tue</v>
      </c>
    </row>
    <row r="6229" spans="1:11" x14ac:dyDescent="0.35">
      <c r="A6229" s="1">
        <v>44601</v>
      </c>
      <c r="B6229">
        <v>162.87350463867099</v>
      </c>
      <c r="C6229">
        <v>163.83450317382801</v>
      </c>
      <c r="D6229">
        <v>160.25</v>
      </c>
      <c r="E6229">
        <v>161.18949890136699</v>
      </c>
      <c r="F6229">
        <v>161.18949890136699</v>
      </c>
      <c r="G6229">
        <v>68786000</v>
      </c>
      <c r="H6229">
        <f t="shared" si="388"/>
        <v>2022</v>
      </c>
      <c r="I6229">
        <f t="shared" si="389"/>
        <v>2</v>
      </c>
      <c r="J6229" t="str">
        <f t="shared" si="390"/>
        <v>Feb</v>
      </c>
      <c r="K6229" t="str">
        <f t="shared" si="391"/>
        <v>Wed</v>
      </c>
    </row>
    <row r="6230" spans="1:11" x14ac:dyDescent="0.35">
      <c r="A6230" s="1">
        <v>44602</v>
      </c>
      <c r="B6230">
        <v>158.350006103515</v>
      </c>
      <c r="C6230">
        <v>160.71650695800699</v>
      </c>
      <c r="D6230">
        <v>157.75</v>
      </c>
      <c r="E6230">
        <v>159.003494262695</v>
      </c>
      <c r="F6230">
        <v>159.003494262695</v>
      </c>
      <c r="G6230">
        <v>68268000</v>
      </c>
      <c r="H6230">
        <f t="shared" si="388"/>
        <v>2022</v>
      </c>
      <c r="I6230">
        <f t="shared" si="389"/>
        <v>2</v>
      </c>
      <c r="J6230" t="str">
        <f t="shared" si="390"/>
        <v>Feb</v>
      </c>
      <c r="K6230" t="str">
        <f t="shared" si="391"/>
        <v>Thu</v>
      </c>
    </row>
    <row r="6231" spans="1:11" x14ac:dyDescent="0.35">
      <c r="A6231" s="1">
        <v>44603</v>
      </c>
      <c r="B6231">
        <v>158.134506225585</v>
      </c>
      <c r="C6231">
        <v>159</v>
      </c>
      <c r="D6231">
        <v>152.73399353027301</v>
      </c>
      <c r="E6231">
        <v>153.29350280761699</v>
      </c>
      <c r="F6231">
        <v>153.29350280761699</v>
      </c>
      <c r="G6231">
        <v>77100000</v>
      </c>
      <c r="H6231">
        <f t="shared" si="388"/>
        <v>2022</v>
      </c>
      <c r="I6231">
        <f t="shared" si="389"/>
        <v>2</v>
      </c>
      <c r="J6231" t="str">
        <f t="shared" si="390"/>
        <v>Feb</v>
      </c>
      <c r="K6231" t="str">
        <f t="shared" si="391"/>
        <v>Fri</v>
      </c>
    </row>
    <row r="6232" spans="1:11" x14ac:dyDescent="0.35">
      <c r="A6232" s="1">
        <v>44606</v>
      </c>
      <c r="B6232">
        <v>151.75100708007801</v>
      </c>
      <c r="C6232">
        <v>158.44850158691401</v>
      </c>
      <c r="D6232">
        <v>151.64999389648401</v>
      </c>
      <c r="E6232">
        <v>155.16700744628901</v>
      </c>
      <c r="F6232">
        <v>155.16700744628901</v>
      </c>
      <c r="G6232">
        <v>83230000</v>
      </c>
      <c r="H6232">
        <f t="shared" si="388"/>
        <v>2022</v>
      </c>
      <c r="I6232">
        <f t="shared" si="389"/>
        <v>2</v>
      </c>
      <c r="J6232" t="str">
        <f t="shared" si="390"/>
        <v>Feb</v>
      </c>
      <c r="K6232" t="str">
        <f t="shared" si="391"/>
        <v>Mon</v>
      </c>
    </row>
    <row r="6233" spans="1:11" x14ac:dyDescent="0.35">
      <c r="A6233" s="1">
        <v>44607</v>
      </c>
      <c r="B6233">
        <v>157.60549926757801</v>
      </c>
      <c r="C6233">
        <v>158.00700378417901</v>
      </c>
      <c r="D6233">
        <v>154.63749694824199</v>
      </c>
      <c r="E6233">
        <v>156.510498046875</v>
      </c>
      <c r="F6233">
        <v>156.510498046875</v>
      </c>
      <c r="G6233">
        <v>56440000</v>
      </c>
      <c r="H6233">
        <f t="shared" si="388"/>
        <v>2022</v>
      </c>
      <c r="I6233">
        <f t="shared" si="389"/>
        <v>2</v>
      </c>
      <c r="J6233" t="str">
        <f t="shared" si="390"/>
        <v>Feb</v>
      </c>
      <c r="K6233" t="str">
        <f t="shared" si="391"/>
        <v>Tue</v>
      </c>
    </row>
    <row r="6234" spans="1:11" x14ac:dyDescent="0.35">
      <c r="A6234" s="1">
        <v>44608</v>
      </c>
      <c r="B6234">
        <v>155.79049682617099</v>
      </c>
      <c r="C6234">
        <v>158.83399963378901</v>
      </c>
      <c r="D6234">
        <v>154.73449707031199</v>
      </c>
      <c r="E6234">
        <v>158.100494384765</v>
      </c>
      <c r="F6234">
        <v>158.100494384765</v>
      </c>
      <c r="G6234">
        <v>52704000</v>
      </c>
      <c r="H6234">
        <f t="shared" si="388"/>
        <v>2022</v>
      </c>
      <c r="I6234">
        <f t="shared" si="389"/>
        <v>2</v>
      </c>
      <c r="J6234" t="str">
        <f t="shared" si="390"/>
        <v>Feb</v>
      </c>
      <c r="K6234" t="str">
        <f t="shared" si="391"/>
        <v>Wed</v>
      </c>
    </row>
    <row r="6235" spans="1:11" x14ac:dyDescent="0.35">
      <c r="A6235" s="1">
        <v>44609</v>
      </c>
      <c r="B6235">
        <v>158.14599609375</v>
      </c>
      <c r="C6235">
        <v>160.34899902343699</v>
      </c>
      <c r="D6235">
        <v>154.5</v>
      </c>
      <c r="E6235">
        <v>154.65249633789</v>
      </c>
      <c r="F6235">
        <v>154.65249633789</v>
      </c>
      <c r="G6235">
        <v>64032000</v>
      </c>
      <c r="H6235">
        <f t="shared" si="388"/>
        <v>2022</v>
      </c>
      <c r="I6235">
        <f t="shared" si="389"/>
        <v>2</v>
      </c>
      <c r="J6235" t="str">
        <f t="shared" si="390"/>
        <v>Feb</v>
      </c>
      <c r="K6235" t="str">
        <f t="shared" si="391"/>
        <v>Thu</v>
      </c>
    </row>
    <row r="6236" spans="1:11" x14ac:dyDescent="0.35">
      <c r="A6236" s="1">
        <v>44610</v>
      </c>
      <c r="B6236">
        <v>155.49949645996</v>
      </c>
      <c r="C6236">
        <v>155.49949645996</v>
      </c>
      <c r="D6236">
        <v>150.89300537109301</v>
      </c>
      <c r="E6236">
        <v>152.60150146484301</v>
      </c>
      <c r="F6236">
        <v>152.60150146484301</v>
      </c>
      <c r="G6236">
        <v>63604000</v>
      </c>
      <c r="H6236">
        <f t="shared" si="388"/>
        <v>2022</v>
      </c>
      <c r="I6236">
        <f t="shared" si="389"/>
        <v>2</v>
      </c>
      <c r="J6236" t="str">
        <f t="shared" si="390"/>
        <v>Feb</v>
      </c>
      <c r="K6236" t="str">
        <f t="shared" si="391"/>
        <v>Fri</v>
      </c>
    </row>
    <row r="6237" spans="1:11" x14ac:dyDescent="0.35">
      <c r="A6237" s="1">
        <v>44614</v>
      </c>
      <c r="B6237">
        <v>150.47850036621</v>
      </c>
      <c r="C6237">
        <v>152.982498168945</v>
      </c>
      <c r="D6237">
        <v>148.48550415039</v>
      </c>
      <c r="E6237">
        <v>150.197494506835</v>
      </c>
      <c r="F6237">
        <v>150.197494506835</v>
      </c>
      <c r="G6237">
        <v>66128000</v>
      </c>
      <c r="H6237">
        <f t="shared" si="388"/>
        <v>2022</v>
      </c>
      <c r="I6237">
        <f t="shared" si="389"/>
        <v>2</v>
      </c>
      <c r="J6237" t="str">
        <f t="shared" si="390"/>
        <v>Feb</v>
      </c>
      <c r="K6237" t="str">
        <f t="shared" si="391"/>
        <v>Tue</v>
      </c>
    </row>
    <row r="6238" spans="1:11" x14ac:dyDescent="0.35">
      <c r="A6238" s="1">
        <v>44615</v>
      </c>
      <c r="B6238">
        <v>151.65049743652301</v>
      </c>
      <c r="C6238">
        <v>151.76300048828099</v>
      </c>
      <c r="D6238">
        <v>144.65100097656199</v>
      </c>
      <c r="E6238">
        <v>144.82699584960901</v>
      </c>
      <c r="F6238">
        <v>144.82699584960901</v>
      </c>
      <c r="G6238">
        <v>64244000</v>
      </c>
      <c r="H6238">
        <f t="shared" si="388"/>
        <v>2022</v>
      </c>
      <c r="I6238">
        <f t="shared" si="389"/>
        <v>2</v>
      </c>
      <c r="J6238" t="str">
        <f t="shared" si="390"/>
        <v>Feb</v>
      </c>
      <c r="K6238" t="str">
        <f t="shared" si="391"/>
        <v>Wed</v>
      </c>
    </row>
    <row r="6239" spans="1:11" x14ac:dyDescent="0.35">
      <c r="A6239" s="1">
        <v>44616</v>
      </c>
      <c r="B6239">
        <v>139.83749389648401</v>
      </c>
      <c r="C6239">
        <v>151.74899291992099</v>
      </c>
      <c r="D6239">
        <v>139.5</v>
      </c>
      <c r="E6239">
        <v>151.35800170898401</v>
      </c>
      <c r="F6239">
        <v>151.35800170898401</v>
      </c>
      <c r="G6239">
        <v>100786000</v>
      </c>
      <c r="H6239">
        <f t="shared" si="388"/>
        <v>2022</v>
      </c>
      <c r="I6239">
        <f t="shared" si="389"/>
        <v>2</v>
      </c>
      <c r="J6239" t="str">
        <f t="shared" si="390"/>
        <v>Feb</v>
      </c>
      <c r="K6239" t="str">
        <f t="shared" si="391"/>
        <v>Thu</v>
      </c>
    </row>
    <row r="6240" spans="1:11" x14ac:dyDescent="0.35">
      <c r="A6240" s="1">
        <v>44617</v>
      </c>
      <c r="B6240">
        <v>150.55000305175699</v>
      </c>
      <c r="C6240">
        <v>153.99000549316401</v>
      </c>
      <c r="D6240">
        <v>149.21350097656199</v>
      </c>
      <c r="E6240">
        <v>153.78849792480401</v>
      </c>
      <c r="F6240">
        <v>153.78849792480401</v>
      </c>
      <c r="G6240">
        <v>62396000</v>
      </c>
      <c r="H6240">
        <f t="shared" si="388"/>
        <v>2022</v>
      </c>
      <c r="I6240">
        <f t="shared" si="389"/>
        <v>2</v>
      </c>
      <c r="J6240" t="str">
        <f t="shared" si="390"/>
        <v>Feb</v>
      </c>
      <c r="K6240" t="str">
        <f t="shared" si="391"/>
        <v>Fri</v>
      </c>
    </row>
    <row r="6241" spans="1:11" x14ac:dyDescent="0.35">
      <c r="A6241" s="1">
        <v>44620</v>
      </c>
      <c r="B6241">
        <v>152.42500305175699</v>
      </c>
      <c r="C6241">
        <v>154.44999694824199</v>
      </c>
      <c r="D6241">
        <v>150.850006103515</v>
      </c>
      <c r="E6241">
        <v>153.56300354003901</v>
      </c>
      <c r="F6241">
        <v>153.56300354003901</v>
      </c>
      <c r="G6241">
        <v>57684000</v>
      </c>
      <c r="H6241">
        <f t="shared" si="388"/>
        <v>2022</v>
      </c>
      <c r="I6241">
        <f t="shared" si="389"/>
        <v>2</v>
      </c>
      <c r="J6241" t="str">
        <f t="shared" si="390"/>
        <v>Feb</v>
      </c>
      <c r="K6241" t="str">
        <f t="shared" si="391"/>
        <v>Mon</v>
      </c>
    </row>
    <row r="6242" spans="1:11" x14ac:dyDescent="0.35">
      <c r="A6242" s="1">
        <v>44621</v>
      </c>
      <c r="B6242">
        <v>152.732498168945</v>
      </c>
      <c r="C6242">
        <v>154.09899902343699</v>
      </c>
      <c r="D6242">
        <v>149.97700500488199</v>
      </c>
      <c r="E6242">
        <v>151.141998291015</v>
      </c>
      <c r="F6242">
        <v>151.141998291015</v>
      </c>
      <c r="G6242">
        <v>44874000</v>
      </c>
      <c r="H6242">
        <f t="shared" si="388"/>
        <v>2022</v>
      </c>
      <c r="I6242">
        <f t="shared" si="389"/>
        <v>3</v>
      </c>
      <c r="J6242" t="str">
        <f t="shared" si="390"/>
        <v>Mar</v>
      </c>
      <c r="K6242" t="str">
        <f t="shared" si="391"/>
        <v>Tue</v>
      </c>
    </row>
    <row r="6243" spans="1:11" x14ac:dyDescent="0.35">
      <c r="A6243" s="1">
        <v>44622</v>
      </c>
      <c r="B6243">
        <v>150.84899902343699</v>
      </c>
      <c r="C6243">
        <v>152.99949645996</v>
      </c>
      <c r="D6243">
        <v>148.75</v>
      </c>
      <c r="E6243">
        <v>152.05250549316401</v>
      </c>
      <c r="F6243">
        <v>152.05250549316401</v>
      </c>
      <c r="G6243">
        <v>47334000</v>
      </c>
      <c r="H6243">
        <f t="shared" si="388"/>
        <v>2022</v>
      </c>
      <c r="I6243">
        <f t="shared" si="389"/>
        <v>3</v>
      </c>
      <c r="J6243" t="str">
        <f t="shared" si="390"/>
        <v>Mar</v>
      </c>
      <c r="K6243" t="str">
        <f t="shared" si="391"/>
        <v>Wed</v>
      </c>
    </row>
    <row r="6244" spans="1:11" x14ac:dyDescent="0.35">
      <c r="A6244" s="1">
        <v>44623</v>
      </c>
      <c r="B6244">
        <v>153.531494140625</v>
      </c>
      <c r="C6244">
        <v>153.92900085449199</v>
      </c>
      <c r="D6244">
        <v>146.85600280761699</v>
      </c>
      <c r="E6244">
        <v>147.89849853515599</v>
      </c>
      <c r="F6244">
        <v>147.89849853515599</v>
      </c>
      <c r="G6244">
        <v>65198000</v>
      </c>
      <c r="H6244">
        <f t="shared" si="388"/>
        <v>2022</v>
      </c>
      <c r="I6244">
        <f t="shared" si="389"/>
        <v>3</v>
      </c>
      <c r="J6244" t="str">
        <f t="shared" si="390"/>
        <v>Mar</v>
      </c>
      <c r="K6244" t="str">
        <f t="shared" si="391"/>
        <v>Thu</v>
      </c>
    </row>
    <row r="6245" spans="1:11" x14ac:dyDescent="0.35">
      <c r="A6245" s="1">
        <v>44624</v>
      </c>
      <c r="B6245">
        <v>147.15899658203099</v>
      </c>
      <c r="C6245">
        <v>147.850006103515</v>
      </c>
      <c r="D6245">
        <v>143.80700683593699</v>
      </c>
      <c r="E6245">
        <v>145.64100646972599</v>
      </c>
      <c r="F6245">
        <v>145.64100646972599</v>
      </c>
      <c r="G6245">
        <v>60934000</v>
      </c>
      <c r="H6245">
        <f t="shared" si="388"/>
        <v>2022</v>
      </c>
      <c r="I6245">
        <f t="shared" si="389"/>
        <v>3</v>
      </c>
      <c r="J6245" t="str">
        <f t="shared" si="390"/>
        <v>Mar</v>
      </c>
      <c r="K6245" t="str">
        <f t="shared" si="391"/>
        <v>Fri</v>
      </c>
    </row>
    <row r="6246" spans="1:11" x14ac:dyDescent="0.35">
      <c r="A6246" s="1">
        <v>44627</v>
      </c>
      <c r="B6246">
        <v>145.44349670410099</v>
      </c>
      <c r="C6246">
        <v>146.09449768066401</v>
      </c>
      <c r="D6246">
        <v>137.41650390625</v>
      </c>
      <c r="E6246">
        <v>137.45300292968699</v>
      </c>
      <c r="F6246">
        <v>137.45300292968699</v>
      </c>
      <c r="G6246">
        <v>86934000</v>
      </c>
      <c r="H6246">
        <f t="shared" si="388"/>
        <v>2022</v>
      </c>
      <c r="I6246">
        <f t="shared" si="389"/>
        <v>3</v>
      </c>
      <c r="J6246" t="str">
        <f t="shared" si="390"/>
        <v>Mar</v>
      </c>
      <c r="K6246" t="str">
        <f t="shared" si="391"/>
        <v>Mon</v>
      </c>
    </row>
    <row r="6247" spans="1:11" x14ac:dyDescent="0.35">
      <c r="A6247" s="1">
        <v>44628</v>
      </c>
      <c r="B6247">
        <v>136.683502197265</v>
      </c>
      <c r="C6247">
        <v>140.69949340820301</v>
      </c>
      <c r="D6247">
        <v>133.572494506835</v>
      </c>
      <c r="E6247">
        <v>136.01449584960901</v>
      </c>
      <c r="F6247">
        <v>136.01449584960901</v>
      </c>
      <c r="G6247">
        <v>91662000</v>
      </c>
      <c r="H6247">
        <f t="shared" si="388"/>
        <v>2022</v>
      </c>
      <c r="I6247">
        <f t="shared" si="389"/>
        <v>3</v>
      </c>
      <c r="J6247" t="str">
        <f t="shared" si="390"/>
        <v>Mar</v>
      </c>
      <c r="K6247" t="str">
        <f t="shared" si="391"/>
        <v>Tue</v>
      </c>
    </row>
    <row r="6248" spans="1:11" x14ac:dyDescent="0.35">
      <c r="A6248" s="1">
        <v>44629</v>
      </c>
      <c r="B6248">
        <v>139.5</v>
      </c>
      <c r="C6248">
        <v>140.25</v>
      </c>
      <c r="D6248">
        <v>136.82800292968699</v>
      </c>
      <c r="E6248">
        <v>139.27900695800699</v>
      </c>
      <c r="F6248">
        <v>139.27900695800699</v>
      </c>
      <c r="G6248">
        <v>82656000</v>
      </c>
      <c r="H6248">
        <f t="shared" si="388"/>
        <v>2022</v>
      </c>
      <c r="I6248">
        <f t="shared" si="389"/>
        <v>3</v>
      </c>
      <c r="J6248" t="str">
        <f t="shared" si="390"/>
        <v>Mar</v>
      </c>
      <c r="K6248" t="str">
        <f t="shared" si="391"/>
        <v>Wed</v>
      </c>
    </row>
    <row r="6249" spans="1:11" x14ac:dyDescent="0.35">
      <c r="A6249" s="1">
        <v>44630</v>
      </c>
      <c r="B6249">
        <v>145.68499755859301</v>
      </c>
      <c r="C6249">
        <v>148.67449951171801</v>
      </c>
      <c r="D6249">
        <v>143.97799682617099</v>
      </c>
      <c r="E6249">
        <v>146.81750488281199</v>
      </c>
      <c r="F6249">
        <v>146.81750488281199</v>
      </c>
      <c r="G6249">
        <v>135062000</v>
      </c>
      <c r="H6249">
        <f t="shared" si="388"/>
        <v>2022</v>
      </c>
      <c r="I6249">
        <f t="shared" si="389"/>
        <v>3</v>
      </c>
      <c r="J6249" t="str">
        <f t="shared" si="390"/>
        <v>Mar</v>
      </c>
      <c r="K6249" t="str">
        <f t="shared" si="391"/>
        <v>Thu</v>
      </c>
    </row>
    <row r="6250" spans="1:11" x14ac:dyDescent="0.35">
      <c r="A6250" s="1">
        <v>44631</v>
      </c>
      <c r="B6250">
        <v>149.57449340820301</v>
      </c>
      <c r="C6250">
        <v>149.67500305175699</v>
      </c>
      <c r="D6250">
        <v>145.36900329589801</v>
      </c>
      <c r="E6250">
        <v>145.52450561523401</v>
      </c>
      <c r="F6250">
        <v>145.52450561523401</v>
      </c>
      <c r="G6250">
        <v>68900000</v>
      </c>
      <c r="H6250">
        <f t="shared" si="388"/>
        <v>2022</v>
      </c>
      <c r="I6250">
        <f t="shared" si="389"/>
        <v>3</v>
      </c>
      <c r="J6250" t="str">
        <f t="shared" si="390"/>
        <v>Mar</v>
      </c>
      <c r="K6250" t="str">
        <f t="shared" si="391"/>
        <v>Fri</v>
      </c>
    </row>
    <row r="6251" spans="1:11" x14ac:dyDescent="0.35">
      <c r="A6251" s="1">
        <v>44634</v>
      </c>
      <c r="B6251">
        <v>145.98100280761699</v>
      </c>
      <c r="C6251">
        <v>147.44999694824199</v>
      </c>
      <c r="D6251">
        <v>140.88400268554599</v>
      </c>
      <c r="E6251">
        <v>141.85299682617099</v>
      </c>
      <c r="F6251">
        <v>141.85299682617099</v>
      </c>
      <c r="G6251">
        <v>74086000</v>
      </c>
      <c r="H6251">
        <f t="shared" si="388"/>
        <v>2022</v>
      </c>
      <c r="I6251">
        <f t="shared" si="389"/>
        <v>3</v>
      </c>
      <c r="J6251" t="str">
        <f t="shared" si="390"/>
        <v>Mar</v>
      </c>
      <c r="K6251" t="str">
        <f t="shared" si="391"/>
        <v>Mon</v>
      </c>
    </row>
    <row r="6252" spans="1:11" x14ac:dyDescent="0.35">
      <c r="A6252" s="1">
        <v>44635</v>
      </c>
      <c r="B6252">
        <v>142.850006103515</v>
      </c>
      <c r="C6252">
        <v>147.98500061035099</v>
      </c>
      <c r="D6252">
        <v>142</v>
      </c>
      <c r="E6252">
        <v>147.36650085449199</v>
      </c>
      <c r="F6252">
        <v>147.36650085449199</v>
      </c>
      <c r="G6252">
        <v>75584000</v>
      </c>
      <c r="H6252">
        <f t="shared" si="388"/>
        <v>2022</v>
      </c>
      <c r="I6252">
        <f t="shared" si="389"/>
        <v>3</v>
      </c>
      <c r="J6252" t="str">
        <f t="shared" si="390"/>
        <v>Mar</v>
      </c>
      <c r="K6252" t="str">
        <f t="shared" si="391"/>
        <v>Tue</v>
      </c>
    </row>
    <row r="6253" spans="1:11" x14ac:dyDescent="0.35">
      <c r="A6253" s="1">
        <v>44636</v>
      </c>
      <c r="B6253">
        <v>148.5</v>
      </c>
      <c r="C6253">
        <v>153.14999389648401</v>
      </c>
      <c r="D6253">
        <v>147.35350036621</v>
      </c>
      <c r="E6253">
        <v>153.10400390625</v>
      </c>
      <c r="F6253">
        <v>153.10400390625</v>
      </c>
      <c r="G6253">
        <v>84958000</v>
      </c>
      <c r="H6253">
        <f t="shared" si="388"/>
        <v>2022</v>
      </c>
      <c r="I6253">
        <f t="shared" si="389"/>
        <v>3</v>
      </c>
      <c r="J6253" t="str">
        <f t="shared" si="390"/>
        <v>Mar</v>
      </c>
      <c r="K6253" t="str">
        <f t="shared" si="391"/>
        <v>Wed</v>
      </c>
    </row>
    <row r="6254" spans="1:11" x14ac:dyDescent="0.35">
      <c r="A6254" s="1">
        <v>44637</v>
      </c>
      <c r="B6254">
        <v>152.64050292968699</v>
      </c>
      <c r="C6254">
        <v>157.49850463867099</v>
      </c>
      <c r="D6254">
        <v>152.13999938964801</v>
      </c>
      <c r="E6254">
        <v>157.238998413085</v>
      </c>
      <c r="F6254">
        <v>157.238998413085</v>
      </c>
      <c r="G6254">
        <v>72934000</v>
      </c>
      <c r="H6254">
        <f t="shared" si="388"/>
        <v>2022</v>
      </c>
      <c r="I6254">
        <f t="shared" si="389"/>
        <v>3</v>
      </c>
      <c r="J6254" t="str">
        <f t="shared" si="390"/>
        <v>Mar</v>
      </c>
      <c r="K6254" t="str">
        <f t="shared" si="391"/>
        <v>Thu</v>
      </c>
    </row>
    <row r="6255" spans="1:11" x14ac:dyDescent="0.35">
      <c r="A6255" s="1">
        <v>44638</v>
      </c>
      <c r="B6255">
        <v>156.81300354003901</v>
      </c>
      <c r="C6255">
        <v>161.593994140625</v>
      </c>
      <c r="D6255">
        <v>156.01100158691401</v>
      </c>
      <c r="E6255">
        <v>161.25050354003901</v>
      </c>
      <c r="F6255">
        <v>161.25050354003901</v>
      </c>
      <c r="G6255">
        <v>102962000</v>
      </c>
      <c r="H6255">
        <f t="shared" si="388"/>
        <v>2022</v>
      </c>
      <c r="I6255">
        <f t="shared" si="389"/>
        <v>3</v>
      </c>
      <c r="J6255" t="str">
        <f t="shared" si="390"/>
        <v>Mar</v>
      </c>
      <c r="K6255" t="str">
        <f t="shared" si="391"/>
        <v>Fri</v>
      </c>
    </row>
    <row r="6256" spans="1:11" x14ac:dyDescent="0.35">
      <c r="A6256" s="1">
        <v>44641</v>
      </c>
      <c r="B6256">
        <v>161.121002197265</v>
      </c>
      <c r="C6256">
        <v>163.08399963378901</v>
      </c>
      <c r="D6256">
        <v>159.55299377441401</v>
      </c>
      <c r="E6256">
        <v>161.49150085449199</v>
      </c>
      <c r="F6256">
        <v>161.49150085449199</v>
      </c>
      <c r="G6256">
        <v>66538000</v>
      </c>
      <c r="H6256">
        <f t="shared" si="388"/>
        <v>2022</v>
      </c>
      <c r="I6256">
        <f t="shared" si="389"/>
        <v>3</v>
      </c>
      <c r="J6256" t="str">
        <f t="shared" si="390"/>
        <v>Mar</v>
      </c>
      <c r="K6256" t="str">
        <f t="shared" si="391"/>
        <v>Mon</v>
      </c>
    </row>
    <row r="6257" spans="1:11" x14ac:dyDescent="0.35">
      <c r="A6257" s="1">
        <v>44642</v>
      </c>
      <c r="B6257">
        <v>161.80549621582</v>
      </c>
      <c r="C6257">
        <v>166.16700744628901</v>
      </c>
      <c r="D6257">
        <v>161.69900512695301</v>
      </c>
      <c r="E6257">
        <v>164.88900756835901</v>
      </c>
      <c r="F6257">
        <v>164.88900756835901</v>
      </c>
      <c r="G6257">
        <v>64086000</v>
      </c>
      <c r="H6257">
        <f t="shared" si="388"/>
        <v>2022</v>
      </c>
      <c r="I6257">
        <f t="shared" si="389"/>
        <v>3</v>
      </c>
      <c r="J6257" t="str">
        <f t="shared" si="390"/>
        <v>Mar</v>
      </c>
      <c r="K6257" t="str">
        <f t="shared" si="391"/>
        <v>Tue</v>
      </c>
    </row>
    <row r="6258" spans="1:11" x14ac:dyDescent="0.35">
      <c r="A6258" s="1">
        <v>44643</v>
      </c>
      <c r="B6258">
        <v>163.70500183105401</v>
      </c>
      <c r="C6258">
        <v>166.36999511718699</v>
      </c>
      <c r="D6258">
        <v>162.68699645996</v>
      </c>
      <c r="E6258">
        <v>163.40800476074199</v>
      </c>
      <c r="F6258">
        <v>163.40800476074199</v>
      </c>
      <c r="G6258">
        <v>55812000</v>
      </c>
      <c r="H6258">
        <f t="shared" si="388"/>
        <v>2022</v>
      </c>
      <c r="I6258">
        <f t="shared" si="389"/>
        <v>3</v>
      </c>
      <c r="J6258" t="str">
        <f t="shared" si="390"/>
        <v>Mar</v>
      </c>
      <c r="K6258" t="str">
        <f t="shared" si="391"/>
        <v>Wed</v>
      </c>
    </row>
    <row r="6259" spans="1:11" x14ac:dyDescent="0.35">
      <c r="A6259" s="1">
        <v>44644</v>
      </c>
      <c r="B6259">
        <v>163.74949645996</v>
      </c>
      <c r="C6259">
        <v>164.11849975585901</v>
      </c>
      <c r="D6259">
        <v>160.05000305175699</v>
      </c>
      <c r="E6259">
        <v>163.64950561523401</v>
      </c>
      <c r="F6259">
        <v>163.64950561523401</v>
      </c>
      <c r="G6259">
        <v>56798000</v>
      </c>
      <c r="H6259">
        <f t="shared" si="388"/>
        <v>2022</v>
      </c>
      <c r="I6259">
        <f t="shared" si="389"/>
        <v>3</v>
      </c>
      <c r="J6259" t="str">
        <f t="shared" si="390"/>
        <v>Mar</v>
      </c>
      <c r="K6259" t="str">
        <f t="shared" si="391"/>
        <v>Thu</v>
      </c>
    </row>
    <row r="6260" spans="1:11" x14ac:dyDescent="0.35">
      <c r="A6260" s="1">
        <v>44645</v>
      </c>
      <c r="B6260">
        <v>164</v>
      </c>
      <c r="C6260">
        <v>165.36849975585901</v>
      </c>
      <c r="D6260">
        <v>162.25</v>
      </c>
      <c r="E6260">
        <v>164.77349853515599</v>
      </c>
      <c r="F6260">
        <v>164.77349853515599</v>
      </c>
      <c r="G6260">
        <v>49032000</v>
      </c>
      <c r="H6260">
        <f t="shared" si="388"/>
        <v>2022</v>
      </c>
      <c r="I6260">
        <f t="shared" si="389"/>
        <v>3</v>
      </c>
      <c r="J6260" t="str">
        <f t="shared" si="390"/>
        <v>Mar</v>
      </c>
      <c r="K6260" t="str">
        <f t="shared" si="391"/>
        <v>Fri</v>
      </c>
    </row>
    <row r="6261" spans="1:11" x14ac:dyDescent="0.35">
      <c r="A6261" s="1">
        <v>44648</v>
      </c>
      <c r="B6261">
        <v>164.975006103515</v>
      </c>
      <c r="C6261">
        <v>169.037506103515</v>
      </c>
      <c r="D6261">
        <v>164.89999389648401</v>
      </c>
      <c r="E6261">
        <v>168.99049377441401</v>
      </c>
      <c r="F6261">
        <v>168.99049377441401</v>
      </c>
      <c r="G6261">
        <v>59854000</v>
      </c>
      <c r="H6261">
        <f t="shared" si="388"/>
        <v>2022</v>
      </c>
      <c r="I6261">
        <f t="shared" si="389"/>
        <v>3</v>
      </c>
      <c r="J6261" t="str">
        <f t="shared" si="390"/>
        <v>Mar</v>
      </c>
      <c r="K6261" t="str">
        <f t="shared" si="391"/>
        <v>Mon</v>
      </c>
    </row>
    <row r="6262" spans="1:11" x14ac:dyDescent="0.35">
      <c r="A6262" s="1">
        <v>44649</v>
      </c>
      <c r="B6262">
        <v>170.38400268554599</v>
      </c>
      <c r="C6262">
        <v>170.83149719238199</v>
      </c>
      <c r="D6262">
        <v>167.86849975585901</v>
      </c>
      <c r="E6262">
        <v>169.31500244140599</v>
      </c>
      <c r="F6262">
        <v>169.31500244140599</v>
      </c>
      <c r="G6262">
        <v>66154000</v>
      </c>
      <c r="H6262">
        <f t="shared" si="388"/>
        <v>2022</v>
      </c>
      <c r="I6262">
        <f t="shared" si="389"/>
        <v>3</v>
      </c>
      <c r="J6262" t="str">
        <f t="shared" si="390"/>
        <v>Mar</v>
      </c>
      <c r="K6262" t="str">
        <f t="shared" si="391"/>
        <v>Tue</v>
      </c>
    </row>
    <row r="6263" spans="1:11" x14ac:dyDescent="0.35">
      <c r="A6263" s="1">
        <v>44650</v>
      </c>
      <c r="B6263">
        <v>168.509506225585</v>
      </c>
      <c r="C6263">
        <v>168.95050048828099</v>
      </c>
      <c r="D6263">
        <v>165.5</v>
      </c>
      <c r="E6263">
        <v>166.30099487304599</v>
      </c>
      <c r="F6263">
        <v>166.30099487304599</v>
      </c>
      <c r="G6263">
        <v>56168000</v>
      </c>
      <c r="H6263">
        <f t="shared" si="388"/>
        <v>2022</v>
      </c>
      <c r="I6263">
        <f t="shared" si="389"/>
        <v>3</v>
      </c>
      <c r="J6263" t="str">
        <f t="shared" si="390"/>
        <v>Mar</v>
      </c>
      <c r="K6263" t="str">
        <f t="shared" si="391"/>
        <v>Wed</v>
      </c>
    </row>
    <row r="6264" spans="1:11" x14ac:dyDescent="0.35">
      <c r="A6264" s="1">
        <v>44651</v>
      </c>
      <c r="B6264">
        <v>166.44500732421801</v>
      </c>
      <c r="C6264">
        <v>166.49499511718699</v>
      </c>
      <c r="D6264">
        <v>162.95350646972599</v>
      </c>
      <c r="E6264">
        <v>162.99749755859301</v>
      </c>
      <c r="F6264">
        <v>162.99749755859301</v>
      </c>
      <c r="G6264">
        <v>59966000</v>
      </c>
      <c r="H6264">
        <f t="shared" si="388"/>
        <v>2022</v>
      </c>
      <c r="I6264">
        <f t="shared" si="389"/>
        <v>3</v>
      </c>
      <c r="J6264" t="str">
        <f t="shared" si="390"/>
        <v>Mar</v>
      </c>
      <c r="K6264" t="str">
        <f t="shared" si="391"/>
        <v>Thu</v>
      </c>
    </row>
    <row r="6265" spans="1:11" x14ac:dyDescent="0.35">
      <c r="A6265" s="1">
        <v>44652</v>
      </c>
      <c r="B6265">
        <v>164.14950561523401</v>
      </c>
      <c r="C6265">
        <v>165.82699584960901</v>
      </c>
      <c r="D6265">
        <v>162.31950378417901</v>
      </c>
      <c r="E6265">
        <v>163.55999755859301</v>
      </c>
      <c r="F6265">
        <v>163.55999755859301</v>
      </c>
      <c r="G6265">
        <v>57090000</v>
      </c>
      <c r="H6265">
        <f t="shared" si="388"/>
        <v>2022</v>
      </c>
      <c r="I6265">
        <f t="shared" si="389"/>
        <v>4</v>
      </c>
      <c r="J6265" t="str">
        <f t="shared" si="390"/>
        <v>Apr</v>
      </c>
      <c r="K6265" t="str">
        <f t="shared" si="391"/>
        <v>Fri</v>
      </c>
    </row>
    <row r="6266" spans="1:11" x14ac:dyDescent="0.35">
      <c r="A6266" s="1">
        <v>44655</v>
      </c>
      <c r="B6266">
        <v>164.125</v>
      </c>
      <c r="C6266">
        <v>168.39450073242099</v>
      </c>
      <c r="D6266">
        <v>163.20550537109301</v>
      </c>
      <c r="E6266">
        <v>168.34649658203099</v>
      </c>
      <c r="F6266">
        <v>168.34649658203099</v>
      </c>
      <c r="G6266">
        <v>49882000</v>
      </c>
      <c r="H6266">
        <f t="shared" si="388"/>
        <v>2022</v>
      </c>
      <c r="I6266">
        <f t="shared" si="389"/>
        <v>4</v>
      </c>
      <c r="J6266" t="str">
        <f t="shared" si="390"/>
        <v>Apr</v>
      </c>
      <c r="K6266" t="str">
        <f t="shared" si="391"/>
        <v>Mon</v>
      </c>
    </row>
    <row r="6267" spans="1:11" x14ac:dyDescent="0.35">
      <c r="A6267" s="1">
        <v>44656</v>
      </c>
      <c r="B6267">
        <v>167.74150085449199</v>
      </c>
      <c r="C6267">
        <v>168.11050415039</v>
      </c>
      <c r="D6267">
        <v>163.26600646972599</v>
      </c>
      <c r="E6267">
        <v>164.05499267578099</v>
      </c>
      <c r="F6267">
        <v>164.05499267578099</v>
      </c>
      <c r="G6267">
        <v>53728000</v>
      </c>
      <c r="H6267">
        <f t="shared" si="388"/>
        <v>2022</v>
      </c>
      <c r="I6267">
        <f t="shared" si="389"/>
        <v>4</v>
      </c>
      <c r="J6267" t="str">
        <f t="shared" si="390"/>
        <v>Apr</v>
      </c>
      <c r="K6267" t="str">
        <f t="shared" si="391"/>
        <v>Tue</v>
      </c>
    </row>
    <row r="6268" spans="1:11" x14ac:dyDescent="0.35">
      <c r="A6268" s="1">
        <v>44657</v>
      </c>
      <c r="B6268">
        <v>161.65049743652301</v>
      </c>
      <c r="C6268">
        <v>162.19999694824199</v>
      </c>
      <c r="D6268">
        <v>157.25450134277301</v>
      </c>
      <c r="E6268">
        <v>158.75599670410099</v>
      </c>
      <c r="F6268">
        <v>158.75599670410099</v>
      </c>
      <c r="G6268">
        <v>79056000</v>
      </c>
      <c r="H6268">
        <f t="shared" si="388"/>
        <v>2022</v>
      </c>
      <c r="I6268">
        <f t="shared" si="389"/>
        <v>4</v>
      </c>
      <c r="J6268" t="str">
        <f t="shared" si="390"/>
        <v>Apr</v>
      </c>
      <c r="K6268" t="str">
        <f t="shared" si="391"/>
        <v>Wed</v>
      </c>
    </row>
    <row r="6269" spans="1:11" x14ac:dyDescent="0.35">
      <c r="A6269" s="1">
        <v>44658</v>
      </c>
      <c r="B6269">
        <v>158.39999389648401</v>
      </c>
      <c r="C6269">
        <v>160.07899475097599</v>
      </c>
      <c r="D6269">
        <v>154.51150512695301</v>
      </c>
      <c r="E6269">
        <v>157.78450012207</v>
      </c>
      <c r="F6269">
        <v>157.78450012207</v>
      </c>
      <c r="G6269">
        <v>68136000</v>
      </c>
      <c r="H6269">
        <f t="shared" si="388"/>
        <v>2022</v>
      </c>
      <c r="I6269">
        <f t="shared" si="389"/>
        <v>4</v>
      </c>
      <c r="J6269" t="str">
        <f t="shared" si="390"/>
        <v>Apr</v>
      </c>
      <c r="K6269" t="str">
        <f t="shared" si="391"/>
        <v>Thu</v>
      </c>
    </row>
    <row r="6270" spans="1:11" x14ac:dyDescent="0.35">
      <c r="A6270" s="1">
        <v>44659</v>
      </c>
      <c r="B6270">
        <v>156.75</v>
      </c>
      <c r="C6270">
        <v>157.36849975585901</v>
      </c>
      <c r="D6270">
        <v>154.23100280761699</v>
      </c>
      <c r="E6270">
        <v>154.46049499511699</v>
      </c>
      <c r="F6270">
        <v>154.46049499511699</v>
      </c>
      <c r="G6270">
        <v>46002000</v>
      </c>
      <c r="H6270">
        <f t="shared" si="388"/>
        <v>2022</v>
      </c>
      <c r="I6270">
        <f t="shared" si="389"/>
        <v>4</v>
      </c>
      <c r="J6270" t="str">
        <f t="shared" si="390"/>
        <v>Apr</v>
      </c>
      <c r="K6270" t="str">
        <f t="shared" si="391"/>
        <v>Fri</v>
      </c>
    </row>
    <row r="6271" spans="1:11" x14ac:dyDescent="0.35">
      <c r="A6271" s="1">
        <v>44662</v>
      </c>
      <c r="B6271">
        <v>152.71299743652301</v>
      </c>
      <c r="C6271">
        <v>154.13650512695301</v>
      </c>
      <c r="D6271">
        <v>150.53450012207</v>
      </c>
      <c r="E6271">
        <v>151.12199401855401</v>
      </c>
      <c r="F6271">
        <v>151.12199401855401</v>
      </c>
      <c r="G6271">
        <v>52112000</v>
      </c>
      <c r="H6271">
        <f t="shared" si="388"/>
        <v>2022</v>
      </c>
      <c r="I6271">
        <f t="shared" si="389"/>
        <v>4</v>
      </c>
      <c r="J6271" t="str">
        <f t="shared" si="390"/>
        <v>Apr</v>
      </c>
      <c r="K6271" t="str">
        <f t="shared" si="391"/>
        <v>Mon</v>
      </c>
    </row>
    <row r="6272" spans="1:11" x14ac:dyDescent="0.35">
      <c r="A6272" s="1">
        <v>44663</v>
      </c>
      <c r="B6272">
        <v>153.69250488281199</v>
      </c>
      <c r="C6272">
        <v>155.09899902343699</v>
      </c>
      <c r="D6272">
        <v>150.38299560546801</v>
      </c>
      <c r="E6272">
        <v>150.787506103515</v>
      </c>
      <c r="F6272">
        <v>150.787506103515</v>
      </c>
      <c r="G6272">
        <v>55178000</v>
      </c>
      <c r="H6272">
        <f t="shared" si="388"/>
        <v>2022</v>
      </c>
      <c r="I6272">
        <f t="shared" si="389"/>
        <v>4</v>
      </c>
      <c r="J6272" t="str">
        <f t="shared" si="390"/>
        <v>Apr</v>
      </c>
      <c r="K6272" t="str">
        <f t="shared" si="391"/>
        <v>Tue</v>
      </c>
    </row>
    <row r="6273" spans="1:11" x14ac:dyDescent="0.35">
      <c r="A6273" s="1">
        <v>44664</v>
      </c>
      <c r="B6273">
        <v>150.01849365234301</v>
      </c>
      <c r="C6273">
        <v>156.02499389648401</v>
      </c>
      <c r="D6273">
        <v>149.600006103515</v>
      </c>
      <c r="E6273">
        <v>155.54100036621</v>
      </c>
      <c r="F6273">
        <v>155.54100036621</v>
      </c>
      <c r="G6273">
        <v>53390000</v>
      </c>
      <c r="H6273">
        <f t="shared" si="388"/>
        <v>2022</v>
      </c>
      <c r="I6273">
        <f t="shared" si="389"/>
        <v>4</v>
      </c>
      <c r="J6273" t="str">
        <f t="shared" si="390"/>
        <v>Apr</v>
      </c>
      <c r="K6273" t="str">
        <f t="shared" si="391"/>
        <v>Wed</v>
      </c>
    </row>
    <row r="6274" spans="1:11" x14ac:dyDescent="0.35">
      <c r="A6274" s="1">
        <v>44665</v>
      </c>
      <c r="B6274">
        <v>155.38999938964801</v>
      </c>
      <c r="C6274">
        <v>155.89700317382801</v>
      </c>
      <c r="D6274">
        <v>151.47200012207</v>
      </c>
      <c r="E6274">
        <v>151.70649719238199</v>
      </c>
      <c r="F6274">
        <v>151.70649719238199</v>
      </c>
      <c r="G6274">
        <v>51598000</v>
      </c>
      <c r="H6274">
        <f t="shared" si="388"/>
        <v>2022</v>
      </c>
      <c r="I6274">
        <f t="shared" si="389"/>
        <v>4</v>
      </c>
      <c r="J6274" t="str">
        <f t="shared" si="390"/>
        <v>Apr</v>
      </c>
      <c r="K6274" t="str">
        <f t="shared" si="391"/>
        <v>Thu</v>
      </c>
    </row>
    <row r="6275" spans="1:11" x14ac:dyDescent="0.35">
      <c r="A6275" s="1">
        <v>44669</v>
      </c>
      <c r="B6275">
        <v>151.52349853515599</v>
      </c>
      <c r="C6275">
        <v>154.03950500488199</v>
      </c>
      <c r="D6275">
        <v>150.25050354003901</v>
      </c>
      <c r="E6275">
        <v>152.78500366210901</v>
      </c>
      <c r="F6275">
        <v>152.78500366210901</v>
      </c>
      <c r="G6275">
        <v>46514000</v>
      </c>
      <c r="H6275">
        <f t="shared" si="388"/>
        <v>2022</v>
      </c>
      <c r="I6275">
        <f t="shared" si="389"/>
        <v>4</v>
      </c>
      <c r="J6275" t="str">
        <f t="shared" si="390"/>
        <v>Apr</v>
      </c>
      <c r="K6275" t="str">
        <f t="shared" si="391"/>
        <v>Mon</v>
      </c>
    </row>
    <row r="6276" spans="1:11" x14ac:dyDescent="0.35">
      <c r="A6276" s="1">
        <v>44670</v>
      </c>
      <c r="B6276">
        <v>152.02949523925699</v>
      </c>
      <c r="C6276">
        <v>158.649002075195</v>
      </c>
      <c r="D6276">
        <v>151.55050659179599</v>
      </c>
      <c r="E6276">
        <v>158.11549377441401</v>
      </c>
      <c r="F6276">
        <v>158.11549377441401</v>
      </c>
      <c r="G6276">
        <v>54926000</v>
      </c>
      <c r="H6276">
        <f t="shared" ref="H6276:H6339" si="392">YEAR($A6276)</f>
        <v>2022</v>
      </c>
      <c r="I6276">
        <f t="shared" ref="I6276:I6339" si="393">MONTH($A6276)</f>
        <v>4</v>
      </c>
      <c r="J6276" t="str">
        <f t="shared" ref="J6276:J6339" si="394">TEXT($A6276,"mmm")</f>
        <v>Apr</v>
      </c>
      <c r="K6276" t="str">
        <f t="shared" ref="K6276:K6339" si="395">TEXT($A6276,"ddd")</f>
        <v>Tue</v>
      </c>
    </row>
    <row r="6277" spans="1:11" x14ac:dyDescent="0.35">
      <c r="A6277" s="1">
        <v>44671</v>
      </c>
      <c r="B6277">
        <v>157.60249328613199</v>
      </c>
      <c r="C6277">
        <v>157.60249328613199</v>
      </c>
      <c r="D6277">
        <v>153.60350036621</v>
      </c>
      <c r="E6277">
        <v>153.99800109863199</v>
      </c>
      <c r="F6277">
        <v>153.99800109863199</v>
      </c>
      <c r="G6277">
        <v>59630000</v>
      </c>
      <c r="H6277">
        <f t="shared" si="392"/>
        <v>2022</v>
      </c>
      <c r="I6277">
        <f t="shared" si="393"/>
        <v>4</v>
      </c>
      <c r="J6277" t="str">
        <f t="shared" si="394"/>
        <v>Apr</v>
      </c>
      <c r="K6277" t="str">
        <f t="shared" si="395"/>
        <v>Wed</v>
      </c>
    </row>
    <row r="6278" spans="1:11" x14ac:dyDescent="0.35">
      <c r="A6278" s="1">
        <v>44672</v>
      </c>
      <c r="B6278">
        <v>154.71400451660099</v>
      </c>
      <c r="C6278">
        <v>156.73800659179599</v>
      </c>
      <c r="D6278">
        <v>147.58949279785099</v>
      </c>
      <c r="E6278">
        <v>148.29600524902301</v>
      </c>
      <c r="F6278">
        <v>148.29600524902301</v>
      </c>
      <c r="G6278">
        <v>63970000</v>
      </c>
      <c r="H6278">
        <f t="shared" si="392"/>
        <v>2022</v>
      </c>
      <c r="I6278">
        <f t="shared" si="393"/>
        <v>4</v>
      </c>
      <c r="J6278" t="str">
        <f t="shared" si="394"/>
        <v>Apr</v>
      </c>
      <c r="K6278" t="str">
        <f t="shared" si="395"/>
        <v>Thu</v>
      </c>
    </row>
    <row r="6279" spans="1:11" x14ac:dyDescent="0.35">
      <c r="A6279" s="1">
        <v>44673</v>
      </c>
      <c r="B6279">
        <v>148.25</v>
      </c>
      <c r="C6279">
        <v>149.61500549316401</v>
      </c>
      <c r="D6279">
        <v>143.697494506835</v>
      </c>
      <c r="E6279">
        <v>144.350006103515</v>
      </c>
      <c r="F6279">
        <v>144.350006103515</v>
      </c>
      <c r="G6279">
        <v>73078000</v>
      </c>
      <c r="H6279">
        <f t="shared" si="392"/>
        <v>2022</v>
      </c>
      <c r="I6279">
        <f t="shared" si="393"/>
        <v>4</v>
      </c>
      <c r="J6279" t="str">
        <f t="shared" si="394"/>
        <v>Apr</v>
      </c>
      <c r="K6279" t="str">
        <f t="shared" si="395"/>
        <v>Fri</v>
      </c>
    </row>
    <row r="6280" spans="1:11" x14ac:dyDescent="0.35">
      <c r="A6280" s="1">
        <v>44676</v>
      </c>
      <c r="B6280">
        <v>144.02299499511699</v>
      </c>
      <c r="C6280">
        <v>146.22149658203099</v>
      </c>
      <c r="D6280">
        <v>142.30650329589801</v>
      </c>
      <c r="E6280">
        <v>146.07400512695301</v>
      </c>
      <c r="F6280">
        <v>146.07400512695301</v>
      </c>
      <c r="G6280">
        <v>61874000</v>
      </c>
      <c r="H6280">
        <f t="shared" si="392"/>
        <v>2022</v>
      </c>
      <c r="I6280">
        <f t="shared" si="393"/>
        <v>4</v>
      </c>
      <c r="J6280" t="str">
        <f t="shared" si="394"/>
        <v>Apr</v>
      </c>
      <c r="K6280" t="str">
        <f t="shared" si="395"/>
        <v>Mon</v>
      </c>
    </row>
    <row r="6281" spans="1:11" x14ac:dyDescent="0.35">
      <c r="A6281" s="1">
        <v>44677</v>
      </c>
      <c r="B6281">
        <v>144.80000305175699</v>
      </c>
      <c r="C6281">
        <v>144.85600280761699</v>
      </c>
      <c r="D6281">
        <v>138.92950439453099</v>
      </c>
      <c r="E6281">
        <v>139.39100646972599</v>
      </c>
      <c r="F6281">
        <v>139.39100646972599</v>
      </c>
      <c r="G6281">
        <v>77530000</v>
      </c>
      <c r="H6281">
        <f t="shared" si="392"/>
        <v>2022</v>
      </c>
      <c r="I6281">
        <f t="shared" si="393"/>
        <v>4</v>
      </c>
      <c r="J6281" t="str">
        <f t="shared" si="394"/>
        <v>Apr</v>
      </c>
      <c r="K6281" t="str">
        <f t="shared" si="395"/>
        <v>Tue</v>
      </c>
    </row>
    <row r="6282" spans="1:11" x14ac:dyDescent="0.35">
      <c r="A6282" s="1">
        <v>44678</v>
      </c>
      <c r="B6282">
        <v>140.19149780273401</v>
      </c>
      <c r="C6282">
        <v>141.94850158691401</v>
      </c>
      <c r="D6282">
        <v>135.78349304199199</v>
      </c>
      <c r="E6282">
        <v>138.16700744628901</v>
      </c>
      <c r="F6282">
        <v>138.16700744628901</v>
      </c>
      <c r="G6282">
        <v>71336000</v>
      </c>
      <c r="H6282">
        <f t="shared" si="392"/>
        <v>2022</v>
      </c>
      <c r="I6282">
        <f t="shared" si="393"/>
        <v>4</v>
      </c>
      <c r="J6282" t="str">
        <f t="shared" si="394"/>
        <v>Apr</v>
      </c>
      <c r="K6282" t="str">
        <f t="shared" si="395"/>
        <v>Wed</v>
      </c>
    </row>
    <row r="6283" spans="1:11" x14ac:dyDescent="0.35">
      <c r="A6283" s="1">
        <v>44679</v>
      </c>
      <c r="B6283">
        <v>142.17799377441401</v>
      </c>
      <c r="C6283">
        <v>145.9375</v>
      </c>
      <c r="D6283">
        <v>140.30000305175699</v>
      </c>
      <c r="E6283">
        <v>144.59649658203099</v>
      </c>
      <c r="F6283">
        <v>144.59649658203099</v>
      </c>
      <c r="G6283">
        <v>117316000</v>
      </c>
      <c r="H6283">
        <f t="shared" si="392"/>
        <v>2022</v>
      </c>
      <c r="I6283">
        <f t="shared" si="393"/>
        <v>4</v>
      </c>
      <c r="J6283" t="str">
        <f t="shared" si="394"/>
        <v>Apr</v>
      </c>
      <c r="K6283" t="str">
        <f t="shared" si="395"/>
        <v>Thu</v>
      </c>
    </row>
    <row r="6284" spans="1:11" x14ac:dyDescent="0.35">
      <c r="A6284" s="1">
        <v>44680</v>
      </c>
      <c r="B6284">
        <v>129.84899902343699</v>
      </c>
      <c r="C6284">
        <v>130.76100158691401</v>
      </c>
      <c r="D6284">
        <v>121.625</v>
      </c>
      <c r="E6284">
        <v>124.28150177001901</v>
      </c>
      <c r="F6284">
        <v>124.28150177001901</v>
      </c>
      <c r="G6284">
        <v>272662000</v>
      </c>
      <c r="H6284">
        <f t="shared" si="392"/>
        <v>2022</v>
      </c>
      <c r="I6284">
        <f t="shared" si="393"/>
        <v>4</v>
      </c>
      <c r="J6284" t="str">
        <f t="shared" si="394"/>
        <v>Apr</v>
      </c>
      <c r="K6284" t="str">
        <f t="shared" si="395"/>
        <v>Fri</v>
      </c>
    </row>
    <row r="6285" spans="1:11" x14ac:dyDescent="0.35">
      <c r="A6285" s="1">
        <v>44683</v>
      </c>
      <c r="B6285">
        <v>122.401000976562</v>
      </c>
      <c r="C6285">
        <v>124.667999267578</v>
      </c>
      <c r="D6285">
        <v>118.375</v>
      </c>
      <c r="E6285">
        <v>124.5</v>
      </c>
      <c r="F6285">
        <v>124.5</v>
      </c>
      <c r="G6285">
        <v>148788000</v>
      </c>
      <c r="H6285">
        <f t="shared" si="392"/>
        <v>2022</v>
      </c>
      <c r="I6285">
        <f t="shared" si="393"/>
        <v>5</v>
      </c>
      <c r="J6285" t="str">
        <f t="shared" si="394"/>
        <v>May</v>
      </c>
      <c r="K6285" t="str">
        <f t="shared" si="395"/>
        <v>Mon</v>
      </c>
    </row>
    <row r="6286" spans="1:11" x14ac:dyDescent="0.35">
      <c r="A6286" s="1">
        <v>44684</v>
      </c>
      <c r="B6286">
        <v>124.053497314453</v>
      </c>
      <c r="C6286">
        <v>126.220497131347</v>
      </c>
      <c r="D6286">
        <v>122.824996948242</v>
      </c>
      <c r="E6286">
        <v>124.25350189208901</v>
      </c>
      <c r="F6286">
        <v>124.25350189208901</v>
      </c>
      <c r="G6286">
        <v>79134000</v>
      </c>
      <c r="H6286">
        <f t="shared" si="392"/>
        <v>2022</v>
      </c>
      <c r="I6286">
        <f t="shared" si="393"/>
        <v>5</v>
      </c>
      <c r="J6286" t="str">
        <f t="shared" si="394"/>
        <v>May</v>
      </c>
      <c r="K6286" t="str">
        <f t="shared" si="395"/>
        <v>Tue</v>
      </c>
    </row>
    <row r="6287" spans="1:11" x14ac:dyDescent="0.35">
      <c r="A6287" s="1">
        <v>44685</v>
      </c>
      <c r="B6287">
        <v>123.59999847412099</v>
      </c>
      <c r="C6287">
        <v>126</v>
      </c>
      <c r="D6287">
        <v>119.18299865722599</v>
      </c>
      <c r="E6287">
        <v>125.928497314453</v>
      </c>
      <c r="F6287">
        <v>125.928497314453</v>
      </c>
      <c r="G6287">
        <v>110746000</v>
      </c>
      <c r="H6287">
        <f t="shared" si="392"/>
        <v>2022</v>
      </c>
      <c r="I6287">
        <f t="shared" si="393"/>
        <v>5</v>
      </c>
      <c r="J6287" t="str">
        <f t="shared" si="394"/>
        <v>May</v>
      </c>
      <c r="K6287" t="str">
        <f t="shared" si="395"/>
        <v>Wed</v>
      </c>
    </row>
    <row r="6288" spans="1:11" x14ac:dyDescent="0.35">
      <c r="A6288" s="1">
        <v>44686</v>
      </c>
      <c r="B6288">
        <v>123</v>
      </c>
      <c r="C6288">
        <v>123.49900054931599</v>
      </c>
      <c r="D6288">
        <v>115.07250213623</v>
      </c>
      <c r="E6288">
        <v>116.40699768066401</v>
      </c>
      <c r="F6288">
        <v>116.40699768066401</v>
      </c>
      <c r="G6288">
        <v>144392000</v>
      </c>
      <c r="H6288">
        <f t="shared" si="392"/>
        <v>2022</v>
      </c>
      <c r="I6288">
        <f t="shared" si="393"/>
        <v>5</v>
      </c>
      <c r="J6288" t="str">
        <f t="shared" si="394"/>
        <v>May</v>
      </c>
      <c r="K6288" t="str">
        <f t="shared" si="395"/>
        <v>Thu</v>
      </c>
    </row>
    <row r="6289" spans="1:11" x14ac:dyDescent="0.35">
      <c r="A6289" s="1">
        <v>44687</v>
      </c>
      <c r="B6289">
        <v>114.84999847412099</v>
      </c>
      <c r="C6289">
        <v>119.050498962402</v>
      </c>
      <c r="D6289">
        <v>113.081497192382</v>
      </c>
      <c r="E6289">
        <v>114.772499084472</v>
      </c>
      <c r="F6289">
        <v>114.772499084472</v>
      </c>
      <c r="G6289">
        <v>124260000</v>
      </c>
      <c r="H6289">
        <f t="shared" si="392"/>
        <v>2022</v>
      </c>
      <c r="I6289">
        <f t="shared" si="393"/>
        <v>5</v>
      </c>
      <c r="J6289" t="str">
        <f t="shared" si="394"/>
        <v>May</v>
      </c>
      <c r="K6289" t="str">
        <f t="shared" si="395"/>
        <v>Fri</v>
      </c>
    </row>
    <row r="6290" spans="1:11" x14ac:dyDescent="0.35">
      <c r="A6290" s="1">
        <v>44690</v>
      </c>
      <c r="B6290">
        <v>111.3125</v>
      </c>
      <c r="C6290">
        <v>114</v>
      </c>
      <c r="D6290">
        <v>107.95700073242099</v>
      </c>
      <c r="E6290">
        <v>108.789001464843</v>
      </c>
      <c r="F6290">
        <v>108.789001464843</v>
      </c>
      <c r="G6290">
        <v>128124000</v>
      </c>
      <c r="H6290">
        <f t="shared" si="392"/>
        <v>2022</v>
      </c>
      <c r="I6290">
        <f t="shared" si="393"/>
        <v>5</v>
      </c>
      <c r="J6290" t="str">
        <f t="shared" si="394"/>
        <v>May</v>
      </c>
      <c r="K6290" t="str">
        <f t="shared" si="395"/>
        <v>Mon</v>
      </c>
    </row>
    <row r="6291" spans="1:11" x14ac:dyDescent="0.35">
      <c r="A6291" s="1">
        <v>44691</v>
      </c>
      <c r="B6291">
        <v>111.25</v>
      </c>
      <c r="C6291">
        <v>112.64250183105401</v>
      </c>
      <c r="D6291">
        <v>107.170997619628</v>
      </c>
      <c r="E6291">
        <v>108.859001159667</v>
      </c>
      <c r="F6291">
        <v>108.859001159667</v>
      </c>
      <c r="G6291">
        <v>105434000</v>
      </c>
      <c r="H6291">
        <f t="shared" si="392"/>
        <v>2022</v>
      </c>
      <c r="I6291">
        <f t="shared" si="393"/>
        <v>5</v>
      </c>
      <c r="J6291" t="str">
        <f t="shared" si="394"/>
        <v>May</v>
      </c>
      <c r="K6291" t="str">
        <f t="shared" si="395"/>
        <v>Tue</v>
      </c>
    </row>
    <row r="6292" spans="1:11" x14ac:dyDescent="0.35">
      <c r="A6292" s="1">
        <v>44692</v>
      </c>
      <c r="B6292">
        <v>108.10350036621</v>
      </c>
      <c r="C6292">
        <v>110.15599822998</v>
      </c>
      <c r="D6292">
        <v>104.428497314453</v>
      </c>
      <c r="E6292">
        <v>105.37200164794901</v>
      </c>
      <c r="F6292">
        <v>105.37200164794901</v>
      </c>
      <c r="G6292">
        <v>109704000</v>
      </c>
      <c r="H6292">
        <f t="shared" si="392"/>
        <v>2022</v>
      </c>
      <c r="I6292">
        <f t="shared" si="393"/>
        <v>5</v>
      </c>
      <c r="J6292" t="str">
        <f t="shared" si="394"/>
        <v>May</v>
      </c>
      <c r="K6292" t="str">
        <f t="shared" si="395"/>
        <v>Wed</v>
      </c>
    </row>
    <row r="6293" spans="1:11" x14ac:dyDescent="0.35">
      <c r="A6293" s="1">
        <v>44693</v>
      </c>
      <c r="B6293">
        <v>102.75</v>
      </c>
      <c r="C6293">
        <v>110.780502319335</v>
      </c>
      <c r="D6293">
        <v>102.405502319335</v>
      </c>
      <c r="E6293">
        <v>106.93049621582</v>
      </c>
      <c r="F6293">
        <v>106.93049621582</v>
      </c>
      <c r="G6293">
        <v>132026000</v>
      </c>
      <c r="H6293">
        <f t="shared" si="392"/>
        <v>2022</v>
      </c>
      <c r="I6293">
        <f t="shared" si="393"/>
        <v>5</v>
      </c>
      <c r="J6293" t="str">
        <f t="shared" si="394"/>
        <v>May</v>
      </c>
      <c r="K6293" t="str">
        <f t="shared" si="395"/>
        <v>Thu</v>
      </c>
    </row>
    <row r="6294" spans="1:11" x14ac:dyDescent="0.35">
      <c r="A6294" s="1">
        <v>44694</v>
      </c>
      <c r="B6294">
        <v>109.06900024414</v>
      </c>
      <c r="C6294">
        <v>113.18399810791</v>
      </c>
      <c r="D6294">
        <v>107.800003051757</v>
      </c>
      <c r="E6294">
        <v>113.055000305175</v>
      </c>
      <c r="F6294">
        <v>113.055000305175</v>
      </c>
      <c r="G6294">
        <v>93684000</v>
      </c>
      <c r="H6294">
        <f t="shared" si="392"/>
        <v>2022</v>
      </c>
      <c r="I6294">
        <f t="shared" si="393"/>
        <v>5</v>
      </c>
      <c r="J6294" t="str">
        <f t="shared" si="394"/>
        <v>May</v>
      </c>
      <c r="K6294" t="str">
        <f t="shared" si="395"/>
        <v>Fri</v>
      </c>
    </row>
    <row r="6295" spans="1:11" x14ac:dyDescent="0.35">
      <c r="A6295" s="1">
        <v>44697</v>
      </c>
      <c r="B6295">
        <v>113.09999847412099</v>
      </c>
      <c r="C6295">
        <v>113.992500305175</v>
      </c>
      <c r="D6295">
        <v>110.353996276855</v>
      </c>
      <c r="E6295">
        <v>110.810501098632</v>
      </c>
      <c r="F6295">
        <v>110.810501098632</v>
      </c>
      <c r="G6295">
        <v>74566000</v>
      </c>
      <c r="H6295">
        <f t="shared" si="392"/>
        <v>2022</v>
      </c>
      <c r="I6295">
        <f t="shared" si="393"/>
        <v>5</v>
      </c>
      <c r="J6295" t="str">
        <f t="shared" si="394"/>
        <v>May</v>
      </c>
      <c r="K6295" t="str">
        <f t="shared" si="395"/>
        <v>Mon</v>
      </c>
    </row>
    <row r="6296" spans="1:11" x14ac:dyDescent="0.35">
      <c r="A6296" s="1">
        <v>44698</v>
      </c>
      <c r="B6296">
        <v>113.275001525878</v>
      </c>
      <c r="C6296">
        <v>115.800003051757</v>
      </c>
      <c r="D6296">
        <v>111.276496887207</v>
      </c>
      <c r="E6296">
        <v>115.36849975585901</v>
      </c>
      <c r="F6296">
        <v>115.36849975585901</v>
      </c>
      <c r="G6296">
        <v>76448000</v>
      </c>
      <c r="H6296">
        <f t="shared" si="392"/>
        <v>2022</v>
      </c>
      <c r="I6296">
        <f t="shared" si="393"/>
        <v>5</v>
      </c>
      <c r="J6296" t="str">
        <f t="shared" si="394"/>
        <v>May</v>
      </c>
      <c r="K6296" t="str">
        <f t="shared" si="395"/>
        <v>Tue</v>
      </c>
    </row>
    <row r="6297" spans="1:11" x14ac:dyDescent="0.35">
      <c r="A6297" s="1">
        <v>44699</v>
      </c>
      <c r="B6297">
        <v>111.439498901367</v>
      </c>
      <c r="C6297">
        <v>112.85299682617099</v>
      </c>
      <c r="D6297">
        <v>106.24900054931599</v>
      </c>
      <c r="E6297">
        <v>107.112503051757</v>
      </c>
      <c r="F6297">
        <v>107.112503051757</v>
      </c>
      <c r="G6297">
        <v>108380000</v>
      </c>
      <c r="H6297">
        <f t="shared" si="392"/>
        <v>2022</v>
      </c>
      <c r="I6297">
        <f t="shared" si="393"/>
        <v>5</v>
      </c>
      <c r="J6297" t="str">
        <f t="shared" si="394"/>
        <v>May</v>
      </c>
      <c r="K6297" t="str">
        <f t="shared" si="395"/>
        <v>Wed</v>
      </c>
    </row>
    <row r="6298" spans="1:11" x14ac:dyDescent="0.35">
      <c r="A6298" s="1">
        <v>44700</v>
      </c>
      <c r="B6298">
        <v>106.280502319335</v>
      </c>
      <c r="C6298">
        <v>110.03399658203099</v>
      </c>
      <c r="D6298">
        <v>106.193000793457</v>
      </c>
      <c r="E6298">
        <v>107.31900024414</v>
      </c>
      <c r="F6298">
        <v>107.31900024414</v>
      </c>
      <c r="G6298">
        <v>88142000</v>
      </c>
      <c r="H6298">
        <f t="shared" si="392"/>
        <v>2022</v>
      </c>
      <c r="I6298">
        <f t="shared" si="393"/>
        <v>5</v>
      </c>
      <c r="J6298" t="str">
        <f t="shared" si="394"/>
        <v>May</v>
      </c>
      <c r="K6298" t="str">
        <f t="shared" si="395"/>
        <v>Thu</v>
      </c>
    </row>
    <row r="6299" spans="1:11" x14ac:dyDescent="0.35">
      <c r="A6299" s="1">
        <v>44701</v>
      </c>
      <c r="B6299">
        <v>109.56849670410099</v>
      </c>
      <c r="C6299">
        <v>109.89800262451099</v>
      </c>
      <c r="D6299">
        <v>105.00949859619099</v>
      </c>
      <c r="E6299">
        <v>107.591003417968</v>
      </c>
      <c r="F6299">
        <v>107.591003417968</v>
      </c>
      <c r="G6299">
        <v>99500000</v>
      </c>
      <c r="H6299">
        <f t="shared" si="392"/>
        <v>2022</v>
      </c>
      <c r="I6299">
        <f t="shared" si="393"/>
        <v>5</v>
      </c>
      <c r="J6299" t="str">
        <f t="shared" si="394"/>
        <v>May</v>
      </c>
      <c r="K6299" t="str">
        <f t="shared" si="395"/>
        <v>Fri</v>
      </c>
    </row>
    <row r="6300" spans="1:11" x14ac:dyDescent="0.35">
      <c r="A6300" s="1">
        <v>44704</v>
      </c>
      <c r="B6300">
        <v>108.46099853515599</v>
      </c>
      <c r="C6300">
        <v>108.81900024414</v>
      </c>
      <c r="D6300">
        <v>103.949996948242</v>
      </c>
      <c r="E6300">
        <v>107.556999206542</v>
      </c>
      <c r="F6300">
        <v>107.556999206542</v>
      </c>
      <c r="G6300">
        <v>107798000</v>
      </c>
      <c r="H6300">
        <f t="shared" si="392"/>
        <v>2022</v>
      </c>
      <c r="I6300">
        <f t="shared" si="393"/>
        <v>5</v>
      </c>
      <c r="J6300" t="str">
        <f t="shared" si="394"/>
        <v>May</v>
      </c>
      <c r="K6300" t="str">
        <f t="shared" si="395"/>
        <v>Mon</v>
      </c>
    </row>
    <row r="6301" spans="1:11" x14ac:dyDescent="0.35">
      <c r="A6301" s="1">
        <v>44705</v>
      </c>
      <c r="B6301">
        <v>104.025001525878</v>
      </c>
      <c r="C6301">
        <v>105.400001525878</v>
      </c>
      <c r="D6301">
        <v>101.26000213623</v>
      </c>
      <c r="E6301">
        <v>104.09999847412099</v>
      </c>
      <c r="F6301">
        <v>104.09999847412099</v>
      </c>
      <c r="G6301">
        <v>102934000</v>
      </c>
      <c r="H6301">
        <f t="shared" si="392"/>
        <v>2022</v>
      </c>
      <c r="I6301">
        <f t="shared" si="393"/>
        <v>5</v>
      </c>
      <c r="J6301" t="str">
        <f t="shared" si="394"/>
        <v>May</v>
      </c>
      <c r="K6301" t="str">
        <f t="shared" si="395"/>
        <v>Tue</v>
      </c>
    </row>
    <row r="6302" spans="1:11" x14ac:dyDescent="0.35">
      <c r="A6302" s="1">
        <v>44706</v>
      </c>
      <c r="B6302">
        <v>103.655502319335</v>
      </c>
      <c r="C6302">
        <v>108.175003051757</v>
      </c>
      <c r="D6302">
        <v>103.650001525878</v>
      </c>
      <c r="E6302">
        <v>106.775001525878</v>
      </c>
      <c r="F6302">
        <v>106.775001525878</v>
      </c>
      <c r="G6302">
        <v>93120000</v>
      </c>
      <c r="H6302">
        <f t="shared" si="392"/>
        <v>2022</v>
      </c>
      <c r="I6302">
        <f t="shared" si="393"/>
        <v>5</v>
      </c>
      <c r="J6302" t="str">
        <f t="shared" si="394"/>
        <v>May</v>
      </c>
      <c r="K6302" t="str">
        <f t="shared" si="395"/>
        <v>Wed</v>
      </c>
    </row>
    <row r="6303" spans="1:11" x14ac:dyDescent="0.35">
      <c r="A6303" s="1">
        <v>44707</v>
      </c>
      <c r="B6303">
        <v>107.970001220703</v>
      </c>
      <c r="C6303">
        <v>112.66549682617099</v>
      </c>
      <c r="D6303">
        <v>107.453498840332</v>
      </c>
      <c r="E6303">
        <v>111.077499389648</v>
      </c>
      <c r="F6303">
        <v>111.077499389648</v>
      </c>
      <c r="G6303">
        <v>93002000</v>
      </c>
      <c r="H6303">
        <f t="shared" si="392"/>
        <v>2022</v>
      </c>
      <c r="I6303">
        <f t="shared" si="393"/>
        <v>5</v>
      </c>
      <c r="J6303" t="str">
        <f t="shared" si="394"/>
        <v>May</v>
      </c>
      <c r="K6303" t="str">
        <f t="shared" si="395"/>
        <v>Thu</v>
      </c>
    </row>
    <row r="6304" spans="1:11" x14ac:dyDescent="0.35">
      <c r="A6304" s="1">
        <v>44708</v>
      </c>
      <c r="B6304">
        <v>113.550003051757</v>
      </c>
      <c r="C6304">
        <v>115.18699645996</v>
      </c>
      <c r="D6304">
        <v>112.62799835205</v>
      </c>
      <c r="E6304">
        <v>115.14649963378901</v>
      </c>
      <c r="F6304">
        <v>115.14649963378901</v>
      </c>
      <c r="G6304">
        <v>93660000</v>
      </c>
      <c r="H6304">
        <f t="shared" si="392"/>
        <v>2022</v>
      </c>
      <c r="I6304">
        <f t="shared" si="393"/>
        <v>5</v>
      </c>
      <c r="J6304" t="str">
        <f t="shared" si="394"/>
        <v>May</v>
      </c>
      <c r="K6304" t="str">
        <f t="shared" si="395"/>
        <v>Fri</v>
      </c>
    </row>
    <row r="6305" spans="1:11" x14ac:dyDescent="0.35">
      <c r="A6305" s="1">
        <v>44712</v>
      </c>
      <c r="B6305">
        <v>116.27999877929599</v>
      </c>
      <c r="C6305">
        <v>121.994499206542</v>
      </c>
      <c r="D6305">
        <v>115.675003051757</v>
      </c>
      <c r="E6305">
        <v>120.209503173828</v>
      </c>
      <c r="F6305">
        <v>120.209503173828</v>
      </c>
      <c r="G6305">
        <v>144634000</v>
      </c>
      <c r="H6305">
        <f t="shared" si="392"/>
        <v>2022</v>
      </c>
      <c r="I6305">
        <f t="shared" si="393"/>
        <v>5</v>
      </c>
      <c r="J6305" t="str">
        <f t="shared" si="394"/>
        <v>May</v>
      </c>
      <c r="K6305" t="str">
        <f t="shared" si="395"/>
        <v>Tue</v>
      </c>
    </row>
    <row r="6306" spans="1:11" x14ac:dyDescent="0.35">
      <c r="A6306" s="1">
        <v>44713</v>
      </c>
      <c r="B6306">
        <v>122.25599670410099</v>
      </c>
      <c r="C6306">
        <v>125.179000854492</v>
      </c>
      <c r="D6306">
        <v>120.622497558593</v>
      </c>
      <c r="E6306">
        <v>121.68399810791</v>
      </c>
      <c r="F6306">
        <v>121.68399810791</v>
      </c>
      <c r="G6306">
        <v>127528000</v>
      </c>
      <c r="H6306">
        <f t="shared" si="392"/>
        <v>2022</v>
      </c>
      <c r="I6306">
        <f t="shared" si="393"/>
        <v>6</v>
      </c>
      <c r="J6306" t="str">
        <f t="shared" si="394"/>
        <v>Jun</v>
      </c>
      <c r="K6306" t="str">
        <f t="shared" si="395"/>
        <v>Wed</v>
      </c>
    </row>
    <row r="6307" spans="1:11" x14ac:dyDescent="0.35">
      <c r="A6307" s="1">
        <v>44714</v>
      </c>
      <c r="B6307">
        <v>121.68399810791</v>
      </c>
      <c r="C6307">
        <v>125.61000061035099</v>
      </c>
      <c r="D6307">
        <v>120.044998168945</v>
      </c>
      <c r="E6307">
        <v>125.51100158691401</v>
      </c>
      <c r="F6307">
        <v>125.51100158691401</v>
      </c>
      <c r="G6307">
        <v>100560000</v>
      </c>
      <c r="H6307">
        <f t="shared" si="392"/>
        <v>2022</v>
      </c>
      <c r="I6307">
        <f t="shared" si="393"/>
        <v>6</v>
      </c>
      <c r="J6307" t="str">
        <f t="shared" si="394"/>
        <v>Jun</v>
      </c>
      <c r="K6307" t="str">
        <f t="shared" si="395"/>
        <v>Thu</v>
      </c>
    </row>
    <row r="6308" spans="1:11" x14ac:dyDescent="0.35">
      <c r="A6308" s="1">
        <v>44715</v>
      </c>
      <c r="B6308">
        <v>124.199996948242</v>
      </c>
      <c r="C6308">
        <v>124.400001525878</v>
      </c>
      <c r="D6308">
        <v>121.046501159667</v>
      </c>
      <c r="E6308">
        <v>122.34999847412099</v>
      </c>
      <c r="F6308">
        <v>122.34999847412099</v>
      </c>
      <c r="G6308">
        <v>97604000</v>
      </c>
      <c r="H6308">
        <f t="shared" si="392"/>
        <v>2022</v>
      </c>
      <c r="I6308">
        <f t="shared" si="393"/>
        <v>6</v>
      </c>
      <c r="J6308" t="str">
        <f t="shared" si="394"/>
        <v>Jun</v>
      </c>
      <c r="K6308" t="str">
        <f t="shared" si="395"/>
        <v>Fri</v>
      </c>
    </row>
    <row r="6309" spans="1:11" x14ac:dyDescent="0.35">
      <c r="A6309" s="1">
        <v>44718</v>
      </c>
      <c r="B6309">
        <v>125.25</v>
      </c>
      <c r="C6309">
        <v>128.99000549316401</v>
      </c>
      <c r="D6309">
        <v>123.809997558593</v>
      </c>
      <c r="E6309">
        <v>124.790000915527</v>
      </c>
      <c r="F6309">
        <v>124.790000915527</v>
      </c>
      <c r="G6309">
        <v>135269000</v>
      </c>
      <c r="H6309">
        <f t="shared" si="392"/>
        <v>2022</v>
      </c>
      <c r="I6309">
        <f t="shared" si="393"/>
        <v>6</v>
      </c>
      <c r="J6309" t="str">
        <f t="shared" si="394"/>
        <v>Jun</v>
      </c>
      <c r="K6309" t="str">
        <f t="shared" si="395"/>
        <v>Mon</v>
      </c>
    </row>
    <row r="6310" spans="1:11" x14ac:dyDescent="0.35">
      <c r="A6310" s="1">
        <v>44719</v>
      </c>
      <c r="B6310">
        <v>122.01000213623</v>
      </c>
      <c r="C6310">
        <v>124.09999847412099</v>
      </c>
      <c r="D6310">
        <v>120.629997253417</v>
      </c>
      <c r="E6310">
        <v>123</v>
      </c>
      <c r="F6310">
        <v>123</v>
      </c>
      <c r="G6310">
        <v>85156700</v>
      </c>
      <c r="H6310">
        <f t="shared" si="392"/>
        <v>2022</v>
      </c>
      <c r="I6310">
        <f t="shared" si="393"/>
        <v>6</v>
      </c>
      <c r="J6310" t="str">
        <f t="shared" si="394"/>
        <v>Jun</v>
      </c>
      <c r="K6310" t="str">
        <f t="shared" si="395"/>
        <v>Tue</v>
      </c>
    </row>
    <row r="6311" spans="1:11" x14ac:dyDescent="0.35">
      <c r="A6311" s="1">
        <v>44720</v>
      </c>
      <c r="B6311">
        <v>122.61000061035099</v>
      </c>
      <c r="C6311">
        <v>123.75</v>
      </c>
      <c r="D6311">
        <v>120.75</v>
      </c>
      <c r="E6311">
        <v>121.180000305175</v>
      </c>
      <c r="F6311">
        <v>121.180000305175</v>
      </c>
      <c r="G6311">
        <v>64926600</v>
      </c>
      <c r="H6311">
        <f t="shared" si="392"/>
        <v>2022</v>
      </c>
      <c r="I6311">
        <f t="shared" si="393"/>
        <v>6</v>
      </c>
      <c r="J6311" t="str">
        <f t="shared" si="394"/>
        <v>Jun</v>
      </c>
      <c r="K6311" t="str">
        <f t="shared" si="395"/>
        <v>Wed</v>
      </c>
    </row>
    <row r="6312" spans="1:11" x14ac:dyDescent="0.35">
      <c r="A6312" s="1">
        <v>44721</v>
      </c>
      <c r="B6312">
        <v>119.98999786376901</v>
      </c>
      <c r="C6312">
        <v>121.300003051757</v>
      </c>
      <c r="D6312">
        <v>116.09999847412099</v>
      </c>
      <c r="E6312">
        <v>116.150001525878</v>
      </c>
      <c r="F6312">
        <v>116.150001525878</v>
      </c>
      <c r="G6312">
        <v>67029800</v>
      </c>
      <c r="H6312">
        <f t="shared" si="392"/>
        <v>2022</v>
      </c>
      <c r="I6312">
        <f t="shared" si="393"/>
        <v>6</v>
      </c>
      <c r="J6312" t="str">
        <f t="shared" si="394"/>
        <v>Jun</v>
      </c>
      <c r="K6312" t="str">
        <f t="shared" si="395"/>
        <v>Thu</v>
      </c>
    </row>
    <row r="6313" spans="1:11" x14ac:dyDescent="0.35">
      <c r="A6313" s="1">
        <v>44722</v>
      </c>
      <c r="B6313">
        <v>113.419998168945</v>
      </c>
      <c r="C6313">
        <v>114.5</v>
      </c>
      <c r="D6313">
        <v>109.050003051757</v>
      </c>
      <c r="E6313">
        <v>109.650001525878</v>
      </c>
      <c r="F6313">
        <v>109.650001525878</v>
      </c>
      <c r="G6313">
        <v>87266000</v>
      </c>
      <c r="H6313">
        <f t="shared" si="392"/>
        <v>2022</v>
      </c>
      <c r="I6313">
        <f t="shared" si="393"/>
        <v>6</v>
      </c>
      <c r="J6313" t="str">
        <f t="shared" si="394"/>
        <v>Jun</v>
      </c>
      <c r="K6313" t="str">
        <f t="shared" si="395"/>
        <v>Fri</v>
      </c>
    </row>
    <row r="6314" spans="1:11" x14ac:dyDescent="0.35">
      <c r="A6314" s="1">
        <v>44725</v>
      </c>
      <c r="B6314">
        <v>104.19000244140599</v>
      </c>
      <c r="C6314">
        <v>106.540000915527</v>
      </c>
      <c r="D6314">
        <v>101.86000061035099</v>
      </c>
      <c r="E6314">
        <v>103.669998168945</v>
      </c>
      <c r="F6314">
        <v>103.669998168945</v>
      </c>
      <c r="G6314">
        <v>99277700</v>
      </c>
      <c r="H6314">
        <f t="shared" si="392"/>
        <v>2022</v>
      </c>
      <c r="I6314">
        <f t="shared" si="393"/>
        <v>6</v>
      </c>
      <c r="J6314" t="str">
        <f t="shared" si="394"/>
        <v>Jun</v>
      </c>
      <c r="K6314" t="str">
        <f t="shared" si="395"/>
        <v>Mon</v>
      </c>
    </row>
    <row r="6315" spans="1:11" x14ac:dyDescent="0.35">
      <c r="A6315" s="1">
        <v>44726</v>
      </c>
      <c r="B6315">
        <v>104.19000244140599</v>
      </c>
      <c r="C6315">
        <v>104.879997253417</v>
      </c>
      <c r="D6315">
        <v>101.430000305175</v>
      </c>
      <c r="E6315">
        <v>102.309997558593</v>
      </c>
      <c r="F6315">
        <v>102.309997558593</v>
      </c>
      <c r="G6315">
        <v>69728800</v>
      </c>
      <c r="H6315">
        <f t="shared" si="392"/>
        <v>2022</v>
      </c>
      <c r="I6315">
        <f t="shared" si="393"/>
        <v>6</v>
      </c>
      <c r="J6315" t="str">
        <f t="shared" si="394"/>
        <v>Jun</v>
      </c>
      <c r="K6315" t="str">
        <f t="shared" si="395"/>
        <v>Tue</v>
      </c>
    </row>
    <row r="6316" spans="1:11" x14ac:dyDescent="0.35">
      <c r="A6316" s="1">
        <v>44727</v>
      </c>
      <c r="B6316">
        <v>103.86000061035099</v>
      </c>
      <c r="C6316">
        <v>109.059997558593</v>
      </c>
      <c r="D6316">
        <v>103.52999877929599</v>
      </c>
      <c r="E6316">
        <v>107.669998168945</v>
      </c>
      <c r="F6316">
        <v>107.669998168945</v>
      </c>
      <c r="G6316">
        <v>85011100</v>
      </c>
      <c r="H6316">
        <f t="shared" si="392"/>
        <v>2022</v>
      </c>
      <c r="I6316">
        <f t="shared" si="393"/>
        <v>6</v>
      </c>
      <c r="J6316" t="str">
        <f t="shared" si="394"/>
        <v>Jun</v>
      </c>
      <c r="K6316" t="str">
        <f t="shared" si="395"/>
        <v>Wed</v>
      </c>
    </row>
    <row r="6317" spans="1:11" x14ac:dyDescent="0.35">
      <c r="A6317" s="1">
        <v>44728</v>
      </c>
      <c r="B6317">
        <v>104.470001220703</v>
      </c>
      <c r="C6317">
        <v>104.58000183105401</v>
      </c>
      <c r="D6317">
        <v>102.01000213623</v>
      </c>
      <c r="E6317">
        <v>103.66000366210901</v>
      </c>
      <c r="F6317">
        <v>103.66000366210901</v>
      </c>
      <c r="G6317">
        <v>82186300</v>
      </c>
      <c r="H6317">
        <f t="shared" si="392"/>
        <v>2022</v>
      </c>
      <c r="I6317">
        <f t="shared" si="393"/>
        <v>6</v>
      </c>
      <c r="J6317" t="str">
        <f t="shared" si="394"/>
        <v>Jun</v>
      </c>
      <c r="K6317" t="str">
        <f t="shared" si="395"/>
        <v>Thu</v>
      </c>
    </row>
    <row r="6318" spans="1:11" x14ac:dyDescent="0.35">
      <c r="A6318" s="1">
        <v>44729</v>
      </c>
      <c r="B6318">
        <v>102.800003051757</v>
      </c>
      <c r="C6318">
        <v>106.980003356933</v>
      </c>
      <c r="D6318">
        <v>102.51000213623</v>
      </c>
      <c r="E6318">
        <v>106.220001220703</v>
      </c>
      <c r="F6318">
        <v>106.220001220703</v>
      </c>
      <c r="G6318">
        <v>99772100</v>
      </c>
      <c r="H6318">
        <f t="shared" si="392"/>
        <v>2022</v>
      </c>
      <c r="I6318">
        <f t="shared" si="393"/>
        <v>6</v>
      </c>
      <c r="J6318" t="str">
        <f t="shared" si="394"/>
        <v>Jun</v>
      </c>
      <c r="K6318" t="str">
        <f t="shared" si="395"/>
        <v>Fri</v>
      </c>
    </row>
    <row r="6319" spans="1:11" x14ac:dyDescent="0.35">
      <c r="A6319" s="1">
        <v>44733</v>
      </c>
      <c r="B6319">
        <v>108.199996948242</v>
      </c>
      <c r="C6319">
        <v>111.629997253417</v>
      </c>
      <c r="D6319">
        <v>103.559997558593</v>
      </c>
      <c r="E6319">
        <v>108.680000305175</v>
      </c>
      <c r="F6319">
        <v>108.680000305175</v>
      </c>
      <c r="G6319">
        <v>70901200</v>
      </c>
      <c r="H6319">
        <f t="shared" si="392"/>
        <v>2022</v>
      </c>
      <c r="I6319">
        <f t="shared" si="393"/>
        <v>6</v>
      </c>
      <c r="J6319" t="str">
        <f t="shared" si="394"/>
        <v>Jun</v>
      </c>
      <c r="K6319" t="str">
        <f t="shared" si="395"/>
        <v>Tue</v>
      </c>
    </row>
    <row r="6320" spans="1:11" x14ac:dyDescent="0.35">
      <c r="A6320" s="1">
        <v>44734</v>
      </c>
      <c r="B6320">
        <v>107.430000305175</v>
      </c>
      <c r="C6320">
        <v>112.129997253417</v>
      </c>
      <c r="D6320">
        <v>107.01999664306599</v>
      </c>
      <c r="E6320">
        <v>108.949996948242</v>
      </c>
      <c r="F6320">
        <v>108.949996948242</v>
      </c>
      <c r="G6320">
        <v>60040100</v>
      </c>
      <c r="H6320">
        <f t="shared" si="392"/>
        <v>2022</v>
      </c>
      <c r="I6320">
        <f t="shared" si="393"/>
        <v>6</v>
      </c>
      <c r="J6320" t="str">
        <f t="shared" si="394"/>
        <v>Jun</v>
      </c>
      <c r="K6320" t="str">
        <f t="shared" si="395"/>
        <v>Wed</v>
      </c>
    </row>
    <row r="6321" spans="1:11" x14ac:dyDescent="0.35">
      <c r="A6321" s="1">
        <v>44735</v>
      </c>
      <c r="B6321">
        <v>110.389999389648</v>
      </c>
      <c r="C6321">
        <v>113</v>
      </c>
      <c r="D6321">
        <v>107.930000305175</v>
      </c>
      <c r="E6321">
        <v>112.44000244140599</v>
      </c>
      <c r="F6321">
        <v>112.44000244140599</v>
      </c>
      <c r="G6321">
        <v>64345300</v>
      </c>
      <c r="H6321">
        <f t="shared" si="392"/>
        <v>2022</v>
      </c>
      <c r="I6321">
        <f t="shared" si="393"/>
        <v>6</v>
      </c>
      <c r="J6321" t="str">
        <f t="shared" si="394"/>
        <v>Jun</v>
      </c>
      <c r="K6321" t="str">
        <f t="shared" si="395"/>
        <v>Thu</v>
      </c>
    </row>
    <row r="6322" spans="1:11" x14ac:dyDescent="0.35">
      <c r="A6322" s="1">
        <v>44736</v>
      </c>
      <c r="B6322">
        <v>112.379997253417</v>
      </c>
      <c r="C6322">
        <v>116.709999084472</v>
      </c>
      <c r="D6322">
        <v>111.430000305175</v>
      </c>
      <c r="E6322">
        <v>116.459999084472</v>
      </c>
      <c r="F6322">
        <v>116.459999084472</v>
      </c>
      <c r="G6322">
        <v>69867600</v>
      </c>
      <c r="H6322">
        <f t="shared" si="392"/>
        <v>2022</v>
      </c>
      <c r="I6322">
        <f t="shared" si="393"/>
        <v>6</v>
      </c>
      <c r="J6322" t="str">
        <f t="shared" si="394"/>
        <v>Jun</v>
      </c>
      <c r="K6322" t="str">
        <f t="shared" si="395"/>
        <v>Fri</v>
      </c>
    </row>
    <row r="6323" spans="1:11" x14ac:dyDescent="0.35">
      <c r="A6323" s="1">
        <v>44739</v>
      </c>
      <c r="B6323">
        <v>117.08999633789</v>
      </c>
      <c r="C6323">
        <v>117.980003356933</v>
      </c>
      <c r="D6323">
        <v>112.699996948242</v>
      </c>
      <c r="E6323">
        <v>113.220001220703</v>
      </c>
      <c r="F6323">
        <v>113.220001220703</v>
      </c>
      <c r="G6323">
        <v>62133200</v>
      </c>
      <c r="H6323">
        <f t="shared" si="392"/>
        <v>2022</v>
      </c>
      <c r="I6323">
        <f t="shared" si="393"/>
        <v>6</v>
      </c>
      <c r="J6323" t="str">
        <f t="shared" si="394"/>
        <v>Jun</v>
      </c>
      <c r="K6323" t="str">
        <f t="shared" si="395"/>
        <v>Mon</v>
      </c>
    </row>
    <row r="6324" spans="1:11" x14ac:dyDescent="0.35">
      <c r="A6324" s="1">
        <v>44740</v>
      </c>
      <c r="B6324">
        <v>113.5</v>
      </c>
      <c r="C6324">
        <v>114.84999847412099</v>
      </c>
      <c r="D6324">
        <v>107.040000915527</v>
      </c>
      <c r="E6324">
        <v>107.400001525878</v>
      </c>
      <c r="F6324">
        <v>107.400001525878</v>
      </c>
      <c r="G6324">
        <v>74942900</v>
      </c>
      <c r="H6324">
        <f t="shared" si="392"/>
        <v>2022</v>
      </c>
      <c r="I6324">
        <f t="shared" si="393"/>
        <v>6</v>
      </c>
      <c r="J6324" t="str">
        <f t="shared" si="394"/>
        <v>Jun</v>
      </c>
      <c r="K6324" t="str">
        <f t="shared" si="395"/>
        <v>Tue</v>
      </c>
    </row>
    <row r="6325" spans="1:11" x14ac:dyDescent="0.35">
      <c r="A6325" s="1">
        <v>44741</v>
      </c>
      <c r="B6325">
        <v>107.379997253417</v>
      </c>
      <c r="C6325">
        <v>110.98999786376901</v>
      </c>
      <c r="D6325">
        <v>106.91000366210901</v>
      </c>
      <c r="E6325">
        <v>108.919998168945</v>
      </c>
      <c r="F6325">
        <v>108.919998168945</v>
      </c>
      <c r="G6325">
        <v>66375300</v>
      </c>
      <c r="H6325">
        <f t="shared" si="392"/>
        <v>2022</v>
      </c>
      <c r="I6325">
        <f t="shared" si="393"/>
        <v>6</v>
      </c>
      <c r="J6325" t="str">
        <f t="shared" si="394"/>
        <v>Jun</v>
      </c>
      <c r="K6325" t="str">
        <f t="shared" si="395"/>
        <v>Wed</v>
      </c>
    </row>
    <row r="6326" spans="1:11" x14ac:dyDescent="0.35">
      <c r="A6326" s="1">
        <v>44742</v>
      </c>
      <c r="B6326">
        <v>108.11000061035099</v>
      </c>
      <c r="C6326">
        <v>108.180000305175</v>
      </c>
      <c r="D6326">
        <v>102.51999664306599</v>
      </c>
      <c r="E6326">
        <v>106.209999084472</v>
      </c>
      <c r="F6326">
        <v>106.209999084472</v>
      </c>
      <c r="G6326">
        <v>97679400</v>
      </c>
      <c r="H6326">
        <f t="shared" si="392"/>
        <v>2022</v>
      </c>
      <c r="I6326">
        <f t="shared" si="393"/>
        <v>6</v>
      </c>
      <c r="J6326" t="str">
        <f t="shared" si="394"/>
        <v>Jun</v>
      </c>
      <c r="K6326" t="str">
        <f t="shared" si="395"/>
        <v>Thu</v>
      </c>
    </row>
    <row r="6327" spans="1:11" x14ac:dyDescent="0.35">
      <c r="A6327" s="1">
        <v>44743</v>
      </c>
      <c r="B6327">
        <v>106.290000915527</v>
      </c>
      <c r="C6327">
        <v>109.75</v>
      </c>
      <c r="D6327">
        <v>105.84999847412099</v>
      </c>
      <c r="E6327">
        <v>109.559997558593</v>
      </c>
      <c r="F6327">
        <v>109.559997558593</v>
      </c>
      <c r="G6327">
        <v>73021200</v>
      </c>
      <c r="H6327">
        <f t="shared" si="392"/>
        <v>2022</v>
      </c>
      <c r="I6327">
        <f t="shared" si="393"/>
        <v>7</v>
      </c>
      <c r="J6327" t="str">
        <f t="shared" si="394"/>
        <v>Jul</v>
      </c>
      <c r="K6327" t="str">
        <f t="shared" si="395"/>
        <v>Fri</v>
      </c>
    </row>
    <row r="6328" spans="1:11" x14ac:dyDescent="0.35">
      <c r="A6328" s="1">
        <v>44747</v>
      </c>
      <c r="B6328">
        <v>107.59999847412099</v>
      </c>
      <c r="C6328">
        <v>114.08000183105401</v>
      </c>
      <c r="D6328">
        <v>106.31999969482401</v>
      </c>
      <c r="E6328">
        <v>113.5</v>
      </c>
      <c r="F6328">
        <v>113.5</v>
      </c>
      <c r="G6328">
        <v>76583700</v>
      </c>
      <c r="H6328">
        <f t="shared" si="392"/>
        <v>2022</v>
      </c>
      <c r="I6328">
        <f t="shared" si="393"/>
        <v>7</v>
      </c>
      <c r="J6328" t="str">
        <f t="shared" si="394"/>
        <v>Jul</v>
      </c>
      <c r="K6328" t="str">
        <f t="shared" si="395"/>
        <v>Tue</v>
      </c>
    </row>
    <row r="6329" spans="1:11" x14ac:dyDescent="0.35">
      <c r="A6329" s="1">
        <v>44748</v>
      </c>
      <c r="B6329">
        <v>113.209999084472</v>
      </c>
      <c r="C6329">
        <v>115.480003356933</v>
      </c>
      <c r="D6329">
        <v>112.01000213623</v>
      </c>
      <c r="E6329">
        <v>114.33000183105401</v>
      </c>
      <c r="F6329">
        <v>114.33000183105401</v>
      </c>
      <c r="G6329">
        <v>66958900</v>
      </c>
      <c r="H6329">
        <f t="shared" si="392"/>
        <v>2022</v>
      </c>
      <c r="I6329">
        <f t="shared" si="393"/>
        <v>7</v>
      </c>
      <c r="J6329" t="str">
        <f t="shared" si="394"/>
        <v>Jul</v>
      </c>
      <c r="K6329" t="str">
        <f t="shared" si="395"/>
        <v>Wed</v>
      </c>
    </row>
    <row r="6330" spans="1:11" x14ac:dyDescent="0.35">
      <c r="A6330" s="1">
        <v>44749</v>
      </c>
      <c r="B6330">
        <v>113.84999847412099</v>
      </c>
      <c r="C6330">
        <v>116.98999786376901</v>
      </c>
      <c r="D6330">
        <v>113.48999786376901</v>
      </c>
      <c r="E6330">
        <v>116.33000183105401</v>
      </c>
      <c r="F6330">
        <v>116.33000183105401</v>
      </c>
      <c r="G6330">
        <v>57872300</v>
      </c>
      <c r="H6330">
        <f t="shared" si="392"/>
        <v>2022</v>
      </c>
      <c r="I6330">
        <f t="shared" si="393"/>
        <v>7</v>
      </c>
      <c r="J6330" t="str">
        <f t="shared" si="394"/>
        <v>Jul</v>
      </c>
      <c r="K6330" t="str">
        <f t="shared" si="395"/>
        <v>Thu</v>
      </c>
    </row>
    <row r="6331" spans="1:11" x14ac:dyDescent="0.35">
      <c r="A6331" s="1">
        <v>44750</v>
      </c>
      <c r="B6331">
        <v>114.59999847412099</v>
      </c>
      <c r="C6331">
        <v>116.58000183105401</v>
      </c>
      <c r="D6331">
        <v>113.69000244140599</v>
      </c>
      <c r="E6331">
        <v>115.540000915527</v>
      </c>
      <c r="F6331">
        <v>115.540000915527</v>
      </c>
      <c r="G6331">
        <v>45719700</v>
      </c>
      <c r="H6331">
        <f t="shared" si="392"/>
        <v>2022</v>
      </c>
      <c r="I6331">
        <f t="shared" si="393"/>
        <v>7</v>
      </c>
      <c r="J6331" t="str">
        <f t="shared" si="394"/>
        <v>Jul</v>
      </c>
      <c r="K6331" t="str">
        <f t="shared" si="395"/>
        <v>Fri</v>
      </c>
    </row>
    <row r="6332" spans="1:11" x14ac:dyDescent="0.35">
      <c r="A6332" s="1">
        <v>44753</v>
      </c>
      <c r="B6332">
        <v>114.08000183105401</v>
      </c>
      <c r="C6332">
        <v>114.300003051757</v>
      </c>
      <c r="D6332">
        <v>110.870002746582</v>
      </c>
      <c r="E6332">
        <v>111.75</v>
      </c>
      <c r="F6332">
        <v>111.75</v>
      </c>
      <c r="G6332">
        <v>53487600</v>
      </c>
      <c r="H6332">
        <f t="shared" si="392"/>
        <v>2022</v>
      </c>
      <c r="I6332">
        <f t="shared" si="393"/>
        <v>7</v>
      </c>
      <c r="J6332" t="str">
        <f t="shared" si="394"/>
        <v>Jul</v>
      </c>
      <c r="K6332" t="str">
        <f t="shared" si="395"/>
        <v>Mon</v>
      </c>
    </row>
    <row r="6333" spans="1:11" x14ac:dyDescent="0.35">
      <c r="A6333" s="1">
        <v>44754</v>
      </c>
      <c r="B6333">
        <v>112.16000366210901</v>
      </c>
      <c r="C6333">
        <v>113.230003356933</v>
      </c>
      <c r="D6333">
        <v>108.33999633789</v>
      </c>
      <c r="E6333">
        <v>109.220001220703</v>
      </c>
      <c r="F6333">
        <v>109.220001220703</v>
      </c>
      <c r="G6333">
        <v>54280300</v>
      </c>
      <c r="H6333">
        <f t="shared" si="392"/>
        <v>2022</v>
      </c>
      <c r="I6333">
        <f t="shared" si="393"/>
        <v>7</v>
      </c>
      <c r="J6333" t="str">
        <f t="shared" si="394"/>
        <v>Jul</v>
      </c>
      <c r="K6333" t="str">
        <f t="shared" si="395"/>
        <v>Tue</v>
      </c>
    </row>
    <row r="6334" spans="1:11" x14ac:dyDescent="0.35">
      <c r="A6334" s="1">
        <v>44755</v>
      </c>
      <c r="B6334">
        <v>107.02999877929599</v>
      </c>
      <c r="C6334">
        <v>111.77999877929599</v>
      </c>
      <c r="D6334">
        <v>106.01000213623</v>
      </c>
      <c r="E6334">
        <v>110.400001525878</v>
      </c>
      <c r="F6334">
        <v>110.400001525878</v>
      </c>
      <c r="G6334">
        <v>61353800</v>
      </c>
      <c r="H6334">
        <f t="shared" si="392"/>
        <v>2022</v>
      </c>
      <c r="I6334">
        <f t="shared" si="393"/>
        <v>7</v>
      </c>
      <c r="J6334" t="str">
        <f t="shared" si="394"/>
        <v>Jul</v>
      </c>
      <c r="K6334" t="str">
        <f t="shared" si="395"/>
        <v>Wed</v>
      </c>
    </row>
    <row r="6335" spans="1:11" x14ac:dyDescent="0.35">
      <c r="A6335" s="1">
        <v>44756</v>
      </c>
      <c r="B6335">
        <v>110.23999786376901</v>
      </c>
      <c r="C6335">
        <v>111.180000305175</v>
      </c>
      <c r="D6335">
        <v>107.58000183105401</v>
      </c>
      <c r="E6335">
        <v>110.629997253417</v>
      </c>
      <c r="F6335">
        <v>110.629997253417</v>
      </c>
      <c r="G6335">
        <v>51163100</v>
      </c>
      <c r="H6335">
        <f t="shared" si="392"/>
        <v>2022</v>
      </c>
      <c r="I6335">
        <f t="shared" si="393"/>
        <v>7</v>
      </c>
      <c r="J6335" t="str">
        <f t="shared" si="394"/>
        <v>Jul</v>
      </c>
      <c r="K6335" t="str">
        <f t="shared" si="395"/>
        <v>Thu</v>
      </c>
    </row>
    <row r="6336" spans="1:11" x14ac:dyDescent="0.35">
      <c r="A6336" s="1">
        <v>44757</v>
      </c>
      <c r="B6336">
        <v>112.5</v>
      </c>
      <c r="C6336">
        <v>115.58999633789</v>
      </c>
      <c r="D6336">
        <v>111.58999633789</v>
      </c>
      <c r="E6336">
        <v>113.550003051757</v>
      </c>
      <c r="F6336">
        <v>113.550003051757</v>
      </c>
      <c r="G6336">
        <v>84317800</v>
      </c>
      <c r="H6336">
        <f t="shared" si="392"/>
        <v>2022</v>
      </c>
      <c r="I6336">
        <f t="shared" si="393"/>
        <v>7</v>
      </c>
      <c r="J6336" t="str">
        <f t="shared" si="394"/>
        <v>Jul</v>
      </c>
      <c r="K6336" t="str">
        <f t="shared" si="395"/>
        <v>Fri</v>
      </c>
    </row>
    <row r="6337" spans="1:11" x14ac:dyDescent="0.35">
      <c r="A6337" s="1">
        <v>44760</v>
      </c>
      <c r="B6337">
        <v>115</v>
      </c>
      <c r="C6337">
        <v>117.23999786376901</v>
      </c>
      <c r="D6337">
        <v>113.150001525878</v>
      </c>
      <c r="E6337">
        <v>113.76000213623</v>
      </c>
      <c r="F6337">
        <v>113.76000213623</v>
      </c>
      <c r="G6337">
        <v>59115400</v>
      </c>
      <c r="H6337">
        <f t="shared" si="392"/>
        <v>2022</v>
      </c>
      <c r="I6337">
        <f t="shared" si="393"/>
        <v>7</v>
      </c>
      <c r="J6337" t="str">
        <f t="shared" si="394"/>
        <v>Jul</v>
      </c>
      <c r="K6337" t="str">
        <f t="shared" si="395"/>
        <v>Mon</v>
      </c>
    </row>
    <row r="6338" spans="1:11" x14ac:dyDescent="0.35">
      <c r="A6338" s="1">
        <v>44761</v>
      </c>
      <c r="B6338">
        <v>115.699996948242</v>
      </c>
      <c r="C6338">
        <v>118.949996948242</v>
      </c>
      <c r="D6338">
        <v>114.02999877929599</v>
      </c>
      <c r="E6338">
        <v>118.209999084472</v>
      </c>
      <c r="F6338">
        <v>118.209999084472</v>
      </c>
      <c r="G6338">
        <v>60990000</v>
      </c>
      <c r="H6338">
        <f t="shared" si="392"/>
        <v>2022</v>
      </c>
      <c r="I6338">
        <f t="shared" si="393"/>
        <v>7</v>
      </c>
      <c r="J6338" t="str">
        <f t="shared" si="394"/>
        <v>Jul</v>
      </c>
      <c r="K6338" t="str">
        <f t="shared" si="395"/>
        <v>Tue</v>
      </c>
    </row>
    <row r="6339" spans="1:11" x14ac:dyDescent="0.35">
      <c r="A6339" s="1">
        <v>44762</v>
      </c>
      <c r="B6339">
        <v>118.620002746582</v>
      </c>
      <c r="C6339">
        <v>123.480003356933</v>
      </c>
      <c r="D6339">
        <v>118.31999969482401</v>
      </c>
      <c r="E6339">
        <v>122.76999664306599</v>
      </c>
      <c r="F6339">
        <v>122.76999664306599</v>
      </c>
      <c r="G6339">
        <v>71268300</v>
      </c>
      <c r="H6339">
        <f t="shared" si="392"/>
        <v>2022</v>
      </c>
      <c r="I6339">
        <f t="shared" si="393"/>
        <v>7</v>
      </c>
      <c r="J6339" t="str">
        <f t="shared" si="394"/>
        <v>Jul</v>
      </c>
      <c r="K6339" t="str">
        <f t="shared" si="395"/>
        <v>Wed</v>
      </c>
    </row>
    <row r="6340" spans="1:11" x14ac:dyDescent="0.35">
      <c r="A6340" s="1">
        <v>44763</v>
      </c>
      <c r="B6340">
        <v>123.199996948242</v>
      </c>
      <c r="C6340">
        <v>124.84999847412099</v>
      </c>
      <c r="D6340">
        <v>121.26000213623</v>
      </c>
      <c r="E6340">
        <v>124.629997253417</v>
      </c>
      <c r="F6340">
        <v>124.629997253417</v>
      </c>
      <c r="G6340">
        <v>60239900</v>
      </c>
      <c r="H6340">
        <f t="shared" ref="H6340:H6403" si="396">YEAR($A6340)</f>
        <v>2022</v>
      </c>
      <c r="I6340">
        <f t="shared" ref="I6340:I6403" si="397">MONTH($A6340)</f>
        <v>7</v>
      </c>
      <c r="J6340" t="str">
        <f t="shared" ref="J6340:J6403" si="398">TEXT($A6340,"mmm")</f>
        <v>Jul</v>
      </c>
      <c r="K6340" t="str">
        <f t="shared" ref="K6340:K6403" si="399">TEXT($A6340,"ddd")</f>
        <v>Thu</v>
      </c>
    </row>
    <row r="6341" spans="1:11" x14ac:dyDescent="0.35">
      <c r="A6341" s="1">
        <v>44764</v>
      </c>
      <c r="B6341">
        <v>125.01000213623</v>
      </c>
      <c r="C6341">
        <v>125.5</v>
      </c>
      <c r="D6341">
        <v>121.34999847412099</v>
      </c>
      <c r="E6341">
        <v>122.419998168945</v>
      </c>
      <c r="F6341">
        <v>122.419998168945</v>
      </c>
      <c r="G6341">
        <v>51463800</v>
      </c>
      <c r="H6341">
        <f t="shared" si="396"/>
        <v>2022</v>
      </c>
      <c r="I6341">
        <f t="shared" si="397"/>
        <v>7</v>
      </c>
      <c r="J6341" t="str">
        <f t="shared" si="398"/>
        <v>Jul</v>
      </c>
      <c r="K6341" t="str">
        <f t="shared" si="399"/>
        <v>Fri</v>
      </c>
    </row>
    <row r="6342" spans="1:11" x14ac:dyDescent="0.35">
      <c r="A6342" s="1">
        <v>44767</v>
      </c>
      <c r="B6342">
        <v>122.699996948242</v>
      </c>
      <c r="C6342">
        <v>123.639999389648</v>
      </c>
      <c r="D6342">
        <v>120.02999877929599</v>
      </c>
      <c r="E6342">
        <v>121.139999389648</v>
      </c>
      <c r="F6342">
        <v>121.139999389648</v>
      </c>
      <c r="G6342">
        <v>50221300</v>
      </c>
      <c r="H6342">
        <f t="shared" si="396"/>
        <v>2022</v>
      </c>
      <c r="I6342">
        <f t="shared" si="397"/>
        <v>7</v>
      </c>
      <c r="J6342" t="str">
        <f t="shared" si="398"/>
        <v>Jul</v>
      </c>
      <c r="K6342" t="str">
        <f t="shared" si="399"/>
        <v>Mon</v>
      </c>
    </row>
    <row r="6343" spans="1:11" x14ac:dyDescent="0.35">
      <c r="A6343" s="1">
        <v>44768</v>
      </c>
      <c r="B6343">
        <v>115.790000915527</v>
      </c>
      <c r="C6343">
        <v>118.150001525878</v>
      </c>
      <c r="D6343">
        <v>114.52999877929599</v>
      </c>
      <c r="E6343">
        <v>114.809997558593</v>
      </c>
      <c r="F6343">
        <v>114.809997558593</v>
      </c>
      <c r="G6343">
        <v>67075100</v>
      </c>
      <c r="H6343">
        <f t="shared" si="396"/>
        <v>2022</v>
      </c>
      <c r="I6343">
        <f t="shared" si="397"/>
        <v>7</v>
      </c>
      <c r="J6343" t="str">
        <f t="shared" si="398"/>
        <v>Jul</v>
      </c>
      <c r="K6343" t="str">
        <f t="shared" si="399"/>
        <v>Tue</v>
      </c>
    </row>
    <row r="6344" spans="1:11" x14ac:dyDescent="0.35">
      <c r="A6344" s="1">
        <v>44769</v>
      </c>
      <c r="B6344">
        <v>117.309997558593</v>
      </c>
      <c r="C6344">
        <v>121.900001525878</v>
      </c>
      <c r="D6344">
        <v>117.16000366210901</v>
      </c>
      <c r="E6344">
        <v>120.970001220703</v>
      </c>
      <c r="F6344">
        <v>120.970001220703</v>
      </c>
      <c r="G6344">
        <v>61582000</v>
      </c>
      <c r="H6344">
        <f t="shared" si="396"/>
        <v>2022</v>
      </c>
      <c r="I6344">
        <f t="shared" si="397"/>
        <v>7</v>
      </c>
      <c r="J6344" t="str">
        <f t="shared" si="398"/>
        <v>Jul</v>
      </c>
      <c r="K6344" t="str">
        <f t="shared" si="399"/>
        <v>Wed</v>
      </c>
    </row>
    <row r="6345" spans="1:11" x14ac:dyDescent="0.35">
      <c r="A6345" s="1">
        <v>44770</v>
      </c>
      <c r="B6345">
        <v>121.56999969482401</v>
      </c>
      <c r="C6345">
        <v>122.83999633789</v>
      </c>
      <c r="D6345">
        <v>118.08000183105401</v>
      </c>
      <c r="E6345">
        <v>122.27999877929599</v>
      </c>
      <c r="F6345">
        <v>122.27999877929599</v>
      </c>
      <c r="G6345">
        <v>82245500</v>
      </c>
      <c r="H6345">
        <f t="shared" si="396"/>
        <v>2022</v>
      </c>
      <c r="I6345">
        <f t="shared" si="397"/>
        <v>7</v>
      </c>
      <c r="J6345" t="str">
        <f t="shared" si="398"/>
        <v>Jul</v>
      </c>
      <c r="K6345" t="str">
        <f t="shared" si="399"/>
        <v>Thu</v>
      </c>
    </row>
    <row r="6346" spans="1:11" x14ac:dyDescent="0.35">
      <c r="A6346" s="1">
        <v>44771</v>
      </c>
      <c r="B6346">
        <v>134.89999389648401</v>
      </c>
      <c r="C6346">
        <v>137.64999389648401</v>
      </c>
      <c r="D6346">
        <v>132.41000366210901</v>
      </c>
      <c r="E6346">
        <v>134.94999694824199</v>
      </c>
      <c r="F6346">
        <v>134.94999694824199</v>
      </c>
      <c r="G6346">
        <v>148892900</v>
      </c>
      <c r="H6346">
        <f t="shared" si="396"/>
        <v>2022</v>
      </c>
      <c r="I6346">
        <f t="shared" si="397"/>
        <v>7</v>
      </c>
      <c r="J6346" t="str">
        <f t="shared" si="398"/>
        <v>Jul</v>
      </c>
      <c r="K6346" t="str">
        <f t="shared" si="399"/>
        <v>Fri</v>
      </c>
    </row>
    <row r="6347" spans="1:11" x14ac:dyDescent="0.35">
      <c r="A6347" s="1">
        <v>44774</v>
      </c>
      <c r="B6347">
        <v>134.96000671386699</v>
      </c>
      <c r="C6347">
        <v>138.83000183105401</v>
      </c>
      <c r="D6347">
        <v>133.509994506835</v>
      </c>
      <c r="E6347">
        <v>135.38999938964801</v>
      </c>
      <c r="F6347">
        <v>135.38999938964801</v>
      </c>
      <c r="G6347">
        <v>76846900</v>
      </c>
      <c r="H6347">
        <f t="shared" si="396"/>
        <v>2022</v>
      </c>
      <c r="I6347">
        <f t="shared" si="397"/>
        <v>8</v>
      </c>
      <c r="J6347" t="str">
        <f t="shared" si="398"/>
        <v>Aug</v>
      </c>
      <c r="K6347" t="str">
        <f t="shared" si="399"/>
        <v>Mon</v>
      </c>
    </row>
    <row r="6348" spans="1:11" x14ac:dyDescent="0.35">
      <c r="A6348" s="1">
        <v>44775</v>
      </c>
      <c r="B6348">
        <v>134.72000122070301</v>
      </c>
      <c r="C6348">
        <v>137.44000244140599</v>
      </c>
      <c r="D6348">
        <v>134.08999633789</v>
      </c>
      <c r="E6348">
        <v>134.16000366210901</v>
      </c>
      <c r="F6348">
        <v>134.16000366210901</v>
      </c>
      <c r="G6348">
        <v>61922400</v>
      </c>
      <c r="H6348">
        <f t="shared" si="396"/>
        <v>2022</v>
      </c>
      <c r="I6348">
        <f t="shared" si="397"/>
        <v>8</v>
      </c>
      <c r="J6348" t="str">
        <f t="shared" si="398"/>
        <v>Aug</v>
      </c>
      <c r="K6348" t="str">
        <f t="shared" si="399"/>
        <v>Tue</v>
      </c>
    </row>
    <row r="6349" spans="1:11" x14ac:dyDescent="0.35">
      <c r="A6349" s="1">
        <v>44776</v>
      </c>
      <c r="B6349">
        <v>136.21000671386699</v>
      </c>
      <c r="C6349">
        <v>140.49000549316401</v>
      </c>
      <c r="D6349">
        <v>136.05000305175699</v>
      </c>
      <c r="E6349">
        <v>139.52000427246</v>
      </c>
      <c r="F6349">
        <v>139.52000427246</v>
      </c>
      <c r="G6349">
        <v>71827800</v>
      </c>
      <c r="H6349">
        <f t="shared" si="396"/>
        <v>2022</v>
      </c>
      <c r="I6349">
        <f t="shared" si="397"/>
        <v>8</v>
      </c>
      <c r="J6349" t="str">
        <f t="shared" si="398"/>
        <v>Aug</v>
      </c>
      <c r="K6349" t="str">
        <f t="shared" si="399"/>
        <v>Wed</v>
      </c>
    </row>
    <row r="6350" spans="1:11" x14ac:dyDescent="0.35">
      <c r="A6350" s="1">
        <v>44777</v>
      </c>
      <c r="B6350">
        <v>140.58000183105401</v>
      </c>
      <c r="C6350">
        <v>143.55999755859301</v>
      </c>
      <c r="D6350">
        <v>139.55000305175699</v>
      </c>
      <c r="E6350">
        <v>142.57000732421801</v>
      </c>
      <c r="F6350">
        <v>142.57000732421801</v>
      </c>
      <c r="G6350">
        <v>70585000</v>
      </c>
      <c r="H6350">
        <f t="shared" si="396"/>
        <v>2022</v>
      </c>
      <c r="I6350">
        <f t="shared" si="397"/>
        <v>8</v>
      </c>
      <c r="J6350" t="str">
        <f t="shared" si="398"/>
        <v>Aug</v>
      </c>
      <c r="K6350" t="str">
        <f t="shared" si="399"/>
        <v>Thu</v>
      </c>
    </row>
    <row r="6351" spans="1:11" x14ac:dyDescent="0.35">
      <c r="A6351" s="1">
        <v>44778</v>
      </c>
      <c r="B6351">
        <v>140.100006103515</v>
      </c>
      <c r="C6351">
        <v>142.86000061035099</v>
      </c>
      <c r="D6351">
        <v>139.600006103515</v>
      </c>
      <c r="E6351">
        <v>140.80000305175699</v>
      </c>
      <c r="F6351">
        <v>140.80000305175699</v>
      </c>
      <c r="G6351">
        <v>50686900</v>
      </c>
      <c r="H6351">
        <f t="shared" si="396"/>
        <v>2022</v>
      </c>
      <c r="I6351">
        <f t="shared" si="397"/>
        <v>8</v>
      </c>
      <c r="J6351" t="str">
        <f t="shared" si="398"/>
        <v>Aug</v>
      </c>
      <c r="K6351" t="str">
        <f t="shared" si="399"/>
        <v>Fri</v>
      </c>
    </row>
    <row r="6352" spans="1:11" x14ac:dyDescent="0.35">
      <c r="A6352" s="1">
        <v>44781</v>
      </c>
      <c r="B6352">
        <v>142.05000305175699</v>
      </c>
      <c r="C6352">
        <v>144.22999572753901</v>
      </c>
      <c r="D6352">
        <v>138.28999328613199</v>
      </c>
      <c r="E6352">
        <v>139.41000366210901</v>
      </c>
      <c r="F6352">
        <v>139.41000366210901</v>
      </c>
      <c r="G6352">
        <v>52229000</v>
      </c>
      <c r="H6352">
        <f t="shared" si="396"/>
        <v>2022</v>
      </c>
      <c r="I6352">
        <f t="shared" si="397"/>
        <v>8</v>
      </c>
      <c r="J6352" t="str">
        <f t="shared" si="398"/>
        <v>Aug</v>
      </c>
      <c r="K6352" t="str">
        <f t="shared" si="399"/>
        <v>Mon</v>
      </c>
    </row>
    <row r="6353" spans="1:11" x14ac:dyDescent="0.35">
      <c r="A6353" s="1">
        <v>44782</v>
      </c>
      <c r="B6353">
        <v>138.05000305175699</v>
      </c>
      <c r="C6353">
        <v>138.94999694824199</v>
      </c>
      <c r="D6353">
        <v>136.21000671386699</v>
      </c>
      <c r="E6353">
        <v>137.83000183105401</v>
      </c>
      <c r="F6353">
        <v>137.83000183105401</v>
      </c>
      <c r="G6353">
        <v>40434700</v>
      </c>
      <c r="H6353">
        <f t="shared" si="396"/>
        <v>2022</v>
      </c>
      <c r="I6353">
        <f t="shared" si="397"/>
        <v>8</v>
      </c>
      <c r="J6353" t="str">
        <f t="shared" si="398"/>
        <v>Aug</v>
      </c>
      <c r="K6353" t="str">
        <f t="shared" si="399"/>
        <v>Tue</v>
      </c>
    </row>
    <row r="6354" spans="1:11" x14ac:dyDescent="0.35">
      <c r="A6354" s="1">
        <v>44783</v>
      </c>
      <c r="B6354">
        <v>142.89999389648401</v>
      </c>
      <c r="C6354">
        <v>144.600006103515</v>
      </c>
      <c r="D6354">
        <v>141.009994506835</v>
      </c>
      <c r="E6354">
        <v>142.69000244140599</v>
      </c>
      <c r="F6354">
        <v>142.69000244140599</v>
      </c>
      <c r="G6354">
        <v>54773800</v>
      </c>
      <c r="H6354">
        <f t="shared" si="396"/>
        <v>2022</v>
      </c>
      <c r="I6354">
        <f t="shared" si="397"/>
        <v>8</v>
      </c>
      <c r="J6354" t="str">
        <f t="shared" si="398"/>
        <v>Aug</v>
      </c>
      <c r="K6354" t="str">
        <f t="shared" si="399"/>
        <v>Wed</v>
      </c>
    </row>
    <row r="6355" spans="1:11" x14ac:dyDescent="0.35">
      <c r="A6355" s="1">
        <v>44784</v>
      </c>
      <c r="B6355">
        <v>143.86000061035099</v>
      </c>
      <c r="C6355">
        <v>144.49000549316401</v>
      </c>
      <c r="D6355">
        <v>139.759994506835</v>
      </c>
      <c r="E6355">
        <v>140.63999938964801</v>
      </c>
      <c r="F6355">
        <v>140.63999938964801</v>
      </c>
      <c r="G6355">
        <v>44867300</v>
      </c>
      <c r="H6355">
        <f t="shared" si="396"/>
        <v>2022</v>
      </c>
      <c r="I6355">
        <f t="shared" si="397"/>
        <v>8</v>
      </c>
      <c r="J6355" t="str">
        <f t="shared" si="398"/>
        <v>Aug</v>
      </c>
      <c r="K6355" t="str">
        <f t="shared" si="399"/>
        <v>Thu</v>
      </c>
    </row>
    <row r="6356" spans="1:11" x14ac:dyDescent="0.35">
      <c r="A6356" s="1">
        <v>44785</v>
      </c>
      <c r="B6356">
        <v>142.05000305175699</v>
      </c>
      <c r="C6356">
        <v>143.57000732421801</v>
      </c>
      <c r="D6356">
        <v>140.11999511718699</v>
      </c>
      <c r="E6356">
        <v>143.55000305175699</v>
      </c>
      <c r="F6356">
        <v>143.55000305175699</v>
      </c>
      <c r="G6356">
        <v>47643500</v>
      </c>
      <c r="H6356">
        <f t="shared" si="396"/>
        <v>2022</v>
      </c>
      <c r="I6356">
        <f t="shared" si="397"/>
        <v>8</v>
      </c>
      <c r="J6356" t="str">
        <f t="shared" si="398"/>
        <v>Aug</v>
      </c>
      <c r="K6356" t="str">
        <f t="shared" si="399"/>
        <v>Fri</v>
      </c>
    </row>
    <row r="6357" spans="1:11" x14ac:dyDescent="0.35">
      <c r="A6357" s="1">
        <v>44788</v>
      </c>
      <c r="B6357">
        <v>142.80000305175699</v>
      </c>
      <c r="C6357">
        <v>143.759994506835</v>
      </c>
      <c r="D6357">
        <v>141.49000549316401</v>
      </c>
      <c r="E6357">
        <v>143.17999267578099</v>
      </c>
      <c r="F6357">
        <v>143.17999267578099</v>
      </c>
      <c r="G6357">
        <v>39014600</v>
      </c>
      <c r="H6357">
        <f t="shared" si="396"/>
        <v>2022</v>
      </c>
      <c r="I6357">
        <f t="shared" si="397"/>
        <v>8</v>
      </c>
      <c r="J6357" t="str">
        <f t="shared" si="398"/>
        <v>Aug</v>
      </c>
      <c r="K6357" t="str">
        <f t="shared" si="399"/>
        <v>Mon</v>
      </c>
    </row>
    <row r="6358" spans="1:11" x14ac:dyDescent="0.35">
      <c r="A6358" s="1">
        <v>44789</v>
      </c>
      <c r="B6358">
        <v>143.91000366210901</v>
      </c>
      <c r="C6358">
        <v>146.57000732421801</v>
      </c>
      <c r="D6358">
        <v>142</v>
      </c>
      <c r="E6358">
        <v>144.77999877929599</v>
      </c>
      <c r="F6358">
        <v>144.77999877929599</v>
      </c>
      <c r="G6358">
        <v>59102900</v>
      </c>
      <c r="H6358">
        <f t="shared" si="396"/>
        <v>2022</v>
      </c>
      <c r="I6358">
        <f t="shared" si="397"/>
        <v>8</v>
      </c>
      <c r="J6358" t="str">
        <f t="shared" si="398"/>
        <v>Aug</v>
      </c>
      <c r="K6358" t="str">
        <f t="shared" si="399"/>
        <v>Tue</v>
      </c>
    </row>
    <row r="6359" spans="1:11" x14ac:dyDescent="0.35">
      <c r="A6359" s="1">
        <v>44790</v>
      </c>
      <c r="B6359">
        <v>142.69000244140599</v>
      </c>
      <c r="C6359">
        <v>143.38000488281199</v>
      </c>
      <c r="D6359">
        <v>140.77999877929599</v>
      </c>
      <c r="E6359">
        <v>142.100006103515</v>
      </c>
      <c r="F6359">
        <v>142.100006103515</v>
      </c>
      <c r="G6359">
        <v>48149800</v>
      </c>
      <c r="H6359">
        <f t="shared" si="396"/>
        <v>2022</v>
      </c>
      <c r="I6359">
        <f t="shared" si="397"/>
        <v>8</v>
      </c>
      <c r="J6359" t="str">
        <f t="shared" si="398"/>
        <v>Aug</v>
      </c>
      <c r="K6359" t="str">
        <f t="shared" si="399"/>
        <v>Wed</v>
      </c>
    </row>
    <row r="6360" spans="1:11" x14ac:dyDescent="0.35">
      <c r="A6360" s="1">
        <v>44791</v>
      </c>
      <c r="B6360">
        <v>141.32000732421801</v>
      </c>
      <c r="C6360">
        <v>142.77000427246</v>
      </c>
      <c r="D6360">
        <v>140.38000488281199</v>
      </c>
      <c r="E6360">
        <v>142.30000305175699</v>
      </c>
      <c r="F6360">
        <v>142.30000305175699</v>
      </c>
      <c r="G6360">
        <v>37458700</v>
      </c>
      <c r="H6360">
        <f t="shared" si="396"/>
        <v>2022</v>
      </c>
      <c r="I6360">
        <f t="shared" si="397"/>
        <v>8</v>
      </c>
      <c r="J6360" t="str">
        <f t="shared" si="398"/>
        <v>Aug</v>
      </c>
      <c r="K6360" t="str">
        <f t="shared" si="399"/>
        <v>Thu</v>
      </c>
    </row>
    <row r="6361" spans="1:11" x14ac:dyDescent="0.35">
      <c r="A6361" s="1">
        <v>44792</v>
      </c>
      <c r="B6361">
        <v>140.47000122070301</v>
      </c>
      <c r="C6361">
        <v>141.11000061035099</v>
      </c>
      <c r="D6361">
        <v>137.91000366210901</v>
      </c>
      <c r="E6361">
        <v>138.22999572753901</v>
      </c>
      <c r="F6361">
        <v>138.22999572753901</v>
      </c>
      <c r="G6361">
        <v>47792800</v>
      </c>
      <c r="H6361">
        <f t="shared" si="396"/>
        <v>2022</v>
      </c>
      <c r="I6361">
        <f t="shared" si="397"/>
        <v>8</v>
      </c>
      <c r="J6361" t="str">
        <f t="shared" si="398"/>
        <v>Aug</v>
      </c>
      <c r="K6361" t="str">
        <f t="shared" si="399"/>
        <v>Fri</v>
      </c>
    </row>
    <row r="6362" spans="1:11" x14ac:dyDescent="0.35">
      <c r="A6362" s="1">
        <v>44795</v>
      </c>
      <c r="B6362">
        <v>135.72000122070301</v>
      </c>
      <c r="C6362">
        <v>136.32000732421801</v>
      </c>
      <c r="D6362">
        <v>132.850006103515</v>
      </c>
      <c r="E6362">
        <v>133.22000122070301</v>
      </c>
      <c r="F6362">
        <v>133.22000122070301</v>
      </c>
      <c r="G6362">
        <v>50461500</v>
      </c>
      <c r="H6362">
        <f t="shared" si="396"/>
        <v>2022</v>
      </c>
      <c r="I6362">
        <f t="shared" si="397"/>
        <v>8</v>
      </c>
      <c r="J6362" t="str">
        <f t="shared" si="398"/>
        <v>Aug</v>
      </c>
      <c r="K6362" t="str">
        <f t="shared" si="399"/>
        <v>Mon</v>
      </c>
    </row>
    <row r="6363" spans="1:11" x14ac:dyDescent="0.35">
      <c r="A6363" s="1">
        <v>44796</v>
      </c>
      <c r="B6363">
        <v>133.41000366210901</v>
      </c>
      <c r="C6363">
        <v>134.99000549316401</v>
      </c>
      <c r="D6363">
        <v>132.94999694824199</v>
      </c>
      <c r="E6363">
        <v>133.61999511718699</v>
      </c>
      <c r="F6363">
        <v>133.61999511718699</v>
      </c>
      <c r="G6363">
        <v>36252100</v>
      </c>
      <c r="H6363">
        <f t="shared" si="396"/>
        <v>2022</v>
      </c>
      <c r="I6363">
        <f t="shared" si="397"/>
        <v>8</v>
      </c>
      <c r="J6363" t="str">
        <f t="shared" si="398"/>
        <v>Aug</v>
      </c>
      <c r="K6363" t="str">
        <f t="shared" si="399"/>
        <v>Tue</v>
      </c>
    </row>
    <row r="6364" spans="1:11" x14ac:dyDescent="0.35">
      <c r="A6364" s="1">
        <v>44797</v>
      </c>
      <c r="B6364">
        <v>132.75</v>
      </c>
      <c r="C6364">
        <v>135.47000122070301</v>
      </c>
      <c r="D6364">
        <v>132.100006103515</v>
      </c>
      <c r="E6364">
        <v>133.80000305175699</v>
      </c>
      <c r="F6364">
        <v>133.80000305175699</v>
      </c>
      <c r="G6364">
        <v>38627000</v>
      </c>
      <c r="H6364">
        <f t="shared" si="396"/>
        <v>2022</v>
      </c>
      <c r="I6364">
        <f t="shared" si="397"/>
        <v>8</v>
      </c>
      <c r="J6364" t="str">
        <f t="shared" si="398"/>
        <v>Aug</v>
      </c>
      <c r="K6364" t="str">
        <f t="shared" si="399"/>
        <v>Wed</v>
      </c>
    </row>
    <row r="6365" spans="1:11" x14ac:dyDescent="0.35">
      <c r="A6365" s="1">
        <v>44798</v>
      </c>
      <c r="B6365">
        <v>135.259994506835</v>
      </c>
      <c r="C6365">
        <v>137.419998168945</v>
      </c>
      <c r="D6365">
        <v>134.27999877929599</v>
      </c>
      <c r="E6365">
        <v>137.27999877929599</v>
      </c>
      <c r="F6365">
        <v>137.27999877929599</v>
      </c>
      <c r="G6365">
        <v>37496300</v>
      </c>
      <c r="H6365">
        <f t="shared" si="396"/>
        <v>2022</v>
      </c>
      <c r="I6365">
        <f t="shared" si="397"/>
        <v>8</v>
      </c>
      <c r="J6365" t="str">
        <f t="shared" si="398"/>
        <v>Aug</v>
      </c>
      <c r="K6365" t="str">
        <f t="shared" si="399"/>
        <v>Thu</v>
      </c>
    </row>
    <row r="6366" spans="1:11" x14ac:dyDescent="0.35">
      <c r="A6366" s="1">
        <v>44799</v>
      </c>
      <c r="B6366">
        <v>136.55000305175699</v>
      </c>
      <c r="C6366">
        <v>137.83000183105401</v>
      </c>
      <c r="D6366">
        <v>130.5</v>
      </c>
      <c r="E6366">
        <v>130.75</v>
      </c>
      <c r="F6366">
        <v>130.75</v>
      </c>
      <c r="G6366">
        <v>53322700</v>
      </c>
      <c r="H6366">
        <f t="shared" si="396"/>
        <v>2022</v>
      </c>
      <c r="I6366">
        <f t="shared" si="397"/>
        <v>8</v>
      </c>
      <c r="J6366" t="str">
        <f t="shared" si="398"/>
        <v>Aug</v>
      </c>
      <c r="K6366" t="str">
        <f t="shared" si="399"/>
        <v>Fri</v>
      </c>
    </row>
    <row r="6367" spans="1:11" x14ac:dyDescent="0.35">
      <c r="A6367" s="1">
        <v>44802</v>
      </c>
      <c r="B6367">
        <v>129.89999389648401</v>
      </c>
      <c r="C6367">
        <v>131.94999694824199</v>
      </c>
      <c r="D6367">
        <v>128.77000427246</v>
      </c>
      <c r="E6367">
        <v>129.78999328613199</v>
      </c>
      <c r="F6367">
        <v>129.78999328613199</v>
      </c>
      <c r="G6367">
        <v>48101600</v>
      </c>
      <c r="H6367">
        <f t="shared" si="396"/>
        <v>2022</v>
      </c>
      <c r="I6367">
        <f t="shared" si="397"/>
        <v>8</v>
      </c>
      <c r="J6367" t="str">
        <f t="shared" si="398"/>
        <v>Aug</v>
      </c>
      <c r="K6367" t="str">
        <f t="shared" si="399"/>
        <v>Mon</v>
      </c>
    </row>
    <row r="6368" spans="1:11" x14ac:dyDescent="0.35">
      <c r="A6368" s="1">
        <v>44803</v>
      </c>
      <c r="B6368">
        <v>131.25</v>
      </c>
      <c r="C6368">
        <v>132.07000732421801</v>
      </c>
      <c r="D6368">
        <v>126.84999847412099</v>
      </c>
      <c r="E6368">
        <v>128.72999572753901</v>
      </c>
      <c r="F6368">
        <v>128.72999572753901</v>
      </c>
      <c r="G6368">
        <v>49203000</v>
      </c>
      <c r="H6368">
        <f t="shared" si="396"/>
        <v>2022</v>
      </c>
      <c r="I6368">
        <f t="shared" si="397"/>
        <v>8</v>
      </c>
      <c r="J6368" t="str">
        <f t="shared" si="398"/>
        <v>Aug</v>
      </c>
      <c r="K6368" t="str">
        <f t="shared" si="399"/>
        <v>Tue</v>
      </c>
    </row>
    <row r="6369" spans="1:11" x14ac:dyDescent="0.35">
      <c r="A6369" s="1">
        <v>44804</v>
      </c>
      <c r="B6369">
        <v>129.44999694824199</v>
      </c>
      <c r="C6369">
        <v>130.58999633789</v>
      </c>
      <c r="D6369">
        <v>126.73999786376901</v>
      </c>
      <c r="E6369">
        <v>126.76999664306599</v>
      </c>
      <c r="F6369">
        <v>126.76999664306599</v>
      </c>
      <c r="G6369">
        <v>53648700</v>
      </c>
      <c r="H6369">
        <f t="shared" si="396"/>
        <v>2022</v>
      </c>
      <c r="I6369">
        <f t="shared" si="397"/>
        <v>8</v>
      </c>
      <c r="J6369" t="str">
        <f t="shared" si="398"/>
        <v>Aug</v>
      </c>
      <c r="K6369" t="str">
        <f t="shared" si="399"/>
        <v>Wed</v>
      </c>
    </row>
    <row r="6370" spans="1:11" x14ac:dyDescent="0.35">
      <c r="A6370" s="1">
        <v>44805</v>
      </c>
      <c r="B6370">
        <v>126</v>
      </c>
      <c r="C6370">
        <v>128.02000427246</v>
      </c>
      <c r="D6370">
        <v>123.66000366210901</v>
      </c>
      <c r="E6370">
        <v>127.81999969482401</v>
      </c>
      <c r="F6370">
        <v>127.81999969482401</v>
      </c>
      <c r="G6370">
        <v>56636100</v>
      </c>
      <c r="H6370">
        <f t="shared" si="396"/>
        <v>2022</v>
      </c>
      <c r="I6370">
        <f t="shared" si="397"/>
        <v>9</v>
      </c>
      <c r="J6370" t="str">
        <f t="shared" si="398"/>
        <v>Sep</v>
      </c>
      <c r="K6370" t="str">
        <f t="shared" si="399"/>
        <v>Thu</v>
      </c>
    </row>
    <row r="6371" spans="1:11" x14ac:dyDescent="0.35">
      <c r="A6371" s="1">
        <v>44806</v>
      </c>
      <c r="B6371">
        <v>129.5</v>
      </c>
      <c r="C6371">
        <v>131.38000488281199</v>
      </c>
      <c r="D6371">
        <v>126.389999389648</v>
      </c>
      <c r="E6371">
        <v>127.51000213623</v>
      </c>
      <c r="F6371">
        <v>127.51000213623</v>
      </c>
      <c r="G6371">
        <v>57429800</v>
      </c>
      <c r="H6371">
        <f t="shared" si="396"/>
        <v>2022</v>
      </c>
      <c r="I6371">
        <f t="shared" si="397"/>
        <v>9</v>
      </c>
      <c r="J6371" t="str">
        <f t="shared" si="398"/>
        <v>Sep</v>
      </c>
      <c r="K6371" t="str">
        <f t="shared" si="399"/>
        <v>Fri</v>
      </c>
    </row>
    <row r="6372" spans="1:11" x14ac:dyDescent="0.35">
      <c r="A6372" s="1">
        <v>44810</v>
      </c>
      <c r="B6372">
        <v>127.919998168945</v>
      </c>
      <c r="C6372">
        <v>128.61999511718699</v>
      </c>
      <c r="D6372">
        <v>124.73999786376901</v>
      </c>
      <c r="E6372">
        <v>126.11000061035099</v>
      </c>
      <c r="F6372">
        <v>126.11000061035099</v>
      </c>
      <c r="G6372">
        <v>43888600</v>
      </c>
      <c r="H6372">
        <f t="shared" si="396"/>
        <v>2022</v>
      </c>
      <c r="I6372">
        <f t="shared" si="397"/>
        <v>9</v>
      </c>
      <c r="J6372" t="str">
        <f t="shared" si="398"/>
        <v>Sep</v>
      </c>
      <c r="K6372" t="str">
        <f t="shared" si="399"/>
        <v>Tue</v>
      </c>
    </row>
    <row r="6373" spans="1:11" x14ac:dyDescent="0.35">
      <c r="A6373" s="1">
        <v>44811</v>
      </c>
      <c r="B6373">
        <v>126.120002746582</v>
      </c>
      <c r="C6373">
        <v>129.82000732421801</v>
      </c>
      <c r="D6373">
        <v>125.400001525878</v>
      </c>
      <c r="E6373">
        <v>129.47999572753901</v>
      </c>
      <c r="F6373">
        <v>129.47999572753901</v>
      </c>
      <c r="G6373">
        <v>47900300</v>
      </c>
      <c r="H6373">
        <f t="shared" si="396"/>
        <v>2022</v>
      </c>
      <c r="I6373">
        <f t="shared" si="397"/>
        <v>9</v>
      </c>
      <c r="J6373" t="str">
        <f t="shared" si="398"/>
        <v>Sep</v>
      </c>
      <c r="K6373" t="str">
        <f t="shared" si="399"/>
        <v>Wed</v>
      </c>
    </row>
    <row r="6374" spans="1:11" x14ac:dyDescent="0.35">
      <c r="A6374" s="1">
        <v>44812</v>
      </c>
      <c r="B6374">
        <v>127.720001220703</v>
      </c>
      <c r="C6374">
        <v>130.27999877929599</v>
      </c>
      <c r="D6374">
        <v>127.09999847412099</v>
      </c>
      <c r="E6374">
        <v>129.82000732421801</v>
      </c>
      <c r="F6374">
        <v>129.82000732421801</v>
      </c>
      <c r="G6374">
        <v>43988500</v>
      </c>
      <c r="H6374">
        <f t="shared" si="396"/>
        <v>2022</v>
      </c>
      <c r="I6374">
        <f t="shared" si="397"/>
        <v>9</v>
      </c>
      <c r="J6374" t="str">
        <f t="shared" si="398"/>
        <v>Sep</v>
      </c>
      <c r="K6374" t="str">
        <f t="shared" si="399"/>
        <v>Thu</v>
      </c>
    </row>
    <row r="6375" spans="1:11" x14ac:dyDescent="0.35">
      <c r="A6375" s="1">
        <v>44813</v>
      </c>
      <c r="B6375">
        <v>130.91000366210901</v>
      </c>
      <c r="C6375">
        <v>133.69000244140599</v>
      </c>
      <c r="D6375">
        <v>130.759994506835</v>
      </c>
      <c r="E6375">
        <v>133.27000427246</v>
      </c>
      <c r="F6375">
        <v>133.27000427246</v>
      </c>
      <c r="G6375">
        <v>49387600</v>
      </c>
      <c r="H6375">
        <f t="shared" si="396"/>
        <v>2022</v>
      </c>
      <c r="I6375">
        <f t="shared" si="397"/>
        <v>9</v>
      </c>
      <c r="J6375" t="str">
        <f t="shared" si="398"/>
        <v>Sep</v>
      </c>
      <c r="K6375" t="str">
        <f t="shared" si="399"/>
        <v>Fri</v>
      </c>
    </row>
    <row r="6376" spans="1:11" x14ac:dyDescent="0.35">
      <c r="A6376" s="1">
        <v>44816</v>
      </c>
      <c r="B6376">
        <v>134.100006103515</v>
      </c>
      <c r="C6376">
        <v>136.49000549316401</v>
      </c>
      <c r="D6376">
        <v>134</v>
      </c>
      <c r="E6376">
        <v>136.44999694824199</v>
      </c>
      <c r="F6376">
        <v>136.44999694824199</v>
      </c>
      <c r="G6376">
        <v>53826900</v>
      </c>
      <c r="H6376">
        <f t="shared" si="396"/>
        <v>2022</v>
      </c>
      <c r="I6376">
        <f t="shared" si="397"/>
        <v>9</v>
      </c>
      <c r="J6376" t="str">
        <f t="shared" si="398"/>
        <v>Sep</v>
      </c>
      <c r="K6376" t="str">
        <f t="shared" si="399"/>
        <v>Mon</v>
      </c>
    </row>
    <row r="6377" spans="1:11" x14ac:dyDescent="0.35">
      <c r="A6377" s="1">
        <v>44817</v>
      </c>
      <c r="B6377">
        <v>131.009994506835</v>
      </c>
      <c r="C6377">
        <v>131.39999389648401</v>
      </c>
      <c r="D6377">
        <v>126.26999664306599</v>
      </c>
      <c r="E6377">
        <v>126.81999969482401</v>
      </c>
      <c r="F6377">
        <v>126.81999969482401</v>
      </c>
      <c r="G6377">
        <v>72694000</v>
      </c>
      <c r="H6377">
        <f t="shared" si="396"/>
        <v>2022</v>
      </c>
      <c r="I6377">
        <f t="shared" si="397"/>
        <v>9</v>
      </c>
      <c r="J6377" t="str">
        <f t="shared" si="398"/>
        <v>Sep</v>
      </c>
      <c r="K6377" t="str">
        <f t="shared" si="399"/>
        <v>Tue</v>
      </c>
    </row>
    <row r="6378" spans="1:11" x14ac:dyDescent="0.35">
      <c r="A6378" s="1">
        <v>44818</v>
      </c>
      <c r="B6378">
        <v>127.36000061035099</v>
      </c>
      <c r="C6378">
        <v>128.83999633789</v>
      </c>
      <c r="D6378">
        <v>126.33000183105401</v>
      </c>
      <c r="E6378">
        <v>128.55000305175699</v>
      </c>
      <c r="F6378">
        <v>128.55000305175699</v>
      </c>
      <c r="G6378">
        <v>45316800</v>
      </c>
      <c r="H6378">
        <f t="shared" si="396"/>
        <v>2022</v>
      </c>
      <c r="I6378">
        <f t="shared" si="397"/>
        <v>9</v>
      </c>
      <c r="J6378" t="str">
        <f t="shared" si="398"/>
        <v>Sep</v>
      </c>
      <c r="K6378" t="str">
        <f t="shared" si="399"/>
        <v>Wed</v>
      </c>
    </row>
    <row r="6379" spans="1:11" x14ac:dyDescent="0.35">
      <c r="A6379" s="1">
        <v>44819</v>
      </c>
      <c r="B6379">
        <v>127.379997253417</v>
      </c>
      <c r="C6379">
        <v>130.36999511718699</v>
      </c>
      <c r="D6379">
        <v>125.5</v>
      </c>
      <c r="E6379">
        <v>126.27999877929599</v>
      </c>
      <c r="F6379">
        <v>126.27999877929599</v>
      </c>
      <c r="G6379">
        <v>52887200</v>
      </c>
      <c r="H6379">
        <f t="shared" si="396"/>
        <v>2022</v>
      </c>
      <c r="I6379">
        <f t="shared" si="397"/>
        <v>9</v>
      </c>
      <c r="J6379" t="str">
        <f t="shared" si="398"/>
        <v>Sep</v>
      </c>
      <c r="K6379" t="str">
        <f t="shared" si="399"/>
        <v>Thu</v>
      </c>
    </row>
    <row r="6380" spans="1:11" x14ac:dyDescent="0.35">
      <c r="A6380" s="1">
        <v>44820</v>
      </c>
      <c r="B6380">
        <v>122.77999877929599</v>
      </c>
      <c r="C6380">
        <v>123.870002746582</v>
      </c>
      <c r="D6380">
        <v>120.699996948242</v>
      </c>
      <c r="E6380">
        <v>123.52999877929599</v>
      </c>
      <c r="F6380">
        <v>123.52999877929599</v>
      </c>
      <c r="G6380">
        <v>115667800</v>
      </c>
      <c r="H6380">
        <f t="shared" si="396"/>
        <v>2022</v>
      </c>
      <c r="I6380">
        <f t="shared" si="397"/>
        <v>9</v>
      </c>
      <c r="J6380" t="str">
        <f t="shared" si="398"/>
        <v>Sep</v>
      </c>
      <c r="K6380" t="str">
        <f t="shared" si="399"/>
        <v>Fri</v>
      </c>
    </row>
    <row r="6381" spans="1:11" x14ac:dyDescent="0.35">
      <c r="A6381" s="1">
        <v>44823</v>
      </c>
      <c r="B6381">
        <v>122.16000366210901</v>
      </c>
      <c r="C6381">
        <v>124.709999084472</v>
      </c>
      <c r="D6381">
        <v>121.800003051757</v>
      </c>
      <c r="E6381">
        <v>124.66000366210901</v>
      </c>
      <c r="F6381">
        <v>124.66000366210901</v>
      </c>
      <c r="G6381">
        <v>47279700</v>
      </c>
      <c r="H6381">
        <f t="shared" si="396"/>
        <v>2022</v>
      </c>
      <c r="I6381">
        <f t="shared" si="397"/>
        <v>9</v>
      </c>
      <c r="J6381" t="str">
        <f t="shared" si="398"/>
        <v>Sep</v>
      </c>
      <c r="K6381" t="str">
        <f t="shared" si="399"/>
        <v>Mon</v>
      </c>
    </row>
    <row r="6382" spans="1:11" x14ac:dyDescent="0.35">
      <c r="A6382" s="1">
        <v>44824</v>
      </c>
      <c r="B6382">
        <v>123.34999847412099</v>
      </c>
      <c r="C6382">
        <v>124.400001525878</v>
      </c>
      <c r="D6382">
        <v>121.139999389648</v>
      </c>
      <c r="E6382">
        <v>122.19000244140599</v>
      </c>
      <c r="F6382">
        <v>122.19000244140599</v>
      </c>
      <c r="G6382">
        <v>47698400</v>
      </c>
      <c r="H6382">
        <f t="shared" si="396"/>
        <v>2022</v>
      </c>
      <c r="I6382">
        <f t="shared" si="397"/>
        <v>9</v>
      </c>
      <c r="J6382" t="str">
        <f t="shared" si="398"/>
        <v>Sep</v>
      </c>
      <c r="K6382" t="str">
        <f t="shared" si="399"/>
        <v>Tue</v>
      </c>
    </row>
    <row r="6383" spans="1:11" x14ac:dyDescent="0.35">
      <c r="A6383" s="1">
        <v>44825</v>
      </c>
      <c r="B6383">
        <v>122.48999786376901</v>
      </c>
      <c r="C6383">
        <v>123.76000213623</v>
      </c>
      <c r="D6383">
        <v>118.449996948242</v>
      </c>
      <c r="E6383">
        <v>118.540000915527</v>
      </c>
      <c r="F6383">
        <v>118.540000915527</v>
      </c>
      <c r="G6383">
        <v>58498900</v>
      </c>
      <c r="H6383">
        <f t="shared" si="396"/>
        <v>2022</v>
      </c>
      <c r="I6383">
        <f t="shared" si="397"/>
        <v>9</v>
      </c>
      <c r="J6383" t="str">
        <f t="shared" si="398"/>
        <v>Sep</v>
      </c>
      <c r="K6383" t="str">
        <f t="shared" si="399"/>
        <v>Wed</v>
      </c>
    </row>
    <row r="6384" spans="1:11" x14ac:dyDescent="0.35">
      <c r="A6384" s="1">
        <v>44826</v>
      </c>
      <c r="B6384">
        <v>117.08000183105401</v>
      </c>
      <c r="C6384">
        <v>118.790000915527</v>
      </c>
      <c r="D6384">
        <v>116.26000213623</v>
      </c>
      <c r="E6384">
        <v>117.309997558593</v>
      </c>
      <c r="F6384">
        <v>117.309997558593</v>
      </c>
      <c r="G6384">
        <v>55229200</v>
      </c>
      <c r="H6384">
        <f t="shared" si="396"/>
        <v>2022</v>
      </c>
      <c r="I6384">
        <f t="shared" si="397"/>
        <v>9</v>
      </c>
      <c r="J6384" t="str">
        <f t="shared" si="398"/>
        <v>Sep</v>
      </c>
      <c r="K6384" t="str">
        <f t="shared" si="399"/>
        <v>Thu</v>
      </c>
    </row>
    <row r="6385" spans="1:11" x14ac:dyDescent="0.35">
      <c r="A6385" s="1">
        <v>44827</v>
      </c>
      <c r="B6385">
        <v>116</v>
      </c>
      <c r="C6385">
        <v>116.050003051757</v>
      </c>
      <c r="D6385">
        <v>112.059997558593</v>
      </c>
      <c r="E6385">
        <v>113.77999877929599</v>
      </c>
      <c r="F6385">
        <v>113.77999877929599</v>
      </c>
      <c r="G6385">
        <v>65126700</v>
      </c>
      <c r="H6385">
        <f t="shared" si="396"/>
        <v>2022</v>
      </c>
      <c r="I6385">
        <f t="shared" si="397"/>
        <v>9</v>
      </c>
      <c r="J6385" t="str">
        <f t="shared" si="398"/>
        <v>Sep</v>
      </c>
      <c r="K6385" t="str">
        <f t="shared" si="399"/>
        <v>Fri</v>
      </c>
    </row>
    <row r="6386" spans="1:11" x14ac:dyDescent="0.35">
      <c r="A6386" s="1">
        <v>44830</v>
      </c>
      <c r="B6386">
        <v>113.300003051757</v>
      </c>
      <c r="C6386">
        <v>117.33999633789</v>
      </c>
      <c r="D6386">
        <v>113.129997253417</v>
      </c>
      <c r="E6386">
        <v>115.150001525878</v>
      </c>
      <c r="F6386">
        <v>115.150001525878</v>
      </c>
      <c r="G6386">
        <v>62723300</v>
      </c>
      <c r="H6386">
        <f t="shared" si="396"/>
        <v>2022</v>
      </c>
      <c r="I6386">
        <f t="shared" si="397"/>
        <v>9</v>
      </c>
      <c r="J6386" t="str">
        <f t="shared" si="398"/>
        <v>Sep</v>
      </c>
      <c r="K6386" t="str">
        <f t="shared" si="399"/>
        <v>Mon</v>
      </c>
    </row>
    <row r="6387" spans="1:11" x14ac:dyDescent="0.35">
      <c r="A6387" s="1">
        <v>44831</v>
      </c>
      <c r="B6387">
        <v>117.199996948242</v>
      </c>
      <c r="C6387">
        <v>118.31999969482401</v>
      </c>
      <c r="D6387">
        <v>113.050003051757</v>
      </c>
      <c r="E6387">
        <v>114.41000366210901</v>
      </c>
      <c r="F6387">
        <v>114.41000366210901</v>
      </c>
      <c r="G6387">
        <v>60094700</v>
      </c>
      <c r="H6387">
        <f t="shared" si="396"/>
        <v>2022</v>
      </c>
      <c r="I6387">
        <f t="shared" si="397"/>
        <v>9</v>
      </c>
      <c r="J6387" t="str">
        <f t="shared" si="398"/>
        <v>Sep</v>
      </c>
      <c r="K6387" t="str">
        <f t="shared" si="399"/>
        <v>Tue</v>
      </c>
    </row>
    <row r="6388" spans="1:11" x14ac:dyDescent="0.35">
      <c r="A6388" s="1">
        <v>44832</v>
      </c>
      <c r="B6388">
        <v>114.379997253417</v>
      </c>
      <c r="C6388">
        <v>118.699996948242</v>
      </c>
      <c r="D6388">
        <v>113.800003051757</v>
      </c>
      <c r="E6388">
        <v>118.01000213623</v>
      </c>
      <c r="F6388">
        <v>118.01000213623</v>
      </c>
      <c r="G6388">
        <v>55763800</v>
      </c>
      <c r="H6388">
        <f t="shared" si="396"/>
        <v>2022</v>
      </c>
      <c r="I6388">
        <f t="shared" si="397"/>
        <v>9</v>
      </c>
      <c r="J6388" t="str">
        <f t="shared" si="398"/>
        <v>Sep</v>
      </c>
      <c r="K6388" t="str">
        <f t="shared" si="399"/>
        <v>Wed</v>
      </c>
    </row>
    <row r="6389" spans="1:11" x14ac:dyDescent="0.35">
      <c r="A6389" s="1">
        <v>44833</v>
      </c>
      <c r="B6389">
        <v>115.59999847412099</v>
      </c>
      <c r="C6389">
        <v>116.06999969482401</v>
      </c>
      <c r="D6389">
        <v>113.059997558593</v>
      </c>
      <c r="E6389">
        <v>114.800003051757</v>
      </c>
      <c r="F6389">
        <v>114.800003051757</v>
      </c>
      <c r="G6389">
        <v>58969700</v>
      </c>
      <c r="H6389">
        <f t="shared" si="396"/>
        <v>2022</v>
      </c>
      <c r="I6389">
        <f t="shared" si="397"/>
        <v>9</v>
      </c>
      <c r="J6389" t="str">
        <f t="shared" si="398"/>
        <v>Sep</v>
      </c>
      <c r="K6389" t="str">
        <f t="shared" si="399"/>
        <v>Thu</v>
      </c>
    </row>
    <row r="6390" spans="1:11" x14ac:dyDescent="0.35">
      <c r="A6390" s="1">
        <v>44834</v>
      </c>
      <c r="B6390">
        <v>114.08000183105401</v>
      </c>
      <c r="C6390">
        <v>116.919998168945</v>
      </c>
      <c r="D6390">
        <v>112.83999633789</v>
      </c>
      <c r="E6390">
        <v>113</v>
      </c>
      <c r="F6390">
        <v>113</v>
      </c>
      <c r="G6390">
        <v>59479600</v>
      </c>
      <c r="H6390">
        <f t="shared" si="396"/>
        <v>2022</v>
      </c>
      <c r="I6390">
        <f t="shared" si="397"/>
        <v>9</v>
      </c>
      <c r="J6390" t="str">
        <f t="shared" si="398"/>
        <v>Sep</v>
      </c>
      <c r="K6390" t="str">
        <f t="shared" si="399"/>
        <v>Fri</v>
      </c>
    </row>
    <row r="6391" spans="1:11" x14ac:dyDescent="0.35">
      <c r="A6391" s="1">
        <v>44837</v>
      </c>
      <c r="B6391">
        <v>113.58000183105401</v>
      </c>
      <c r="C6391">
        <v>116.91000366210901</v>
      </c>
      <c r="D6391">
        <v>112.449996948242</v>
      </c>
      <c r="E6391">
        <v>115.879997253417</v>
      </c>
      <c r="F6391">
        <v>115.879997253417</v>
      </c>
      <c r="G6391">
        <v>50941900</v>
      </c>
      <c r="H6391">
        <f t="shared" si="396"/>
        <v>2022</v>
      </c>
      <c r="I6391">
        <f t="shared" si="397"/>
        <v>10</v>
      </c>
      <c r="J6391" t="str">
        <f t="shared" si="398"/>
        <v>Oct</v>
      </c>
      <c r="K6391" t="str">
        <f t="shared" si="399"/>
        <v>Mon</v>
      </c>
    </row>
    <row r="6392" spans="1:11" x14ac:dyDescent="0.35">
      <c r="A6392" s="1">
        <v>44838</v>
      </c>
      <c r="B6392">
        <v>119.889999389648</v>
      </c>
      <c r="C6392">
        <v>123</v>
      </c>
      <c r="D6392">
        <v>119.790000915527</v>
      </c>
      <c r="E6392">
        <v>121.08999633789</v>
      </c>
      <c r="F6392">
        <v>121.08999633789</v>
      </c>
      <c r="G6392">
        <v>62812600</v>
      </c>
      <c r="H6392">
        <f t="shared" si="396"/>
        <v>2022</v>
      </c>
      <c r="I6392">
        <f t="shared" si="397"/>
        <v>10</v>
      </c>
      <c r="J6392" t="str">
        <f t="shared" si="398"/>
        <v>Oct</v>
      </c>
      <c r="K6392" t="str">
        <f t="shared" si="399"/>
        <v>Tue</v>
      </c>
    </row>
    <row r="6393" spans="1:11" x14ac:dyDescent="0.35">
      <c r="A6393" s="1">
        <v>44839</v>
      </c>
      <c r="B6393">
        <v>118.58000183105401</v>
      </c>
      <c r="C6393">
        <v>121.75</v>
      </c>
      <c r="D6393">
        <v>117.69000244140599</v>
      </c>
      <c r="E6393">
        <v>120.949996948242</v>
      </c>
      <c r="F6393">
        <v>120.949996948242</v>
      </c>
      <c r="G6393">
        <v>48217500</v>
      </c>
      <c r="H6393">
        <f t="shared" si="396"/>
        <v>2022</v>
      </c>
      <c r="I6393">
        <f t="shared" si="397"/>
        <v>10</v>
      </c>
      <c r="J6393" t="str">
        <f t="shared" si="398"/>
        <v>Oct</v>
      </c>
      <c r="K6393" t="str">
        <f t="shared" si="399"/>
        <v>Wed</v>
      </c>
    </row>
    <row r="6394" spans="1:11" x14ac:dyDescent="0.35">
      <c r="A6394" s="1">
        <v>44840</v>
      </c>
      <c r="B6394">
        <v>120.76999664306599</v>
      </c>
      <c r="C6394">
        <v>121.52999877929599</v>
      </c>
      <c r="D6394">
        <v>119.5</v>
      </c>
      <c r="E6394">
        <v>120.300003051757</v>
      </c>
      <c r="F6394">
        <v>120.300003051757</v>
      </c>
      <c r="G6394">
        <v>42253800</v>
      </c>
      <c r="H6394">
        <f t="shared" si="396"/>
        <v>2022</v>
      </c>
      <c r="I6394">
        <f t="shared" si="397"/>
        <v>10</v>
      </c>
      <c r="J6394" t="str">
        <f t="shared" si="398"/>
        <v>Oct</v>
      </c>
      <c r="K6394" t="str">
        <f t="shared" si="399"/>
        <v>Thu</v>
      </c>
    </row>
    <row r="6395" spans="1:11" x14ac:dyDescent="0.35">
      <c r="A6395" s="1">
        <v>44841</v>
      </c>
      <c r="B6395">
        <v>118</v>
      </c>
      <c r="C6395">
        <v>118.169998168945</v>
      </c>
      <c r="D6395">
        <v>113.879997253417</v>
      </c>
      <c r="E6395">
        <v>114.559997558593</v>
      </c>
      <c r="F6395">
        <v>114.559997558593</v>
      </c>
      <c r="G6395">
        <v>54678000</v>
      </c>
      <c r="H6395">
        <f t="shared" si="396"/>
        <v>2022</v>
      </c>
      <c r="I6395">
        <f t="shared" si="397"/>
        <v>10</v>
      </c>
      <c r="J6395" t="str">
        <f t="shared" si="398"/>
        <v>Oct</v>
      </c>
      <c r="K6395" t="str">
        <f t="shared" si="399"/>
        <v>Fri</v>
      </c>
    </row>
    <row r="6396" spans="1:11" x14ac:dyDescent="0.35">
      <c r="A6396" s="1">
        <v>44844</v>
      </c>
      <c r="B6396">
        <v>115.09999847412099</v>
      </c>
      <c r="C6396">
        <v>116.25</v>
      </c>
      <c r="D6396">
        <v>112.430000305175</v>
      </c>
      <c r="E6396">
        <v>113.669998168945</v>
      </c>
      <c r="F6396">
        <v>113.669998168945</v>
      </c>
      <c r="G6396">
        <v>42339700</v>
      </c>
      <c r="H6396">
        <f t="shared" si="396"/>
        <v>2022</v>
      </c>
      <c r="I6396">
        <f t="shared" si="397"/>
        <v>10</v>
      </c>
      <c r="J6396" t="str">
        <f t="shared" si="398"/>
        <v>Oct</v>
      </c>
      <c r="K6396" t="str">
        <f t="shared" si="399"/>
        <v>Mon</v>
      </c>
    </row>
    <row r="6397" spans="1:11" x14ac:dyDescent="0.35">
      <c r="A6397" s="1">
        <v>44845</v>
      </c>
      <c r="B6397">
        <v>112.709999084472</v>
      </c>
      <c r="C6397">
        <v>115.480003356933</v>
      </c>
      <c r="D6397">
        <v>110.389999389648</v>
      </c>
      <c r="E6397">
        <v>112.209999084472</v>
      </c>
      <c r="F6397">
        <v>112.209999084472</v>
      </c>
      <c r="G6397">
        <v>56432200</v>
      </c>
      <c r="H6397">
        <f t="shared" si="396"/>
        <v>2022</v>
      </c>
      <c r="I6397">
        <f t="shared" si="397"/>
        <v>10</v>
      </c>
      <c r="J6397" t="str">
        <f t="shared" si="398"/>
        <v>Oct</v>
      </c>
      <c r="K6397" t="str">
        <f t="shared" si="399"/>
        <v>Tue</v>
      </c>
    </row>
    <row r="6398" spans="1:11" x14ac:dyDescent="0.35">
      <c r="A6398" s="1">
        <v>44846</v>
      </c>
      <c r="B6398">
        <v>112.48999786376901</v>
      </c>
      <c r="C6398">
        <v>113.83000183105401</v>
      </c>
      <c r="D6398">
        <v>111.400001525878</v>
      </c>
      <c r="E6398">
        <v>112.900001525878</v>
      </c>
      <c r="F6398">
        <v>112.900001525878</v>
      </c>
      <c r="G6398">
        <v>45728700</v>
      </c>
      <c r="H6398">
        <f t="shared" si="396"/>
        <v>2022</v>
      </c>
      <c r="I6398">
        <f t="shared" si="397"/>
        <v>10</v>
      </c>
      <c r="J6398" t="str">
        <f t="shared" si="398"/>
        <v>Oct</v>
      </c>
      <c r="K6398" t="str">
        <f t="shared" si="399"/>
        <v>Wed</v>
      </c>
    </row>
    <row r="6399" spans="1:11" x14ac:dyDescent="0.35">
      <c r="A6399" s="1">
        <v>44847</v>
      </c>
      <c r="B6399">
        <v>107.879997253417</v>
      </c>
      <c r="C6399">
        <v>113.44000244140599</v>
      </c>
      <c r="D6399">
        <v>105.34999847412099</v>
      </c>
      <c r="E6399">
        <v>112.52999877929599</v>
      </c>
      <c r="F6399">
        <v>112.52999877929599</v>
      </c>
      <c r="G6399">
        <v>86868100</v>
      </c>
      <c r="H6399">
        <f t="shared" si="396"/>
        <v>2022</v>
      </c>
      <c r="I6399">
        <f t="shared" si="397"/>
        <v>10</v>
      </c>
      <c r="J6399" t="str">
        <f t="shared" si="398"/>
        <v>Oct</v>
      </c>
      <c r="K6399" t="str">
        <f t="shared" si="399"/>
        <v>Thu</v>
      </c>
    </row>
    <row r="6400" spans="1:11" x14ac:dyDescent="0.35">
      <c r="A6400" s="1">
        <v>44848</v>
      </c>
      <c r="B6400">
        <v>114.09999847412099</v>
      </c>
      <c r="C6400">
        <v>114.959999084472</v>
      </c>
      <c r="D6400">
        <v>106.59999847412099</v>
      </c>
      <c r="E6400">
        <v>106.900001525878</v>
      </c>
      <c r="F6400">
        <v>106.900001525878</v>
      </c>
      <c r="G6400">
        <v>67737300</v>
      </c>
      <c r="H6400">
        <f t="shared" si="396"/>
        <v>2022</v>
      </c>
      <c r="I6400">
        <f t="shared" si="397"/>
        <v>10</v>
      </c>
      <c r="J6400" t="str">
        <f t="shared" si="398"/>
        <v>Oct</v>
      </c>
      <c r="K6400" t="str">
        <f t="shared" si="399"/>
        <v>Fri</v>
      </c>
    </row>
    <row r="6401" spans="1:11" x14ac:dyDescent="0.35">
      <c r="A6401" s="1">
        <v>44851</v>
      </c>
      <c r="B6401">
        <v>110.11000061035099</v>
      </c>
      <c r="C6401">
        <v>114.19000244140599</v>
      </c>
      <c r="D6401">
        <v>110.08999633789</v>
      </c>
      <c r="E6401">
        <v>113.790000915527</v>
      </c>
      <c r="F6401">
        <v>113.790000915527</v>
      </c>
      <c r="G6401">
        <v>62782000</v>
      </c>
      <c r="H6401">
        <f t="shared" si="396"/>
        <v>2022</v>
      </c>
      <c r="I6401">
        <f t="shared" si="397"/>
        <v>10</v>
      </c>
      <c r="J6401" t="str">
        <f t="shared" si="398"/>
        <v>Oct</v>
      </c>
      <c r="K6401" t="str">
        <f t="shared" si="399"/>
        <v>Mon</v>
      </c>
    </row>
    <row r="6402" spans="1:11" x14ac:dyDescent="0.35">
      <c r="A6402" s="1">
        <v>44852</v>
      </c>
      <c r="B6402">
        <v>119.059997558593</v>
      </c>
      <c r="C6402">
        <v>119.51999664306599</v>
      </c>
      <c r="D6402">
        <v>114.790000915527</v>
      </c>
      <c r="E6402">
        <v>116.36000061035099</v>
      </c>
      <c r="F6402">
        <v>116.36000061035099</v>
      </c>
      <c r="G6402">
        <v>65607400</v>
      </c>
      <c r="H6402">
        <f t="shared" si="396"/>
        <v>2022</v>
      </c>
      <c r="I6402">
        <f t="shared" si="397"/>
        <v>10</v>
      </c>
      <c r="J6402" t="str">
        <f t="shared" si="398"/>
        <v>Oct</v>
      </c>
      <c r="K6402" t="str">
        <f t="shared" si="399"/>
        <v>Tue</v>
      </c>
    </row>
    <row r="6403" spans="1:11" x14ac:dyDescent="0.35">
      <c r="A6403" s="1">
        <v>44853</v>
      </c>
      <c r="B6403">
        <v>114.709999084472</v>
      </c>
      <c r="C6403">
        <v>116.58999633789</v>
      </c>
      <c r="D6403">
        <v>113.220001220703</v>
      </c>
      <c r="E6403">
        <v>115.06999969482401</v>
      </c>
      <c r="F6403">
        <v>115.06999969482401</v>
      </c>
      <c r="G6403">
        <v>47198100</v>
      </c>
      <c r="H6403">
        <f t="shared" si="396"/>
        <v>2022</v>
      </c>
      <c r="I6403">
        <f t="shared" si="397"/>
        <v>10</v>
      </c>
      <c r="J6403" t="str">
        <f t="shared" si="398"/>
        <v>Oct</v>
      </c>
      <c r="K6403" t="str">
        <f t="shared" si="399"/>
        <v>Wed</v>
      </c>
    </row>
    <row r="6404" spans="1:11" x14ac:dyDescent="0.35">
      <c r="A6404" s="1">
        <v>44854</v>
      </c>
      <c r="B6404">
        <v>113.83000183105401</v>
      </c>
      <c r="C6404">
        <v>118.23999786376901</v>
      </c>
      <c r="D6404">
        <v>113.51000213623</v>
      </c>
      <c r="E6404">
        <v>115.25</v>
      </c>
      <c r="F6404">
        <v>115.25</v>
      </c>
      <c r="G6404">
        <v>48795100</v>
      </c>
      <c r="H6404">
        <f t="shared" ref="H6404:H6467" si="400">YEAR($A6404)</f>
        <v>2022</v>
      </c>
      <c r="I6404">
        <f t="shared" ref="I6404:I6467" si="401">MONTH($A6404)</f>
        <v>10</v>
      </c>
      <c r="J6404" t="str">
        <f t="shared" ref="J6404:J6467" si="402">TEXT($A6404,"mmm")</f>
        <v>Oct</v>
      </c>
      <c r="K6404" t="str">
        <f t="shared" ref="K6404:K6467" si="403">TEXT($A6404,"ddd")</f>
        <v>Thu</v>
      </c>
    </row>
    <row r="6405" spans="1:11" x14ac:dyDescent="0.35">
      <c r="A6405" s="1">
        <v>44855</v>
      </c>
      <c r="B6405">
        <v>114.790000915527</v>
      </c>
      <c r="C6405">
        <v>119.58999633789</v>
      </c>
      <c r="D6405">
        <v>114.5</v>
      </c>
      <c r="E6405">
        <v>119.31999969482401</v>
      </c>
      <c r="F6405">
        <v>119.31999969482401</v>
      </c>
      <c r="G6405">
        <v>55660500</v>
      </c>
      <c r="H6405">
        <f t="shared" si="400"/>
        <v>2022</v>
      </c>
      <c r="I6405">
        <f t="shared" si="401"/>
        <v>10</v>
      </c>
      <c r="J6405" t="str">
        <f t="shared" si="402"/>
        <v>Oct</v>
      </c>
      <c r="K6405" t="str">
        <f t="shared" si="403"/>
        <v>Fri</v>
      </c>
    </row>
    <row r="6406" spans="1:11" x14ac:dyDescent="0.35">
      <c r="A6406" s="1">
        <v>44858</v>
      </c>
      <c r="B6406">
        <v>119.980003356933</v>
      </c>
      <c r="C6406">
        <v>120.389999389648</v>
      </c>
      <c r="D6406">
        <v>116.56999969482401</v>
      </c>
      <c r="E6406">
        <v>119.81999969482401</v>
      </c>
      <c r="F6406">
        <v>119.81999969482401</v>
      </c>
      <c r="G6406">
        <v>49531500</v>
      </c>
      <c r="H6406">
        <f t="shared" si="400"/>
        <v>2022</v>
      </c>
      <c r="I6406">
        <f t="shared" si="401"/>
        <v>10</v>
      </c>
      <c r="J6406" t="str">
        <f t="shared" si="402"/>
        <v>Oct</v>
      </c>
      <c r="K6406" t="str">
        <f t="shared" si="403"/>
        <v>Mon</v>
      </c>
    </row>
    <row r="6407" spans="1:11" x14ac:dyDescent="0.35">
      <c r="A6407" s="1">
        <v>44859</v>
      </c>
      <c r="B6407">
        <v>119.650001525878</v>
      </c>
      <c r="C6407">
        <v>121.31999969482401</v>
      </c>
      <c r="D6407">
        <v>118.949996948242</v>
      </c>
      <c r="E6407">
        <v>120.59999847412099</v>
      </c>
      <c r="F6407">
        <v>120.59999847412099</v>
      </c>
      <c r="G6407">
        <v>50934600</v>
      </c>
      <c r="H6407">
        <f t="shared" si="400"/>
        <v>2022</v>
      </c>
      <c r="I6407">
        <f t="shared" si="401"/>
        <v>10</v>
      </c>
      <c r="J6407" t="str">
        <f t="shared" si="402"/>
        <v>Oct</v>
      </c>
      <c r="K6407" t="str">
        <f t="shared" si="403"/>
        <v>Tue</v>
      </c>
    </row>
    <row r="6408" spans="1:11" x14ac:dyDescent="0.35">
      <c r="A6408" s="1">
        <v>44860</v>
      </c>
      <c r="B6408">
        <v>116</v>
      </c>
      <c r="C6408">
        <v>119.34999847412099</v>
      </c>
      <c r="D6408">
        <v>114.76000213623</v>
      </c>
      <c r="E6408">
        <v>115.66000366210901</v>
      </c>
      <c r="F6408">
        <v>115.66000366210901</v>
      </c>
      <c r="G6408">
        <v>68802300</v>
      </c>
      <c r="H6408">
        <f t="shared" si="400"/>
        <v>2022</v>
      </c>
      <c r="I6408">
        <f t="shared" si="401"/>
        <v>10</v>
      </c>
      <c r="J6408" t="str">
        <f t="shared" si="402"/>
        <v>Oct</v>
      </c>
      <c r="K6408" t="str">
        <f t="shared" si="403"/>
        <v>Wed</v>
      </c>
    </row>
    <row r="6409" spans="1:11" x14ac:dyDescent="0.35">
      <c r="A6409" s="1">
        <v>44861</v>
      </c>
      <c r="B6409">
        <v>113.919998168945</v>
      </c>
      <c r="C6409">
        <v>114.120002746582</v>
      </c>
      <c r="D6409">
        <v>109.76999664306599</v>
      </c>
      <c r="E6409">
        <v>110.959999084472</v>
      </c>
      <c r="F6409">
        <v>110.959999084472</v>
      </c>
      <c r="G6409">
        <v>129605400</v>
      </c>
      <c r="H6409">
        <f t="shared" si="400"/>
        <v>2022</v>
      </c>
      <c r="I6409">
        <f t="shared" si="401"/>
        <v>10</v>
      </c>
      <c r="J6409" t="str">
        <f t="shared" si="402"/>
        <v>Oct</v>
      </c>
      <c r="K6409" t="str">
        <f t="shared" si="403"/>
        <v>Thu</v>
      </c>
    </row>
    <row r="6410" spans="1:11" x14ac:dyDescent="0.35">
      <c r="A6410" s="1">
        <v>44862</v>
      </c>
      <c r="B6410">
        <v>97.910003662109304</v>
      </c>
      <c r="C6410">
        <v>103.959999084472</v>
      </c>
      <c r="D6410">
        <v>97.660003662109304</v>
      </c>
      <c r="E6410">
        <v>103.41000366210901</v>
      </c>
      <c r="F6410">
        <v>103.41000366210901</v>
      </c>
      <c r="G6410">
        <v>223133400</v>
      </c>
      <c r="H6410">
        <f t="shared" si="400"/>
        <v>2022</v>
      </c>
      <c r="I6410">
        <f t="shared" si="401"/>
        <v>10</v>
      </c>
      <c r="J6410" t="str">
        <f t="shared" si="402"/>
        <v>Oct</v>
      </c>
      <c r="K6410" t="str">
        <f t="shared" si="403"/>
        <v>Fri</v>
      </c>
    </row>
    <row r="6411" spans="1:11" x14ac:dyDescent="0.35">
      <c r="A6411" s="1">
        <v>44865</v>
      </c>
      <c r="B6411">
        <v>103.559997558593</v>
      </c>
      <c r="C6411">
        <v>104.870002746582</v>
      </c>
      <c r="D6411">
        <v>100.73999786376901</v>
      </c>
      <c r="E6411">
        <v>102.44000244140599</v>
      </c>
      <c r="F6411">
        <v>102.44000244140599</v>
      </c>
      <c r="G6411">
        <v>99251400</v>
      </c>
      <c r="H6411">
        <f t="shared" si="400"/>
        <v>2022</v>
      </c>
      <c r="I6411">
        <f t="shared" si="401"/>
        <v>10</v>
      </c>
      <c r="J6411" t="str">
        <f t="shared" si="402"/>
        <v>Oct</v>
      </c>
      <c r="K6411" t="str">
        <f t="shared" si="403"/>
        <v>Mon</v>
      </c>
    </row>
    <row r="6412" spans="1:11" x14ac:dyDescent="0.35">
      <c r="A6412" s="1">
        <v>44866</v>
      </c>
      <c r="B6412">
        <v>103.98999786376901</v>
      </c>
      <c r="C6412">
        <v>104.58000183105401</v>
      </c>
      <c r="D6412">
        <v>96.059997558593693</v>
      </c>
      <c r="E6412">
        <v>96.790000915527301</v>
      </c>
      <c r="F6412">
        <v>96.790000915527301</v>
      </c>
      <c r="G6412">
        <v>153370000</v>
      </c>
      <c r="H6412">
        <f t="shared" si="400"/>
        <v>2022</v>
      </c>
      <c r="I6412">
        <f t="shared" si="401"/>
        <v>11</v>
      </c>
      <c r="J6412" t="str">
        <f t="shared" si="402"/>
        <v>Nov</v>
      </c>
      <c r="K6412" t="str">
        <f t="shared" si="403"/>
        <v>Tue</v>
      </c>
    </row>
    <row r="6413" spans="1:11" x14ac:dyDescent="0.35">
      <c r="A6413" s="1">
        <v>44867</v>
      </c>
      <c r="B6413">
        <v>97.319999694824205</v>
      </c>
      <c r="C6413">
        <v>97.739997863769503</v>
      </c>
      <c r="D6413">
        <v>92.010002136230398</v>
      </c>
      <c r="E6413">
        <v>92.120002746582003</v>
      </c>
      <c r="F6413">
        <v>92.120002746582003</v>
      </c>
      <c r="G6413">
        <v>135761800</v>
      </c>
      <c r="H6413">
        <f t="shared" si="400"/>
        <v>2022</v>
      </c>
      <c r="I6413">
        <f t="shared" si="401"/>
        <v>11</v>
      </c>
      <c r="J6413" t="str">
        <f t="shared" si="402"/>
        <v>Nov</v>
      </c>
      <c r="K6413" t="str">
        <f t="shared" si="403"/>
        <v>Wed</v>
      </c>
    </row>
    <row r="6414" spans="1:11" x14ac:dyDescent="0.35">
      <c r="A6414" s="1">
        <v>44868</v>
      </c>
      <c r="B6414">
        <v>92.470001220703097</v>
      </c>
      <c r="C6414">
        <v>93.5</v>
      </c>
      <c r="D6414">
        <v>89.019996643066406</v>
      </c>
      <c r="E6414">
        <v>89.300003051757798</v>
      </c>
      <c r="F6414">
        <v>89.300003051757798</v>
      </c>
      <c r="G6414">
        <v>136683300</v>
      </c>
      <c r="H6414">
        <f t="shared" si="400"/>
        <v>2022</v>
      </c>
      <c r="I6414">
        <f t="shared" si="401"/>
        <v>11</v>
      </c>
      <c r="J6414" t="str">
        <f t="shared" si="402"/>
        <v>Nov</v>
      </c>
      <c r="K6414" t="str">
        <f t="shared" si="403"/>
        <v>Thu</v>
      </c>
    </row>
    <row r="6415" spans="1:11" x14ac:dyDescent="0.35">
      <c r="A6415" s="1">
        <v>44869</v>
      </c>
      <c r="B6415">
        <v>91.489997863769503</v>
      </c>
      <c r="C6415">
        <v>92.440002441406193</v>
      </c>
      <c r="D6415">
        <v>88.040000915527301</v>
      </c>
      <c r="E6415">
        <v>90.980003356933594</v>
      </c>
      <c r="F6415">
        <v>90.980003356933594</v>
      </c>
      <c r="G6415">
        <v>129101300</v>
      </c>
      <c r="H6415">
        <f t="shared" si="400"/>
        <v>2022</v>
      </c>
      <c r="I6415">
        <f t="shared" si="401"/>
        <v>11</v>
      </c>
      <c r="J6415" t="str">
        <f t="shared" si="402"/>
        <v>Nov</v>
      </c>
      <c r="K6415" t="str">
        <f t="shared" si="403"/>
        <v>Fri</v>
      </c>
    </row>
    <row r="6416" spans="1:11" x14ac:dyDescent="0.35">
      <c r="A6416" s="1">
        <v>44872</v>
      </c>
      <c r="B6416">
        <v>91.949996948242102</v>
      </c>
      <c r="C6416">
        <v>92.099998474121094</v>
      </c>
      <c r="D6416">
        <v>89.040000915527301</v>
      </c>
      <c r="E6416">
        <v>90.529998779296804</v>
      </c>
      <c r="F6416">
        <v>90.529998779296804</v>
      </c>
      <c r="G6416">
        <v>77495700</v>
      </c>
      <c r="H6416">
        <f t="shared" si="400"/>
        <v>2022</v>
      </c>
      <c r="I6416">
        <f t="shared" si="401"/>
        <v>11</v>
      </c>
      <c r="J6416" t="str">
        <f t="shared" si="402"/>
        <v>Nov</v>
      </c>
      <c r="K6416" t="str">
        <f t="shared" si="403"/>
        <v>Mon</v>
      </c>
    </row>
    <row r="6417" spans="1:11" x14ac:dyDescent="0.35">
      <c r="A6417" s="1">
        <v>44873</v>
      </c>
      <c r="B6417">
        <v>90.790000915527301</v>
      </c>
      <c r="C6417">
        <v>91.720001220703097</v>
      </c>
      <c r="D6417">
        <v>88.230003356933594</v>
      </c>
      <c r="E6417">
        <v>89.980003356933594</v>
      </c>
      <c r="F6417">
        <v>89.980003356933594</v>
      </c>
      <c r="G6417">
        <v>88703400</v>
      </c>
      <c r="H6417">
        <f t="shared" si="400"/>
        <v>2022</v>
      </c>
      <c r="I6417">
        <f t="shared" si="401"/>
        <v>11</v>
      </c>
      <c r="J6417" t="str">
        <f t="shared" si="402"/>
        <v>Nov</v>
      </c>
      <c r="K6417" t="str">
        <f t="shared" si="403"/>
        <v>Tue</v>
      </c>
    </row>
    <row r="6418" spans="1:11" x14ac:dyDescent="0.35">
      <c r="A6418" s="1">
        <v>44874</v>
      </c>
      <c r="B6418">
        <v>89.470001220703097</v>
      </c>
      <c r="C6418">
        <v>89.480003356933594</v>
      </c>
      <c r="D6418">
        <v>85.870002746582003</v>
      </c>
      <c r="E6418">
        <v>86.139999389648395</v>
      </c>
      <c r="F6418">
        <v>86.139999389648395</v>
      </c>
      <c r="G6418">
        <v>90796200</v>
      </c>
      <c r="H6418">
        <f t="shared" si="400"/>
        <v>2022</v>
      </c>
      <c r="I6418">
        <f t="shared" si="401"/>
        <v>11</v>
      </c>
      <c r="J6418" t="str">
        <f t="shared" si="402"/>
        <v>Nov</v>
      </c>
      <c r="K6418" t="str">
        <f t="shared" si="403"/>
        <v>Wed</v>
      </c>
    </row>
    <row r="6419" spans="1:11" x14ac:dyDescent="0.35">
      <c r="A6419" s="1">
        <v>44875</v>
      </c>
      <c r="B6419">
        <v>92.940002441406193</v>
      </c>
      <c r="C6419">
        <v>98.690002441406193</v>
      </c>
      <c r="D6419">
        <v>91.650001525878906</v>
      </c>
      <c r="E6419">
        <v>96.629997253417898</v>
      </c>
      <c r="F6419">
        <v>96.629997253417898</v>
      </c>
      <c r="G6419">
        <v>173414900</v>
      </c>
      <c r="H6419">
        <f t="shared" si="400"/>
        <v>2022</v>
      </c>
      <c r="I6419">
        <f t="shared" si="401"/>
        <v>11</v>
      </c>
      <c r="J6419" t="str">
        <f t="shared" si="402"/>
        <v>Nov</v>
      </c>
      <c r="K6419" t="str">
        <f t="shared" si="403"/>
        <v>Thu</v>
      </c>
    </row>
    <row r="6420" spans="1:11" x14ac:dyDescent="0.35">
      <c r="A6420" s="1">
        <v>44876</v>
      </c>
      <c r="B6420">
        <v>97.879997253417898</v>
      </c>
      <c r="C6420">
        <v>101.19000244140599</v>
      </c>
      <c r="D6420">
        <v>96.660003662109304</v>
      </c>
      <c r="E6420">
        <v>100.790000915527</v>
      </c>
      <c r="F6420">
        <v>100.790000915527</v>
      </c>
      <c r="G6420">
        <v>111590500</v>
      </c>
      <c r="H6420">
        <f t="shared" si="400"/>
        <v>2022</v>
      </c>
      <c r="I6420">
        <f t="shared" si="401"/>
        <v>11</v>
      </c>
      <c r="J6420" t="str">
        <f t="shared" si="402"/>
        <v>Nov</v>
      </c>
      <c r="K6420" t="str">
        <f t="shared" si="403"/>
        <v>Fri</v>
      </c>
    </row>
    <row r="6421" spans="1:11" x14ac:dyDescent="0.35">
      <c r="A6421" s="1">
        <v>44879</v>
      </c>
      <c r="B6421">
        <v>98.769996643066406</v>
      </c>
      <c r="C6421">
        <v>100.120002746582</v>
      </c>
      <c r="D6421">
        <v>97.290000915527301</v>
      </c>
      <c r="E6421">
        <v>98.489997863769503</v>
      </c>
      <c r="F6421">
        <v>98.489997863769503</v>
      </c>
      <c r="G6421">
        <v>99533100</v>
      </c>
      <c r="H6421">
        <f t="shared" si="400"/>
        <v>2022</v>
      </c>
      <c r="I6421">
        <f t="shared" si="401"/>
        <v>11</v>
      </c>
      <c r="J6421" t="str">
        <f t="shared" si="402"/>
        <v>Nov</v>
      </c>
      <c r="K6421" t="str">
        <f t="shared" si="403"/>
        <v>Mon</v>
      </c>
    </row>
    <row r="6422" spans="1:11" x14ac:dyDescent="0.35">
      <c r="A6422" s="1">
        <v>44880</v>
      </c>
      <c r="B6422">
        <v>103.209999084472</v>
      </c>
      <c r="C6422">
        <v>103.790000915527</v>
      </c>
      <c r="D6422">
        <v>97.339996337890597</v>
      </c>
      <c r="E6422">
        <v>98.940002441406193</v>
      </c>
      <c r="F6422">
        <v>98.940002441406193</v>
      </c>
      <c r="G6422">
        <v>111336300</v>
      </c>
      <c r="H6422">
        <f t="shared" si="400"/>
        <v>2022</v>
      </c>
      <c r="I6422">
        <f t="shared" si="401"/>
        <v>11</v>
      </c>
      <c r="J6422" t="str">
        <f t="shared" si="402"/>
        <v>Nov</v>
      </c>
      <c r="K6422" t="str">
        <f t="shared" si="403"/>
        <v>Tue</v>
      </c>
    </row>
    <row r="6423" spans="1:11" x14ac:dyDescent="0.35">
      <c r="A6423" s="1">
        <v>44881</v>
      </c>
      <c r="B6423">
        <v>96.849998474121094</v>
      </c>
      <c r="C6423">
        <v>98.489997863769503</v>
      </c>
      <c r="D6423">
        <v>95.540000915527301</v>
      </c>
      <c r="E6423">
        <v>97.120002746582003</v>
      </c>
      <c r="F6423">
        <v>97.120002746582003</v>
      </c>
      <c r="G6423">
        <v>87958800</v>
      </c>
      <c r="H6423">
        <f t="shared" si="400"/>
        <v>2022</v>
      </c>
      <c r="I6423">
        <f t="shared" si="401"/>
        <v>11</v>
      </c>
      <c r="J6423" t="str">
        <f t="shared" si="402"/>
        <v>Nov</v>
      </c>
      <c r="K6423" t="str">
        <f t="shared" si="403"/>
        <v>Wed</v>
      </c>
    </row>
    <row r="6424" spans="1:11" x14ac:dyDescent="0.35">
      <c r="A6424" s="1">
        <v>44882</v>
      </c>
      <c r="B6424">
        <v>95.370002746582003</v>
      </c>
      <c r="C6424">
        <v>96.970001220703097</v>
      </c>
      <c r="D6424">
        <v>94.029998779296804</v>
      </c>
      <c r="E6424">
        <v>94.849998474121094</v>
      </c>
      <c r="F6424">
        <v>94.849998474121094</v>
      </c>
      <c r="G6424">
        <v>82617900</v>
      </c>
      <c r="H6424">
        <f t="shared" si="400"/>
        <v>2022</v>
      </c>
      <c r="I6424">
        <f t="shared" si="401"/>
        <v>11</v>
      </c>
      <c r="J6424" t="str">
        <f t="shared" si="402"/>
        <v>Nov</v>
      </c>
      <c r="K6424" t="str">
        <f t="shared" si="403"/>
        <v>Thu</v>
      </c>
    </row>
    <row r="6425" spans="1:11" x14ac:dyDescent="0.35">
      <c r="A6425" s="1">
        <v>44883</v>
      </c>
      <c r="B6425">
        <v>95.949996948242102</v>
      </c>
      <c r="C6425">
        <v>95.989997863769503</v>
      </c>
      <c r="D6425">
        <v>92.480003356933594</v>
      </c>
      <c r="E6425">
        <v>94.139999389648395</v>
      </c>
      <c r="F6425">
        <v>94.139999389648395</v>
      </c>
      <c r="G6425">
        <v>72428200</v>
      </c>
      <c r="H6425">
        <f t="shared" si="400"/>
        <v>2022</v>
      </c>
      <c r="I6425">
        <f t="shared" si="401"/>
        <v>11</v>
      </c>
      <c r="J6425" t="str">
        <f t="shared" si="402"/>
        <v>Nov</v>
      </c>
      <c r="K6425" t="str">
        <f t="shared" si="403"/>
        <v>Fri</v>
      </c>
    </row>
    <row r="6426" spans="1:11" x14ac:dyDescent="0.35">
      <c r="A6426" s="1">
        <v>44886</v>
      </c>
      <c r="B6426">
        <v>93.970001220703097</v>
      </c>
      <c r="C6426">
        <v>95.019996643066406</v>
      </c>
      <c r="D6426">
        <v>90.589996337890597</v>
      </c>
      <c r="E6426">
        <v>92.459999084472599</v>
      </c>
      <c r="F6426">
        <v>92.459999084472599</v>
      </c>
      <c r="G6426">
        <v>84330300</v>
      </c>
      <c r="H6426">
        <f t="shared" si="400"/>
        <v>2022</v>
      </c>
      <c r="I6426">
        <f t="shared" si="401"/>
        <v>11</v>
      </c>
      <c r="J6426" t="str">
        <f t="shared" si="402"/>
        <v>Nov</v>
      </c>
      <c r="K6426" t="str">
        <f t="shared" si="403"/>
        <v>Mon</v>
      </c>
    </row>
    <row r="6427" spans="1:11" x14ac:dyDescent="0.35">
      <c r="A6427" s="1">
        <v>44887</v>
      </c>
      <c r="B6427">
        <v>92.620002746582003</v>
      </c>
      <c r="C6427">
        <v>93.349998474121094</v>
      </c>
      <c r="D6427">
        <v>90.870002746582003</v>
      </c>
      <c r="E6427">
        <v>93.199996948242102</v>
      </c>
      <c r="F6427">
        <v>93.199996948242102</v>
      </c>
      <c r="G6427">
        <v>62192000</v>
      </c>
      <c r="H6427">
        <f t="shared" si="400"/>
        <v>2022</v>
      </c>
      <c r="I6427">
        <f t="shared" si="401"/>
        <v>11</v>
      </c>
      <c r="J6427" t="str">
        <f t="shared" si="402"/>
        <v>Nov</v>
      </c>
      <c r="K6427" t="str">
        <f t="shared" si="403"/>
        <v>Tue</v>
      </c>
    </row>
    <row r="6428" spans="1:11" x14ac:dyDescent="0.35">
      <c r="A6428" s="1">
        <v>44888</v>
      </c>
      <c r="B6428">
        <v>93.239997863769503</v>
      </c>
      <c r="C6428">
        <v>94.580001831054602</v>
      </c>
      <c r="D6428">
        <v>92.830001831054602</v>
      </c>
      <c r="E6428">
        <v>94.129997253417898</v>
      </c>
      <c r="F6428">
        <v>94.129997253417898</v>
      </c>
      <c r="G6428">
        <v>59414700</v>
      </c>
      <c r="H6428">
        <f t="shared" si="400"/>
        <v>2022</v>
      </c>
      <c r="I6428">
        <f t="shared" si="401"/>
        <v>11</v>
      </c>
      <c r="J6428" t="str">
        <f t="shared" si="402"/>
        <v>Nov</v>
      </c>
      <c r="K6428" t="str">
        <f t="shared" si="403"/>
        <v>Wed</v>
      </c>
    </row>
    <row r="6429" spans="1:11" x14ac:dyDescent="0.35">
      <c r="A6429" s="1">
        <v>44890</v>
      </c>
      <c r="B6429">
        <v>93.790000915527301</v>
      </c>
      <c r="C6429">
        <v>94.430000305175696</v>
      </c>
      <c r="D6429">
        <v>93.069999694824205</v>
      </c>
      <c r="E6429">
        <v>93.410003662109304</v>
      </c>
      <c r="F6429">
        <v>93.410003662109304</v>
      </c>
      <c r="G6429">
        <v>35088600</v>
      </c>
      <c r="H6429">
        <f t="shared" si="400"/>
        <v>2022</v>
      </c>
      <c r="I6429">
        <f t="shared" si="401"/>
        <v>11</v>
      </c>
      <c r="J6429" t="str">
        <f t="shared" si="402"/>
        <v>Nov</v>
      </c>
      <c r="K6429" t="str">
        <f t="shared" si="403"/>
        <v>Fri</v>
      </c>
    </row>
    <row r="6430" spans="1:11" x14ac:dyDescent="0.35">
      <c r="A6430" s="1">
        <v>44893</v>
      </c>
      <c r="B6430">
        <v>93.930000305175696</v>
      </c>
      <c r="C6430">
        <v>96.400001525878906</v>
      </c>
      <c r="D6430">
        <v>93.430000305175696</v>
      </c>
      <c r="E6430">
        <v>93.949996948242102</v>
      </c>
      <c r="F6430">
        <v>93.949996948242102</v>
      </c>
      <c r="G6430">
        <v>74943100</v>
      </c>
      <c r="H6430">
        <f t="shared" si="400"/>
        <v>2022</v>
      </c>
      <c r="I6430">
        <f t="shared" si="401"/>
        <v>11</v>
      </c>
      <c r="J6430" t="str">
        <f t="shared" si="402"/>
        <v>Nov</v>
      </c>
      <c r="K6430" t="str">
        <f t="shared" si="403"/>
        <v>Mon</v>
      </c>
    </row>
    <row r="6431" spans="1:11" x14ac:dyDescent="0.35">
      <c r="A6431" s="1">
        <v>44894</v>
      </c>
      <c r="B6431">
        <v>94.040000915527301</v>
      </c>
      <c r="C6431">
        <v>94.410003662109304</v>
      </c>
      <c r="D6431">
        <v>91.440002441406193</v>
      </c>
      <c r="E6431">
        <v>92.419998168945298</v>
      </c>
      <c r="F6431">
        <v>92.419998168945298</v>
      </c>
      <c r="G6431">
        <v>65567300</v>
      </c>
      <c r="H6431">
        <f t="shared" si="400"/>
        <v>2022</v>
      </c>
      <c r="I6431">
        <f t="shared" si="401"/>
        <v>11</v>
      </c>
      <c r="J6431" t="str">
        <f t="shared" si="402"/>
        <v>Nov</v>
      </c>
      <c r="K6431" t="str">
        <f t="shared" si="403"/>
        <v>Tue</v>
      </c>
    </row>
    <row r="6432" spans="1:11" x14ac:dyDescent="0.35">
      <c r="A6432" s="1">
        <v>44895</v>
      </c>
      <c r="B6432">
        <v>92.470001220703097</v>
      </c>
      <c r="C6432">
        <v>96.540000915527301</v>
      </c>
      <c r="D6432">
        <v>91.529998779296804</v>
      </c>
      <c r="E6432">
        <v>96.540000915527301</v>
      </c>
      <c r="F6432">
        <v>96.540000915527301</v>
      </c>
      <c r="G6432">
        <v>102805800</v>
      </c>
      <c r="H6432">
        <f t="shared" si="400"/>
        <v>2022</v>
      </c>
      <c r="I6432">
        <f t="shared" si="401"/>
        <v>11</v>
      </c>
      <c r="J6432" t="str">
        <f t="shared" si="402"/>
        <v>Nov</v>
      </c>
      <c r="K6432" t="str">
        <f t="shared" si="403"/>
        <v>Wed</v>
      </c>
    </row>
    <row r="6433" spans="1:11" x14ac:dyDescent="0.35">
      <c r="A6433" s="1">
        <v>44896</v>
      </c>
      <c r="B6433">
        <v>96.989997863769503</v>
      </c>
      <c r="C6433">
        <v>97.230003356933594</v>
      </c>
      <c r="D6433">
        <v>94.919998168945298</v>
      </c>
      <c r="E6433">
        <v>95.5</v>
      </c>
      <c r="F6433">
        <v>95.5</v>
      </c>
      <c r="G6433">
        <v>68488000</v>
      </c>
      <c r="H6433">
        <f t="shared" si="400"/>
        <v>2022</v>
      </c>
      <c r="I6433">
        <f t="shared" si="401"/>
        <v>12</v>
      </c>
      <c r="J6433" t="str">
        <f t="shared" si="402"/>
        <v>Dec</v>
      </c>
      <c r="K6433" t="str">
        <f t="shared" si="403"/>
        <v>Thu</v>
      </c>
    </row>
    <row r="6434" spans="1:11" x14ac:dyDescent="0.35">
      <c r="A6434" s="1">
        <v>44897</v>
      </c>
      <c r="B6434">
        <v>94.480003356933594</v>
      </c>
      <c r="C6434">
        <v>95.360000610351506</v>
      </c>
      <c r="D6434">
        <v>93.779998779296804</v>
      </c>
      <c r="E6434">
        <v>94.129997253417898</v>
      </c>
      <c r="F6434">
        <v>94.129997253417898</v>
      </c>
      <c r="G6434">
        <v>72496400</v>
      </c>
      <c r="H6434">
        <f t="shared" si="400"/>
        <v>2022</v>
      </c>
      <c r="I6434">
        <f t="shared" si="401"/>
        <v>12</v>
      </c>
      <c r="J6434" t="str">
        <f t="shared" si="402"/>
        <v>Dec</v>
      </c>
      <c r="K6434" t="str">
        <f t="shared" si="403"/>
        <v>Fri</v>
      </c>
    </row>
    <row r="6435" spans="1:11" x14ac:dyDescent="0.35">
      <c r="A6435" s="1">
        <v>44900</v>
      </c>
      <c r="B6435">
        <v>93.050003051757798</v>
      </c>
      <c r="C6435">
        <v>94.059997558593693</v>
      </c>
      <c r="D6435">
        <v>90.819999694824205</v>
      </c>
      <c r="E6435">
        <v>91.010002136230398</v>
      </c>
      <c r="F6435">
        <v>91.010002136230398</v>
      </c>
      <c r="G6435">
        <v>71535500</v>
      </c>
      <c r="H6435">
        <f t="shared" si="400"/>
        <v>2022</v>
      </c>
      <c r="I6435">
        <f t="shared" si="401"/>
        <v>12</v>
      </c>
      <c r="J6435" t="str">
        <f t="shared" si="402"/>
        <v>Dec</v>
      </c>
      <c r="K6435" t="str">
        <f t="shared" si="403"/>
        <v>Mon</v>
      </c>
    </row>
    <row r="6436" spans="1:11" x14ac:dyDescent="0.35">
      <c r="A6436" s="1">
        <v>44901</v>
      </c>
      <c r="B6436">
        <v>90.5</v>
      </c>
      <c r="C6436">
        <v>91.040000915527301</v>
      </c>
      <c r="D6436">
        <v>87.900001525878906</v>
      </c>
      <c r="E6436">
        <v>88.25</v>
      </c>
      <c r="F6436">
        <v>88.25</v>
      </c>
      <c r="G6436">
        <v>75503600</v>
      </c>
      <c r="H6436">
        <f t="shared" si="400"/>
        <v>2022</v>
      </c>
      <c r="I6436">
        <f t="shared" si="401"/>
        <v>12</v>
      </c>
      <c r="J6436" t="str">
        <f t="shared" si="402"/>
        <v>Dec</v>
      </c>
      <c r="K6436" t="str">
        <f t="shared" si="403"/>
        <v>Tue</v>
      </c>
    </row>
    <row r="6437" spans="1:11" x14ac:dyDescent="0.35">
      <c r="A6437" s="1">
        <v>44902</v>
      </c>
      <c r="B6437">
        <v>88.339996337890597</v>
      </c>
      <c r="C6437">
        <v>89.889999389648395</v>
      </c>
      <c r="D6437">
        <v>87.480003356933594</v>
      </c>
      <c r="E6437">
        <v>88.459999084472599</v>
      </c>
      <c r="F6437">
        <v>88.459999084472599</v>
      </c>
      <c r="G6437">
        <v>68086900</v>
      </c>
      <c r="H6437">
        <f t="shared" si="400"/>
        <v>2022</v>
      </c>
      <c r="I6437">
        <f t="shared" si="401"/>
        <v>12</v>
      </c>
      <c r="J6437" t="str">
        <f t="shared" si="402"/>
        <v>Dec</v>
      </c>
      <c r="K6437" t="str">
        <f t="shared" si="403"/>
        <v>Wed</v>
      </c>
    </row>
    <row r="6438" spans="1:11" x14ac:dyDescent="0.35">
      <c r="A6438" s="1">
        <v>44903</v>
      </c>
      <c r="B6438">
        <v>89.239997863769503</v>
      </c>
      <c r="C6438">
        <v>90.860000610351506</v>
      </c>
      <c r="D6438">
        <v>87.879997253417898</v>
      </c>
      <c r="E6438">
        <v>90.349998474121094</v>
      </c>
      <c r="F6438">
        <v>90.349998474121094</v>
      </c>
      <c r="G6438">
        <v>73305900</v>
      </c>
      <c r="H6438">
        <f t="shared" si="400"/>
        <v>2022</v>
      </c>
      <c r="I6438">
        <f t="shared" si="401"/>
        <v>12</v>
      </c>
      <c r="J6438" t="str">
        <f t="shared" si="402"/>
        <v>Dec</v>
      </c>
      <c r="K6438" t="str">
        <f t="shared" si="403"/>
        <v>Thu</v>
      </c>
    </row>
    <row r="6439" spans="1:11" x14ac:dyDescent="0.35">
      <c r="A6439" s="1">
        <v>44904</v>
      </c>
      <c r="B6439">
        <v>88.900001525878906</v>
      </c>
      <c r="C6439">
        <v>90.300003051757798</v>
      </c>
      <c r="D6439">
        <v>88.629997253417898</v>
      </c>
      <c r="E6439">
        <v>89.089996337890597</v>
      </c>
      <c r="F6439">
        <v>89.089996337890597</v>
      </c>
      <c r="G6439">
        <v>67398500</v>
      </c>
      <c r="H6439">
        <f t="shared" si="400"/>
        <v>2022</v>
      </c>
      <c r="I6439">
        <f t="shared" si="401"/>
        <v>12</v>
      </c>
      <c r="J6439" t="str">
        <f t="shared" si="402"/>
        <v>Dec</v>
      </c>
      <c r="K6439" t="str">
        <f t="shared" si="403"/>
        <v>Fri</v>
      </c>
    </row>
    <row r="6440" spans="1:11" x14ac:dyDescent="0.35">
      <c r="A6440" s="1">
        <v>44907</v>
      </c>
      <c r="B6440">
        <v>89.209999084472599</v>
      </c>
      <c r="C6440">
        <v>90.580001831054602</v>
      </c>
      <c r="D6440">
        <v>87.870002746582003</v>
      </c>
      <c r="E6440">
        <v>90.550003051757798</v>
      </c>
      <c r="F6440">
        <v>90.550003051757798</v>
      </c>
      <c r="G6440">
        <v>61999800</v>
      </c>
      <c r="H6440">
        <f t="shared" si="400"/>
        <v>2022</v>
      </c>
      <c r="I6440">
        <f t="shared" si="401"/>
        <v>12</v>
      </c>
      <c r="J6440" t="str">
        <f t="shared" si="402"/>
        <v>Dec</v>
      </c>
      <c r="K6440" t="str">
        <f t="shared" si="403"/>
        <v>Mon</v>
      </c>
    </row>
    <row r="6441" spans="1:11" x14ac:dyDescent="0.35">
      <c r="A6441" s="1">
        <v>44908</v>
      </c>
      <c r="B6441">
        <v>95.230003356933594</v>
      </c>
      <c r="C6441">
        <v>96.25</v>
      </c>
      <c r="D6441">
        <v>90.519996643066406</v>
      </c>
      <c r="E6441">
        <v>92.489997863769503</v>
      </c>
      <c r="F6441">
        <v>92.489997863769503</v>
      </c>
      <c r="G6441">
        <v>100212000</v>
      </c>
      <c r="H6441">
        <f t="shared" si="400"/>
        <v>2022</v>
      </c>
      <c r="I6441">
        <f t="shared" si="401"/>
        <v>12</v>
      </c>
      <c r="J6441" t="str">
        <f t="shared" si="402"/>
        <v>Dec</v>
      </c>
      <c r="K6441" t="str">
        <f t="shared" si="403"/>
        <v>Tue</v>
      </c>
    </row>
    <row r="6442" spans="1:11" x14ac:dyDescent="0.35">
      <c r="A6442" s="1">
        <v>44909</v>
      </c>
      <c r="B6442">
        <v>92.5</v>
      </c>
      <c r="C6442">
        <v>93.459999084472599</v>
      </c>
      <c r="D6442">
        <v>89.870002746582003</v>
      </c>
      <c r="E6442">
        <v>91.580001831054602</v>
      </c>
      <c r="F6442">
        <v>91.580001831054602</v>
      </c>
      <c r="G6442">
        <v>70298000</v>
      </c>
      <c r="H6442">
        <f t="shared" si="400"/>
        <v>2022</v>
      </c>
      <c r="I6442">
        <f t="shared" si="401"/>
        <v>12</v>
      </c>
      <c r="J6442" t="str">
        <f t="shared" si="402"/>
        <v>Dec</v>
      </c>
      <c r="K6442" t="str">
        <f t="shared" si="403"/>
        <v>Wed</v>
      </c>
    </row>
    <row r="6443" spans="1:11" x14ac:dyDescent="0.35">
      <c r="A6443" s="1">
        <v>44910</v>
      </c>
      <c r="B6443">
        <v>89.889999389648395</v>
      </c>
      <c r="C6443">
        <v>89.970001220703097</v>
      </c>
      <c r="D6443">
        <v>87.470001220703097</v>
      </c>
      <c r="E6443">
        <v>88.449996948242102</v>
      </c>
      <c r="F6443">
        <v>88.449996948242102</v>
      </c>
      <c r="G6443">
        <v>84802900</v>
      </c>
      <c r="H6443">
        <f t="shared" si="400"/>
        <v>2022</v>
      </c>
      <c r="I6443">
        <f t="shared" si="401"/>
        <v>12</v>
      </c>
      <c r="J6443" t="str">
        <f t="shared" si="402"/>
        <v>Dec</v>
      </c>
      <c r="K6443" t="str">
        <f t="shared" si="403"/>
        <v>Thu</v>
      </c>
    </row>
    <row r="6444" spans="1:11" x14ac:dyDescent="0.35">
      <c r="A6444" s="1">
        <v>44911</v>
      </c>
      <c r="B6444">
        <v>88.269996643066406</v>
      </c>
      <c r="C6444">
        <v>89.349998474121094</v>
      </c>
      <c r="D6444">
        <v>86.730003356933594</v>
      </c>
      <c r="E6444">
        <v>87.860000610351506</v>
      </c>
      <c r="F6444">
        <v>87.860000610351506</v>
      </c>
      <c r="G6444">
        <v>146144100</v>
      </c>
      <c r="H6444">
        <f t="shared" si="400"/>
        <v>2022</v>
      </c>
      <c r="I6444">
        <f t="shared" si="401"/>
        <v>12</v>
      </c>
      <c r="J6444" t="str">
        <f t="shared" si="402"/>
        <v>Dec</v>
      </c>
      <c r="K6444" t="str">
        <f t="shared" si="403"/>
        <v>Fri</v>
      </c>
    </row>
    <row r="6445" spans="1:11" x14ac:dyDescent="0.35">
      <c r="A6445" s="1">
        <v>44914</v>
      </c>
      <c r="B6445">
        <v>87.510002136230398</v>
      </c>
      <c r="C6445">
        <v>87.629997253417898</v>
      </c>
      <c r="D6445">
        <v>84.510002136230398</v>
      </c>
      <c r="E6445">
        <v>84.919998168945298</v>
      </c>
      <c r="F6445">
        <v>84.919998168945298</v>
      </c>
      <c r="G6445">
        <v>83531500</v>
      </c>
      <c r="H6445">
        <f t="shared" si="400"/>
        <v>2022</v>
      </c>
      <c r="I6445">
        <f t="shared" si="401"/>
        <v>12</v>
      </c>
      <c r="J6445" t="str">
        <f t="shared" si="402"/>
        <v>Dec</v>
      </c>
      <c r="K6445" t="str">
        <f t="shared" si="403"/>
        <v>Mon</v>
      </c>
    </row>
    <row r="6446" spans="1:11" x14ac:dyDescent="0.35">
      <c r="A6446" s="1">
        <v>44915</v>
      </c>
      <c r="B6446">
        <v>85.330001831054602</v>
      </c>
      <c r="C6446">
        <v>86.610000610351506</v>
      </c>
      <c r="D6446">
        <v>84.330001831054602</v>
      </c>
      <c r="E6446">
        <v>85.190002441406193</v>
      </c>
      <c r="F6446">
        <v>85.190002441406193</v>
      </c>
      <c r="G6446">
        <v>74348300</v>
      </c>
      <c r="H6446">
        <f t="shared" si="400"/>
        <v>2022</v>
      </c>
      <c r="I6446">
        <f t="shared" si="401"/>
        <v>12</v>
      </c>
      <c r="J6446" t="str">
        <f t="shared" si="402"/>
        <v>Dec</v>
      </c>
      <c r="K6446" t="str">
        <f t="shared" si="403"/>
        <v>Tue</v>
      </c>
    </row>
    <row r="6447" spans="1:11" x14ac:dyDescent="0.35">
      <c r="A6447" s="1">
        <v>44916</v>
      </c>
      <c r="B6447">
        <v>86.180000305175696</v>
      </c>
      <c r="C6447">
        <v>87.230003356933594</v>
      </c>
      <c r="D6447">
        <v>85.209999084472599</v>
      </c>
      <c r="E6447">
        <v>86.769996643066406</v>
      </c>
      <c r="F6447">
        <v>86.769996643066406</v>
      </c>
      <c r="G6447">
        <v>59267200</v>
      </c>
      <c r="H6447">
        <f t="shared" si="400"/>
        <v>2022</v>
      </c>
      <c r="I6447">
        <f t="shared" si="401"/>
        <v>12</v>
      </c>
      <c r="J6447" t="str">
        <f t="shared" si="402"/>
        <v>Dec</v>
      </c>
      <c r="K6447" t="str">
        <f t="shared" si="403"/>
        <v>Wed</v>
      </c>
    </row>
    <row r="6448" spans="1:11" x14ac:dyDescent="0.35">
      <c r="A6448" s="1">
        <v>44917</v>
      </c>
      <c r="B6448">
        <v>85.519996643066406</v>
      </c>
      <c r="C6448">
        <v>85.680000305175696</v>
      </c>
      <c r="D6448">
        <v>82.25</v>
      </c>
      <c r="E6448">
        <v>83.790000915527301</v>
      </c>
      <c r="F6448">
        <v>83.790000915527301</v>
      </c>
      <c r="G6448">
        <v>81431300</v>
      </c>
      <c r="H6448">
        <f t="shared" si="400"/>
        <v>2022</v>
      </c>
      <c r="I6448">
        <f t="shared" si="401"/>
        <v>12</v>
      </c>
      <c r="J6448" t="str">
        <f t="shared" si="402"/>
        <v>Dec</v>
      </c>
      <c r="K6448" t="str">
        <f t="shared" si="403"/>
        <v>Thu</v>
      </c>
    </row>
    <row r="6449" spans="1:11" x14ac:dyDescent="0.35">
      <c r="A6449" s="1">
        <v>44918</v>
      </c>
      <c r="B6449">
        <v>83.25</v>
      </c>
      <c r="C6449">
        <v>85.779998779296804</v>
      </c>
      <c r="D6449">
        <v>82.930000305175696</v>
      </c>
      <c r="E6449">
        <v>85.25</v>
      </c>
      <c r="F6449">
        <v>85.25</v>
      </c>
      <c r="G6449">
        <v>57433700</v>
      </c>
      <c r="H6449">
        <f t="shared" si="400"/>
        <v>2022</v>
      </c>
      <c r="I6449">
        <f t="shared" si="401"/>
        <v>12</v>
      </c>
      <c r="J6449" t="str">
        <f t="shared" si="402"/>
        <v>Dec</v>
      </c>
      <c r="K6449" t="str">
        <f t="shared" si="403"/>
        <v>Fri</v>
      </c>
    </row>
    <row r="6450" spans="1:11" x14ac:dyDescent="0.35">
      <c r="A6450" s="1">
        <v>44922</v>
      </c>
      <c r="B6450">
        <v>84.970001220703097</v>
      </c>
      <c r="C6450">
        <v>85.349998474121094</v>
      </c>
      <c r="D6450">
        <v>83</v>
      </c>
      <c r="E6450">
        <v>83.040000915527301</v>
      </c>
      <c r="F6450">
        <v>83.040000915527301</v>
      </c>
      <c r="G6450">
        <v>57284000</v>
      </c>
      <c r="H6450">
        <f t="shared" si="400"/>
        <v>2022</v>
      </c>
      <c r="I6450">
        <f t="shared" si="401"/>
        <v>12</v>
      </c>
      <c r="J6450" t="str">
        <f t="shared" si="402"/>
        <v>Dec</v>
      </c>
      <c r="K6450" t="str">
        <f t="shared" si="403"/>
        <v>Tue</v>
      </c>
    </row>
    <row r="6451" spans="1:11" x14ac:dyDescent="0.35">
      <c r="A6451" s="1">
        <v>44923</v>
      </c>
      <c r="B6451">
        <v>82.800003051757798</v>
      </c>
      <c r="C6451">
        <v>83.480003356933594</v>
      </c>
      <c r="D6451">
        <v>81.690002441406193</v>
      </c>
      <c r="E6451">
        <v>81.819999694824205</v>
      </c>
      <c r="F6451">
        <v>81.819999694824205</v>
      </c>
      <c r="G6451">
        <v>58228600</v>
      </c>
      <c r="H6451">
        <f t="shared" si="400"/>
        <v>2022</v>
      </c>
      <c r="I6451">
        <f t="shared" si="401"/>
        <v>12</v>
      </c>
      <c r="J6451" t="str">
        <f t="shared" si="402"/>
        <v>Dec</v>
      </c>
      <c r="K6451" t="str">
        <f t="shared" si="403"/>
        <v>Wed</v>
      </c>
    </row>
    <row r="6452" spans="1:11" x14ac:dyDescent="0.35">
      <c r="A6452" s="1">
        <v>44924</v>
      </c>
      <c r="B6452">
        <v>82.870002746582003</v>
      </c>
      <c r="C6452">
        <v>84.550003051757798</v>
      </c>
      <c r="D6452">
        <v>82.550003051757798</v>
      </c>
      <c r="E6452">
        <v>84.180000305175696</v>
      </c>
      <c r="F6452">
        <v>84.180000305175696</v>
      </c>
      <c r="G6452">
        <v>54995900</v>
      </c>
      <c r="H6452">
        <f t="shared" si="400"/>
        <v>2022</v>
      </c>
      <c r="I6452">
        <f t="shared" si="401"/>
        <v>12</v>
      </c>
      <c r="J6452" t="str">
        <f t="shared" si="402"/>
        <v>Dec</v>
      </c>
      <c r="K6452" t="str">
        <f t="shared" si="403"/>
        <v>Thu</v>
      </c>
    </row>
    <row r="6453" spans="1:11" x14ac:dyDescent="0.35">
      <c r="A6453" s="1">
        <v>44925</v>
      </c>
      <c r="B6453">
        <v>83.120002746582003</v>
      </c>
      <c r="C6453">
        <v>84.050003051757798</v>
      </c>
      <c r="D6453">
        <v>82.470001220703097</v>
      </c>
      <c r="E6453">
        <v>84</v>
      </c>
      <c r="F6453">
        <v>84</v>
      </c>
      <c r="G6453">
        <v>62401200</v>
      </c>
      <c r="H6453">
        <f t="shared" si="400"/>
        <v>2022</v>
      </c>
      <c r="I6453">
        <f t="shared" si="401"/>
        <v>12</v>
      </c>
      <c r="J6453" t="str">
        <f t="shared" si="402"/>
        <v>Dec</v>
      </c>
      <c r="K6453" t="str">
        <f t="shared" si="403"/>
        <v>Fri</v>
      </c>
    </row>
    <row r="6454" spans="1:11" x14ac:dyDescent="0.35">
      <c r="A6454" s="1">
        <v>44929</v>
      </c>
      <c r="B6454">
        <v>85.459999084472599</v>
      </c>
      <c r="C6454">
        <v>86.959999084472599</v>
      </c>
      <c r="D6454">
        <v>84.209999084472599</v>
      </c>
      <c r="E6454">
        <v>85.819999694824205</v>
      </c>
      <c r="F6454">
        <v>85.819999694824205</v>
      </c>
      <c r="G6454">
        <v>76706000</v>
      </c>
      <c r="H6454">
        <f t="shared" si="400"/>
        <v>2023</v>
      </c>
      <c r="I6454">
        <f t="shared" si="401"/>
        <v>1</v>
      </c>
      <c r="J6454" t="str">
        <f t="shared" si="402"/>
        <v>Jan</v>
      </c>
      <c r="K6454" t="str">
        <f t="shared" si="403"/>
        <v>Tue</v>
      </c>
    </row>
    <row r="6455" spans="1:11" x14ac:dyDescent="0.35">
      <c r="A6455" s="1">
        <v>44930</v>
      </c>
      <c r="B6455">
        <v>86.550003051757798</v>
      </c>
      <c r="C6455">
        <v>86.980003356933594</v>
      </c>
      <c r="D6455">
        <v>83.360000610351506</v>
      </c>
      <c r="E6455">
        <v>85.139999389648395</v>
      </c>
      <c r="F6455">
        <v>85.139999389648395</v>
      </c>
      <c r="G6455">
        <v>68885100</v>
      </c>
      <c r="H6455">
        <f t="shared" si="400"/>
        <v>2023</v>
      </c>
      <c r="I6455">
        <f t="shared" si="401"/>
        <v>1</v>
      </c>
      <c r="J6455" t="str">
        <f t="shared" si="402"/>
        <v>Jan</v>
      </c>
      <c r="K6455" t="str">
        <f t="shared" si="403"/>
        <v>Wed</v>
      </c>
    </row>
    <row r="6456" spans="1:11" x14ac:dyDescent="0.35">
      <c r="A6456" s="1">
        <v>44931</v>
      </c>
      <c r="B6456">
        <v>85.330001831054602</v>
      </c>
      <c r="C6456">
        <v>85.419998168945298</v>
      </c>
      <c r="D6456">
        <v>83.069999694824205</v>
      </c>
      <c r="E6456">
        <v>83.120002746582003</v>
      </c>
      <c r="F6456">
        <v>83.120002746582003</v>
      </c>
      <c r="G6456">
        <v>67930800</v>
      </c>
      <c r="H6456">
        <f t="shared" si="400"/>
        <v>2023</v>
      </c>
      <c r="I6456">
        <f t="shared" si="401"/>
        <v>1</v>
      </c>
      <c r="J6456" t="str">
        <f t="shared" si="402"/>
        <v>Jan</v>
      </c>
      <c r="K6456" t="str">
        <f t="shared" si="403"/>
        <v>Thu</v>
      </c>
    </row>
    <row r="6457" spans="1:11" x14ac:dyDescent="0.35">
      <c r="A6457" s="1">
        <v>44932</v>
      </c>
      <c r="B6457">
        <v>83.029998779296804</v>
      </c>
      <c r="C6457">
        <v>86.400001525878906</v>
      </c>
      <c r="D6457">
        <v>81.430000305175696</v>
      </c>
      <c r="E6457">
        <v>86.080001831054602</v>
      </c>
      <c r="F6457">
        <v>86.080001831054602</v>
      </c>
      <c r="G6457">
        <v>83303400</v>
      </c>
      <c r="H6457">
        <f t="shared" si="400"/>
        <v>2023</v>
      </c>
      <c r="I6457">
        <f t="shared" si="401"/>
        <v>1</v>
      </c>
      <c r="J6457" t="str">
        <f t="shared" si="402"/>
        <v>Jan</v>
      </c>
      <c r="K6457" t="str">
        <f t="shared" si="403"/>
        <v>Fri</v>
      </c>
    </row>
    <row r="6458" spans="1:11" x14ac:dyDescent="0.35">
      <c r="A6458" s="1">
        <v>44935</v>
      </c>
      <c r="B6458">
        <v>87.459999084472599</v>
      </c>
      <c r="C6458">
        <v>89.480003356933594</v>
      </c>
      <c r="D6458">
        <v>87.080001831054602</v>
      </c>
      <c r="E6458">
        <v>87.360000610351506</v>
      </c>
      <c r="F6458">
        <v>87.360000610351506</v>
      </c>
      <c r="G6458">
        <v>65266100</v>
      </c>
      <c r="H6458">
        <f t="shared" si="400"/>
        <v>2023</v>
      </c>
      <c r="I6458">
        <f t="shared" si="401"/>
        <v>1</v>
      </c>
      <c r="J6458" t="str">
        <f t="shared" si="402"/>
        <v>Jan</v>
      </c>
      <c r="K6458" t="str">
        <f t="shared" si="403"/>
        <v>Mon</v>
      </c>
    </row>
    <row r="6459" spans="1:11" x14ac:dyDescent="0.35">
      <c r="A6459" s="1">
        <v>44936</v>
      </c>
      <c r="B6459">
        <v>87.569999694824205</v>
      </c>
      <c r="C6459">
        <v>90.190002441406193</v>
      </c>
      <c r="D6459">
        <v>87.290000915527301</v>
      </c>
      <c r="E6459">
        <v>89.870002746582003</v>
      </c>
      <c r="F6459">
        <v>89.870002746582003</v>
      </c>
      <c r="G6459">
        <v>67756600</v>
      </c>
      <c r="H6459">
        <f t="shared" si="400"/>
        <v>2023</v>
      </c>
      <c r="I6459">
        <f t="shared" si="401"/>
        <v>1</v>
      </c>
      <c r="J6459" t="str">
        <f t="shared" si="402"/>
        <v>Jan</v>
      </c>
      <c r="K6459" t="str">
        <f t="shared" si="403"/>
        <v>Tue</v>
      </c>
    </row>
    <row r="6460" spans="1:11" x14ac:dyDescent="0.35">
      <c r="A6460" s="1">
        <v>44937</v>
      </c>
      <c r="B6460">
        <v>90.930000305175696</v>
      </c>
      <c r="C6460">
        <v>95.260002136230398</v>
      </c>
      <c r="D6460">
        <v>90.930000305175696</v>
      </c>
      <c r="E6460">
        <v>95.089996337890597</v>
      </c>
      <c r="F6460">
        <v>95.089996337890597</v>
      </c>
      <c r="G6460">
        <v>103126200</v>
      </c>
      <c r="H6460">
        <f t="shared" si="400"/>
        <v>2023</v>
      </c>
      <c r="I6460">
        <f t="shared" si="401"/>
        <v>1</v>
      </c>
      <c r="J6460" t="str">
        <f t="shared" si="402"/>
        <v>Jan</v>
      </c>
      <c r="K6460" t="str">
        <f t="shared" si="403"/>
        <v>Wed</v>
      </c>
    </row>
    <row r="6461" spans="1:11" x14ac:dyDescent="0.35">
      <c r="A6461" s="1">
        <v>44938</v>
      </c>
      <c r="B6461">
        <v>96.930000305175696</v>
      </c>
      <c r="C6461">
        <v>97.190002441406193</v>
      </c>
      <c r="D6461">
        <v>93.5</v>
      </c>
      <c r="E6461">
        <v>95.269996643066406</v>
      </c>
      <c r="F6461">
        <v>95.269996643066406</v>
      </c>
      <c r="G6461">
        <v>85254800</v>
      </c>
      <c r="H6461">
        <f t="shared" si="400"/>
        <v>2023</v>
      </c>
      <c r="I6461">
        <f t="shared" si="401"/>
        <v>1</v>
      </c>
      <c r="J6461" t="str">
        <f t="shared" si="402"/>
        <v>Jan</v>
      </c>
      <c r="K6461" t="str">
        <f t="shared" si="403"/>
        <v>Thu</v>
      </c>
    </row>
    <row r="6462" spans="1:11" x14ac:dyDescent="0.35">
      <c r="A6462" s="1">
        <v>44939</v>
      </c>
      <c r="B6462">
        <v>94.180000305175696</v>
      </c>
      <c r="C6462">
        <v>98.370002746582003</v>
      </c>
      <c r="D6462">
        <v>94.120002746582003</v>
      </c>
      <c r="E6462">
        <v>98.120002746582003</v>
      </c>
      <c r="F6462">
        <v>98.120002746582003</v>
      </c>
      <c r="G6462">
        <v>85549400</v>
      </c>
      <c r="H6462">
        <f t="shared" si="400"/>
        <v>2023</v>
      </c>
      <c r="I6462">
        <f t="shared" si="401"/>
        <v>1</v>
      </c>
      <c r="J6462" t="str">
        <f t="shared" si="402"/>
        <v>Jan</v>
      </c>
      <c r="K6462" t="str">
        <f t="shared" si="403"/>
        <v>Fri</v>
      </c>
    </row>
    <row r="6463" spans="1:11" x14ac:dyDescent="0.35">
      <c r="A6463" s="1">
        <v>44943</v>
      </c>
      <c r="B6463">
        <v>98.680000305175696</v>
      </c>
      <c r="C6463">
        <v>98.889999389648395</v>
      </c>
      <c r="D6463">
        <v>95.730003356933594</v>
      </c>
      <c r="E6463">
        <v>96.050003051757798</v>
      </c>
      <c r="F6463">
        <v>96.050003051757798</v>
      </c>
      <c r="G6463">
        <v>72755000</v>
      </c>
      <c r="H6463">
        <f t="shared" si="400"/>
        <v>2023</v>
      </c>
      <c r="I6463">
        <f t="shared" si="401"/>
        <v>1</v>
      </c>
      <c r="J6463" t="str">
        <f t="shared" si="402"/>
        <v>Jan</v>
      </c>
      <c r="K6463" t="str">
        <f t="shared" si="403"/>
        <v>Tue</v>
      </c>
    </row>
    <row r="6464" spans="1:11" x14ac:dyDescent="0.35">
      <c r="A6464" s="1">
        <v>44944</v>
      </c>
      <c r="B6464">
        <v>97.25</v>
      </c>
      <c r="C6464">
        <v>99.319999694824205</v>
      </c>
      <c r="D6464">
        <v>95.379997253417898</v>
      </c>
      <c r="E6464">
        <v>95.459999084472599</v>
      </c>
      <c r="F6464">
        <v>95.459999084472599</v>
      </c>
      <c r="G6464">
        <v>79570400</v>
      </c>
      <c r="H6464">
        <f t="shared" si="400"/>
        <v>2023</v>
      </c>
      <c r="I6464">
        <f t="shared" si="401"/>
        <v>1</v>
      </c>
      <c r="J6464" t="str">
        <f t="shared" si="402"/>
        <v>Jan</v>
      </c>
      <c r="K6464" t="str">
        <f t="shared" si="403"/>
        <v>Wed</v>
      </c>
    </row>
    <row r="6465" spans="1:11" x14ac:dyDescent="0.35">
      <c r="A6465" s="1">
        <v>44945</v>
      </c>
      <c r="B6465">
        <v>94.739997863769503</v>
      </c>
      <c r="C6465">
        <v>95.440002441406193</v>
      </c>
      <c r="D6465">
        <v>92.860000610351506</v>
      </c>
      <c r="E6465">
        <v>93.680000305175696</v>
      </c>
      <c r="F6465">
        <v>93.680000305175696</v>
      </c>
      <c r="G6465">
        <v>69002700</v>
      </c>
      <c r="H6465">
        <f t="shared" si="400"/>
        <v>2023</v>
      </c>
      <c r="I6465">
        <f t="shared" si="401"/>
        <v>1</v>
      </c>
      <c r="J6465" t="str">
        <f t="shared" si="402"/>
        <v>Jan</v>
      </c>
      <c r="K6465" t="str">
        <f t="shared" si="403"/>
        <v>Thu</v>
      </c>
    </row>
    <row r="6466" spans="1:11" x14ac:dyDescent="0.35">
      <c r="A6466" s="1">
        <v>44946</v>
      </c>
      <c r="B6466">
        <v>93.860000610351506</v>
      </c>
      <c r="C6466">
        <v>97.349998474121094</v>
      </c>
      <c r="D6466">
        <v>93.199996948242102</v>
      </c>
      <c r="E6466">
        <v>97.25</v>
      </c>
      <c r="F6466">
        <v>97.25</v>
      </c>
      <c r="G6466">
        <v>67481500</v>
      </c>
      <c r="H6466">
        <f t="shared" si="400"/>
        <v>2023</v>
      </c>
      <c r="I6466">
        <f t="shared" si="401"/>
        <v>1</v>
      </c>
      <c r="J6466" t="str">
        <f t="shared" si="402"/>
        <v>Jan</v>
      </c>
      <c r="K6466" t="str">
        <f t="shared" si="403"/>
        <v>Fri</v>
      </c>
    </row>
    <row r="6467" spans="1:11" x14ac:dyDescent="0.35">
      <c r="A6467" s="1">
        <v>44949</v>
      </c>
      <c r="B6467">
        <v>97.559997558593693</v>
      </c>
      <c r="C6467">
        <v>97.779998779296804</v>
      </c>
      <c r="D6467">
        <v>95.860000610351506</v>
      </c>
      <c r="E6467">
        <v>97.519996643066406</v>
      </c>
      <c r="F6467">
        <v>97.519996643066406</v>
      </c>
      <c r="G6467">
        <v>76501100</v>
      </c>
      <c r="H6467">
        <f t="shared" si="400"/>
        <v>2023</v>
      </c>
      <c r="I6467">
        <f t="shared" si="401"/>
        <v>1</v>
      </c>
      <c r="J6467" t="str">
        <f t="shared" si="402"/>
        <v>Jan</v>
      </c>
      <c r="K6467" t="str">
        <f t="shared" si="403"/>
        <v>Mon</v>
      </c>
    </row>
    <row r="6468" spans="1:11" x14ac:dyDescent="0.35">
      <c r="A6468" s="1">
        <v>44950</v>
      </c>
      <c r="B6468">
        <v>96.930000305175696</v>
      </c>
      <c r="C6468">
        <v>98.089996337890597</v>
      </c>
      <c r="D6468">
        <v>96</v>
      </c>
      <c r="E6468">
        <v>96.319999694824205</v>
      </c>
      <c r="F6468">
        <v>96.319999694824205</v>
      </c>
      <c r="G6468">
        <v>66929500</v>
      </c>
      <c r="H6468">
        <f t="shared" ref="H6468:H6531" si="404">YEAR($A6468)</f>
        <v>2023</v>
      </c>
      <c r="I6468">
        <f t="shared" ref="I6468:I6531" si="405">MONTH($A6468)</f>
        <v>1</v>
      </c>
      <c r="J6468" t="str">
        <f t="shared" ref="J6468:J6531" si="406">TEXT($A6468,"mmm")</f>
        <v>Jan</v>
      </c>
      <c r="K6468" t="str">
        <f t="shared" ref="K6468:K6531" si="407">TEXT($A6468,"ddd")</f>
        <v>Tue</v>
      </c>
    </row>
    <row r="6469" spans="1:11" x14ac:dyDescent="0.35">
      <c r="A6469" s="1">
        <v>44951</v>
      </c>
      <c r="B6469">
        <v>92.559997558593693</v>
      </c>
      <c r="C6469">
        <v>97.239997863769503</v>
      </c>
      <c r="D6469">
        <v>91.519996643066406</v>
      </c>
      <c r="E6469">
        <v>97.180000305175696</v>
      </c>
      <c r="F6469">
        <v>97.180000305175696</v>
      </c>
      <c r="G6469">
        <v>94261600</v>
      </c>
      <c r="H6469">
        <f t="shared" si="404"/>
        <v>2023</v>
      </c>
      <c r="I6469">
        <f t="shared" si="405"/>
        <v>1</v>
      </c>
      <c r="J6469" t="str">
        <f t="shared" si="406"/>
        <v>Jan</v>
      </c>
      <c r="K6469" t="str">
        <f t="shared" si="407"/>
        <v>Wed</v>
      </c>
    </row>
    <row r="6470" spans="1:11" x14ac:dyDescent="0.35">
      <c r="A6470" s="1">
        <v>44952</v>
      </c>
      <c r="B6470">
        <v>98.239997863769503</v>
      </c>
      <c r="C6470">
        <v>99.489997863769503</v>
      </c>
      <c r="D6470">
        <v>96.919998168945298</v>
      </c>
      <c r="E6470">
        <v>99.220001220703097</v>
      </c>
      <c r="F6470">
        <v>99.220001220703097</v>
      </c>
      <c r="G6470">
        <v>68523600</v>
      </c>
      <c r="H6470">
        <f t="shared" si="404"/>
        <v>2023</v>
      </c>
      <c r="I6470">
        <f t="shared" si="405"/>
        <v>1</v>
      </c>
      <c r="J6470" t="str">
        <f t="shared" si="406"/>
        <v>Jan</v>
      </c>
      <c r="K6470" t="str">
        <f t="shared" si="407"/>
        <v>Thu</v>
      </c>
    </row>
    <row r="6471" spans="1:11" x14ac:dyDescent="0.35">
      <c r="A6471" s="1">
        <v>44953</v>
      </c>
      <c r="B6471">
        <v>99.529998779296804</v>
      </c>
      <c r="C6471">
        <v>103.48999786376901</v>
      </c>
      <c r="D6471">
        <v>99.529998779296804</v>
      </c>
      <c r="E6471">
        <v>102.23999786376901</v>
      </c>
      <c r="F6471">
        <v>102.23999786376901</v>
      </c>
      <c r="G6471">
        <v>87775600</v>
      </c>
      <c r="H6471">
        <f t="shared" si="404"/>
        <v>2023</v>
      </c>
      <c r="I6471">
        <f t="shared" si="405"/>
        <v>1</v>
      </c>
      <c r="J6471" t="str">
        <f t="shared" si="406"/>
        <v>Jan</v>
      </c>
      <c r="K6471" t="str">
        <f t="shared" si="407"/>
        <v>Fri</v>
      </c>
    </row>
    <row r="6472" spans="1:11" x14ac:dyDescent="0.35">
      <c r="A6472" s="1">
        <v>44956</v>
      </c>
      <c r="B6472">
        <v>101.08999633789</v>
      </c>
      <c r="C6472">
        <v>101.73999786376901</v>
      </c>
      <c r="D6472">
        <v>99.010002136230398</v>
      </c>
      <c r="E6472">
        <v>100.550003051757</v>
      </c>
      <c r="F6472">
        <v>100.550003051757</v>
      </c>
      <c r="G6472">
        <v>70691900</v>
      </c>
      <c r="H6472">
        <f t="shared" si="404"/>
        <v>2023</v>
      </c>
      <c r="I6472">
        <f t="shared" si="405"/>
        <v>1</v>
      </c>
      <c r="J6472" t="str">
        <f t="shared" si="406"/>
        <v>Jan</v>
      </c>
      <c r="K6472" t="str">
        <f t="shared" si="407"/>
        <v>Mon</v>
      </c>
    </row>
    <row r="6473" spans="1:11" x14ac:dyDescent="0.35">
      <c r="A6473" s="1">
        <v>44957</v>
      </c>
      <c r="B6473">
        <v>101.16000366210901</v>
      </c>
      <c r="C6473">
        <v>103.34999847412099</v>
      </c>
      <c r="D6473">
        <v>101.139999389648</v>
      </c>
      <c r="E6473">
        <v>103.129997253417</v>
      </c>
      <c r="F6473">
        <v>103.129997253417</v>
      </c>
      <c r="G6473">
        <v>66527300</v>
      </c>
      <c r="H6473">
        <f t="shared" si="404"/>
        <v>2023</v>
      </c>
      <c r="I6473">
        <f t="shared" si="405"/>
        <v>1</v>
      </c>
      <c r="J6473" t="str">
        <f t="shared" si="406"/>
        <v>Jan</v>
      </c>
      <c r="K6473" t="str">
        <f t="shared" si="407"/>
        <v>Tue</v>
      </c>
    </row>
    <row r="6474" spans="1:11" x14ac:dyDescent="0.35">
      <c r="A6474" s="1">
        <v>44958</v>
      </c>
      <c r="B6474">
        <v>102.52999877929599</v>
      </c>
      <c r="C6474">
        <v>106.23999786376901</v>
      </c>
      <c r="D6474">
        <v>101.23999786376901</v>
      </c>
      <c r="E6474">
        <v>105.150001525878</v>
      </c>
      <c r="F6474">
        <v>105.150001525878</v>
      </c>
      <c r="G6474">
        <v>80450100</v>
      </c>
      <c r="H6474">
        <f t="shared" si="404"/>
        <v>2023</v>
      </c>
      <c r="I6474">
        <f t="shared" si="405"/>
        <v>2</v>
      </c>
      <c r="J6474" t="str">
        <f t="shared" si="406"/>
        <v>Feb</v>
      </c>
      <c r="K6474" t="str">
        <f t="shared" si="407"/>
        <v>Wed</v>
      </c>
    </row>
    <row r="6475" spans="1:11" x14ac:dyDescent="0.35">
      <c r="A6475" s="1">
        <v>44959</v>
      </c>
      <c r="B6475">
        <v>110.25</v>
      </c>
      <c r="C6475">
        <v>114</v>
      </c>
      <c r="D6475">
        <v>108.879997253417</v>
      </c>
      <c r="E6475">
        <v>112.91000366210901</v>
      </c>
      <c r="F6475">
        <v>112.91000366210901</v>
      </c>
      <c r="G6475">
        <v>158154200</v>
      </c>
      <c r="H6475">
        <f t="shared" si="404"/>
        <v>2023</v>
      </c>
      <c r="I6475">
        <f t="shared" si="405"/>
        <v>2</v>
      </c>
      <c r="J6475" t="str">
        <f t="shared" si="406"/>
        <v>Feb</v>
      </c>
      <c r="K6475" t="str">
        <f t="shared" si="407"/>
        <v>Thu</v>
      </c>
    </row>
    <row r="6476" spans="1:11" x14ac:dyDescent="0.35">
      <c r="A6476" s="1">
        <v>44960</v>
      </c>
      <c r="B6476">
        <v>105.26000213623</v>
      </c>
      <c r="C6476">
        <v>108.77999877929599</v>
      </c>
      <c r="D6476">
        <v>102.51999664306599</v>
      </c>
      <c r="E6476">
        <v>103.389999389648</v>
      </c>
      <c r="F6476">
        <v>103.389999389648</v>
      </c>
      <c r="G6476">
        <v>144374800</v>
      </c>
      <c r="H6476">
        <f t="shared" si="404"/>
        <v>2023</v>
      </c>
      <c r="I6476">
        <f t="shared" si="405"/>
        <v>2</v>
      </c>
      <c r="J6476" t="str">
        <f t="shared" si="406"/>
        <v>Feb</v>
      </c>
      <c r="K6476" t="str">
        <f t="shared" si="407"/>
        <v>Fri</v>
      </c>
    </row>
    <row r="6477" spans="1:11" x14ac:dyDescent="0.35">
      <c r="A6477" s="1">
        <v>44963</v>
      </c>
      <c r="B6477">
        <v>102.930000305175</v>
      </c>
      <c r="C6477">
        <v>103.949996948242</v>
      </c>
      <c r="D6477">
        <v>100.650001525878</v>
      </c>
      <c r="E6477">
        <v>102.180000305175</v>
      </c>
      <c r="F6477">
        <v>102.180000305175</v>
      </c>
      <c r="G6477">
        <v>81945200</v>
      </c>
      <c r="H6477">
        <f t="shared" si="404"/>
        <v>2023</v>
      </c>
      <c r="I6477">
        <f t="shared" si="405"/>
        <v>2</v>
      </c>
      <c r="J6477" t="str">
        <f t="shared" si="406"/>
        <v>Feb</v>
      </c>
      <c r="K6477" t="str">
        <f t="shared" si="407"/>
        <v>Mon</v>
      </c>
    </row>
    <row r="6478" spans="1:11" x14ac:dyDescent="0.35">
      <c r="A6478" s="1">
        <v>44964</v>
      </c>
      <c r="B6478">
        <v>101.169998168945</v>
      </c>
      <c r="C6478">
        <v>102.41000366210901</v>
      </c>
      <c r="D6478">
        <v>98.080001831054602</v>
      </c>
      <c r="E6478">
        <v>102.11000061035099</v>
      </c>
      <c r="F6478">
        <v>102.11000061035099</v>
      </c>
      <c r="G6478">
        <v>119501300</v>
      </c>
      <c r="H6478">
        <f t="shared" si="404"/>
        <v>2023</v>
      </c>
      <c r="I6478">
        <f t="shared" si="405"/>
        <v>2</v>
      </c>
      <c r="J6478" t="str">
        <f t="shared" si="406"/>
        <v>Feb</v>
      </c>
      <c r="K6478" t="str">
        <f t="shared" si="407"/>
        <v>Tue</v>
      </c>
    </row>
    <row r="6479" spans="1:11" x14ac:dyDescent="0.35">
      <c r="A6479" s="1">
        <v>44965</v>
      </c>
      <c r="B6479">
        <v>102.040000915527</v>
      </c>
      <c r="C6479">
        <v>102.669998168945</v>
      </c>
      <c r="D6479">
        <v>98.779998779296804</v>
      </c>
      <c r="E6479">
        <v>100.050003051757</v>
      </c>
      <c r="F6479">
        <v>100.050003051757</v>
      </c>
      <c r="G6479">
        <v>75878300</v>
      </c>
      <c r="H6479">
        <f t="shared" si="404"/>
        <v>2023</v>
      </c>
      <c r="I6479">
        <f t="shared" si="405"/>
        <v>2</v>
      </c>
      <c r="J6479" t="str">
        <f t="shared" si="406"/>
        <v>Feb</v>
      </c>
      <c r="K6479" t="str">
        <f t="shared" si="407"/>
        <v>Wed</v>
      </c>
    </row>
    <row r="6480" spans="1:11" x14ac:dyDescent="0.35">
      <c r="A6480" s="1">
        <v>44966</v>
      </c>
      <c r="B6480">
        <v>101.31999969482401</v>
      </c>
      <c r="C6480">
        <v>101.77999877929599</v>
      </c>
      <c r="D6480">
        <v>97.569999694824205</v>
      </c>
      <c r="E6480">
        <v>98.239997863769503</v>
      </c>
      <c r="F6480">
        <v>98.239997863769503</v>
      </c>
      <c r="G6480">
        <v>64622500</v>
      </c>
      <c r="H6480">
        <f t="shared" si="404"/>
        <v>2023</v>
      </c>
      <c r="I6480">
        <f t="shared" si="405"/>
        <v>2</v>
      </c>
      <c r="J6480" t="str">
        <f t="shared" si="406"/>
        <v>Feb</v>
      </c>
      <c r="K6480" t="str">
        <f t="shared" si="407"/>
        <v>Thu</v>
      </c>
    </row>
    <row r="6481" spans="1:11" x14ac:dyDescent="0.35">
      <c r="A6481" s="1">
        <v>44967</v>
      </c>
      <c r="B6481">
        <v>97.559997558593693</v>
      </c>
      <c r="C6481">
        <v>98.819999694824205</v>
      </c>
      <c r="D6481">
        <v>96.230003356933594</v>
      </c>
      <c r="E6481">
        <v>97.610000610351506</v>
      </c>
      <c r="F6481">
        <v>97.610000610351506</v>
      </c>
      <c r="G6481">
        <v>52740100</v>
      </c>
      <c r="H6481">
        <f t="shared" si="404"/>
        <v>2023</v>
      </c>
      <c r="I6481">
        <f t="shared" si="405"/>
        <v>2</v>
      </c>
      <c r="J6481" t="str">
        <f t="shared" si="406"/>
        <v>Feb</v>
      </c>
      <c r="K6481" t="str">
        <f t="shared" si="407"/>
        <v>Fri</v>
      </c>
    </row>
    <row r="6482" spans="1:11" x14ac:dyDescent="0.35">
      <c r="A6482" s="1">
        <v>44970</v>
      </c>
      <c r="B6482">
        <v>97.849998474121094</v>
      </c>
      <c r="C6482">
        <v>99.680000305175696</v>
      </c>
      <c r="D6482">
        <v>96.910003662109304</v>
      </c>
      <c r="E6482">
        <v>99.540000915527301</v>
      </c>
      <c r="F6482">
        <v>99.540000915527301</v>
      </c>
      <c r="G6482">
        <v>52841500</v>
      </c>
      <c r="H6482">
        <f t="shared" si="404"/>
        <v>2023</v>
      </c>
      <c r="I6482">
        <f t="shared" si="405"/>
        <v>2</v>
      </c>
      <c r="J6482" t="str">
        <f t="shared" si="406"/>
        <v>Feb</v>
      </c>
      <c r="K6482" t="str">
        <f t="shared" si="407"/>
        <v>Mon</v>
      </c>
    </row>
    <row r="6483" spans="1:11" x14ac:dyDescent="0.35">
      <c r="A6483" s="1">
        <v>44971</v>
      </c>
      <c r="B6483">
        <v>98.410003662109304</v>
      </c>
      <c r="C6483">
        <v>100.919998168945</v>
      </c>
      <c r="D6483">
        <v>97.519996643066406</v>
      </c>
      <c r="E6483">
        <v>99.699996948242102</v>
      </c>
      <c r="F6483">
        <v>99.699996948242102</v>
      </c>
      <c r="G6483">
        <v>56202900</v>
      </c>
      <c r="H6483">
        <f t="shared" si="404"/>
        <v>2023</v>
      </c>
      <c r="I6483">
        <f t="shared" si="405"/>
        <v>2</v>
      </c>
      <c r="J6483" t="str">
        <f t="shared" si="406"/>
        <v>Feb</v>
      </c>
      <c r="K6483" t="str">
        <f t="shared" si="407"/>
        <v>Tue</v>
      </c>
    </row>
    <row r="6484" spans="1:11" x14ac:dyDescent="0.35">
      <c r="A6484" s="1">
        <v>44972</v>
      </c>
      <c r="B6484">
        <v>99.089996337890597</v>
      </c>
      <c r="C6484">
        <v>101.169998168945</v>
      </c>
      <c r="D6484">
        <v>98.449996948242102</v>
      </c>
      <c r="E6484">
        <v>101.16000366210901</v>
      </c>
      <c r="F6484">
        <v>101.16000366210901</v>
      </c>
      <c r="G6484">
        <v>47957600</v>
      </c>
      <c r="H6484">
        <f t="shared" si="404"/>
        <v>2023</v>
      </c>
      <c r="I6484">
        <f t="shared" si="405"/>
        <v>2</v>
      </c>
      <c r="J6484" t="str">
        <f t="shared" si="406"/>
        <v>Feb</v>
      </c>
      <c r="K6484" t="str">
        <f t="shared" si="407"/>
        <v>Wed</v>
      </c>
    </row>
    <row r="6485" spans="1:11" x14ac:dyDescent="0.35">
      <c r="A6485" s="1">
        <v>44973</v>
      </c>
      <c r="B6485">
        <v>99.209999084472599</v>
      </c>
      <c r="C6485">
        <v>100.629997253417</v>
      </c>
      <c r="D6485">
        <v>98.099998474121094</v>
      </c>
      <c r="E6485">
        <v>98.150001525878906</v>
      </c>
      <c r="F6485">
        <v>98.150001525878906</v>
      </c>
      <c r="G6485">
        <v>56339200</v>
      </c>
      <c r="H6485">
        <f t="shared" si="404"/>
        <v>2023</v>
      </c>
      <c r="I6485">
        <f t="shared" si="405"/>
        <v>2</v>
      </c>
      <c r="J6485" t="str">
        <f t="shared" si="406"/>
        <v>Feb</v>
      </c>
      <c r="K6485" t="str">
        <f t="shared" si="407"/>
        <v>Thu</v>
      </c>
    </row>
    <row r="6486" spans="1:11" x14ac:dyDescent="0.35">
      <c r="A6486" s="1">
        <v>44974</v>
      </c>
      <c r="B6486">
        <v>97.800003051757798</v>
      </c>
      <c r="C6486">
        <v>97.940002441406193</v>
      </c>
      <c r="D6486">
        <v>95.650001525878906</v>
      </c>
      <c r="E6486">
        <v>97.199996948242102</v>
      </c>
      <c r="F6486">
        <v>97.199996948242102</v>
      </c>
      <c r="G6486">
        <v>60029400</v>
      </c>
      <c r="H6486">
        <f t="shared" si="404"/>
        <v>2023</v>
      </c>
      <c r="I6486">
        <f t="shared" si="405"/>
        <v>2</v>
      </c>
      <c r="J6486" t="str">
        <f t="shared" si="406"/>
        <v>Feb</v>
      </c>
      <c r="K6486" t="str">
        <f t="shared" si="407"/>
        <v>Fri</v>
      </c>
    </row>
    <row r="6487" spans="1:11" x14ac:dyDescent="0.35">
      <c r="A6487" s="1">
        <v>44978</v>
      </c>
      <c r="B6487">
        <v>95.339996337890597</v>
      </c>
      <c r="C6487">
        <v>95.610000610351506</v>
      </c>
      <c r="D6487">
        <v>94.269996643066406</v>
      </c>
      <c r="E6487">
        <v>94.580001831054602</v>
      </c>
      <c r="F6487">
        <v>94.580001831054602</v>
      </c>
      <c r="G6487">
        <v>56580400</v>
      </c>
      <c r="H6487">
        <f t="shared" si="404"/>
        <v>2023</v>
      </c>
      <c r="I6487">
        <f t="shared" si="405"/>
        <v>2</v>
      </c>
      <c r="J6487" t="str">
        <f t="shared" si="406"/>
        <v>Feb</v>
      </c>
      <c r="K6487" t="str">
        <f t="shared" si="407"/>
        <v>Tue</v>
      </c>
    </row>
    <row r="6488" spans="1:11" x14ac:dyDescent="0.35">
      <c r="A6488" s="1">
        <v>44979</v>
      </c>
      <c r="B6488">
        <v>95.099998474121094</v>
      </c>
      <c r="C6488">
        <v>97.010002136230398</v>
      </c>
      <c r="D6488">
        <v>94.800003051757798</v>
      </c>
      <c r="E6488">
        <v>95.790000915527301</v>
      </c>
      <c r="F6488">
        <v>95.790000915527301</v>
      </c>
      <c r="G6488">
        <v>59534100</v>
      </c>
      <c r="H6488">
        <f t="shared" si="404"/>
        <v>2023</v>
      </c>
      <c r="I6488">
        <f t="shared" si="405"/>
        <v>2</v>
      </c>
      <c r="J6488" t="str">
        <f t="shared" si="406"/>
        <v>Feb</v>
      </c>
      <c r="K6488" t="str">
        <f t="shared" si="407"/>
        <v>Wed</v>
      </c>
    </row>
    <row r="6489" spans="1:11" x14ac:dyDescent="0.35">
      <c r="A6489" s="1">
        <v>44980</v>
      </c>
      <c r="B6489">
        <v>96.120002746582003</v>
      </c>
      <c r="C6489">
        <v>96.430000305175696</v>
      </c>
      <c r="D6489">
        <v>93.669998168945298</v>
      </c>
      <c r="E6489">
        <v>95.819999694824205</v>
      </c>
      <c r="F6489">
        <v>95.819999694824205</v>
      </c>
      <c r="G6489">
        <v>48467000</v>
      </c>
      <c r="H6489">
        <f t="shared" si="404"/>
        <v>2023</v>
      </c>
      <c r="I6489">
        <f t="shared" si="405"/>
        <v>2</v>
      </c>
      <c r="J6489" t="str">
        <f t="shared" si="406"/>
        <v>Feb</v>
      </c>
      <c r="K6489" t="str">
        <f t="shared" si="407"/>
        <v>Thu</v>
      </c>
    </row>
    <row r="6490" spans="1:11" x14ac:dyDescent="0.35">
      <c r="A6490" s="1">
        <v>44981</v>
      </c>
      <c r="B6490">
        <v>93.529998779296804</v>
      </c>
      <c r="C6490">
        <v>94.139999389648395</v>
      </c>
      <c r="D6490">
        <v>92.319999694824205</v>
      </c>
      <c r="E6490">
        <v>93.5</v>
      </c>
      <c r="F6490">
        <v>93.5</v>
      </c>
      <c r="G6490">
        <v>57053800</v>
      </c>
      <c r="H6490">
        <f t="shared" si="404"/>
        <v>2023</v>
      </c>
      <c r="I6490">
        <f t="shared" si="405"/>
        <v>2</v>
      </c>
      <c r="J6490" t="str">
        <f t="shared" si="406"/>
        <v>Feb</v>
      </c>
      <c r="K6490" t="str">
        <f t="shared" si="407"/>
        <v>Fri</v>
      </c>
    </row>
    <row r="6491" spans="1:11" x14ac:dyDescent="0.35">
      <c r="A6491" s="1">
        <v>44984</v>
      </c>
      <c r="B6491">
        <v>94.279998779296804</v>
      </c>
      <c r="C6491">
        <v>94.779998779296804</v>
      </c>
      <c r="D6491">
        <v>93.139999389648395</v>
      </c>
      <c r="E6491">
        <v>93.760002136230398</v>
      </c>
      <c r="F6491">
        <v>93.760002136230398</v>
      </c>
      <c r="G6491">
        <v>47470300</v>
      </c>
      <c r="H6491">
        <f t="shared" si="404"/>
        <v>2023</v>
      </c>
      <c r="I6491">
        <f t="shared" si="405"/>
        <v>2</v>
      </c>
      <c r="J6491" t="str">
        <f t="shared" si="406"/>
        <v>Feb</v>
      </c>
      <c r="K6491" t="str">
        <f t="shared" si="407"/>
        <v>Mon</v>
      </c>
    </row>
    <row r="6492" spans="1:11" x14ac:dyDescent="0.35">
      <c r="A6492" s="1">
        <v>44985</v>
      </c>
      <c r="B6492">
        <v>93.139999389648395</v>
      </c>
      <c r="C6492">
        <v>94.690002441406193</v>
      </c>
      <c r="D6492">
        <v>92.919998168945298</v>
      </c>
      <c r="E6492">
        <v>94.230003356933594</v>
      </c>
      <c r="F6492">
        <v>94.230003356933594</v>
      </c>
      <c r="G6492">
        <v>43959300</v>
      </c>
      <c r="H6492">
        <f t="shared" si="404"/>
        <v>2023</v>
      </c>
      <c r="I6492">
        <f t="shared" si="405"/>
        <v>2</v>
      </c>
      <c r="J6492" t="str">
        <f t="shared" si="406"/>
        <v>Feb</v>
      </c>
      <c r="K6492" t="str">
        <f t="shared" si="407"/>
        <v>Tue</v>
      </c>
    </row>
    <row r="6493" spans="1:11" x14ac:dyDescent="0.35">
      <c r="A6493" s="1">
        <v>44986</v>
      </c>
      <c r="B6493">
        <v>93.870002746582003</v>
      </c>
      <c r="C6493">
        <v>94.680000305175696</v>
      </c>
      <c r="D6493">
        <v>91.589996337890597</v>
      </c>
      <c r="E6493">
        <v>92.169998168945298</v>
      </c>
      <c r="F6493">
        <v>92.169998168945298</v>
      </c>
      <c r="G6493">
        <v>52299500</v>
      </c>
      <c r="H6493">
        <f t="shared" si="404"/>
        <v>2023</v>
      </c>
      <c r="I6493">
        <f t="shared" si="405"/>
        <v>3</v>
      </c>
      <c r="J6493" t="str">
        <f t="shared" si="406"/>
        <v>Mar</v>
      </c>
      <c r="K6493" t="str">
        <f t="shared" si="407"/>
        <v>Wed</v>
      </c>
    </row>
    <row r="6494" spans="1:11" x14ac:dyDescent="0.35">
      <c r="A6494" s="1">
        <v>44987</v>
      </c>
      <c r="B6494">
        <v>91.410003662109304</v>
      </c>
      <c r="C6494">
        <v>92.230003356933594</v>
      </c>
      <c r="D6494">
        <v>90.389999389648395</v>
      </c>
      <c r="E6494">
        <v>92.129997253417898</v>
      </c>
      <c r="F6494">
        <v>92.129997253417898</v>
      </c>
      <c r="G6494">
        <v>55509400</v>
      </c>
      <c r="H6494">
        <f t="shared" si="404"/>
        <v>2023</v>
      </c>
      <c r="I6494">
        <f t="shared" si="405"/>
        <v>3</v>
      </c>
      <c r="J6494" t="str">
        <f t="shared" si="406"/>
        <v>Mar</v>
      </c>
      <c r="K6494" t="str">
        <f t="shared" si="407"/>
        <v>Thu</v>
      </c>
    </row>
    <row r="6495" spans="1:11" x14ac:dyDescent="0.35">
      <c r="A6495" s="1">
        <v>44988</v>
      </c>
      <c r="B6495">
        <v>92.739997863769503</v>
      </c>
      <c r="C6495">
        <v>94.940002441406193</v>
      </c>
      <c r="D6495">
        <v>92.660003662109304</v>
      </c>
      <c r="E6495">
        <v>94.900001525878906</v>
      </c>
      <c r="F6495">
        <v>94.900001525878906</v>
      </c>
      <c r="G6495">
        <v>55759600</v>
      </c>
      <c r="H6495">
        <f t="shared" si="404"/>
        <v>2023</v>
      </c>
      <c r="I6495">
        <f t="shared" si="405"/>
        <v>3</v>
      </c>
      <c r="J6495" t="str">
        <f t="shared" si="406"/>
        <v>Mar</v>
      </c>
      <c r="K6495" t="str">
        <f t="shared" si="407"/>
        <v>Fri</v>
      </c>
    </row>
    <row r="6496" spans="1:11" x14ac:dyDescent="0.35">
      <c r="A6496" s="1">
        <v>44991</v>
      </c>
      <c r="B6496">
        <v>95.190002441406193</v>
      </c>
      <c r="C6496">
        <v>96.550003051757798</v>
      </c>
      <c r="D6496">
        <v>93.739997863769503</v>
      </c>
      <c r="E6496">
        <v>93.75</v>
      </c>
      <c r="F6496">
        <v>93.75</v>
      </c>
      <c r="G6496">
        <v>52112400</v>
      </c>
      <c r="H6496">
        <f t="shared" si="404"/>
        <v>2023</v>
      </c>
      <c r="I6496">
        <f t="shared" si="405"/>
        <v>3</v>
      </c>
      <c r="J6496" t="str">
        <f t="shared" si="406"/>
        <v>Mar</v>
      </c>
      <c r="K6496" t="str">
        <f t="shared" si="407"/>
        <v>Mon</v>
      </c>
    </row>
    <row r="6497" spans="1:11" x14ac:dyDescent="0.35">
      <c r="A6497" s="1">
        <v>44992</v>
      </c>
      <c r="B6497">
        <v>94.059997558593693</v>
      </c>
      <c r="C6497">
        <v>95.089996337890597</v>
      </c>
      <c r="D6497">
        <v>92.779998779296804</v>
      </c>
      <c r="E6497">
        <v>93.550003051757798</v>
      </c>
      <c r="F6497">
        <v>93.550003051757798</v>
      </c>
      <c r="G6497">
        <v>49100700</v>
      </c>
      <c r="H6497">
        <f t="shared" si="404"/>
        <v>2023</v>
      </c>
      <c r="I6497">
        <f t="shared" si="405"/>
        <v>3</v>
      </c>
      <c r="J6497" t="str">
        <f t="shared" si="406"/>
        <v>Mar</v>
      </c>
      <c r="K6497" t="str">
        <f t="shared" si="407"/>
        <v>Tue</v>
      </c>
    </row>
    <row r="6498" spans="1:11" x14ac:dyDescent="0.35">
      <c r="A6498" s="1">
        <v>44993</v>
      </c>
      <c r="B6498">
        <v>93.599998474121094</v>
      </c>
      <c r="C6498">
        <v>94.169998168945298</v>
      </c>
      <c r="D6498">
        <v>92.180000305175696</v>
      </c>
      <c r="E6498">
        <v>93.919998168945298</v>
      </c>
      <c r="F6498">
        <v>93.919998168945298</v>
      </c>
      <c r="G6498">
        <v>44899100</v>
      </c>
      <c r="H6498">
        <f t="shared" si="404"/>
        <v>2023</v>
      </c>
      <c r="I6498">
        <f t="shared" si="405"/>
        <v>3</v>
      </c>
      <c r="J6498" t="str">
        <f t="shared" si="406"/>
        <v>Mar</v>
      </c>
      <c r="K6498" t="str">
        <f t="shared" si="407"/>
        <v>Wed</v>
      </c>
    </row>
    <row r="6499" spans="1:11" x14ac:dyDescent="0.35">
      <c r="A6499" s="1">
        <v>44994</v>
      </c>
      <c r="B6499">
        <v>93.680000305175696</v>
      </c>
      <c r="C6499">
        <v>96.209999084472599</v>
      </c>
      <c r="D6499">
        <v>92.180000305175696</v>
      </c>
      <c r="E6499">
        <v>92.25</v>
      </c>
      <c r="F6499">
        <v>92.25</v>
      </c>
      <c r="G6499">
        <v>56218700</v>
      </c>
      <c r="H6499">
        <f t="shared" si="404"/>
        <v>2023</v>
      </c>
      <c r="I6499">
        <f t="shared" si="405"/>
        <v>3</v>
      </c>
      <c r="J6499" t="str">
        <f t="shared" si="406"/>
        <v>Mar</v>
      </c>
      <c r="K6499" t="str">
        <f t="shared" si="407"/>
        <v>Thu</v>
      </c>
    </row>
    <row r="6500" spans="1:11" x14ac:dyDescent="0.35">
      <c r="A6500" s="1">
        <v>44995</v>
      </c>
      <c r="B6500">
        <v>92.669998168945298</v>
      </c>
      <c r="C6500">
        <v>93.569999694824205</v>
      </c>
      <c r="D6500">
        <v>90.25</v>
      </c>
      <c r="E6500">
        <v>90.730003356933594</v>
      </c>
      <c r="F6500">
        <v>90.730003356933594</v>
      </c>
      <c r="G6500">
        <v>69827500</v>
      </c>
      <c r="H6500">
        <f t="shared" si="404"/>
        <v>2023</v>
      </c>
      <c r="I6500">
        <f t="shared" si="405"/>
        <v>3</v>
      </c>
      <c r="J6500" t="str">
        <f t="shared" si="406"/>
        <v>Mar</v>
      </c>
      <c r="K6500" t="str">
        <f t="shared" si="407"/>
        <v>Fri</v>
      </c>
    </row>
    <row r="6501" spans="1:11" x14ac:dyDescent="0.35">
      <c r="A6501" s="1">
        <v>44998</v>
      </c>
      <c r="B6501">
        <v>89.970001220703097</v>
      </c>
      <c r="C6501">
        <v>94.019996643066406</v>
      </c>
      <c r="D6501">
        <v>88.120002746582003</v>
      </c>
      <c r="E6501">
        <v>92.430000305175696</v>
      </c>
      <c r="F6501">
        <v>92.430000305175696</v>
      </c>
      <c r="G6501">
        <v>72397100</v>
      </c>
      <c r="H6501">
        <f t="shared" si="404"/>
        <v>2023</v>
      </c>
      <c r="I6501">
        <f t="shared" si="405"/>
        <v>3</v>
      </c>
      <c r="J6501" t="str">
        <f t="shared" si="406"/>
        <v>Mar</v>
      </c>
      <c r="K6501" t="str">
        <f t="shared" si="407"/>
        <v>Mon</v>
      </c>
    </row>
    <row r="6502" spans="1:11" x14ac:dyDescent="0.35">
      <c r="A6502" s="1">
        <v>44999</v>
      </c>
      <c r="B6502">
        <v>93.830001831054602</v>
      </c>
      <c r="C6502">
        <v>95.069999694824205</v>
      </c>
      <c r="D6502">
        <v>92.709999084472599</v>
      </c>
      <c r="E6502">
        <v>94.879997253417898</v>
      </c>
      <c r="F6502">
        <v>94.879997253417898</v>
      </c>
      <c r="G6502">
        <v>60912700</v>
      </c>
      <c r="H6502">
        <f t="shared" si="404"/>
        <v>2023</v>
      </c>
      <c r="I6502">
        <f t="shared" si="405"/>
        <v>3</v>
      </c>
      <c r="J6502" t="str">
        <f t="shared" si="406"/>
        <v>Mar</v>
      </c>
      <c r="K6502" t="str">
        <f t="shared" si="407"/>
        <v>Tue</v>
      </c>
    </row>
    <row r="6503" spans="1:11" x14ac:dyDescent="0.35">
      <c r="A6503" s="1">
        <v>45000</v>
      </c>
      <c r="B6503">
        <v>93.220001220703097</v>
      </c>
      <c r="C6503">
        <v>96.669998168945298</v>
      </c>
      <c r="D6503">
        <v>93.069999694824205</v>
      </c>
      <c r="E6503">
        <v>96.199996948242102</v>
      </c>
      <c r="F6503">
        <v>96.199996948242102</v>
      </c>
      <c r="G6503">
        <v>70731800</v>
      </c>
      <c r="H6503">
        <f t="shared" si="404"/>
        <v>2023</v>
      </c>
      <c r="I6503">
        <f t="shared" si="405"/>
        <v>3</v>
      </c>
      <c r="J6503" t="str">
        <f t="shared" si="406"/>
        <v>Mar</v>
      </c>
      <c r="K6503" t="str">
        <f t="shared" si="407"/>
        <v>Wed</v>
      </c>
    </row>
    <row r="6504" spans="1:11" x14ac:dyDescent="0.35">
      <c r="A6504" s="1">
        <v>45001</v>
      </c>
      <c r="B6504">
        <v>95.75</v>
      </c>
      <c r="C6504">
        <v>100.98999786376901</v>
      </c>
      <c r="D6504">
        <v>95.610000610351506</v>
      </c>
      <c r="E6504">
        <v>100.040000915527</v>
      </c>
      <c r="F6504">
        <v>100.040000915527</v>
      </c>
      <c r="G6504">
        <v>84446900</v>
      </c>
      <c r="H6504">
        <f t="shared" si="404"/>
        <v>2023</v>
      </c>
      <c r="I6504">
        <f t="shared" si="405"/>
        <v>3</v>
      </c>
      <c r="J6504" t="str">
        <f t="shared" si="406"/>
        <v>Mar</v>
      </c>
      <c r="K6504" t="str">
        <f t="shared" si="407"/>
        <v>Thu</v>
      </c>
    </row>
    <row r="6505" spans="1:11" x14ac:dyDescent="0.35">
      <c r="A6505" s="1">
        <v>45002</v>
      </c>
      <c r="B6505">
        <v>99.790000915527301</v>
      </c>
      <c r="C6505">
        <v>100.66000366210901</v>
      </c>
      <c r="D6505">
        <v>97.459999084472599</v>
      </c>
      <c r="E6505">
        <v>98.949996948242102</v>
      </c>
      <c r="F6505">
        <v>98.949996948242102</v>
      </c>
      <c r="G6505">
        <v>87300200</v>
      </c>
      <c r="H6505">
        <f t="shared" si="404"/>
        <v>2023</v>
      </c>
      <c r="I6505">
        <f t="shared" si="405"/>
        <v>3</v>
      </c>
      <c r="J6505" t="str">
        <f t="shared" si="406"/>
        <v>Mar</v>
      </c>
      <c r="K6505" t="str">
        <f t="shared" si="407"/>
        <v>Fri</v>
      </c>
    </row>
    <row r="6506" spans="1:11" x14ac:dyDescent="0.35">
      <c r="A6506" s="1">
        <v>45005</v>
      </c>
      <c r="B6506">
        <v>98.410003662109304</v>
      </c>
      <c r="C6506">
        <v>98.480003356933594</v>
      </c>
      <c r="D6506">
        <v>95.699996948242102</v>
      </c>
      <c r="E6506">
        <v>97.709999084472599</v>
      </c>
      <c r="F6506">
        <v>97.709999084472599</v>
      </c>
      <c r="G6506">
        <v>62388900</v>
      </c>
      <c r="H6506">
        <f t="shared" si="404"/>
        <v>2023</v>
      </c>
      <c r="I6506">
        <f t="shared" si="405"/>
        <v>3</v>
      </c>
      <c r="J6506" t="str">
        <f t="shared" si="406"/>
        <v>Mar</v>
      </c>
      <c r="K6506" t="str">
        <f t="shared" si="407"/>
        <v>Mon</v>
      </c>
    </row>
    <row r="6507" spans="1:11" x14ac:dyDescent="0.35">
      <c r="A6507" s="1">
        <v>45006</v>
      </c>
      <c r="B6507">
        <v>98.139999389648395</v>
      </c>
      <c r="C6507">
        <v>100.84999847412099</v>
      </c>
      <c r="D6507">
        <v>98</v>
      </c>
      <c r="E6507">
        <v>100.61000061035099</v>
      </c>
      <c r="F6507">
        <v>100.61000061035099</v>
      </c>
      <c r="G6507">
        <v>58597300</v>
      </c>
      <c r="H6507">
        <f t="shared" si="404"/>
        <v>2023</v>
      </c>
      <c r="I6507">
        <f t="shared" si="405"/>
        <v>3</v>
      </c>
      <c r="J6507" t="str">
        <f t="shared" si="406"/>
        <v>Mar</v>
      </c>
      <c r="K6507" t="str">
        <f t="shared" si="407"/>
        <v>Tue</v>
      </c>
    </row>
    <row r="6508" spans="1:11" x14ac:dyDescent="0.35">
      <c r="A6508" s="1">
        <v>45007</v>
      </c>
      <c r="B6508">
        <v>100.449996948242</v>
      </c>
      <c r="C6508">
        <v>102.09999847412099</v>
      </c>
      <c r="D6508">
        <v>98.610000610351506</v>
      </c>
      <c r="E6508">
        <v>98.699996948242102</v>
      </c>
      <c r="F6508">
        <v>98.699996948242102</v>
      </c>
      <c r="G6508">
        <v>57475400</v>
      </c>
      <c r="H6508">
        <f t="shared" si="404"/>
        <v>2023</v>
      </c>
      <c r="I6508">
        <f t="shared" si="405"/>
        <v>3</v>
      </c>
      <c r="J6508" t="str">
        <f t="shared" si="406"/>
        <v>Mar</v>
      </c>
      <c r="K6508" t="str">
        <f t="shared" si="407"/>
        <v>Wed</v>
      </c>
    </row>
    <row r="6509" spans="1:11" x14ac:dyDescent="0.35">
      <c r="A6509" s="1">
        <v>45008</v>
      </c>
      <c r="B6509">
        <v>100.430000305175</v>
      </c>
      <c r="C6509">
        <v>101.059997558593</v>
      </c>
      <c r="D6509">
        <v>97.620002746582003</v>
      </c>
      <c r="E6509">
        <v>98.709999084472599</v>
      </c>
      <c r="F6509">
        <v>98.709999084472599</v>
      </c>
      <c r="G6509">
        <v>57559300</v>
      </c>
      <c r="H6509">
        <f t="shared" si="404"/>
        <v>2023</v>
      </c>
      <c r="I6509">
        <f t="shared" si="405"/>
        <v>3</v>
      </c>
      <c r="J6509" t="str">
        <f t="shared" si="406"/>
        <v>Mar</v>
      </c>
      <c r="K6509" t="str">
        <f t="shared" si="407"/>
        <v>Thu</v>
      </c>
    </row>
    <row r="6510" spans="1:11" x14ac:dyDescent="0.35">
      <c r="A6510" s="1">
        <v>45009</v>
      </c>
      <c r="B6510">
        <v>98.069999694824205</v>
      </c>
      <c r="C6510">
        <v>98.300003051757798</v>
      </c>
      <c r="D6510">
        <v>96.400001525878906</v>
      </c>
      <c r="E6510">
        <v>98.129997253417898</v>
      </c>
      <c r="F6510">
        <v>98.129997253417898</v>
      </c>
      <c r="G6510">
        <v>56095400</v>
      </c>
      <c r="H6510">
        <f t="shared" si="404"/>
        <v>2023</v>
      </c>
      <c r="I6510">
        <f t="shared" si="405"/>
        <v>3</v>
      </c>
      <c r="J6510" t="str">
        <f t="shared" si="406"/>
        <v>Mar</v>
      </c>
      <c r="K6510" t="str">
        <f t="shared" si="407"/>
        <v>Fri</v>
      </c>
    </row>
    <row r="6511" spans="1:11" x14ac:dyDescent="0.35">
      <c r="A6511" s="1">
        <v>45012</v>
      </c>
      <c r="B6511">
        <v>99.069999694824205</v>
      </c>
      <c r="C6511">
        <v>99.339996337890597</v>
      </c>
      <c r="D6511">
        <v>97.080001831054602</v>
      </c>
      <c r="E6511">
        <v>98.040000915527301</v>
      </c>
      <c r="F6511">
        <v>98.040000915527301</v>
      </c>
      <c r="G6511">
        <v>46721300</v>
      </c>
      <c r="H6511">
        <f t="shared" si="404"/>
        <v>2023</v>
      </c>
      <c r="I6511">
        <f t="shared" si="405"/>
        <v>3</v>
      </c>
      <c r="J6511" t="str">
        <f t="shared" si="406"/>
        <v>Mar</v>
      </c>
      <c r="K6511" t="str">
        <f t="shared" si="407"/>
        <v>Mon</v>
      </c>
    </row>
    <row r="6512" spans="1:11" x14ac:dyDescent="0.35">
      <c r="A6512" s="1">
        <v>45013</v>
      </c>
      <c r="B6512">
        <v>98.110000610351506</v>
      </c>
      <c r="C6512">
        <v>98.440002441406193</v>
      </c>
      <c r="D6512">
        <v>96.290000915527301</v>
      </c>
      <c r="E6512">
        <v>97.239997863769503</v>
      </c>
      <c r="F6512">
        <v>97.239997863769503</v>
      </c>
      <c r="G6512">
        <v>38720100</v>
      </c>
      <c r="H6512">
        <f t="shared" si="404"/>
        <v>2023</v>
      </c>
      <c r="I6512">
        <f t="shared" si="405"/>
        <v>3</v>
      </c>
      <c r="J6512" t="str">
        <f t="shared" si="406"/>
        <v>Mar</v>
      </c>
      <c r="K6512" t="str">
        <f t="shared" si="407"/>
        <v>Tue</v>
      </c>
    </row>
    <row r="6513" spans="1:11" x14ac:dyDescent="0.35">
      <c r="A6513" s="1">
        <v>45014</v>
      </c>
      <c r="B6513">
        <v>98.690002441406193</v>
      </c>
      <c r="C6513">
        <v>100.419998168945</v>
      </c>
      <c r="D6513">
        <v>98.559997558593693</v>
      </c>
      <c r="E6513">
        <v>100.25</v>
      </c>
      <c r="F6513">
        <v>100.25</v>
      </c>
      <c r="G6513">
        <v>49783300</v>
      </c>
      <c r="H6513">
        <f t="shared" si="404"/>
        <v>2023</v>
      </c>
      <c r="I6513">
        <f t="shared" si="405"/>
        <v>3</v>
      </c>
      <c r="J6513" t="str">
        <f t="shared" si="406"/>
        <v>Mar</v>
      </c>
      <c r="K6513" t="str">
        <f t="shared" si="407"/>
        <v>Wed</v>
      </c>
    </row>
    <row r="6514" spans="1:11" x14ac:dyDescent="0.35">
      <c r="A6514" s="1">
        <v>45015</v>
      </c>
      <c r="B6514">
        <v>101.550003051757</v>
      </c>
      <c r="C6514">
        <v>103.040000915527</v>
      </c>
      <c r="D6514">
        <v>101.01000213623</v>
      </c>
      <c r="E6514">
        <v>102</v>
      </c>
      <c r="F6514">
        <v>102</v>
      </c>
      <c r="G6514">
        <v>53633400</v>
      </c>
      <c r="H6514">
        <f t="shared" si="404"/>
        <v>2023</v>
      </c>
      <c r="I6514">
        <f t="shared" si="405"/>
        <v>3</v>
      </c>
      <c r="J6514" t="str">
        <f t="shared" si="406"/>
        <v>Mar</v>
      </c>
      <c r="K6514" t="str">
        <f t="shared" si="407"/>
        <v>Thu</v>
      </c>
    </row>
    <row r="6515" spans="1:11" x14ac:dyDescent="0.35">
      <c r="A6515" s="1">
        <v>45016</v>
      </c>
      <c r="B6515">
        <v>102.16000366210901</v>
      </c>
      <c r="C6515">
        <v>103.48999786376901</v>
      </c>
      <c r="D6515">
        <v>101.949996948242</v>
      </c>
      <c r="E6515">
        <v>103.290000915527</v>
      </c>
      <c r="F6515">
        <v>103.290000915527</v>
      </c>
      <c r="G6515">
        <v>56750300</v>
      </c>
      <c r="H6515">
        <f t="shared" si="404"/>
        <v>2023</v>
      </c>
      <c r="I6515">
        <f t="shared" si="405"/>
        <v>3</v>
      </c>
      <c r="J6515" t="str">
        <f t="shared" si="406"/>
        <v>Mar</v>
      </c>
      <c r="K6515" t="str">
        <f t="shared" si="407"/>
        <v>Fri</v>
      </c>
    </row>
    <row r="6516" spans="1:11" x14ac:dyDescent="0.35">
      <c r="A6516" s="1">
        <v>45019</v>
      </c>
      <c r="B6516">
        <v>102.300003051757</v>
      </c>
      <c r="C6516">
        <v>103.290000915527</v>
      </c>
      <c r="D6516">
        <v>101.430000305175</v>
      </c>
      <c r="E6516">
        <v>102.41000366210901</v>
      </c>
      <c r="F6516">
        <v>102.41000366210901</v>
      </c>
      <c r="G6516">
        <v>41135700</v>
      </c>
      <c r="H6516">
        <f t="shared" si="404"/>
        <v>2023</v>
      </c>
      <c r="I6516">
        <f t="shared" si="405"/>
        <v>4</v>
      </c>
      <c r="J6516" t="str">
        <f t="shared" si="406"/>
        <v>Apr</v>
      </c>
      <c r="K6516" t="str">
        <f t="shared" si="407"/>
        <v>Mon</v>
      </c>
    </row>
    <row r="6517" spans="1:11" x14ac:dyDescent="0.35">
      <c r="A6517" s="1">
        <v>45020</v>
      </c>
      <c r="B6517">
        <v>102.75</v>
      </c>
      <c r="C6517">
        <v>104.199996948242</v>
      </c>
      <c r="D6517">
        <v>102.11000061035099</v>
      </c>
      <c r="E6517">
        <v>103.949996948242</v>
      </c>
      <c r="F6517">
        <v>103.949996948242</v>
      </c>
      <c r="G6517">
        <v>48662500</v>
      </c>
      <c r="H6517">
        <f t="shared" si="404"/>
        <v>2023</v>
      </c>
      <c r="I6517">
        <f t="shared" si="405"/>
        <v>4</v>
      </c>
      <c r="J6517" t="str">
        <f t="shared" si="406"/>
        <v>Apr</v>
      </c>
      <c r="K6517" t="str">
        <f t="shared" si="407"/>
        <v>Tue</v>
      </c>
    </row>
    <row r="6518" spans="1:11" x14ac:dyDescent="0.35">
      <c r="A6518" s="1">
        <v>45021</v>
      </c>
      <c r="B6518">
        <v>103.91000366210901</v>
      </c>
      <c r="C6518">
        <v>103.91000366210901</v>
      </c>
      <c r="D6518">
        <v>100.75</v>
      </c>
      <c r="E6518">
        <v>101.09999847412099</v>
      </c>
      <c r="F6518">
        <v>101.09999847412099</v>
      </c>
      <c r="G6518">
        <v>45175400</v>
      </c>
      <c r="H6518">
        <f t="shared" si="404"/>
        <v>2023</v>
      </c>
      <c r="I6518">
        <f t="shared" si="405"/>
        <v>4</v>
      </c>
      <c r="J6518" t="str">
        <f t="shared" si="406"/>
        <v>Apr</v>
      </c>
      <c r="K6518" t="str">
        <f t="shared" si="407"/>
        <v>Wed</v>
      </c>
    </row>
    <row r="6519" spans="1:11" x14ac:dyDescent="0.35">
      <c r="A6519" s="1">
        <v>45022</v>
      </c>
      <c r="B6519">
        <v>100.75</v>
      </c>
      <c r="C6519">
        <v>102.379997253417</v>
      </c>
      <c r="D6519">
        <v>99.800003051757798</v>
      </c>
      <c r="E6519">
        <v>102.059997558593</v>
      </c>
      <c r="F6519">
        <v>102.059997558593</v>
      </c>
      <c r="G6519">
        <v>43808000</v>
      </c>
      <c r="H6519">
        <f t="shared" si="404"/>
        <v>2023</v>
      </c>
      <c r="I6519">
        <f t="shared" si="405"/>
        <v>4</v>
      </c>
      <c r="J6519" t="str">
        <f t="shared" si="406"/>
        <v>Apr</v>
      </c>
      <c r="K6519" t="str">
        <f t="shared" si="407"/>
        <v>Thu</v>
      </c>
    </row>
    <row r="6520" spans="1:11" x14ac:dyDescent="0.35">
      <c r="A6520" s="1">
        <v>45026</v>
      </c>
      <c r="B6520">
        <v>100.959999084472</v>
      </c>
      <c r="C6520">
        <v>102.199996948242</v>
      </c>
      <c r="D6520">
        <v>99.569999694824205</v>
      </c>
      <c r="E6520">
        <v>102.169998168945</v>
      </c>
      <c r="F6520">
        <v>102.169998168945</v>
      </c>
      <c r="G6520">
        <v>37261200</v>
      </c>
      <c r="H6520">
        <f t="shared" si="404"/>
        <v>2023</v>
      </c>
      <c r="I6520">
        <f t="shared" si="405"/>
        <v>4</v>
      </c>
      <c r="J6520" t="str">
        <f t="shared" si="406"/>
        <v>Apr</v>
      </c>
      <c r="K6520" t="str">
        <f t="shared" si="407"/>
        <v>Mon</v>
      </c>
    </row>
    <row r="6521" spans="1:11" x14ac:dyDescent="0.35">
      <c r="A6521" s="1">
        <v>45027</v>
      </c>
      <c r="B6521">
        <v>100.800003051757</v>
      </c>
      <c r="C6521">
        <v>101</v>
      </c>
      <c r="D6521">
        <v>99.010002136230398</v>
      </c>
      <c r="E6521">
        <v>99.919998168945298</v>
      </c>
      <c r="F6521">
        <v>99.919998168945298</v>
      </c>
      <c r="G6521">
        <v>60417800</v>
      </c>
      <c r="H6521">
        <f t="shared" si="404"/>
        <v>2023</v>
      </c>
      <c r="I6521">
        <f t="shared" si="405"/>
        <v>4</v>
      </c>
      <c r="J6521" t="str">
        <f t="shared" si="406"/>
        <v>Apr</v>
      </c>
      <c r="K6521" t="str">
        <f t="shared" si="407"/>
        <v>Tue</v>
      </c>
    </row>
    <row r="6522" spans="1:11" x14ac:dyDescent="0.35">
      <c r="A6522" s="1">
        <v>45028</v>
      </c>
      <c r="B6522">
        <v>100.400001525878</v>
      </c>
      <c r="C6522">
        <v>100.51000213623</v>
      </c>
      <c r="D6522">
        <v>97.709999084472599</v>
      </c>
      <c r="E6522">
        <v>97.830001831054602</v>
      </c>
      <c r="F6522">
        <v>97.830001831054602</v>
      </c>
      <c r="G6522">
        <v>56735000</v>
      </c>
      <c r="H6522">
        <f t="shared" si="404"/>
        <v>2023</v>
      </c>
      <c r="I6522">
        <f t="shared" si="405"/>
        <v>4</v>
      </c>
      <c r="J6522" t="str">
        <f t="shared" si="406"/>
        <v>Apr</v>
      </c>
      <c r="K6522" t="str">
        <f t="shared" si="407"/>
        <v>Wed</v>
      </c>
    </row>
    <row r="6523" spans="1:11" x14ac:dyDescent="0.35">
      <c r="A6523" s="1">
        <v>45029</v>
      </c>
      <c r="B6523">
        <v>98.949996948242102</v>
      </c>
      <c r="C6523">
        <v>102.56999969482401</v>
      </c>
      <c r="D6523">
        <v>98.709999084472599</v>
      </c>
      <c r="E6523">
        <v>102.400001525878</v>
      </c>
      <c r="F6523">
        <v>102.400001525878</v>
      </c>
      <c r="G6523">
        <v>67925100</v>
      </c>
      <c r="H6523">
        <f t="shared" si="404"/>
        <v>2023</v>
      </c>
      <c r="I6523">
        <f t="shared" si="405"/>
        <v>4</v>
      </c>
      <c r="J6523" t="str">
        <f t="shared" si="406"/>
        <v>Apr</v>
      </c>
      <c r="K6523" t="str">
        <f t="shared" si="407"/>
        <v>Thu</v>
      </c>
    </row>
    <row r="6524" spans="1:11" x14ac:dyDescent="0.35">
      <c r="A6524" s="1">
        <v>45030</v>
      </c>
      <c r="B6524">
        <v>102.06999969482401</v>
      </c>
      <c r="C6524">
        <v>103.199996948242</v>
      </c>
      <c r="D6524">
        <v>101.11000061035099</v>
      </c>
      <c r="E6524">
        <v>102.51000213623</v>
      </c>
      <c r="F6524">
        <v>102.51000213623</v>
      </c>
      <c r="G6524">
        <v>51450500</v>
      </c>
      <c r="H6524">
        <f t="shared" si="404"/>
        <v>2023</v>
      </c>
      <c r="I6524">
        <f t="shared" si="405"/>
        <v>4</v>
      </c>
      <c r="J6524" t="str">
        <f t="shared" si="406"/>
        <v>Apr</v>
      </c>
      <c r="K6524" t="str">
        <f t="shared" si="407"/>
        <v>Fri</v>
      </c>
    </row>
    <row r="6525" spans="1:11" x14ac:dyDescent="0.35">
      <c r="A6525" s="1">
        <v>45033</v>
      </c>
      <c r="B6525">
        <v>103.16000366210901</v>
      </c>
      <c r="C6525">
        <v>103.730003356933</v>
      </c>
      <c r="D6525">
        <v>101.58999633789</v>
      </c>
      <c r="E6525">
        <v>102.73999786376901</v>
      </c>
      <c r="F6525">
        <v>102.73999786376901</v>
      </c>
      <c r="G6525">
        <v>39919500</v>
      </c>
      <c r="H6525">
        <f t="shared" si="404"/>
        <v>2023</v>
      </c>
      <c r="I6525">
        <f t="shared" si="405"/>
        <v>4</v>
      </c>
      <c r="J6525" t="str">
        <f t="shared" si="406"/>
        <v>Apr</v>
      </c>
      <c r="K6525" t="str">
        <f t="shared" si="407"/>
        <v>Mon</v>
      </c>
    </row>
    <row r="6526" spans="1:11" x14ac:dyDescent="0.35">
      <c r="A6526" s="1">
        <v>45034</v>
      </c>
      <c r="B6526">
        <v>103.949996948242</v>
      </c>
      <c r="C6526">
        <v>104.199996948242</v>
      </c>
      <c r="D6526">
        <v>101.51999664306599</v>
      </c>
      <c r="E6526">
        <v>102.300003051757</v>
      </c>
      <c r="F6526">
        <v>102.300003051757</v>
      </c>
      <c r="G6526">
        <v>39790500</v>
      </c>
      <c r="H6526">
        <f t="shared" si="404"/>
        <v>2023</v>
      </c>
      <c r="I6526">
        <f t="shared" si="405"/>
        <v>4</v>
      </c>
      <c r="J6526" t="str">
        <f t="shared" si="406"/>
        <v>Apr</v>
      </c>
      <c r="K6526" t="str">
        <f t="shared" si="407"/>
        <v>Tue</v>
      </c>
    </row>
    <row r="6527" spans="1:11" x14ac:dyDescent="0.35">
      <c r="A6527" s="1">
        <v>45035</v>
      </c>
      <c r="B6527">
        <v>101.58000183105401</v>
      </c>
      <c r="C6527">
        <v>105.120002746582</v>
      </c>
      <c r="D6527">
        <v>101.389999389648</v>
      </c>
      <c r="E6527">
        <v>104.300003051757</v>
      </c>
      <c r="F6527">
        <v>104.300003051757</v>
      </c>
      <c r="G6527">
        <v>58398900</v>
      </c>
      <c r="H6527">
        <f t="shared" si="404"/>
        <v>2023</v>
      </c>
      <c r="I6527">
        <f t="shared" si="405"/>
        <v>4</v>
      </c>
      <c r="J6527" t="str">
        <f t="shared" si="406"/>
        <v>Apr</v>
      </c>
      <c r="K6527" t="str">
        <f t="shared" si="407"/>
        <v>Wed</v>
      </c>
    </row>
    <row r="6528" spans="1:11" x14ac:dyDescent="0.35">
      <c r="A6528" s="1">
        <v>45036</v>
      </c>
      <c r="B6528">
        <v>103.52999877929599</v>
      </c>
      <c r="C6528">
        <v>105.25</v>
      </c>
      <c r="D6528">
        <v>103.209999084472</v>
      </c>
      <c r="E6528">
        <v>103.809997558593</v>
      </c>
      <c r="F6528">
        <v>103.809997558593</v>
      </c>
      <c r="G6528">
        <v>57696900</v>
      </c>
      <c r="H6528">
        <f t="shared" si="404"/>
        <v>2023</v>
      </c>
      <c r="I6528">
        <f t="shared" si="405"/>
        <v>4</v>
      </c>
      <c r="J6528" t="str">
        <f t="shared" si="406"/>
        <v>Apr</v>
      </c>
      <c r="K6528" t="str">
        <f t="shared" si="407"/>
        <v>Thu</v>
      </c>
    </row>
    <row r="6529" spans="1:11" x14ac:dyDescent="0.35">
      <c r="A6529" s="1">
        <v>45037</v>
      </c>
      <c r="B6529">
        <v>106.09999847412099</v>
      </c>
      <c r="C6529">
        <v>108.150001525878</v>
      </c>
      <c r="D6529">
        <v>105.08000183105401</v>
      </c>
      <c r="E6529">
        <v>106.959999084472</v>
      </c>
      <c r="F6529">
        <v>106.959999084472</v>
      </c>
      <c r="G6529">
        <v>86774200</v>
      </c>
      <c r="H6529">
        <f t="shared" si="404"/>
        <v>2023</v>
      </c>
      <c r="I6529">
        <f t="shared" si="405"/>
        <v>4</v>
      </c>
      <c r="J6529" t="str">
        <f t="shared" si="406"/>
        <v>Apr</v>
      </c>
      <c r="K6529" t="str">
        <f t="shared" si="407"/>
        <v>Fri</v>
      </c>
    </row>
    <row r="6530" spans="1:11" x14ac:dyDescent="0.35">
      <c r="A6530" s="1">
        <v>45040</v>
      </c>
      <c r="B6530">
        <v>107.66000366210901</v>
      </c>
      <c r="C6530">
        <v>109.230003356933</v>
      </c>
      <c r="D6530">
        <v>105.06999969482401</v>
      </c>
      <c r="E6530">
        <v>106.209999084472</v>
      </c>
      <c r="F6530">
        <v>106.209999084472</v>
      </c>
      <c r="G6530">
        <v>69575600</v>
      </c>
      <c r="H6530">
        <f t="shared" si="404"/>
        <v>2023</v>
      </c>
      <c r="I6530">
        <f t="shared" si="405"/>
        <v>4</v>
      </c>
      <c r="J6530" t="str">
        <f t="shared" si="406"/>
        <v>Apr</v>
      </c>
      <c r="K6530" t="str">
        <f t="shared" si="407"/>
        <v>Mon</v>
      </c>
    </row>
    <row r="6531" spans="1:11" x14ac:dyDescent="0.35">
      <c r="A6531" s="1">
        <v>45041</v>
      </c>
      <c r="B6531">
        <v>104.91000366210901</v>
      </c>
      <c r="C6531">
        <v>105.449996948242</v>
      </c>
      <c r="D6531">
        <v>102.449996948242</v>
      </c>
      <c r="E6531">
        <v>102.56999969482401</v>
      </c>
      <c r="F6531">
        <v>102.56999969482401</v>
      </c>
      <c r="G6531">
        <v>65026800</v>
      </c>
      <c r="H6531">
        <f t="shared" si="404"/>
        <v>2023</v>
      </c>
      <c r="I6531">
        <f t="shared" si="405"/>
        <v>4</v>
      </c>
      <c r="J6531" t="str">
        <f t="shared" si="406"/>
        <v>Apr</v>
      </c>
      <c r="K6531" t="str">
        <f t="shared" si="407"/>
        <v>Tue</v>
      </c>
    </row>
    <row r="6532" spans="1:11" x14ac:dyDescent="0.35">
      <c r="A6532" s="1">
        <v>45042</v>
      </c>
      <c r="B6532">
        <v>105.040000915527</v>
      </c>
      <c r="C6532">
        <v>106.620002746582</v>
      </c>
      <c r="D6532">
        <v>104.09999847412099</v>
      </c>
      <c r="E6532">
        <v>104.980003356933</v>
      </c>
      <c r="F6532">
        <v>104.980003356933</v>
      </c>
      <c r="G6532">
        <v>73803800</v>
      </c>
      <c r="H6532">
        <f t="shared" ref="H6532:H6595" si="408">YEAR($A6532)</f>
        <v>2023</v>
      </c>
      <c r="I6532">
        <f t="shared" ref="I6532:I6595" si="409">MONTH($A6532)</f>
        <v>4</v>
      </c>
      <c r="J6532" t="str">
        <f t="shared" ref="J6532:J6595" si="410">TEXT($A6532,"mmm")</f>
        <v>Apr</v>
      </c>
      <c r="K6532" t="str">
        <f t="shared" ref="K6532:K6595" si="411">TEXT($A6532,"ddd")</f>
        <v>Wed</v>
      </c>
    </row>
    <row r="6533" spans="1:11" x14ac:dyDescent="0.35">
      <c r="A6533" s="1">
        <v>45043</v>
      </c>
      <c r="B6533">
        <v>108.16000366210901</v>
      </c>
      <c r="C6533">
        <v>110.86000061035099</v>
      </c>
      <c r="D6533">
        <v>106.800003051757</v>
      </c>
      <c r="E6533">
        <v>109.81999969482401</v>
      </c>
      <c r="F6533">
        <v>109.81999969482401</v>
      </c>
      <c r="G6533">
        <v>149961200</v>
      </c>
      <c r="H6533">
        <f t="shared" si="408"/>
        <v>2023</v>
      </c>
      <c r="I6533">
        <f t="shared" si="409"/>
        <v>4</v>
      </c>
      <c r="J6533" t="str">
        <f t="shared" si="410"/>
        <v>Apr</v>
      </c>
      <c r="K6533" t="str">
        <f t="shared" si="411"/>
        <v>Thu</v>
      </c>
    </row>
    <row r="6534" spans="1:11" x14ac:dyDescent="0.35">
      <c r="A6534" s="1">
        <v>45044</v>
      </c>
      <c r="B6534">
        <v>107.730003356933</v>
      </c>
      <c r="C6534">
        <v>109.480003356933</v>
      </c>
      <c r="D6534">
        <v>104.33000183105401</v>
      </c>
      <c r="E6534">
        <v>105.449996948242</v>
      </c>
      <c r="F6534">
        <v>105.449996948242</v>
      </c>
      <c r="G6534">
        <v>130715900</v>
      </c>
      <c r="H6534">
        <f t="shared" si="408"/>
        <v>2023</v>
      </c>
      <c r="I6534">
        <f t="shared" si="409"/>
        <v>4</v>
      </c>
      <c r="J6534" t="str">
        <f t="shared" si="410"/>
        <v>Apr</v>
      </c>
      <c r="K6534" t="str">
        <f t="shared" si="411"/>
        <v>Fri</v>
      </c>
    </row>
    <row r="6535" spans="1:11" x14ac:dyDescent="0.35">
      <c r="A6535" s="1">
        <v>45047</v>
      </c>
      <c r="B6535">
        <v>104.949996948242</v>
      </c>
      <c r="C6535">
        <v>105.230003356933</v>
      </c>
      <c r="D6535">
        <v>101.81999969482401</v>
      </c>
      <c r="E6535">
        <v>102.050003051757</v>
      </c>
      <c r="F6535">
        <v>102.050003051757</v>
      </c>
      <c r="G6535">
        <v>74728100</v>
      </c>
      <c r="H6535">
        <f t="shared" si="408"/>
        <v>2023</v>
      </c>
      <c r="I6535">
        <f t="shared" si="409"/>
        <v>5</v>
      </c>
      <c r="J6535" t="str">
        <f t="shared" si="410"/>
        <v>May</v>
      </c>
      <c r="K6535" t="str">
        <f t="shared" si="411"/>
        <v>Mon</v>
      </c>
    </row>
    <row r="6536" spans="1:11" x14ac:dyDescent="0.35">
      <c r="A6536" s="1">
        <v>45048</v>
      </c>
      <c r="B6536">
        <v>101.470001220703</v>
      </c>
      <c r="C6536">
        <v>103.900001525878</v>
      </c>
      <c r="D6536">
        <v>101.150001525878</v>
      </c>
      <c r="E6536">
        <v>103.629997253417</v>
      </c>
      <c r="F6536">
        <v>103.629997253417</v>
      </c>
      <c r="G6536">
        <v>73469400</v>
      </c>
      <c r="H6536">
        <f t="shared" si="408"/>
        <v>2023</v>
      </c>
      <c r="I6536">
        <f t="shared" si="409"/>
        <v>5</v>
      </c>
      <c r="J6536" t="str">
        <f t="shared" si="410"/>
        <v>May</v>
      </c>
      <c r="K6536" t="str">
        <f t="shared" si="411"/>
        <v>Tue</v>
      </c>
    </row>
    <row r="6537" spans="1:11" x14ac:dyDescent="0.35">
      <c r="A6537" s="1">
        <v>45049</v>
      </c>
      <c r="B6537">
        <v>103.73999786376901</v>
      </c>
      <c r="C6537">
        <v>105.959999084472</v>
      </c>
      <c r="D6537">
        <v>103.27999877929599</v>
      </c>
      <c r="E6537">
        <v>103.650001525878</v>
      </c>
      <c r="F6537">
        <v>103.650001525878</v>
      </c>
      <c r="G6537">
        <v>65051900</v>
      </c>
      <c r="H6537">
        <f t="shared" si="408"/>
        <v>2023</v>
      </c>
      <c r="I6537">
        <f t="shared" si="409"/>
        <v>5</v>
      </c>
      <c r="J6537" t="str">
        <f t="shared" si="410"/>
        <v>May</v>
      </c>
      <c r="K6537" t="str">
        <f t="shared" si="411"/>
        <v>Wed</v>
      </c>
    </row>
    <row r="6538" spans="1:11" x14ac:dyDescent="0.35">
      <c r="A6538" s="1">
        <v>45050</v>
      </c>
      <c r="B6538">
        <v>104.040000915527</v>
      </c>
      <c r="C6538">
        <v>105.389999389648</v>
      </c>
      <c r="D6538">
        <v>103.309997558593</v>
      </c>
      <c r="E6538">
        <v>104</v>
      </c>
      <c r="F6538">
        <v>104</v>
      </c>
      <c r="G6538">
        <v>45345500</v>
      </c>
      <c r="H6538">
        <f t="shared" si="408"/>
        <v>2023</v>
      </c>
      <c r="I6538">
        <f t="shared" si="409"/>
        <v>5</v>
      </c>
      <c r="J6538" t="str">
        <f t="shared" si="410"/>
        <v>May</v>
      </c>
      <c r="K6538" t="str">
        <f t="shared" si="411"/>
        <v>Thu</v>
      </c>
    </row>
    <row r="6539" spans="1:11" x14ac:dyDescent="0.35">
      <c r="A6539" s="1">
        <v>45051</v>
      </c>
      <c r="B6539">
        <v>104.26999664306599</v>
      </c>
      <c r="C6539">
        <v>105.76000213623</v>
      </c>
      <c r="D6539">
        <v>103.550003051757</v>
      </c>
      <c r="E6539">
        <v>105.66000366210901</v>
      </c>
      <c r="F6539">
        <v>105.66000366210901</v>
      </c>
      <c r="G6539">
        <v>56951700</v>
      </c>
      <c r="H6539">
        <f t="shared" si="408"/>
        <v>2023</v>
      </c>
      <c r="I6539">
        <f t="shared" si="409"/>
        <v>5</v>
      </c>
      <c r="J6539" t="str">
        <f t="shared" si="410"/>
        <v>May</v>
      </c>
      <c r="K6539" t="str">
        <f t="shared" si="411"/>
        <v>Fri</v>
      </c>
    </row>
    <row r="6540" spans="1:11" x14ac:dyDescent="0.35">
      <c r="A6540" s="1">
        <v>45054</v>
      </c>
      <c r="B6540">
        <v>105.040000915527</v>
      </c>
      <c r="C6540">
        <v>106.09999847412099</v>
      </c>
      <c r="D6540">
        <v>104.699996948242</v>
      </c>
      <c r="E6540">
        <v>105.83000183105401</v>
      </c>
      <c r="F6540">
        <v>105.83000183105401</v>
      </c>
      <c r="G6540">
        <v>49430900</v>
      </c>
      <c r="H6540">
        <f t="shared" si="408"/>
        <v>2023</v>
      </c>
      <c r="I6540">
        <f t="shared" si="409"/>
        <v>5</v>
      </c>
      <c r="J6540" t="str">
        <f t="shared" si="410"/>
        <v>May</v>
      </c>
      <c r="K6540" t="str">
        <f t="shared" si="411"/>
        <v>Mon</v>
      </c>
    </row>
    <row r="6541" spans="1:11" x14ac:dyDescent="0.35">
      <c r="A6541" s="1">
        <v>45055</v>
      </c>
      <c r="B6541">
        <v>105.480003356933</v>
      </c>
      <c r="C6541">
        <v>106.790000915527</v>
      </c>
      <c r="D6541">
        <v>105.16000366210901</v>
      </c>
      <c r="E6541">
        <v>106.620002746582</v>
      </c>
      <c r="F6541">
        <v>106.620002746582</v>
      </c>
      <c r="G6541">
        <v>44089400</v>
      </c>
      <c r="H6541">
        <f t="shared" si="408"/>
        <v>2023</v>
      </c>
      <c r="I6541">
        <f t="shared" si="409"/>
        <v>5</v>
      </c>
      <c r="J6541" t="str">
        <f t="shared" si="410"/>
        <v>May</v>
      </c>
      <c r="K6541" t="str">
        <f t="shared" si="411"/>
        <v>Tue</v>
      </c>
    </row>
    <row r="6542" spans="1:11" x14ac:dyDescent="0.35">
      <c r="A6542" s="1">
        <v>45056</v>
      </c>
      <c r="B6542">
        <v>108.09999847412099</v>
      </c>
      <c r="C6542">
        <v>110.669998168945</v>
      </c>
      <c r="D6542">
        <v>108.050003051757</v>
      </c>
      <c r="E6542">
        <v>110.19000244140599</v>
      </c>
      <c r="F6542">
        <v>110.19000244140599</v>
      </c>
      <c r="G6542">
        <v>78627600</v>
      </c>
      <c r="H6542">
        <f t="shared" si="408"/>
        <v>2023</v>
      </c>
      <c r="I6542">
        <f t="shared" si="409"/>
        <v>5</v>
      </c>
      <c r="J6542" t="str">
        <f t="shared" si="410"/>
        <v>May</v>
      </c>
      <c r="K6542" t="str">
        <f t="shared" si="411"/>
        <v>Wed</v>
      </c>
    </row>
    <row r="6543" spans="1:11" x14ac:dyDescent="0.35">
      <c r="A6543" s="1">
        <v>45057</v>
      </c>
      <c r="B6543">
        <v>111.02999877929599</v>
      </c>
      <c r="C6543">
        <v>113.27999877929599</v>
      </c>
      <c r="D6543">
        <v>110.48999786376901</v>
      </c>
      <c r="E6543">
        <v>112.180000305175</v>
      </c>
      <c r="F6543">
        <v>112.180000305175</v>
      </c>
      <c r="G6543">
        <v>74924800</v>
      </c>
      <c r="H6543">
        <f t="shared" si="408"/>
        <v>2023</v>
      </c>
      <c r="I6543">
        <f t="shared" si="409"/>
        <v>5</v>
      </c>
      <c r="J6543" t="str">
        <f t="shared" si="410"/>
        <v>May</v>
      </c>
      <c r="K6543" t="str">
        <f t="shared" si="411"/>
        <v>Thu</v>
      </c>
    </row>
    <row r="6544" spans="1:11" x14ac:dyDescent="0.35">
      <c r="A6544" s="1">
        <v>45058</v>
      </c>
      <c r="B6544">
        <v>112.16000366210901</v>
      </c>
      <c r="C6544">
        <v>112.639999389648</v>
      </c>
      <c r="D6544">
        <v>109.31999969482401</v>
      </c>
      <c r="E6544">
        <v>110.26000213623</v>
      </c>
      <c r="F6544">
        <v>110.26000213623</v>
      </c>
      <c r="G6544">
        <v>49852700</v>
      </c>
      <c r="H6544">
        <f t="shared" si="408"/>
        <v>2023</v>
      </c>
      <c r="I6544">
        <f t="shared" si="409"/>
        <v>5</v>
      </c>
      <c r="J6544" t="str">
        <f t="shared" si="410"/>
        <v>May</v>
      </c>
      <c r="K6544" t="str">
        <f t="shared" si="411"/>
        <v>Fri</v>
      </c>
    </row>
    <row r="6545" spans="1:11" x14ac:dyDescent="0.35">
      <c r="A6545" s="1">
        <v>45061</v>
      </c>
      <c r="B6545">
        <v>111.150001525878</v>
      </c>
      <c r="C6545">
        <v>112.290000915527</v>
      </c>
      <c r="D6545">
        <v>109.25</v>
      </c>
      <c r="E6545">
        <v>111.199996948242</v>
      </c>
      <c r="F6545">
        <v>111.199996948242</v>
      </c>
      <c r="G6545">
        <v>53011100</v>
      </c>
      <c r="H6545">
        <f t="shared" si="408"/>
        <v>2023</v>
      </c>
      <c r="I6545">
        <f t="shared" si="409"/>
        <v>5</v>
      </c>
      <c r="J6545" t="str">
        <f t="shared" si="410"/>
        <v>May</v>
      </c>
      <c r="K6545" t="str">
        <f t="shared" si="411"/>
        <v>Mon</v>
      </c>
    </row>
    <row r="6546" spans="1:11" x14ac:dyDescent="0.35">
      <c r="A6546" s="1">
        <v>45062</v>
      </c>
      <c r="B6546">
        <v>111.050003051757</v>
      </c>
      <c r="C6546">
        <v>114.790000915527</v>
      </c>
      <c r="D6546">
        <v>111.050003051757</v>
      </c>
      <c r="E6546">
        <v>113.400001525878</v>
      </c>
      <c r="F6546">
        <v>113.400001525878</v>
      </c>
      <c r="G6546">
        <v>71472900</v>
      </c>
      <c r="H6546">
        <f t="shared" si="408"/>
        <v>2023</v>
      </c>
      <c r="I6546">
        <f t="shared" si="409"/>
        <v>5</v>
      </c>
      <c r="J6546" t="str">
        <f t="shared" si="410"/>
        <v>May</v>
      </c>
      <c r="K6546" t="str">
        <f t="shared" si="411"/>
        <v>Tue</v>
      </c>
    </row>
    <row r="6547" spans="1:11" x14ac:dyDescent="0.35">
      <c r="A6547" s="1">
        <v>45063</v>
      </c>
      <c r="B6547">
        <v>114.889999389648</v>
      </c>
      <c r="C6547">
        <v>115.83000183105401</v>
      </c>
      <c r="D6547">
        <v>114.220001220703</v>
      </c>
      <c r="E6547">
        <v>115.5</v>
      </c>
      <c r="F6547">
        <v>115.5</v>
      </c>
      <c r="G6547">
        <v>65655200</v>
      </c>
      <c r="H6547">
        <f t="shared" si="408"/>
        <v>2023</v>
      </c>
      <c r="I6547">
        <f t="shared" si="409"/>
        <v>5</v>
      </c>
      <c r="J6547" t="str">
        <f t="shared" si="410"/>
        <v>May</v>
      </c>
      <c r="K6547" t="str">
        <f t="shared" si="411"/>
        <v>Wed</v>
      </c>
    </row>
    <row r="6548" spans="1:11" x14ac:dyDescent="0.35">
      <c r="A6548" s="1">
        <v>45064</v>
      </c>
      <c r="B6548">
        <v>116.69000244140599</v>
      </c>
      <c r="C6548">
        <v>118.59999847412099</v>
      </c>
      <c r="D6548">
        <v>116.33999633789</v>
      </c>
      <c r="E6548">
        <v>118.150001525878</v>
      </c>
      <c r="F6548">
        <v>118.150001525878</v>
      </c>
      <c r="G6548">
        <v>73174100</v>
      </c>
      <c r="H6548">
        <f t="shared" si="408"/>
        <v>2023</v>
      </c>
      <c r="I6548">
        <f t="shared" si="409"/>
        <v>5</v>
      </c>
      <c r="J6548" t="str">
        <f t="shared" si="410"/>
        <v>May</v>
      </c>
      <c r="K6548" t="str">
        <f t="shared" si="411"/>
        <v>Thu</v>
      </c>
    </row>
    <row r="6549" spans="1:11" x14ac:dyDescent="0.35">
      <c r="A6549" s="1">
        <v>45065</v>
      </c>
      <c r="B6549">
        <v>118.16000366210901</v>
      </c>
      <c r="C6549">
        <v>118.309997558593</v>
      </c>
      <c r="D6549">
        <v>115.699996948242</v>
      </c>
      <c r="E6549">
        <v>116.25</v>
      </c>
      <c r="F6549">
        <v>116.25</v>
      </c>
      <c r="G6549">
        <v>55056300</v>
      </c>
      <c r="H6549">
        <f t="shared" si="408"/>
        <v>2023</v>
      </c>
      <c r="I6549">
        <f t="shared" si="409"/>
        <v>5</v>
      </c>
      <c r="J6549" t="str">
        <f t="shared" si="410"/>
        <v>May</v>
      </c>
      <c r="K6549" t="str">
        <f t="shared" si="411"/>
        <v>Fri</v>
      </c>
    </row>
    <row r="6550" spans="1:11" x14ac:dyDescent="0.35">
      <c r="A6550" s="1">
        <v>45068</v>
      </c>
      <c r="B6550">
        <v>116.76999664306599</v>
      </c>
      <c r="C6550">
        <v>116.76999664306599</v>
      </c>
      <c r="D6550">
        <v>114.25</v>
      </c>
      <c r="E6550">
        <v>115.01000213623</v>
      </c>
      <c r="F6550">
        <v>115.01000213623</v>
      </c>
      <c r="G6550">
        <v>70741100</v>
      </c>
      <c r="H6550">
        <f t="shared" si="408"/>
        <v>2023</v>
      </c>
      <c r="I6550">
        <f t="shared" si="409"/>
        <v>5</v>
      </c>
      <c r="J6550" t="str">
        <f t="shared" si="410"/>
        <v>May</v>
      </c>
      <c r="K6550" t="str">
        <f t="shared" si="411"/>
        <v>Mon</v>
      </c>
    </row>
    <row r="6551" spans="1:11" x14ac:dyDescent="0.35">
      <c r="A6551" s="1">
        <v>45069</v>
      </c>
      <c r="B6551">
        <v>114.26999664306599</v>
      </c>
      <c r="C6551">
        <v>117.139999389648</v>
      </c>
      <c r="D6551">
        <v>113.77999877929599</v>
      </c>
      <c r="E6551">
        <v>114.98999786376901</v>
      </c>
      <c r="F6551">
        <v>114.98999786376901</v>
      </c>
      <c r="G6551">
        <v>67576300</v>
      </c>
      <c r="H6551">
        <f t="shared" si="408"/>
        <v>2023</v>
      </c>
      <c r="I6551">
        <f t="shared" si="409"/>
        <v>5</v>
      </c>
      <c r="J6551" t="str">
        <f t="shared" si="410"/>
        <v>May</v>
      </c>
      <c r="K6551" t="str">
        <f t="shared" si="411"/>
        <v>Tue</v>
      </c>
    </row>
    <row r="6552" spans="1:11" x14ac:dyDescent="0.35">
      <c r="A6552" s="1">
        <v>45070</v>
      </c>
      <c r="B6552">
        <v>115.34999847412099</v>
      </c>
      <c r="C6552">
        <v>117.33999633789</v>
      </c>
      <c r="D6552">
        <v>115.01999664306599</v>
      </c>
      <c r="E6552">
        <v>116.75</v>
      </c>
      <c r="F6552">
        <v>116.75</v>
      </c>
      <c r="G6552">
        <v>63487900</v>
      </c>
      <c r="H6552">
        <f t="shared" si="408"/>
        <v>2023</v>
      </c>
      <c r="I6552">
        <f t="shared" si="409"/>
        <v>5</v>
      </c>
      <c r="J6552" t="str">
        <f t="shared" si="410"/>
        <v>May</v>
      </c>
      <c r="K6552" t="str">
        <f t="shared" si="411"/>
        <v>Wed</v>
      </c>
    </row>
    <row r="6553" spans="1:11" x14ac:dyDescent="0.35">
      <c r="A6553" s="1">
        <v>45071</v>
      </c>
      <c r="B6553">
        <v>116.629997253417</v>
      </c>
      <c r="C6553">
        <v>116.870002746582</v>
      </c>
      <c r="D6553">
        <v>114.309997558593</v>
      </c>
      <c r="E6553">
        <v>115</v>
      </c>
      <c r="F6553">
        <v>115</v>
      </c>
      <c r="G6553">
        <v>66496700</v>
      </c>
      <c r="H6553">
        <f t="shared" si="408"/>
        <v>2023</v>
      </c>
      <c r="I6553">
        <f t="shared" si="409"/>
        <v>5</v>
      </c>
      <c r="J6553" t="str">
        <f t="shared" si="410"/>
        <v>May</v>
      </c>
      <c r="K6553" t="str">
        <f t="shared" si="411"/>
        <v>Thu</v>
      </c>
    </row>
    <row r="6554" spans="1:11" x14ac:dyDescent="0.35">
      <c r="A6554" s="1">
        <v>45072</v>
      </c>
      <c r="B6554">
        <v>116.040000915527</v>
      </c>
      <c r="C6554">
        <v>121.5</v>
      </c>
      <c r="D6554">
        <v>116.01999664306599</v>
      </c>
      <c r="E6554">
        <v>120.11000061035099</v>
      </c>
      <c r="F6554">
        <v>120.11000061035099</v>
      </c>
      <c r="G6554">
        <v>96779900</v>
      </c>
      <c r="H6554">
        <f t="shared" si="408"/>
        <v>2023</v>
      </c>
      <c r="I6554">
        <f t="shared" si="409"/>
        <v>5</v>
      </c>
      <c r="J6554" t="str">
        <f t="shared" si="410"/>
        <v>May</v>
      </c>
      <c r="K6554" t="str">
        <f t="shared" si="411"/>
        <v>Fri</v>
      </c>
    </row>
    <row r="6555" spans="1:11" x14ac:dyDescent="0.35">
      <c r="A6555" s="1">
        <v>45076</v>
      </c>
      <c r="B6555">
        <v>122.370002746582</v>
      </c>
      <c r="C6555">
        <v>122.919998168945</v>
      </c>
      <c r="D6555">
        <v>119.86000061035099</v>
      </c>
      <c r="E6555">
        <v>121.66000366210901</v>
      </c>
      <c r="F6555">
        <v>121.66000366210901</v>
      </c>
      <c r="G6555">
        <v>64314800</v>
      </c>
      <c r="H6555">
        <f t="shared" si="408"/>
        <v>2023</v>
      </c>
      <c r="I6555">
        <f t="shared" si="409"/>
        <v>5</v>
      </c>
      <c r="J6555" t="str">
        <f t="shared" si="410"/>
        <v>May</v>
      </c>
      <c r="K6555" t="str">
        <f t="shared" si="411"/>
        <v>Tue</v>
      </c>
    </row>
    <row r="6556" spans="1:11" x14ac:dyDescent="0.35">
      <c r="A6556" s="1">
        <v>45077</v>
      </c>
      <c r="B6556">
        <v>121.449996948242</v>
      </c>
      <c r="C6556">
        <v>122.040000915527</v>
      </c>
      <c r="D6556">
        <v>119.169998168945</v>
      </c>
      <c r="E6556">
        <v>120.58000183105401</v>
      </c>
      <c r="F6556">
        <v>120.58000183105401</v>
      </c>
      <c r="G6556">
        <v>72800800</v>
      </c>
      <c r="H6556">
        <f t="shared" si="408"/>
        <v>2023</v>
      </c>
      <c r="I6556">
        <f t="shared" si="409"/>
        <v>5</v>
      </c>
      <c r="J6556" t="str">
        <f t="shared" si="410"/>
        <v>May</v>
      </c>
      <c r="K6556" t="str">
        <f t="shared" si="411"/>
        <v>Wed</v>
      </c>
    </row>
    <row r="6557" spans="1:11" x14ac:dyDescent="0.35">
      <c r="A6557" s="1">
        <v>45078</v>
      </c>
      <c r="B6557">
        <v>120.69000244140599</v>
      </c>
      <c r="C6557">
        <v>123.48999786376901</v>
      </c>
      <c r="D6557">
        <v>119.930000305175</v>
      </c>
      <c r="E6557">
        <v>122.76999664306599</v>
      </c>
      <c r="F6557">
        <v>122.76999664306599</v>
      </c>
      <c r="G6557">
        <v>54375100</v>
      </c>
      <c r="H6557">
        <f t="shared" si="408"/>
        <v>2023</v>
      </c>
      <c r="I6557">
        <f t="shared" si="409"/>
        <v>6</v>
      </c>
      <c r="J6557" t="str">
        <f t="shared" si="410"/>
        <v>Jun</v>
      </c>
      <c r="K6557" t="str">
        <f t="shared" si="411"/>
        <v>Thu</v>
      </c>
    </row>
    <row r="6558" spans="1:11" x14ac:dyDescent="0.35">
      <c r="A6558" s="1">
        <v>45079</v>
      </c>
      <c r="B6558">
        <v>124.919998168945</v>
      </c>
      <c r="C6558">
        <v>126.389999389648</v>
      </c>
      <c r="D6558">
        <v>124.01999664306599</v>
      </c>
      <c r="E6558">
        <v>124.25</v>
      </c>
      <c r="F6558">
        <v>124.25</v>
      </c>
      <c r="G6558">
        <v>61264400</v>
      </c>
      <c r="H6558">
        <f t="shared" si="408"/>
        <v>2023</v>
      </c>
      <c r="I6558">
        <f t="shared" si="409"/>
        <v>6</v>
      </c>
      <c r="J6558" t="str">
        <f t="shared" si="410"/>
        <v>Jun</v>
      </c>
      <c r="K6558" t="str">
        <f t="shared" si="411"/>
        <v>Fri</v>
      </c>
    </row>
    <row r="6559" spans="1:11" x14ac:dyDescent="0.35">
      <c r="A6559" s="1">
        <v>45082</v>
      </c>
      <c r="B6559">
        <v>123.36000061035099</v>
      </c>
      <c r="C6559">
        <v>125.800003051757</v>
      </c>
      <c r="D6559">
        <v>123.02999877929599</v>
      </c>
      <c r="E6559">
        <v>125.300003051757</v>
      </c>
      <c r="F6559">
        <v>125.300003051757</v>
      </c>
      <c r="G6559">
        <v>47950100</v>
      </c>
      <c r="H6559">
        <f t="shared" si="408"/>
        <v>2023</v>
      </c>
      <c r="I6559">
        <f t="shared" si="409"/>
        <v>6</v>
      </c>
      <c r="J6559" t="str">
        <f t="shared" si="410"/>
        <v>Jun</v>
      </c>
      <c r="K6559" t="str">
        <f t="shared" si="411"/>
        <v>Mon</v>
      </c>
    </row>
    <row r="6560" spans="1:11" x14ac:dyDescent="0.35">
      <c r="A6560" s="1">
        <v>45083</v>
      </c>
      <c r="B6560">
        <v>125.06999969482401</v>
      </c>
      <c r="C6560">
        <v>127.400001525878</v>
      </c>
      <c r="D6560">
        <v>125</v>
      </c>
      <c r="E6560">
        <v>126.61000061035099</v>
      </c>
      <c r="F6560">
        <v>126.61000061035099</v>
      </c>
      <c r="G6560">
        <v>45695200</v>
      </c>
      <c r="H6560">
        <f t="shared" si="408"/>
        <v>2023</v>
      </c>
      <c r="I6560">
        <f t="shared" si="409"/>
        <v>6</v>
      </c>
      <c r="J6560" t="str">
        <f t="shared" si="410"/>
        <v>Jun</v>
      </c>
      <c r="K6560" t="str">
        <f t="shared" si="411"/>
        <v>Tue</v>
      </c>
    </row>
    <row r="6561" spans="1:11" x14ac:dyDescent="0.35">
      <c r="A6561" s="1">
        <v>45084</v>
      </c>
      <c r="B6561">
        <v>127.01000213623</v>
      </c>
      <c r="C6561">
        <v>127.370002746582</v>
      </c>
      <c r="D6561">
        <v>120.629997253417</v>
      </c>
      <c r="E6561">
        <v>121.230003356933</v>
      </c>
      <c r="F6561">
        <v>121.230003356933</v>
      </c>
      <c r="G6561">
        <v>95663300</v>
      </c>
      <c r="H6561">
        <f t="shared" si="408"/>
        <v>2023</v>
      </c>
      <c r="I6561">
        <f t="shared" si="409"/>
        <v>6</v>
      </c>
      <c r="J6561" t="str">
        <f t="shared" si="410"/>
        <v>Jun</v>
      </c>
      <c r="K6561" t="str">
        <f t="shared" si="411"/>
        <v>Wed</v>
      </c>
    </row>
    <row r="6562" spans="1:11" x14ac:dyDescent="0.35">
      <c r="A6562" s="1">
        <v>45085</v>
      </c>
      <c r="B6562">
        <v>123.01000213623</v>
      </c>
      <c r="C6562">
        <v>125.629997253417</v>
      </c>
      <c r="D6562">
        <v>122.26000213623</v>
      </c>
      <c r="E6562">
        <v>124.25</v>
      </c>
      <c r="F6562">
        <v>124.25</v>
      </c>
      <c r="G6562">
        <v>62159300</v>
      </c>
      <c r="H6562">
        <f t="shared" si="408"/>
        <v>2023</v>
      </c>
      <c r="I6562">
        <f t="shared" si="409"/>
        <v>6</v>
      </c>
      <c r="J6562" t="str">
        <f t="shared" si="410"/>
        <v>Jun</v>
      </c>
      <c r="K6562" t="str">
        <f t="shared" si="411"/>
        <v>Thu</v>
      </c>
    </row>
    <row r="6563" spans="1:11" x14ac:dyDescent="0.35">
      <c r="A6563" s="1">
        <v>45086</v>
      </c>
      <c r="B6563">
        <v>124.08000183105401</v>
      </c>
      <c r="C6563">
        <v>125.800003051757</v>
      </c>
      <c r="D6563">
        <v>123.19000244140599</v>
      </c>
      <c r="E6563">
        <v>123.430000305175</v>
      </c>
      <c r="F6563">
        <v>123.430000305175</v>
      </c>
      <c r="G6563">
        <v>51396000</v>
      </c>
      <c r="H6563">
        <f t="shared" si="408"/>
        <v>2023</v>
      </c>
      <c r="I6563">
        <f t="shared" si="409"/>
        <v>6</v>
      </c>
      <c r="J6563" t="str">
        <f t="shared" si="410"/>
        <v>Jun</v>
      </c>
      <c r="K6563" t="str">
        <f t="shared" si="411"/>
        <v>Fri</v>
      </c>
    </row>
    <row r="6564" spans="1:11" x14ac:dyDescent="0.35">
      <c r="A6564" s="1">
        <v>45089</v>
      </c>
      <c r="B6564">
        <v>124.01999664306599</v>
      </c>
      <c r="C6564">
        <v>126.77999877929599</v>
      </c>
      <c r="D6564">
        <v>123.52999877929599</v>
      </c>
      <c r="E6564">
        <v>126.56999969482401</v>
      </c>
      <c r="F6564">
        <v>126.56999969482401</v>
      </c>
      <c r="G6564">
        <v>51338000</v>
      </c>
      <c r="H6564">
        <f t="shared" si="408"/>
        <v>2023</v>
      </c>
      <c r="I6564">
        <f t="shared" si="409"/>
        <v>6</v>
      </c>
      <c r="J6564" t="str">
        <f t="shared" si="410"/>
        <v>Jun</v>
      </c>
      <c r="K6564" t="str">
        <f t="shared" si="411"/>
        <v>Mon</v>
      </c>
    </row>
    <row r="6565" spans="1:11" x14ac:dyDescent="0.35">
      <c r="A6565" s="1">
        <v>45090</v>
      </c>
      <c r="B6565">
        <v>128.11999511718699</v>
      </c>
      <c r="C6565">
        <v>128.41000366210901</v>
      </c>
      <c r="D6565">
        <v>125.180000305175</v>
      </c>
      <c r="E6565">
        <v>126.66000366210901</v>
      </c>
      <c r="F6565">
        <v>126.66000366210901</v>
      </c>
      <c r="G6565">
        <v>50564800</v>
      </c>
      <c r="H6565">
        <f t="shared" si="408"/>
        <v>2023</v>
      </c>
      <c r="I6565">
        <f t="shared" si="409"/>
        <v>6</v>
      </c>
      <c r="J6565" t="str">
        <f t="shared" si="410"/>
        <v>Jun</v>
      </c>
      <c r="K6565" t="str">
        <f t="shared" si="411"/>
        <v>Tue</v>
      </c>
    </row>
    <row r="6566" spans="1:11" x14ac:dyDescent="0.35">
      <c r="A6566" s="1">
        <v>45091</v>
      </c>
      <c r="B6566">
        <v>126.699996948242</v>
      </c>
      <c r="C6566">
        <v>126.949996948242</v>
      </c>
      <c r="D6566">
        <v>124.120002746582</v>
      </c>
      <c r="E6566">
        <v>126.419998168945</v>
      </c>
      <c r="F6566">
        <v>126.419998168945</v>
      </c>
      <c r="G6566">
        <v>52422500</v>
      </c>
      <c r="H6566">
        <f t="shared" si="408"/>
        <v>2023</v>
      </c>
      <c r="I6566">
        <f t="shared" si="409"/>
        <v>6</v>
      </c>
      <c r="J6566" t="str">
        <f t="shared" si="410"/>
        <v>Jun</v>
      </c>
      <c r="K6566" t="str">
        <f t="shared" si="411"/>
        <v>Wed</v>
      </c>
    </row>
    <row r="6567" spans="1:11" x14ac:dyDescent="0.35">
      <c r="A6567" s="1">
        <v>45092</v>
      </c>
      <c r="B6567">
        <v>125.209999084472</v>
      </c>
      <c r="C6567">
        <v>127.69000244140599</v>
      </c>
      <c r="D6567">
        <v>124.31999969482401</v>
      </c>
      <c r="E6567">
        <v>127.11000061035099</v>
      </c>
      <c r="F6567">
        <v>127.11000061035099</v>
      </c>
      <c r="G6567">
        <v>60458500</v>
      </c>
      <c r="H6567">
        <f t="shared" si="408"/>
        <v>2023</v>
      </c>
      <c r="I6567">
        <f t="shared" si="409"/>
        <v>6</v>
      </c>
      <c r="J6567" t="str">
        <f t="shared" si="410"/>
        <v>Jun</v>
      </c>
      <c r="K6567" t="str">
        <f t="shared" si="411"/>
        <v>Thu</v>
      </c>
    </row>
    <row r="6568" spans="1:11" x14ac:dyDescent="0.35">
      <c r="A6568" s="1">
        <v>45093</v>
      </c>
      <c r="B6568">
        <v>127.709999084472</v>
      </c>
      <c r="C6568">
        <v>127.900001525878</v>
      </c>
      <c r="D6568">
        <v>125.300003051757</v>
      </c>
      <c r="E6568">
        <v>125.48999786376901</v>
      </c>
      <c r="F6568">
        <v>125.48999786376901</v>
      </c>
      <c r="G6568">
        <v>84247100</v>
      </c>
      <c r="H6568">
        <f t="shared" si="408"/>
        <v>2023</v>
      </c>
      <c r="I6568">
        <f t="shared" si="409"/>
        <v>6</v>
      </c>
      <c r="J6568" t="str">
        <f t="shared" si="410"/>
        <v>Jun</v>
      </c>
      <c r="K6568" t="str">
        <f t="shared" si="411"/>
        <v>Fri</v>
      </c>
    </row>
    <row r="6569" spans="1:11" x14ac:dyDescent="0.35">
      <c r="A6569" s="1">
        <v>45097</v>
      </c>
      <c r="B6569">
        <v>124.970001220703</v>
      </c>
      <c r="C6569">
        <v>127.25</v>
      </c>
      <c r="D6569">
        <v>124.5</v>
      </c>
      <c r="E6569">
        <v>125.77999877929599</v>
      </c>
      <c r="F6569">
        <v>125.77999877929599</v>
      </c>
      <c r="G6569">
        <v>56930100</v>
      </c>
      <c r="H6569">
        <f t="shared" si="408"/>
        <v>2023</v>
      </c>
      <c r="I6569">
        <f t="shared" si="409"/>
        <v>6</v>
      </c>
      <c r="J6569" t="str">
        <f t="shared" si="410"/>
        <v>Jun</v>
      </c>
      <c r="K6569" t="str">
        <f t="shared" si="411"/>
        <v>Tue</v>
      </c>
    </row>
    <row r="6570" spans="1:11" x14ac:dyDescent="0.35">
      <c r="A6570" s="1">
        <v>45098</v>
      </c>
      <c r="B6570">
        <v>125.639999389648</v>
      </c>
      <c r="C6570">
        <v>126.730003356933</v>
      </c>
      <c r="D6570">
        <v>123.84999847412099</v>
      </c>
      <c r="E6570">
        <v>124.83000183105401</v>
      </c>
      <c r="F6570">
        <v>124.83000183105401</v>
      </c>
      <c r="G6570">
        <v>52137700</v>
      </c>
      <c r="H6570">
        <f t="shared" si="408"/>
        <v>2023</v>
      </c>
      <c r="I6570">
        <f t="shared" si="409"/>
        <v>6</v>
      </c>
      <c r="J6570" t="str">
        <f t="shared" si="410"/>
        <v>Jun</v>
      </c>
      <c r="K6570" t="str">
        <f t="shared" si="411"/>
        <v>Wed</v>
      </c>
    </row>
    <row r="6571" spans="1:11" x14ac:dyDescent="0.35">
      <c r="A6571" s="1">
        <v>45099</v>
      </c>
      <c r="B6571">
        <v>125.309997558593</v>
      </c>
      <c r="C6571">
        <v>130.33000183105401</v>
      </c>
      <c r="D6571">
        <v>125.139999389648</v>
      </c>
      <c r="E6571">
        <v>130.14999389648401</v>
      </c>
      <c r="F6571">
        <v>130.14999389648401</v>
      </c>
      <c r="G6571">
        <v>90354600</v>
      </c>
      <c r="H6571">
        <f t="shared" si="408"/>
        <v>2023</v>
      </c>
      <c r="I6571">
        <f t="shared" si="409"/>
        <v>6</v>
      </c>
      <c r="J6571" t="str">
        <f t="shared" si="410"/>
        <v>Jun</v>
      </c>
      <c r="K6571" t="str">
        <f t="shared" si="411"/>
        <v>Thu</v>
      </c>
    </row>
    <row r="6572" spans="1:11" x14ac:dyDescent="0.35">
      <c r="A6572" s="1">
        <v>45100</v>
      </c>
      <c r="B6572">
        <v>129.11000061035099</v>
      </c>
      <c r="C6572">
        <v>130.83999633789</v>
      </c>
      <c r="D6572">
        <v>128.27999877929599</v>
      </c>
      <c r="E6572">
        <v>129.33000183105401</v>
      </c>
      <c r="F6572">
        <v>129.33000183105401</v>
      </c>
      <c r="G6572">
        <v>71927800</v>
      </c>
      <c r="H6572">
        <f t="shared" si="408"/>
        <v>2023</v>
      </c>
      <c r="I6572">
        <f t="shared" si="409"/>
        <v>6</v>
      </c>
      <c r="J6572" t="str">
        <f t="shared" si="410"/>
        <v>Jun</v>
      </c>
      <c r="K6572" t="str">
        <f t="shared" si="411"/>
        <v>Fri</v>
      </c>
    </row>
    <row r="6573" spans="1:11" x14ac:dyDescent="0.35">
      <c r="A6573" s="1">
        <v>45103</v>
      </c>
      <c r="B6573">
        <v>129.33000183105401</v>
      </c>
      <c r="C6573">
        <v>131.49000549316401</v>
      </c>
      <c r="D6573">
        <v>127.09999847412099</v>
      </c>
      <c r="E6573">
        <v>127.33000183105401</v>
      </c>
      <c r="F6573">
        <v>127.33000183105401</v>
      </c>
      <c r="G6573">
        <v>59989300</v>
      </c>
      <c r="H6573">
        <f t="shared" si="408"/>
        <v>2023</v>
      </c>
      <c r="I6573">
        <f t="shared" si="409"/>
        <v>6</v>
      </c>
      <c r="J6573" t="str">
        <f t="shared" si="410"/>
        <v>Jun</v>
      </c>
      <c r="K6573" t="str">
        <f t="shared" si="411"/>
        <v>Mon</v>
      </c>
    </row>
    <row r="6574" spans="1:11" x14ac:dyDescent="0.35">
      <c r="A6574" s="1">
        <v>45104</v>
      </c>
      <c r="B6574">
        <v>128.63000488281199</v>
      </c>
      <c r="C6574">
        <v>130.08999633789</v>
      </c>
      <c r="D6574">
        <v>127.550003051757</v>
      </c>
      <c r="E6574">
        <v>129.17999267578099</v>
      </c>
      <c r="F6574">
        <v>129.17999267578099</v>
      </c>
      <c r="G6574">
        <v>46801000</v>
      </c>
      <c r="H6574">
        <f t="shared" si="408"/>
        <v>2023</v>
      </c>
      <c r="I6574">
        <f t="shared" si="409"/>
        <v>6</v>
      </c>
      <c r="J6574" t="str">
        <f t="shared" si="410"/>
        <v>Jun</v>
      </c>
      <c r="K6574" t="str">
        <f t="shared" si="411"/>
        <v>Tue</v>
      </c>
    </row>
    <row r="6575" spans="1:11" x14ac:dyDescent="0.35">
      <c r="A6575" s="1">
        <v>45105</v>
      </c>
      <c r="B6575">
        <v>128.94000244140599</v>
      </c>
      <c r="C6575">
        <v>131.47999572753901</v>
      </c>
      <c r="D6575">
        <v>128.44000244140599</v>
      </c>
      <c r="E6575">
        <v>129.03999328613199</v>
      </c>
      <c r="F6575">
        <v>129.03999328613199</v>
      </c>
      <c r="G6575">
        <v>52149500</v>
      </c>
      <c r="H6575">
        <f t="shared" si="408"/>
        <v>2023</v>
      </c>
      <c r="I6575">
        <f t="shared" si="409"/>
        <v>6</v>
      </c>
      <c r="J6575" t="str">
        <f t="shared" si="410"/>
        <v>Jun</v>
      </c>
      <c r="K6575" t="str">
        <f t="shared" si="411"/>
        <v>Wed</v>
      </c>
    </row>
    <row r="6576" spans="1:11" x14ac:dyDescent="0.35">
      <c r="A6576" s="1">
        <v>45106</v>
      </c>
      <c r="B6576">
        <v>128.77000427246</v>
      </c>
      <c r="C6576">
        <v>129.259994506835</v>
      </c>
      <c r="D6576">
        <v>127.26000213623</v>
      </c>
      <c r="E6576">
        <v>127.900001525878</v>
      </c>
      <c r="F6576">
        <v>127.900001525878</v>
      </c>
      <c r="G6576">
        <v>40761000</v>
      </c>
      <c r="H6576">
        <f t="shared" si="408"/>
        <v>2023</v>
      </c>
      <c r="I6576">
        <f t="shared" si="409"/>
        <v>6</v>
      </c>
      <c r="J6576" t="str">
        <f t="shared" si="410"/>
        <v>Jun</v>
      </c>
      <c r="K6576" t="str">
        <f t="shared" si="411"/>
        <v>Thu</v>
      </c>
    </row>
    <row r="6577" spans="1:11" x14ac:dyDescent="0.35">
      <c r="A6577" s="1">
        <v>45107</v>
      </c>
      <c r="B6577">
        <v>129.47000122070301</v>
      </c>
      <c r="C6577">
        <v>131.25</v>
      </c>
      <c r="D6577">
        <v>128.94999694824199</v>
      </c>
      <c r="E6577">
        <v>130.36000061035099</v>
      </c>
      <c r="F6577">
        <v>130.36000061035099</v>
      </c>
      <c r="G6577">
        <v>54350700</v>
      </c>
      <c r="H6577">
        <f t="shared" si="408"/>
        <v>2023</v>
      </c>
      <c r="I6577">
        <f t="shared" si="409"/>
        <v>6</v>
      </c>
      <c r="J6577" t="str">
        <f t="shared" si="410"/>
        <v>Jun</v>
      </c>
      <c r="K6577" t="str">
        <f t="shared" si="411"/>
        <v>Fri</v>
      </c>
    </row>
    <row r="6578" spans="1:11" x14ac:dyDescent="0.35">
      <c r="A6578" s="1">
        <v>45110</v>
      </c>
      <c r="B6578">
        <v>130.82000732421801</v>
      </c>
      <c r="C6578">
        <v>131.850006103515</v>
      </c>
      <c r="D6578">
        <v>130.07000732421801</v>
      </c>
      <c r="E6578">
        <v>130.22000122070301</v>
      </c>
      <c r="F6578">
        <v>130.22000122070301</v>
      </c>
      <c r="G6578">
        <v>28264800</v>
      </c>
      <c r="H6578">
        <f t="shared" si="408"/>
        <v>2023</v>
      </c>
      <c r="I6578">
        <f t="shared" si="409"/>
        <v>7</v>
      </c>
      <c r="J6578" t="str">
        <f t="shared" si="410"/>
        <v>Jul</v>
      </c>
      <c r="K6578" t="str">
        <f t="shared" si="411"/>
        <v>Mon</v>
      </c>
    </row>
    <row r="6579" spans="1:11" x14ac:dyDescent="0.35">
      <c r="A6579" s="1">
        <v>45112</v>
      </c>
      <c r="B6579">
        <v>130.24000549316401</v>
      </c>
      <c r="C6579">
        <v>131.39999389648401</v>
      </c>
      <c r="D6579">
        <v>129.63999938964801</v>
      </c>
      <c r="E6579">
        <v>130.38000488281199</v>
      </c>
      <c r="F6579">
        <v>130.38000488281199</v>
      </c>
      <c r="G6579">
        <v>35895400</v>
      </c>
      <c r="H6579">
        <f t="shared" si="408"/>
        <v>2023</v>
      </c>
      <c r="I6579">
        <f t="shared" si="409"/>
        <v>7</v>
      </c>
      <c r="J6579" t="str">
        <f t="shared" si="410"/>
        <v>Jul</v>
      </c>
      <c r="K6579" t="str">
        <f t="shared" si="411"/>
        <v>Wed</v>
      </c>
    </row>
    <row r="6580" spans="1:11" x14ac:dyDescent="0.35">
      <c r="A6580" s="1">
        <v>45113</v>
      </c>
      <c r="B6580">
        <v>128.25</v>
      </c>
      <c r="C6580">
        <v>128.72999572753901</v>
      </c>
      <c r="D6580">
        <v>127.370002746582</v>
      </c>
      <c r="E6580">
        <v>128.36000061035099</v>
      </c>
      <c r="F6580">
        <v>128.36000061035099</v>
      </c>
      <c r="G6580">
        <v>40639900</v>
      </c>
      <c r="H6580">
        <f t="shared" si="408"/>
        <v>2023</v>
      </c>
      <c r="I6580">
        <f t="shared" si="409"/>
        <v>7</v>
      </c>
      <c r="J6580" t="str">
        <f t="shared" si="410"/>
        <v>Jul</v>
      </c>
      <c r="K6580" t="str">
        <f t="shared" si="411"/>
        <v>Thu</v>
      </c>
    </row>
    <row r="6581" spans="1:11" x14ac:dyDescent="0.35">
      <c r="A6581" s="1">
        <v>45114</v>
      </c>
      <c r="B6581">
        <v>128.58999633789</v>
      </c>
      <c r="C6581">
        <v>130.97000122070301</v>
      </c>
      <c r="D6581">
        <v>128.13000488281199</v>
      </c>
      <c r="E6581">
        <v>129.77999877929599</v>
      </c>
      <c r="F6581">
        <v>129.77999877929599</v>
      </c>
      <c r="G6581">
        <v>41992300</v>
      </c>
      <c r="H6581">
        <f t="shared" si="408"/>
        <v>2023</v>
      </c>
      <c r="I6581">
        <f t="shared" si="409"/>
        <v>7</v>
      </c>
      <c r="J6581" t="str">
        <f t="shared" si="410"/>
        <v>Jul</v>
      </c>
      <c r="K6581" t="str">
        <f t="shared" si="411"/>
        <v>Fri</v>
      </c>
    </row>
    <row r="6582" spans="1:11" x14ac:dyDescent="0.35">
      <c r="A6582" s="1">
        <v>45117</v>
      </c>
      <c r="B6582">
        <v>129.07000732421801</v>
      </c>
      <c r="C6582">
        <v>129.27999877929599</v>
      </c>
      <c r="D6582">
        <v>125.919998168945</v>
      </c>
      <c r="E6582">
        <v>127.129997253417</v>
      </c>
      <c r="F6582">
        <v>127.129997253417</v>
      </c>
      <c r="G6582">
        <v>61889300</v>
      </c>
      <c r="H6582">
        <f t="shared" si="408"/>
        <v>2023</v>
      </c>
      <c r="I6582">
        <f t="shared" si="409"/>
        <v>7</v>
      </c>
      <c r="J6582" t="str">
        <f t="shared" si="410"/>
        <v>Jul</v>
      </c>
      <c r="K6582" t="str">
        <f t="shared" si="411"/>
        <v>Mon</v>
      </c>
    </row>
    <row r="6583" spans="1:11" x14ac:dyDescent="0.35">
      <c r="A6583" s="1">
        <v>45118</v>
      </c>
      <c r="B6583">
        <v>127.75</v>
      </c>
      <c r="C6583">
        <v>129.77000427246</v>
      </c>
      <c r="D6583">
        <v>127.34999847412099</v>
      </c>
      <c r="E6583">
        <v>128.77999877929599</v>
      </c>
      <c r="F6583">
        <v>128.77999877929599</v>
      </c>
      <c r="G6583">
        <v>49951500</v>
      </c>
      <c r="H6583">
        <f t="shared" si="408"/>
        <v>2023</v>
      </c>
      <c r="I6583">
        <f t="shared" si="409"/>
        <v>7</v>
      </c>
      <c r="J6583" t="str">
        <f t="shared" si="410"/>
        <v>Jul</v>
      </c>
      <c r="K6583" t="str">
        <f t="shared" si="411"/>
        <v>Tue</v>
      </c>
    </row>
    <row r="6584" spans="1:11" x14ac:dyDescent="0.35">
      <c r="A6584" s="1">
        <v>45119</v>
      </c>
      <c r="B6584">
        <v>130.30999755859301</v>
      </c>
      <c r="C6584">
        <v>131.259994506835</v>
      </c>
      <c r="D6584">
        <v>128.83000183105401</v>
      </c>
      <c r="E6584">
        <v>130.80000305175699</v>
      </c>
      <c r="F6584">
        <v>130.80000305175699</v>
      </c>
      <c r="G6584">
        <v>54022800</v>
      </c>
      <c r="H6584">
        <f t="shared" si="408"/>
        <v>2023</v>
      </c>
      <c r="I6584">
        <f t="shared" si="409"/>
        <v>7</v>
      </c>
      <c r="J6584" t="str">
        <f t="shared" si="410"/>
        <v>Jul</v>
      </c>
      <c r="K6584" t="str">
        <f t="shared" si="411"/>
        <v>Wed</v>
      </c>
    </row>
    <row r="6585" spans="1:11" x14ac:dyDescent="0.35">
      <c r="A6585" s="1">
        <v>45120</v>
      </c>
      <c r="B6585">
        <v>134.03999328613199</v>
      </c>
      <c r="C6585">
        <v>134.669998168945</v>
      </c>
      <c r="D6585">
        <v>132.71000671386699</v>
      </c>
      <c r="E6585">
        <v>134.30000305175699</v>
      </c>
      <c r="F6585">
        <v>134.30000305175699</v>
      </c>
      <c r="G6585">
        <v>61170900</v>
      </c>
      <c r="H6585">
        <f t="shared" si="408"/>
        <v>2023</v>
      </c>
      <c r="I6585">
        <f t="shared" si="409"/>
        <v>7</v>
      </c>
      <c r="J6585" t="str">
        <f t="shared" si="410"/>
        <v>Jul</v>
      </c>
      <c r="K6585" t="str">
        <f t="shared" si="411"/>
        <v>Thu</v>
      </c>
    </row>
    <row r="6586" spans="1:11" x14ac:dyDescent="0.35">
      <c r="A6586" s="1">
        <v>45121</v>
      </c>
      <c r="B6586">
        <v>134.05999755859301</v>
      </c>
      <c r="C6586">
        <v>136.64999389648401</v>
      </c>
      <c r="D6586">
        <v>134.05999755859301</v>
      </c>
      <c r="E6586">
        <v>134.67999267578099</v>
      </c>
      <c r="F6586">
        <v>134.67999267578099</v>
      </c>
      <c r="G6586">
        <v>54487100</v>
      </c>
      <c r="H6586">
        <f t="shared" si="408"/>
        <v>2023</v>
      </c>
      <c r="I6586">
        <f t="shared" si="409"/>
        <v>7</v>
      </c>
      <c r="J6586" t="str">
        <f t="shared" si="410"/>
        <v>Jul</v>
      </c>
      <c r="K6586" t="str">
        <f t="shared" si="411"/>
        <v>Fri</v>
      </c>
    </row>
    <row r="6587" spans="1:11" x14ac:dyDescent="0.35">
      <c r="A6587" s="1">
        <v>45124</v>
      </c>
      <c r="B6587">
        <v>134.55999755859301</v>
      </c>
      <c r="C6587">
        <v>135.61999511718699</v>
      </c>
      <c r="D6587">
        <v>133.21000671386699</v>
      </c>
      <c r="E6587">
        <v>133.55999755859301</v>
      </c>
      <c r="F6587">
        <v>133.55999755859301</v>
      </c>
      <c r="G6587">
        <v>48450200</v>
      </c>
      <c r="H6587">
        <f t="shared" si="408"/>
        <v>2023</v>
      </c>
      <c r="I6587">
        <f t="shared" si="409"/>
        <v>7</v>
      </c>
      <c r="J6587" t="str">
        <f t="shared" si="410"/>
        <v>Jul</v>
      </c>
      <c r="K6587" t="str">
        <f t="shared" si="411"/>
        <v>Mon</v>
      </c>
    </row>
    <row r="6588" spans="1:11" x14ac:dyDescent="0.35">
      <c r="A6588" s="1">
        <v>45125</v>
      </c>
      <c r="B6588">
        <v>132.71000671386699</v>
      </c>
      <c r="C6588">
        <v>133.86000061035099</v>
      </c>
      <c r="D6588">
        <v>131.350006103515</v>
      </c>
      <c r="E6588">
        <v>132.83000183105401</v>
      </c>
      <c r="F6588">
        <v>132.83000183105401</v>
      </c>
      <c r="G6588">
        <v>54882900</v>
      </c>
      <c r="H6588">
        <f t="shared" si="408"/>
        <v>2023</v>
      </c>
      <c r="I6588">
        <f t="shared" si="409"/>
        <v>7</v>
      </c>
      <c r="J6588" t="str">
        <f t="shared" si="410"/>
        <v>Jul</v>
      </c>
      <c r="K6588" t="str">
        <f t="shared" si="411"/>
        <v>Tue</v>
      </c>
    </row>
    <row r="6589" spans="1:11" x14ac:dyDescent="0.35">
      <c r="A6589" s="1">
        <v>45126</v>
      </c>
      <c r="B6589">
        <v>133.38999938964801</v>
      </c>
      <c r="C6589">
        <v>135.99000549316401</v>
      </c>
      <c r="D6589">
        <v>132.52999877929599</v>
      </c>
      <c r="E6589">
        <v>135.36000061035099</v>
      </c>
      <c r="F6589">
        <v>135.36000061035099</v>
      </c>
      <c r="G6589">
        <v>54531000</v>
      </c>
      <c r="H6589">
        <f t="shared" si="408"/>
        <v>2023</v>
      </c>
      <c r="I6589">
        <f t="shared" si="409"/>
        <v>7</v>
      </c>
      <c r="J6589" t="str">
        <f t="shared" si="410"/>
        <v>Jul</v>
      </c>
      <c r="K6589" t="str">
        <f t="shared" si="411"/>
        <v>Wed</v>
      </c>
    </row>
    <row r="6590" spans="1:11" x14ac:dyDescent="0.35">
      <c r="A6590" s="1">
        <v>45127</v>
      </c>
      <c r="B6590">
        <v>134.07000732421801</v>
      </c>
      <c r="C6590">
        <v>134.78999328613199</v>
      </c>
      <c r="D6590">
        <v>129.33000183105401</v>
      </c>
      <c r="E6590">
        <v>129.96000671386699</v>
      </c>
      <c r="F6590">
        <v>129.96000671386699</v>
      </c>
      <c r="G6590">
        <v>59820600</v>
      </c>
      <c r="H6590">
        <f t="shared" si="408"/>
        <v>2023</v>
      </c>
      <c r="I6590">
        <f t="shared" si="409"/>
        <v>7</v>
      </c>
      <c r="J6590" t="str">
        <f t="shared" si="410"/>
        <v>Jul</v>
      </c>
      <c r="K6590" t="str">
        <f t="shared" si="411"/>
        <v>Thu</v>
      </c>
    </row>
    <row r="6591" spans="1:11" x14ac:dyDescent="0.35">
      <c r="A6591" s="1">
        <v>45128</v>
      </c>
      <c r="B6591">
        <v>131.33999633789</v>
      </c>
      <c r="C6591">
        <v>131.36999511718699</v>
      </c>
      <c r="D6591">
        <v>128.419998168945</v>
      </c>
      <c r="E6591">
        <v>130</v>
      </c>
      <c r="F6591">
        <v>130</v>
      </c>
      <c r="G6591">
        <v>133307300</v>
      </c>
      <c r="H6591">
        <f t="shared" si="408"/>
        <v>2023</v>
      </c>
      <c r="I6591">
        <f t="shared" si="409"/>
        <v>7</v>
      </c>
      <c r="J6591" t="str">
        <f t="shared" si="410"/>
        <v>Jul</v>
      </c>
      <c r="K6591" t="str">
        <f t="shared" si="411"/>
        <v>Fri</v>
      </c>
    </row>
    <row r="6592" spans="1:11" x14ac:dyDescent="0.35">
      <c r="A6592" s="1">
        <v>45131</v>
      </c>
      <c r="B6592">
        <v>130.30999755859301</v>
      </c>
      <c r="C6592">
        <v>131.66000366210901</v>
      </c>
      <c r="D6592">
        <v>128.350006103515</v>
      </c>
      <c r="E6592">
        <v>128.80000305175699</v>
      </c>
      <c r="F6592">
        <v>128.80000305175699</v>
      </c>
      <c r="G6592">
        <v>45591100</v>
      </c>
      <c r="H6592">
        <f t="shared" si="408"/>
        <v>2023</v>
      </c>
      <c r="I6592">
        <f t="shared" si="409"/>
        <v>7</v>
      </c>
      <c r="J6592" t="str">
        <f t="shared" si="410"/>
        <v>Jul</v>
      </c>
      <c r="K6592" t="str">
        <f t="shared" si="411"/>
        <v>Mon</v>
      </c>
    </row>
    <row r="6593" spans="1:11" x14ac:dyDescent="0.35">
      <c r="A6593" s="1">
        <v>45132</v>
      </c>
      <c r="B6593">
        <v>129.30999755859301</v>
      </c>
      <c r="C6593">
        <v>129.58000183105401</v>
      </c>
      <c r="D6593">
        <v>128.52999877929599</v>
      </c>
      <c r="E6593">
        <v>129.13000488281199</v>
      </c>
      <c r="F6593">
        <v>129.13000488281199</v>
      </c>
      <c r="G6593">
        <v>39236700</v>
      </c>
      <c r="H6593">
        <f t="shared" si="408"/>
        <v>2023</v>
      </c>
      <c r="I6593">
        <f t="shared" si="409"/>
        <v>7</v>
      </c>
      <c r="J6593" t="str">
        <f t="shared" si="410"/>
        <v>Jul</v>
      </c>
      <c r="K6593" t="str">
        <f t="shared" si="411"/>
        <v>Tue</v>
      </c>
    </row>
    <row r="6594" spans="1:11" x14ac:dyDescent="0.35">
      <c r="A6594" s="1">
        <v>45133</v>
      </c>
      <c r="B6594">
        <v>126.51000213623</v>
      </c>
      <c r="C6594">
        <v>129.08000183105401</v>
      </c>
      <c r="D6594">
        <v>126.11000061035099</v>
      </c>
      <c r="E6594">
        <v>128.14999389648401</v>
      </c>
      <c r="F6594">
        <v>128.14999389648401</v>
      </c>
      <c r="G6594">
        <v>53910100</v>
      </c>
      <c r="H6594">
        <f t="shared" si="408"/>
        <v>2023</v>
      </c>
      <c r="I6594">
        <f t="shared" si="409"/>
        <v>7</v>
      </c>
      <c r="J6594" t="str">
        <f t="shared" si="410"/>
        <v>Jul</v>
      </c>
      <c r="K6594" t="str">
        <f t="shared" si="411"/>
        <v>Wed</v>
      </c>
    </row>
    <row r="6595" spans="1:11" x14ac:dyDescent="0.35">
      <c r="A6595" s="1">
        <v>45134</v>
      </c>
      <c r="B6595">
        <v>131</v>
      </c>
      <c r="C6595">
        <v>132.63000488281199</v>
      </c>
      <c r="D6595">
        <v>127.790000915527</v>
      </c>
      <c r="E6595">
        <v>128.25</v>
      </c>
      <c r="F6595">
        <v>128.25</v>
      </c>
      <c r="G6595">
        <v>52610700</v>
      </c>
      <c r="H6595">
        <f t="shared" si="408"/>
        <v>2023</v>
      </c>
      <c r="I6595">
        <f t="shared" si="409"/>
        <v>7</v>
      </c>
      <c r="J6595" t="str">
        <f t="shared" si="410"/>
        <v>Jul</v>
      </c>
      <c r="K6595" t="str">
        <f t="shared" si="411"/>
        <v>Thu</v>
      </c>
    </row>
    <row r="6596" spans="1:11" x14ac:dyDescent="0.35">
      <c r="A6596" s="1">
        <v>45135</v>
      </c>
      <c r="B6596">
        <v>129.69000244140599</v>
      </c>
      <c r="C6596">
        <v>133.009994506835</v>
      </c>
      <c r="D6596">
        <v>129.33000183105401</v>
      </c>
      <c r="E6596">
        <v>132.21000671386699</v>
      </c>
      <c r="F6596">
        <v>132.21000671386699</v>
      </c>
      <c r="G6596">
        <v>46317400</v>
      </c>
      <c r="H6596">
        <f t="shared" ref="H6596:H6659" si="412">YEAR($A6596)</f>
        <v>2023</v>
      </c>
      <c r="I6596">
        <f t="shared" ref="I6596:I6659" si="413">MONTH($A6596)</f>
        <v>7</v>
      </c>
      <c r="J6596" t="str">
        <f t="shared" ref="J6596:J6659" si="414">TEXT($A6596,"mmm")</f>
        <v>Jul</v>
      </c>
      <c r="K6596" t="str">
        <f t="shared" ref="K6596:K6659" si="415">TEXT($A6596,"ddd")</f>
        <v>Fri</v>
      </c>
    </row>
    <row r="6597" spans="1:11" x14ac:dyDescent="0.35">
      <c r="A6597" s="1">
        <v>45138</v>
      </c>
      <c r="B6597">
        <v>133.19999694824199</v>
      </c>
      <c r="C6597">
        <v>133.86999511718699</v>
      </c>
      <c r="D6597">
        <v>132.38000488281199</v>
      </c>
      <c r="E6597">
        <v>133.67999267578099</v>
      </c>
      <c r="F6597">
        <v>133.67999267578099</v>
      </c>
      <c r="G6597">
        <v>41901500</v>
      </c>
      <c r="H6597">
        <f t="shared" si="412"/>
        <v>2023</v>
      </c>
      <c r="I6597">
        <f t="shared" si="413"/>
        <v>7</v>
      </c>
      <c r="J6597" t="str">
        <f t="shared" si="414"/>
        <v>Jul</v>
      </c>
      <c r="K6597" t="str">
        <f t="shared" si="415"/>
        <v>Mon</v>
      </c>
    </row>
    <row r="6598" spans="1:11" x14ac:dyDescent="0.35">
      <c r="A6598" s="1">
        <v>45139</v>
      </c>
      <c r="B6598">
        <v>133.55000305175699</v>
      </c>
      <c r="C6598">
        <v>133.69000244140599</v>
      </c>
      <c r="D6598">
        <v>131.61999511718699</v>
      </c>
      <c r="E6598">
        <v>131.69000244140599</v>
      </c>
      <c r="F6598">
        <v>131.69000244140599</v>
      </c>
      <c r="G6598">
        <v>42098500</v>
      </c>
      <c r="H6598">
        <f t="shared" si="412"/>
        <v>2023</v>
      </c>
      <c r="I6598">
        <f t="shared" si="413"/>
        <v>8</v>
      </c>
      <c r="J6598" t="str">
        <f t="shared" si="414"/>
        <v>Aug</v>
      </c>
      <c r="K6598" t="str">
        <f t="shared" si="415"/>
        <v>Tue</v>
      </c>
    </row>
    <row r="6599" spans="1:11" x14ac:dyDescent="0.35">
      <c r="A6599" s="1">
        <v>45140</v>
      </c>
      <c r="B6599">
        <v>130.14999389648401</v>
      </c>
      <c r="C6599">
        <v>130.22999572753901</v>
      </c>
      <c r="D6599">
        <v>126.81999969482401</v>
      </c>
      <c r="E6599">
        <v>128.21000671386699</v>
      </c>
      <c r="F6599">
        <v>128.21000671386699</v>
      </c>
      <c r="G6599">
        <v>51027600</v>
      </c>
      <c r="H6599">
        <f t="shared" si="412"/>
        <v>2023</v>
      </c>
      <c r="I6599">
        <f t="shared" si="413"/>
        <v>8</v>
      </c>
      <c r="J6599" t="str">
        <f t="shared" si="414"/>
        <v>Aug</v>
      </c>
      <c r="K6599" t="str">
        <f t="shared" si="415"/>
        <v>Wed</v>
      </c>
    </row>
    <row r="6600" spans="1:11" x14ac:dyDescent="0.35">
      <c r="A6600" s="1">
        <v>45141</v>
      </c>
      <c r="B6600">
        <v>127.480003356933</v>
      </c>
      <c r="C6600">
        <v>129.83999633789</v>
      </c>
      <c r="D6600">
        <v>126.41000366210901</v>
      </c>
      <c r="E6600">
        <v>128.91000366210901</v>
      </c>
      <c r="F6600">
        <v>128.91000366210901</v>
      </c>
      <c r="G6600">
        <v>88585200</v>
      </c>
      <c r="H6600">
        <f t="shared" si="412"/>
        <v>2023</v>
      </c>
      <c r="I6600">
        <f t="shared" si="413"/>
        <v>8</v>
      </c>
      <c r="J6600" t="str">
        <f t="shared" si="414"/>
        <v>Aug</v>
      </c>
      <c r="K6600" t="str">
        <f t="shared" si="415"/>
        <v>Thu</v>
      </c>
    </row>
    <row r="6601" spans="1:11" x14ac:dyDescent="0.35">
      <c r="A6601" s="1">
        <v>45142</v>
      </c>
      <c r="B6601">
        <v>141.05999755859301</v>
      </c>
      <c r="C6601">
        <v>143.63000488281199</v>
      </c>
      <c r="D6601">
        <v>139.32000732421801</v>
      </c>
      <c r="E6601">
        <v>139.57000732421801</v>
      </c>
      <c r="F6601">
        <v>139.57000732421801</v>
      </c>
      <c r="G6601">
        <v>153128500</v>
      </c>
      <c r="H6601">
        <f t="shared" si="412"/>
        <v>2023</v>
      </c>
      <c r="I6601">
        <f t="shared" si="413"/>
        <v>8</v>
      </c>
      <c r="J6601" t="str">
        <f t="shared" si="414"/>
        <v>Aug</v>
      </c>
      <c r="K6601" t="str">
        <f t="shared" si="415"/>
        <v>Fri</v>
      </c>
    </row>
    <row r="6602" spans="1:11" x14ac:dyDescent="0.35">
      <c r="A6602" s="1">
        <v>45145</v>
      </c>
      <c r="B6602">
        <v>140.99000549316401</v>
      </c>
      <c r="C6602">
        <v>142.53999328613199</v>
      </c>
      <c r="D6602">
        <v>138.94999694824199</v>
      </c>
      <c r="E6602">
        <v>142.22000122070301</v>
      </c>
      <c r="F6602">
        <v>142.22000122070301</v>
      </c>
      <c r="G6602">
        <v>71213100</v>
      </c>
      <c r="H6602">
        <f t="shared" si="412"/>
        <v>2023</v>
      </c>
      <c r="I6602">
        <f t="shared" si="413"/>
        <v>8</v>
      </c>
      <c r="J6602" t="str">
        <f t="shared" si="414"/>
        <v>Aug</v>
      </c>
      <c r="K6602" t="str">
        <f t="shared" si="415"/>
        <v>Mon</v>
      </c>
    </row>
    <row r="6603" spans="1:11" x14ac:dyDescent="0.35">
      <c r="A6603" s="1">
        <v>45146</v>
      </c>
      <c r="B6603">
        <v>140.61999511718699</v>
      </c>
      <c r="C6603">
        <v>140.83999633789</v>
      </c>
      <c r="D6603">
        <v>138.419998168945</v>
      </c>
      <c r="E6603">
        <v>139.94000244140599</v>
      </c>
      <c r="F6603">
        <v>139.94000244140599</v>
      </c>
      <c r="G6603">
        <v>51710500</v>
      </c>
      <c r="H6603">
        <f t="shared" si="412"/>
        <v>2023</v>
      </c>
      <c r="I6603">
        <f t="shared" si="413"/>
        <v>8</v>
      </c>
      <c r="J6603" t="str">
        <f t="shared" si="414"/>
        <v>Aug</v>
      </c>
      <c r="K6603" t="str">
        <f t="shared" si="415"/>
        <v>Tue</v>
      </c>
    </row>
    <row r="6604" spans="1:11" x14ac:dyDescent="0.35">
      <c r="A6604" s="1">
        <v>45147</v>
      </c>
      <c r="B6604">
        <v>139.97000122070301</v>
      </c>
      <c r="C6604">
        <v>140.32000732421801</v>
      </c>
      <c r="D6604">
        <v>137.100006103515</v>
      </c>
      <c r="E6604">
        <v>137.850006103515</v>
      </c>
      <c r="F6604">
        <v>137.850006103515</v>
      </c>
      <c r="G6604">
        <v>50017300</v>
      </c>
      <c r="H6604">
        <f t="shared" si="412"/>
        <v>2023</v>
      </c>
      <c r="I6604">
        <f t="shared" si="413"/>
        <v>8</v>
      </c>
      <c r="J6604" t="str">
        <f t="shared" si="414"/>
        <v>Aug</v>
      </c>
      <c r="K6604" t="str">
        <f t="shared" si="415"/>
        <v>Wed</v>
      </c>
    </row>
    <row r="6605" spans="1:11" x14ac:dyDescent="0.35">
      <c r="A6605" s="1">
        <v>45148</v>
      </c>
      <c r="B6605">
        <v>139.07000732421801</v>
      </c>
      <c r="C6605">
        <v>140.41000366210901</v>
      </c>
      <c r="D6605">
        <v>137.49000549316401</v>
      </c>
      <c r="E6605">
        <v>138.55999755859301</v>
      </c>
      <c r="F6605">
        <v>138.55999755859301</v>
      </c>
      <c r="G6605">
        <v>58928400</v>
      </c>
      <c r="H6605">
        <f t="shared" si="412"/>
        <v>2023</v>
      </c>
      <c r="I6605">
        <f t="shared" si="413"/>
        <v>8</v>
      </c>
      <c r="J6605" t="str">
        <f t="shared" si="414"/>
        <v>Aug</v>
      </c>
      <c r="K6605" t="str">
        <f t="shared" si="415"/>
        <v>Thu</v>
      </c>
    </row>
    <row r="6606" spans="1:11" x14ac:dyDescent="0.35">
      <c r="A6606" s="1">
        <v>45149</v>
      </c>
      <c r="B6606">
        <v>137.39999389648401</v>
      </c>
      <c r="C6606">
        <v>139.33000183105401</v>
      </c>
      <c r="D6606">
        <v>137</v>
      </c>
      <c r="E6606">
        <v>138.41000366210901</v>
      </c>
      <c r="F6606">
        <v>138.41000366210901</v>
      </c>
      <c r="G6606">
        <v>42905800</v>
      </c>
      <c r="H6606">
        <f t="shared" si="412"/>
        <v>2023</v>
      </c>
      <c r="I6606">
        <f t="shared" si="413"/>
        <v>8</v>
      </c>
      <c r="J6606" t="str">
        <f t="shared" si="414"/>
        <v>Aug</v>
      </c>
      <c r="K6606" t="str">
        <f t="shared" si="415"/>
        <v>Fri</v>
      </c>
    </row>
    <row r="6607" spans="1:11" x14ac:dyDescent="0.35">
      <c r="A6607" s="1">
        <v>45152</v>
      </c>
      <c r="B6607">
        <v>138.30000305175699</v>
      </c>
      <c r="C6607">
        <v>140.58999633789</v>
      </c>
      <c r="D6607">
        <v>137.75</v>
      </c>
      <c r="E6607">
        <v>140.57000732421801</v>
      </c>
      <c r="F6607">
        <v>140.57000732421801</v>
      </c>
      <c r="G6607">
        <v>47148700</v>
      </c>
      <c r="H6607">
        <f t="shared" si="412"/>
        <v>2023</v>
      </c>
      <c r="I6607">
        <f t="shared" si="413"/>
        <v>8</v>
      </c>
      <c r="J6607" t="str">
        <f t="shared" si="414"/>
        <v>Aug</v>
      </c>
      <c r="K6607" t="str">
        <f t="shared" si="415"/>
        <v>Mon</v>
      </c>
    </row>
    <row r="6608" spans="1:11" x14ac:dyDescent="0.35">
      <c r="A6608" s="1">
        <v>45153</v>
      </c>
      <c r="B6608">
        <v>140.05000305175699</v>
      </c>
      <c r="C6608">
        <v>141.27999877929599</v>
      </c>
      <c r="D6608">
        <v>137.22999572753901</v>
      </c>
      <c r="E6608">
        <v>137.669998168945</v>
      </c>
      <c r="F6608">
        <v>137.669998168945</v>
      </c>
      <c r="G6608">
        <v>42781500</v>
      </c>
      <c r="H6608">
        <f t="shared" si="412"/>
        <v>2023</v>
      </c>
      <c r="I6608">
        <f t="shared" si="413"/>
        <v>8</v>
      </c>
      <c r="J6608" t="str">
        <f t="shared" si="414"/>
        <v>Aug</v>
      </c>
      <c r="K6608" t="str">
        <f t="shared" si="415"/>
        <v>Tue</v>
      </c>
    </row>
    <row r="6609" spans="1:11" x14ac:dyDescent="0.35">
      <c r="A6609" s="1">
        <v>45154</v>
      </c>
      <c r="B6609">
        <v>137.19000244140599</v>
      </c>
      <c r="C6609">
        <v>137.27000427246</v>
      </c>
      <c r="D6609">
        <v>135.009994506835</v>
      </c>
      <c r="E6609">
        <v>135.07000732421801</v>
      </c>
      <c r="F6609">
        <v>135.07000732421801</v>
      </c>
      <c r="G6609">
        <v>41675900</v>
      </c>
      <c r="H6609">
        <f t="shared" si="412"/>
        <v>2023</v>
      </c>
      <c r="I6609">
        <f t="shared" si="413"/>
        <v>8</v>
      </c>
      <c r="J6609" t="str">
        <f t="shared" si="414"/>
        <v>Aug</v>
      </c>
      <c r="K6609" t="str">
        <f t="shared" si="415"/>
        <v>Wed</v>
      </c>
    </row>
    <row r="6610" spans="1:11" x14ac:dyDescent="0.35">
      <c r="A6610" s="1">
        <v>45155</v>
      </c>
      <c r="B6610">
        <v>135.46000671386699</v>
      </c>
      <c r="C6610">
        <v>136.08999633789</v>
      </c>
      <c r="D6610">
        <v>133.52999877929599</v>
      </c>
      <c r="E6610">
        <v>133.97999572753901</v>
      </c>
      <c r="F6610">
        <v>133.97999572753901</v>
      </c>
      <c r="G6610">
        <v>48354100</v>
      </c>
      <c r="H6610">
        <f t="shared" si="412"/>
        <v>2023</v>
      </c>
      <c r="I6610">
        <f t="shared" si="413"/>
        <v>8</v>
      </c>
      <c r="J6610" t="str">
        <f t="shared" si="414"/>
        <v>Aug</v>
      </c>
      <c r="K6610" t="str">
        <f t="shared" si="415"/>
        <v>Thu</v>
      </c>
    </row>
    <row r="6611" spans="1:11" x14ac:dyDescent="0.35">
      <c r="A6611" s="1">
        <v>45156</v>
      </c>
      <c r="B6611">
        <v>131.61999511718699</v>
      </c>
      <c r="C6611">
        <v>134.07000732421801</v>
      </c>
      <c r="D6611">
        <v>131.14999389648401</v>
      </c>
      <c r="E6611">
        <v>133.22000122070301</v>
      </c>
      <c r="F6611">
        <v>133.22000122070301</v>
      </c>
      <c r="G6611">
        <v>48497700</v>
      </c>
      <c r="H6611">
        <f t="shared" si="412"/>
        <v>2023</v>
      </c>
      <c r="I6611">
        <f t="shared" si="413"/>
        <v>8</v>
      </c>
      <c r="J6611" t="str">
        <f t="shared" si="414"/>
        <v>Aug</v>
      </c>
      <c r="K6611" t="str">
        <f t="shared" si="415"/>
        <v>Fri</v>
      </c>
    </row>
    <row r="6612" spans="1:11" x14ac:dyDescent="0.35">
      <c r="A6612" s="1">
        <v>45159</v>
      </c>
      <c r="B6612">
        <v>133.74000549316401</v>
      </c>
      <c r="C6612">
        <v>135.19000244140599</v>
      </c>
      <c r="D6612">
        <v>132.71000671386699</v>
      </c>
      <c r="E6612">
        <v>134.67999267578099</v>
      </c>
      <c r="F6612">
        <v>134.67999267578099</v>
      </c>
      <c r="G6612">
        <v>41442500</v>
      </c>
      <c r="H6612">
        <f t="shared" si="412"/>
        <v>2023</v>
      </c>
      <c r="I6612">
        <f t="shared" si="413"/>
        <v>8</v>
      </c>
      <c r="J6612" t="str">
        <f t="shared" si="414"/>
        <v>Aug</v>
      </c>
      <c r="K6612" t="str">
        <f t="shared" si="415"/>
        <v>Mon</v>
      </c>
    </row>
    <row r="6613" spans="1:11" x14ac:dyDescent="0.35">
      <c r="A6613" s="1">
        <v>45160</v>
      </c>
      <c r="B6613">
        <v>135.08000183105401</v>
      </c>
      <c r="C6613">
        <v>135.64999389648401</v>
      </c>
      <c r="D6613">
        <v>133.72999572753901</v>
      </c>
      <c r="E6613">
        <v>134.25</v>
      </c>
      <c r="F6613">
        <v>134.25</v>
      </c>
      <c r="G6613">
        <v>32905400</v>
      </c>
      <c r="H6613">
        <f t="shared" si="412"/>
        <v>2023</v>
      </c>
      <c r="I6613">
        <f t="shared" si="413"/>
        <v>8</v>
      </c>
      <c r="J6613" t="str">
        <f t="shared" si="414"/>
        <v>Aug</v>
      </c>
      <c r="K6613" t="str">
        <f t="shared" si="415"/>
        <v>Tue</v>
      </c>
    </row>
    <row r="6614" spans="1:11" x14ac:dyDescent="0.35">
      <c r="A6614" s="1">
        <v>45161</v>
      </c>
      <c r="B6614">
        <v>134.5</v>
      </c>
      <c r="C6614">
        <v>135.94999694824199</v>
      </c>
      <c r="D6614">
        <v>133.22000122070301</v>
      </c>
      <c r="E6614">
        <v>135.52000427246</v>
      </c>
      <c r="F6614">
        <v>135.52000427246</v>
      </c>
      <c r="G6614">
        <v>42801000</v>
      </c>
      <c r="H6614">
        <f t="shared" si="412"/>
        <v>2023</v>
      </c>
      <c r="I6614">
        <f t="shared" si="413"/>
        <v>8</v>
      </c>
      <c r="J6614" t="str">
        <f t="shared" si="414"/>
        <v>Aug</v>
      </c>
      <c r="K6614" t="str">
        <f t="shared" si="415"/>
        <v>Wed</v>
      </c>
    </row>
    <row r="6615" spans="1:11" x14ac:dyDescent="0.35">
      <c r="A6615" s="1">
        <v>45162</v>
      </c>
      <c r="B6615">
        <v>136.39999389648401</v>
      </c>
      <c r="C6615">
        <v>136.77999877929599</v>
      </c>
      <c r="D6615">
        <v>131.83000183105401</v>
      </c>
      <c r="E6615">
        <v>131.83999633789</v>
      </c>
      <c r="F6615">
        <v>131.83999633789</v>
      </c>
      <c r="G6615">
        <v>43646300</v>
      </c>
      <c r="H6615">
        <f t="shared" si="412"/>
        <v>2023</v>
      </c>
      <c r="I6615">
        <f t="shared" si="413"/>
        <v>8</v>
      </c>
      <c r="J6615" t="str">
        <f t="shared" si="414"/>
        <v>Aug</v>
      </c>
      <c r="K6615" t="str">
        <f t="shared" si="415"/>
        <v>Thu</v>
      </c>
    </row>
    <row r="6616" spans="1:11" x14ac:dyDescent="0.35">
      <c r="A6616" s="1">
        <v>45163</v>
      </c>
      <c r="B6616">
        <v>132.47000122070301</v>
      </c>
      <c r="C6616">
        <v>133.86999511718699</v>
      </c>
      <c r="D6616">
        <v>130.58000183105401</v>
      </c>
      <c r="E6616">
        <v>133.259994506835</v>
      </c>
      <c r="F6616">
        <v>133.259994506835</v>
      </c>
      <c r="G6616">
        <v>44147500</v>
      </c>
      <c r="H6616">
        <f t="shared" si="412"/>
        <v>2023</v>
      </c>
      <c r="I6616">
        <f t="shared" si="413"/>
        <v>8</v>
      </c>
      <c r="J6616" t="str">
        <f t="shared" si="414"/>
        <v>Aug</v>
      </c>
      <c r="K6616" t="str">
        <f t="shared" si="415"/>
        <v>Fri</v>
      </c>
    </row>
    <row r="6617" spans="1:11" x14ac:dyDescent="0.35">
      <c r="A6617" s="1">
        <v>45166</v>
      </c>
      <c r="B6617">
        <v>133.77999877929599</v>
      </c>
      <c r="C6617">
        <v>133.94999694824199</v>
      </c>
      <c r="D6617">
        <v>131.850006103515</v>
      </c>
      <c r="E6617">
        <v>133.13999938964801</v>
      </c>
      <c r="F6617">
        <v>133.13999938964801</v>
      </c>
      <c r="G6617">
        <v>34108400</v>
      </c>
      <c r="H6617">
        <f t="shared" si="412"/>
        <v>2023</v>
      </c>
      <c r="I6617">
        <f t="shared" si="413"/>
        <v>8</v>
      </c>
      <c r="J6617" t="str">
        <f t="shared" si="414"/>
        <v>Aug</v>
      </c>
      <c r="K6617" t="str">
        <f t="shared" si="415"/>
        <v>Mon</v>
      </c>
    </row>
    <row r="6618" spans="1:11" x14ac:dyDescent="0.35">
      <c r="A6618" s="1">
        <v>45167</v>
      </c>
      <c r="B6618">
        <v>133.38000488281199</v>
      </c>
      <c r="C6618">
        <v>135.13999938964801</v>
      </c>
      <c r="D6618">
        <v>133.25</v>
      </c>
      <c r="E6618">
        <v>134.91000366210901</v>
      </c>
      <c r="F6618">
        <v>134.91000366210901</v>
      </c>
      <c r="G6618">
        <v>38646100</v>
      </c>
      <c r="H6618">
        <f t="shared" si="412"/>
        <v>2023</v>
      </c>
      <c r="I6618">
        <f t="shared" si="413"/>
        <v>8</v>
      </c>
      <c r="J6618" t="str">
        <f t="shared" si="414"/>
        <v>Aug</v>
      </c>
      <c r="K6618" t="str">
        <f t="shared" si="415"/>
        <v>Tue</v>
      </c>
    </row>
    <row r="6619" spans="1:11" x14ac:dyDescent="0.35">
      <c r="A6619" s="1">
        <v>45168</v>
      </c>
      <c r="B6619">
        <v>134.92999267578099</v>
      </c>
      <c r="C6619">
        <v>135.67999267578099</v>
      </c>
      <c r="D6619">
        <v>133.919998168945</v>
      </c>
      <c r="E6619">
        <v>135.07000732421801</v>
      </c>
      <c r="F6619">
        <v>135.07000732421801</v>
      </c>
      <c r="G6619">
        <v>36137000</v>
      </c>
      <c r="H6619">
        <f t="shared" si="412"/>
        <v>2023</v>
      </c>
      <c r="I6619">
        <f t="shared" si="413"/>
        <v>8</v>
      </c>
      <c r="J6619" t="str">
        <f t="shared" si="414"/>
        <v>Aug</v>
      </c>
      <c r="K6619" t="str">
        <f t="shared" si="415"/>
        <v>Wed</v>
      </c>
    </row>
    <row r="6620" spans="1:11" x14ac:dyDescent="0.35">
      <c r="A6620" s="1">
        <v>45169</v>
      </c>
      <c r="B6620">
        <v>135.05999755859301</v>
      </c>
      <c r="C6620">
        <v>138.78999328613199</v>
      </c>
      <c r="D6620">
        <v>135</v>
      </c>
      <c r="E6620">
        <v>138.009994506835</v>
      </c>
      <c r="F6620">
        <v>138.009994506835</v>
      </c>
      <c r="G6620">
        <v>58781300</v>
      </c>
      <c r="H6620">
        <f t="shared" si="412"/>
        <v>2023</v>
      </c>
      <c r="I6620">
        <f t="shared" si="413"/>
        <v>8</v>
      </c>
      <c r="J6620" t="str">
        <f t="shared" si="414"/>
        <v>Aug</v>
      </c>
      <c r="K6620" t="str">
        <f t="shared" si="415"/>
        <v>Thu</v>
      </c>
    </row>
    <row r="6621" spans="1:11" x14ac:dyDescent="0.35">
      <c r="A6621" s="1">
        <v>45170</v>
      </c>
      <c r="B6621">
        <v>139.46000671386699</v>
      </c>
      <c r="C6621">
        <v>139.96000671386699</v>
      </c>
      <c r="D6621">
        <v>136.88000488281199</v>
      </c>
      <c r="E6621">
        <v>138.11999511718699</v>
      </c>
      <c r="F6621">
        <v>138.11999511718699</v>
      </c>
      <c r="G6621">
        <v>40991500</v>
      </c>
      <c r="H6621">
        <f t="shared" si="412"/>
        <v>2023</v>
      </c>
      <c r="I6621">
        <f t="shared" si="413"/>
        <v>9</v>
      </c>
      <c r="J6621" t="str">
        <f t="shared" si="414"/>
        <v>Sep</v>
      </c>
      <c r="K6621" t="str">
        <f t="shared" si="415"/>
        <v>Fri</v>
      </c>
    </row>
    <row r="6622" spans="1:11" x14ac:dyDescent="0.35">
      <c r="A6622" s="1">
        <v>45174</v>
      </c>
      <c r="B6622">
        <v>137.72999572753901</v>
      </c>
      <c r="C6622">
        <v>137.80000305175699</v>
      </c>
      <c r="D6622">
        <v>135.82000732421801</v>
      </c>
      <c r="E6622">
        <v>137.27000427246</v>
      </c>
      <c r="F6622">
        <v>137.27000427246</v>
      </c>
      <c r="G6622">
        <v>40636700</v>
      </c>
      <c r="H6622">
        <f t="shared" si="412"/>
        <v>2023</v>
      </c>
      <c r="I6622">
        <f t="shared" si="413"/>
        <v>9</v>
      </c>
      <c r="J6622" t="str">
        <f t="shared" si="414"/>
        <v>Sep</v>
      </c>
      <c r="K6622" t="str">
        <f t="shared" si="415"/>
        <v>Tue</v>
      </c>
    </row>
    <row r="6623" spans="1:11" x14ac:dyDescent="0.35">
      <c r="A6623" s="1">
        <v>45175</v>
      </c>
      <c r="B6623">
        <v>136.32000732421801</v>
      </c>
      <c r="C6623">
        <v>137.44999694824199</v>
      </c>
      <c r="D6623">
        <v>134.61000061035099</v>
      </c>
      <c r="E6623">
        <v>135.36000061035099</v>
      </c>
      <c r="F6623">
        <v>135.36000061035099</v>
      </c>
      <c r="G6623">
        <v>41785500</v>
      </c>
      <c r="H6623">
        <f t="shared" si="412"/>
        <v>2023</v>
      </c>
      <c r="I6623">
        <f t="shared" si="413"/>
        <v>9</v>
      </c>
      <c r="J6623" t="str">
        <f t="shared" si="414"/>
        <v>Sep</v>
      </c>
      <c r="K6623" t="str">
        <f t="shared" si="415"/>
        <v>Wed</v>
      </c>
    </row>
    <row r="6624" spans="1:11" x14ac:dyDescent="0.35">
      <c r="A6624" s="1">
        <v>45176</v>
      </c>
      <c r="B6624">
        <v>133.89999389648401</v>
      </c>
      <c r="C6624">
        <v>138.02999877929599</v>
      </c>
      <c r="D6624">
        <v>133.16000366210901</v>
      </c>
      <c r="E6624">
        <v>137.850006103515</v>
      </c>
      <c r="F6624">
        <v>137.850006103515</v>
      </c>
      <c r="G6624">
        <v>48498900</v>
      </c>
      <c r="H6624">
        <f t="shared" si="412"/>
        <v>2023</v>
      </c>
      <c r="I6624">
        <f t="shared" si="413"/>
        <v>9</v>
      </c>
      <c r="J6624" t="str">
        <f t="shared" si="414"/>
        <v>Sep</v>
      </c>
      <c r="K6624" t="str">
        <f t="shared" si="415"/>
        <v>Thu</v>
      </c>
    </row>
    <row r="6625" spans="1:11" x14ac:dyDescent="0.35">
      <c r="A6625" s="1">
        <v>45177</v>
      </c>
      <c r="B6625">
        <v>136.86000061035099</v>
      </c>
      <c r="C6625">
        <v>138.850006103515</v>
      </c>
      <c r="D6625">
        <v>136.75</v>
      </c>
      <c r="E6625">
        <v>138.22999572753901</v>
      </c>
      <c r="F6625">
        <v>138.22999572753901</v>
      </c>
      <c r="G6625">
        <v>38348200</v>
      </c>
      <c r="H6625">
        <f t="shared" si="412"/>
        <v>2023</v>
      </c>
      <c r="I6625">
        <f t="shared" si="413"/>
        <v>9</v>
      </c>
      <c r="J6625" t="str">
        <f t="shared" si="414"/>
        <v>Sep</v>
      </c>
      <c r="K6625" t="str">
        <f t="shared" si="415"/>
        <v>Fri</v>
      </c>
    </row>
    <row r="6626" spans="1:11" x14ac:dyDescent="0.35">
      <c r="A6626" s="1">
        <v>45180</v>
      </c>
      <c r="B6626">
        <v>138.75</v>
      </c>
      <c r="C6626">
        <v>143.61999511718699</v>
      </c>
      <c r="D6626">
        <v>138.63999938964801</v>
      </c>
      <c r="E6626">
        <v>143.100006103515</v>
      </c>
      <c r="F6626">
        <v>143.100006103515</v>
      </c>
      <c r="G6626">
        <v>56764500</v>
      </c>
      <c r="H6626">
        <f t="shared" si="412"/>
        <v>2023</v>
      </c>
      <c r="I6626">
        <f t="shared" si="413"/>
        <v>9</v>
      </c>
      <c r="J6626" t="str">
        <f t="shared" si="414"/>
        <v>Sep</v>
      </c>
      <c r="K6626" t="str">
        <f t="shared" si="415"/>
        <v>Mon</v>
      </c>
    </row>
    <row r="6627" spans="1:11" x14ac:dyDescent="0.35">
      <c r="A6627" s="1">
        <v>45181</v>
      </c>
      <c r="B6627">
        <v>142.32000732421801</v>
      </c>
      <c r="C6627">
        <v>143</v>
      </c>
      <c r="D6627">
        <v>140.61000061035099</v>
      </c>
      <c r="E6627">
        <v>141.22999572753901</v>
      </c>
      <c r="F6627">
        <v>141.22999572753901</v>
      </c>
      <c r="G6627">
        <v>42668500</v>
      </c>
      <c r="H6627">
        <f t="shared" si="412"/>
        <v>2023</v>
      </c>
      <c r="I6627">
        <f t="shared" si="413"/>
        <v>9</v>
      </c>
      <c r="J6627" t="str">
        <f t="shared" si="414"/>
        <v>Sep</v>
      </c>
      <c r="K6627" t="str">
        <f t="shared" si="415"/>
        <v>Tue</v>
      </c>
    </row>
    <row r="6628" spans="1:11" x14ac:dyDescent="0.35">
      <c r="A6628" s="1">
        <v>45182</v>
      </c>
      <c r="B6628">
        <v>140.94999694824199</v>
      </c>
      <c r="C6628">
        <v>144.97999572753901</v>
      </c>
      <c r="D6628">
        <v>140.86999511718699</v>
      </c>
      <c r="E6628">
        <v>144.850006103515</v>
      </c>
      <c r="F6628">
        <v>144.850006103515</v>
      </c>
      <c r="G6628">
        <v>60465200</v>
      </c>
      <c r="H6628">
        <f t="shared" si="412"/>
        <v>2023</v>
      </c>
      <c r="I6628">
        <f t="shared" si="413"/>
        <v>9</v>
      </c>
      <c r="J6628" t="str">
        <f t="shared" si="414"/>
        <v>Sep</v>
      </c>
      <c r="K6628" t="str">
        <f t="shared" si="415"/>
        <v>Wed</v>
      </c>
    </row>
    <row r="6629" spans="1:11" x14ac:dyDescent="0.35">
      <c r="A6629" s="1">
        <v>45183</v>
      </c>
      <c r="B6629">
        <v>145.08000183105401</v>
      </c>
      <c r="C6629">
        <v>145.86000061035099</v>
      </c>
      <c r="D6629">
        <v>142.94999694824199</v>
      </c>
      <c r="E6629">
        <v>144.72000122070301</v>
      </c>
      <c r="F6629">
        <v>144.72000122070301</v>
      </c>
      <c r="G6629">
        <v>64033600</v>
      </c>
      <c r="H6629">
        <f t="shared" si="412"/>
        <v>2023</v>
      </c>
      <c r="I6629">
        <f t="shared" si="413"/>
        <v>9</v>
      </c>
      <c r="J6629" t="str">
        <f t="shared" si="414"/>
        <v>Sep</v>
      </c>
      <c r="K6629" t="str">
        <f t="shared" si="415"/>
        <v>Thu</v>
      </c>
    </row>
    <row r="6630" spans="1:11" x14ac:dyDescent="0.35">
      <c r="A6630" s="1">
        <v>45184</v>
      </c>
      <c r="B6630">
        <v>142.69000244140599</v>
      </c>
      <c r="C6630">
        <v>143.57000732421801</v>
      </c>
      <c r="D6630">
        <v>140.08999633789</v>
      </c>
      <c r="E6630">
        <v>140.38999938964801</v>
      </c>
      <c r="F6630">
        <v>140.38999938964801</v>
      </c>
      <c r="G6630">
        <v>102909300</v>
      </c>
      <c r="H6630">
        <f t="shared" si="412"/>
        <v>2023</v>
      </c>
      <c r="I6630">
        <f t="shared" si="413"/>
        <v>9</v>
      </c>
      <c r="J6630" t="str">
        <f t="shared" si="414"/>
        <v>Sep</v>
      </c>
      <c r="K6630" t="str">
        <f t="shared" si="415"/>
        <v>Fri</v>
      </c>
    </row>
    <row r="6631" spans="1:11" x14ac:dyDescent="0.35">
      <c r="A6631" s="1">
        <v>45187</v>
      </c>
      <c r="B6631">
        <v>140.47999572753901</v>
      </c>
      <c r="C6631">
        <v>141.75</v>
      </c>
      <c r="D6631">
        <v>139.22000122070301</v>
      </c>
      <c r="E6631">
        <v>139.97999572753901</v>
      </c>
      <c r="F6631">
        <v>139.97999572753901</v>
      </c>
      <c r="G6631">
        <v>42823500</v>
      </c>
      <c r="H6631">
        <f t="shared" si="412"/>
        <v>2023</v>
      </c>
      <c r="I6631">
        <f t="shared" si="413"/>
        <v>9</v>
      </c>
      <c r="J6631" t="str">
        <f t="shared" si="414"/>
        <v>Sep</v>
      </c>
      <c r="K6631" t="str">
        <f t="shared" si="415"/>
        <v>Mon</v>
      </c>
    </row>
    <row r="6632" spans="1:11" x14ac:dyDescent="0.35">
      <c r="A6632" s="1">
        <v>45188</v>
      </c>
      <c r="B6632">
        <v>138.69999694824199</v>
      </c>
      <c r="C6632">
        <v>138.83999633789</v>
      </c>
      <c r="D6632">
        <v>135.55999755859301</v>
      </c>
      <c r="E6632">
        <v>137.63000488281199</v>
      </c>
      <c r="F6632">
        <v>137.63000488281199</v>
      </c>
      <c r="G6632">
        <v>61482500</v>
      </c>
      <c r="H6632">
        <f t="shared" si="412"/>
        <v>2023</v>
      </c>
      <c r="I6632">
        <f t="shared" si="413"/>
        <v>9</v>
      </c>
      <c r="J6632" t="str">
        <f t="shared" si="414"/>
        <v>Sep</v>
      </c>
      <c r="K6632" t="str">
        <f t="shared" si="415"/>
        <v>Tue</v>
      </c>
    </row>
    <row r="6633" spans="1:11" x14ac:dyDescent="0.35">
      <c r="A6633" s="1">
        <v>45189</v>
      </c>
      <c r="B6633">
        <v>138.55000305175699</v>
      </c>
      <c r="C6633">
        <v>139.36999511718699</v>
      </c>
      <c r="D6633">
        <v>135.19999694824199</v>
      </c>
      <c r="E6633">
        <v>135.28999328613199</v>
      </c>
      <c r="F6633">
        <v>135.28999328613199</v>
      </c>
      <c r="G6633">
        <v>46263700</v>
      </c>
      <c r="H6633">
        <f t="shared" si="412"/>
        <v>2023</v>
      </c>
      <c r="I6633">
        <f t="shared" si="413"/>
        <v>9</v>
      </c>
      <c r="J6633" t="str">
        <f t="shared" si="414"/>
        <v>Sep</v>
      </c>
      <c r="K6633" t="str">
        <f t="shared" si="415"/>
        <v>Wed</v>
      </c>
    </row>
    <row r="6634" spans="1:11" x14ac:dyDescent="0.35">
      <c r="A6634" s="1">
        <v>45190</v>
      </c>
      <c r="B6634">
        <v>131.94000244140599</v>
      </c>
      <c r="C6634">
        <v>132.24000549316401</v>
      </c>
      <c r="D6634">
        <v>129.30999755859301</v>
      </c>
      <c r="E6634">
        <v>129.33000183105401</v>
      </c>
      <c r="F6634">
        <v>129.33000183105401</v>
      </c>
      <c r="G6634">
        <v>70343300</v>
      </c>
      <c r="H6634">
        <f t="shared" si="412"/>
        <v>2023</v>
      </c>
      <c r="I6634">
        <f t="shared" si="413"/>
        <v>9</v>
      </c>
      <c r="J6634" t="str">
        <f t="shared" si="414"/>
        <v>Sep</v>
      </c>
      <c r="K6634" t="str">
        <f t="shared" si="415"/>
        <v>Thu</v>
      </c>
    </row>
    <row r="6635" spans="1:11" x14ac:dyDescent="0.35">
      <c r="A6635" s="1">
        <v>45191</v>
      </c>
      <c r="B6635">
        <v>131.11000061035099</v>
      </c>
      <c r="C6635">
        <v>132.02999877929599</v>
      </c>
      <c r="D6635">
        <v>128.52000427246</v>
      </c>
      <c r="E6635">
        <v>129.11999511718699</v>
      </c>
      <c r="F6635">
        <v>129.11999511718699</v>
      </c>
      <c r="G6635">
        <v>59904300</v>
      </c>
      <c r="H6635">
        <f t="shared" si="412"/>
        <v>2023</v>
      </c>
      <c r="I6635">
        <f t="shared" si="413"/>
        <v>9</v>
      </c>
      <c r="J6635" t="str">
        <f t="shared" si="414"/>
        <v>Sep</v>
      </c>
      <c r="K6635" t="str">
        <f t="shared" si="415"/>
        <v>Fri</v>
      </c>
    </row>
    <row r="6636" spans="1:11" x14ac:dyDescent="0.35">
      <c r="A6636" s="1">
        <v>45194</v>
      </c>
      <c r="B6636">
        <v>129.36000061035099</v>
      </c>
      <c r="C6636">
        <v>131.77999877929599</v>
      </c>
      <c r="D6636">
        <v>128.77000427246</v>
      </c>
      <c r="E6636">
        <v>131.27000427246</v>
      </c>
      <c r="F6636">
        <v>131.27000427246</v>
      </c>
      <c r="G6636">
        <v>46017800</v>
      </c>
      <c r="H6636">
        <f t="shared" si="412"/>
        <v>2023</v>
      </c>
      <c r="I6636">
        <f t="shared" si="413"/>
        <v>9</v>
      </c>
      <c r="J6636" t="str">
        <f t="shared" si="414"/>
        <v>Sep</v>
      </c>
      <c r="K6636" t="str">
        <f t="shared" si="415"/>
        <v>Mon</v>
      </c>
    </row>
    <row r="6637" spans="1:11" x14ac:dyDescent="0.35">
      <c r="A6637" s="1">
        <v>45195</v>
      </c>
      <c r="B6637">
        <v>130.11999511718699</v>
      </c>
      <c r="C6637">
        <v>130.38999938964801</v>
      </c>
      <c r="D6637">
        <v>125.27999877929599</v>
      </c>
      <c r="E6637">
        <v>125.980003356933</v>
      </c>
      <c r="F6637">
        <v>125.980003356933</v>
      </c>
      <c r="G6637">
        <v>73048200</v>
      </c>
      <c r="H6637">
        <f t="shared" si="412"/>
        <v>2023</v>
      </c>
      <c r="I6637">
        <f t="shared" si="413"/>
        <v>9</v>
      </c>
      <c r="J6637" t="str">
        <f t="shared" si="414"/>
        <v>Sep</v>
      </c>
      <c r="K6637" t="str">
        <f t="shared" si="415"/>
        <v>Tue</v>
      </c>
    </row>
    <row r="6638" spans="1:11" x14ac:dyDescent="0.35">
      <c r="A6638" s="1">
        <v>45196</v>
      </c>
      <c r="B6638">
        <v>125.76000213623</v>
      </c>
      <c r="C6638">
        <v>127.480003356933</v>
      </c>
      <c r="D6638">
        <v>124.129997253417</v>
      </c>
      <c r="E6638">
        <v>125.980003356933</v>
      </c>
      <c r="F6638">
        <v>125.980003356933</v>
      </c>
      <c r="G6638">
        <v>66553400</v>
      </c>
      <c r="H6638">
        <f t="shared" si="412"/>
        <v>2023</v>
      </c>
      <c r="I6638">
        <f t="shared" si="413"/>
        <v>9</v>
      </c>
      <c r="J6638" t="str">
        <f t="shared" si="414"/>
        <v>Sep</v>
      </c>
      <c r="K6638" t="str">
        <f t="shared" si="415"/>
        <v>Wed</v>
      </c>
    </row>
    <row r="6639" spans="1:11" x14ac:dyDescent="0.35">
      <c r="A6639" s="1">
        <v>45197</v>
      </c>
      <c r="B6639">
        <v>124.040000915527</v>
      </c>
      <c r="C6639">
        <v>126.58000183105401</v>
      </c>
      <c r="D6639">
        <v>123.040000915527</v>
      </c>
      <c r="E6639">
        <v>125.980003356933</v>
      </c>
      <c r="F6639">
        <v>125.980003356933</v>
      </c>
      <c r="G6639">
        <v>54555000</v>
      </c>
      <c r="H6639">
        <f t="shared" si="412"/>
        <v>2023</v>
      </c>
      <c r="I6639">
        <f t="shared" si="413"/>
        <v>9</v>
      </c>
      <c r="J6639" t="str">
        <f t="shared" si="414"/>
        <v>Sep</v>
      </c>
      <c r="K6639" t="str">
        <f t="shared" si="415"/>
        <v>Thu</v>
      </c>
    </row>
    <row r="6640" spans="1:11" x14ac:dyDescent="0.35">
      <c r="A6640" s="1">
        <v>45198</v>
      </c>
      <c r="B6640">
        <v>128.19999694824199</v>
      </c>
      <c r="C6640">
        <v>129.14999389648401</v>
      </c>
      <c r="D6640">
        <v>126.31999969482401</v>
      </c>
      <c r="E6640">
        <v>127.120002746582</v>
      </c>
      <c r="F6640">
        <v>127.120002746582</v>
      </c>
      <c r="G6640">
        <v>62411700</v>
      </c>
      <c r="H6640">
        <f t="shared" si="412"/>
        <v>2023</v>
      </c>
      <c r="I6640">
        <f t="shared" si="413"/>
        <v>9</v>
      </c>
      <c r="J6640" t="str">
        <f t="shared" si="414"/>
        <v>Sep</v>
      </c>
      <c r="K6640" t="str">
        <f t="shared" si="415"/>
        <v>Fri</v>
      </c>
    </row>
    <row r="6641" spans="1:11" x14ac:dyDescent="0.35">
      <c r="A6641" s="1">
        <v>45201</v>
      </c>
      <c r="B6641">
        <v>127.27999877929599</v>
      </c>
      <c r="C6641">
        <v>130.47000122070301</v>
      </c>
      <c r="D6641">
        <v>126.540000915527</v>
      </c>
      <c r="E6641">
        <v>129.46000671386699</v>
      </c>
      <c r="F6641">
        <v>129.46000671386699</v>
      </c>
      <c r="G6641">
        <v>48029700</v>
      </c>
      <c r="H6641">
        <f t="shared" si="412"/>
        <v>2023</v>
      </c>
      <c r="I6641">
        <f t="shared" si="413"/>
        <v>10</v>
      </c>
      <c r="J6641" t="str">
        <f t="shared" si="414"/>
        <v>Oct</v>
      </c>
      <c r="K6641" t="str">
        <f t="shared" si="415"/>
        <v>Mon</v>
      </c>
    </row>
    <row r="6642" spans="1:11" x14ac:dyDescent="0.35">
      <c r="A6642" s="1">
        <v>45202</v>
      </c>
      <c r="B6642">
        <v>128.05999755859301</v>
      </c>
      <c r="C6642">
        <v>128.52000427246</v>
      </c>
      <c r="D6642">
        <v>124.25</v>
      </c>
      <c r="E6642">
        <v>124.720001220703</v>
      </c>
      <c r="F6642">
        <v>124.720001220703</v>
      </c>
      <c r="G6642">
        <v>51565000</v>
      </c>
      <c r="H6642">
        <f t="shared" si="412"/>
        <v>2023</v>
      </c>
      <c r="I6642">
        <f t="shared" si="413"/>
        <v>10</v>
      </c>
      <c r="J6642" t="str">
        <f t="shared" si="414"/>
        <v>Oct</v>
      </c>
      <c r="K6642" t="str">
        <f t="shared" si="415"/>
        <v>Tue</v>
      </c>
    </row>
    <row r="6643" spans="1:11" x14ac:dyDescent="0.35">
      <c r="A6643" s="1">
        <v>45203</v>
      </c>
      <c r="B6643">
        <v>126.059997558593</v>
      </c>
      <c r="C6643">
        <v>127.36000061035099</v>
      </c>
      <c r="D6643">
        <v>125.680000305175</v>
      </c>
      <c r="E6643">
        <v>127</v>
      </c>
      <c r="F6643">
        <v>127</v>
      </c>
      <c r="G6643">
        <v>44203900</v>
      </c>
      <c r="H6643">
        <f t="shared" si="412"/>
        <v>2023</v>
      </c>
      <c r="I6643">
        <f t="shared" si="413"/>
        <v>10</v>
      </c>
      <c r="J6643" t="str">
        <f t="shared" si="414"/>
        <v>Oct</v>
      </c>
      <c r="K6643" t="str">
        <f t="shared" si="415"/>
        <v>Wed</v>
      </c>
    </row>
    <row r="6644" spans="1:11" x14ac:dyDescent="0.35">
      <c r="A6644" s="1">
        <v>45204</v>
      </c>
      <c r="B6644">
        <v>126.709999084472</v>
      </c>
      <c r="C6644">
        <v>126.730003356933</v>
      </c>
      <c r="D6644">
        <v>124.33000183105401</v>
      </c>
      <c r="E6644">
        <v>125.959999084472</v>
      </c>
      <c r="F6644">
        <v>125.959999084472</v>
      </c>
      <c r="G6644">
        <v>39660600</v>
      </c>
      <c r="H6644">
        <f t="shared" si="412"/>
        <v>2023</v>
      </c>
      <c r="I6644">
        <f t="shared" si="413"/>
        <v>10</v>
      </c>
      <c r="J6644" t="str">
        <f t="shared" si="414"/>
        <v>Oct</v>
      </c>
      <c r="K6644" t="str">
        <f t="shared" si="415"/>
        <v>Thu</v>
      </c>
    </row>
    <row r="6645" spans="1:11" x14ac:dyDescent="0.35">
      <c r="A6645" s="1">
        <v>45205</v>
      </c>
      <c r="B6645">
        <v>124.16000366210901</v>
      </c>
      <c r="C6645">
        <v>128.44999694824199</v>
      </c>
      <c r="D6645">
        <v>124.129997253417</v>
      </c>
      <c r="E6645">
        <v>127.959999084472</v>
      </c>
      <c r="F6645">
        <v>127.959999084472</v>
      </c>
      <c r="G6645">
        <v>46836700</v>
      </c>
      <c r="H6645">
        <f t="shared" si="412"/>
        <v>2023</v>
      </c>
      <c r="I6645">
        <f t="shared" si="413"/>
        <v>10</v>
      </c>
      <c r="J6645" t="str">
        <f t="shared" si="414"/>
        <v>Oct</v>
      </c>
      <c r="K6645" t="str">
        <f t="shared" si="415"/>
        <v>Fri</v>
      </c>
    </row>
    <row r="6646" spans="1:11" x14ac:dyDescent="0.35">
      <c r="A6646" s="1">
        <v>45208</v>
      </c>
      <c r="B6646">
        <v>126.220001220703</v>
      </c>
      <c r="C6646">
        <v>128.78999328613199</v>
      </c>
      <c r="D6646">
        <v>124.76000213623</v>
      </c>
      <c r="E6646">
        <v>128.259994506835</v>
      </c>
      <c r="F6646">
        <v>128.259994506835</v>
      </c>
      <c r="G6646">
        <v>38773700</v>
      </c>
      <c r="H6646">
        <f t="shared" si="412"/>
        <v>2023</v>
      </c>
      <c r="I6646">
        <f t="shared" si="413"/>
        <v>10</v>
      </c>
      <c r="J6646" t="str">
        <f t="shared" si="414"/>
        <v>Oct</v>
      </c>
      <c r="K6646" t="str">
        <f t="shared" si="415"/>
        <v>Mon</v>
      </c>
    </row>
    <row r="6647" spans="1:11" x14ac:dyDescent="0.35">
      <c r="A6647" s="1">
        <v>45209</v>
      </c>
      <c r="B6647">
        <v>128.82000732421801</v>
      </c>
      <c r="C6647">
        <v>130.74000549316401</v>
      </c>
      <c r="D6647">
        <v>128.05000305175699</v>
      </c>
      <c r="E6647">
        <v>129.47999572753901</v>
      </c>
      <c r="F6647">
        <v>129.47999572753901</v>
      </c>
      <c r="G6647">
        <v>42178600</v>
      </c>
      <c r="H6647">
        <f t="shared" si="412"/>
        <v>2023</v>
      </c>
      <c r="I6647">
        <f t="shared" si="413"/>
        <v>10</v>
      </c>
      <c r="J6647" t="str">
        <f t="shared" si="414"/>
        <v>Oct</v>
      </c>
      <c r="K6647" t="str">
        <f t="shared" si="415"/>
        <v>Tue</v>
      </c>
    </row>
    <row r="6648" spans="1:11" x14ac:dyDescent="0.35">
      <c r="A6648" s="1">
        <v>45210</v>
      </c>
      <c r="B6648">
        <v>129.74000549316401</v>
      </c>
      <c r="C6648">
        <v>132.05000305175699</v>
      </c>
      <c r="D6648">
        <v>129.61000061035099</v>
      </c>
      <c r="E6648">
        <v>131.83000183105401</v>
      </c>
      <c r="F6648">
        <v>131.83000183105401</v>
      </c>
      <c r="G6648">
        <v>40741800</v>
      </c>
      <c r="H6648">
        <f t="shared" si="412"/>
        <v>2023</v>
      </c>
      <c r="I6648">
        <f t="shared" si="413"/>
        <v>10</v>
      </c>
      <c r="J6648" t="str">
        <f t="shared" si="414"/>
        <v>Oct</v>
      </c>
      <c r="K6648" t="str">
        <f t="shared" si="415"/>
        <v>Wed</v>
      </c>
    </row>
    <row r="6649" spans="1:11" x14ac:dyDescent="0.35">
      <c r="A6649" s="1">
        <v>45211</v>
      </c>
      <c r="B6649">
        <v>132.169998168945</v>
      </c>
      <c r="C6649">
        <v>134.47999572753901</v>
      </c>
      <c r="D6649">
        <v>131.22999572753901</v>
      </c>
      <c r="E6649">
        <v>132.33000183105401</v>
      </c>
      <c r="F6649">
        <v>132.33000183105401</v>
      </c>
      <c r="G6649">
        <v>55528600</v>
      </c>
      <c r="H6649">
        <f t="shared" si="412"/>
        <v>2023</v>
      </c>
      <c r="I6649">
        <f t="shared" si="413"/>
        <v>10</v>
      </c>
      <c r="J6649" t="str">
        <f t="shared" si="414"/>
        <v>Oct</v>
      </c>
      <c r="K6649" t="str">
        <f t="shared" si="415"/>
        <v>Thu</v>
      </c>
    </row>
    <row r="6650" spans="1:11" x14ac:dyDescent="0.35">
      <c r="A6650" s="1">
        <v>45212</v>
      </c>
      <c r="B6650">
        <v>132.97999572753901</v>
      </c>
      <c r="C6650">
        <v>133.30999755859301</v>
      </c>
      <c r="D6650">
        <v>128.94999694824199</v>
      </c>
      <c r="E6650">
        <v>129.78999328613199</v>
      </c>
      <c r="F6650">
        <v>129.78999328613199</v>
      </c>
      <c r="G6650">
        <v>45786600</v>
      </c>
      <c r="H6650">
        <f t="shared" si="412"/>
        <v>2023</v>
      </c>
      <c r="I6650">
        <f t="shared" si="413"/>
        <v>10</v>
      </c>
      <c r="J6650" t="str">
        <f t="shared" si="414"/>
        <v>Oct</v>
      </c>
      <c r="K6650" t="str">
        <f t="shared" si="415"/>
        <v>Fri</v>
      </c>
    </row>
    <row r="6651" spans="1:11" x14ac:dyDescent="0.35">
      <c r="A6651" s="1">
        <v>45215</v>
      </c>
      <c r="B6651">
        <v>130.69000244140599</v>
      </c>
      <c r="C6651">
        <v>133.07000732421801</v>
      </c>
      <c r="D6651">
        <v>130.42999267578099</v>
      </c>
      <c r="E6651">
        <v>132.55000305175699</v>
      </c>
      <c r="F6651">
        <v>132.55000305175699</v>
      </c>
      <c r="G6651">
        <v>42832900</v>
      </c>
      <c r="H6651">
        <f t="shared" si="412"/>
        <v>2023</v>
      </c>
      <c r="I6651">
        <f t="shared" si="413"/>
        <v>10</v>
      </c>
      <c r="J6651" t="str">
        <f t="shared" si="414"/>
        <v>Oct</v>
      </c>
      <c r="K6651" t="str">
        <f t="shared" si="415"/>
        <v>Mon</v>
      </c>
    </row>
    <row r="6652" spans="1:11" x14ac:dyDescent="0.35">
      <c r="A6652" s="1">
        <v>45216</v>
      </c>
      <c r="B6652">
        <v>130.38999938964801</v>
      </c>
      <c r="C6652">
        <v>132.58000183105401</v>
      </c>
      <c r="D6652">
        <v>128.71000671386699</v>
      </c>
      <c r="E6652">
        <v>131.47000122070301</v>
      </c>
      <c r="F6652">
        <v>131.47000122070301</v>
      </c>
      <c r="G6652">
        <v>49344600</v>
      </c>
      <c r="H6652">
        <f t="shared" si="412"/>
        <v>2023</v>
      </c>
      <c r="I6652">
        <f t="shared" si="413"/>
        <v>10</v>
      </c>
      <c r="J6652" t="str">
        <f t="shared" si="414"/>
        <v>Oct</v>
      </c>
      <c r="K6652" t="str">
        <f t="shared" si="415"/>
        <v>Tue</v>
      </c>
    </row>
    <row r="6653" spans="1:11" x14ac:dyDescent="0.35">
      <c r="A6653" s="1">
        <v>45217</v>
      </c>
      <c r="B6653">
        <v>129.89999389648401</v>
      </c>
      <c r="C6653">
        <v>130.669998168945</v>
      </c>
      <c r="D6653">
        <v>127.51000213623</v>
      </c>
      <c r="E6653">
        <v>128.13000488281199</v>
      </c>
      <c r="F6653">
        <v>128.13000488281199</v>
      </c>
      <c r="G6653">
        <v>42699500</v>
      </c>
      <c r="H6653">
        <f t="shared" si="412"/>
        <v>2023</v>
      </c>
      <c r="I6653">
        <f t="shared" si="413"/>
        <v>10</v>
      </c>
      <c r="J6653" t="str">
        <f t="shared" si="414"/>
        <v>Oct</v>
      </c>
      <c r="K6653" t="str">
        <f t="shared" si="415"/>
        <v>Wed</v>
      </c>
    </row>
    <row r="6654" spans="1:11" x14ac:dyDescent="0.35">
      <c r="A6654" s="1">
        <v>45218</v>
      </c>
      <c r="B6654">
        <v>130.57000732421801</v>
      </c>
      <c r="C6654">
        <v>132.24000549316401</v>
      </c>
      <c r="D6654">
        <v>127.470001220703</v>
      </c>
      <c r="E6654">
        <v>128.39999389648401</v>
      </c>
      <c r="F6654">
        <v>128.39999389648401</v>
      </c>
      <c r="G6654">
        <v>60961400</v>
      </c>
      <c r="H6654">
        <f t="shared" si="412"/>
        <v>2023</v>
      </c>
      <c r="I6654">
        <f t="shared" si="413"/>
        <v>10</v>
      </c>
      <c r="J6654" t="str">
        <f t="shared" si="414"/>
        <v>Oct</v>
      </c>
      <c r="K6654" t="str">
        <f t="shared" si="415"/>
        <v>Thu</v>
      </c>
    </row>
    <row r="6655" spans="1:11" x14ac:dyDescent="0.35">
      <c r="A6655" s="1">
        <v>45219</v>
      </c>
      <c r="B6655">
        <v>128.05000305175699</v>
      </c>
      <c r="C6655">
        <v>128.169998168945</v>
      </c>
      <c r="D6655">
        <v>124.970001220703</v>
      </c>
      <c r="E6655">
        <v>125.169998168945</v>
      </c>
      <c r="F6655">
        <v>125.169998168945</v>
      </c>
      <c r="G6655">
        <v>56406400</v>
      </c>
      <c r="H6655">
        <f t="shared" si="412"/>
        <v>2023</v>
      </c>
      <c r="I6655">
        <f t="shared" si="413"/>
        <v>10</v>
      </c>
      <c r="J6655" t="str">
        <f t="shared" si="414"/>
        <v>Oct</v>
      </c>
      <c r="K6655" t="str">
        <f t="shared" si="415"/>
        <v>Fri</v>
      </c>
    </row>
    <row r="6656" spans="1:11" x14ac:dyDescent="0.35">
      <c r="A6656" s="1">
        <v>45222</v>
      </c>
      <c r="B6656">
        <v>124.629997253417</v>
      </c>
      <c r="C6656">
        <v>127.879997253417</v>
      </c>
      <c r="D6656">
        <v>123.980003356933</v>
      </c>
      <c r="E6656">
        <v>126.559997558593</v>
      </c>
      <c r="F6656">
        <v>126.559997558593</v>
      </c>
      <c r="G6656">
        <v>48260000</v>
      </c>
      <c r="H6656">
        <f t="shared" si="412"/>
        <v>2023</v>
      </c>
      <c r="I6656">
        <f t="shared" si="413"/>
        <v>10</v>
      </c>
      <c r="J6656" t="str">
        <f t="shared" si="414"/>
        <v>Oct</v>
      </c>
      <c r="K6656" t="str">
        <f t="shared" si="415"/>
        <v>Mon</v>
      </c>
    </row>
    <row r="6657" spans="1:11" x14ac:dyDescent="0.35">
      <c r="A6657" s="1">
        <v>45223</v>
      </c>
      <c r="B6657">
        <v>127.73999786376901</v>
      </c>
      <c r="C6657">
        <v>128.80000305175699</v>
      </c>
      <c r="D6657">
        <v>126.33999633789</v>
      </c>
      <c r="E6657">
        <v>128.55999755859301</v>
      </c>
      <c r="F6657">
        <v>128.55999755859301</v>
      </c>
      <c r="G6657">
        <v>46477400</v>
      </c>
      <c r="H6657">
        <f t="shared" si="412"/>
        <v>2023</v>
      </c>
      <c r="I6657">
        <f t="shared" si="413"/>
        <v>10</v>
      </c>
      <c r="J6657" t="str">
        <f t="shared" si="414"/>
        <v>Oct</v>
      </c>
      <c r="K6657" t="str">
        <f t="shared" si="415"/>
        <v>Tue</v>
      </c>
    </row>
    <row r="6658" spans="1:11" x14ac:dyDescent="0.35">
      <c r="A6658" s="1">
        <v>45224</v>
      </c>
      <c r="B6658">
        <v>126.040000915527</v>
      </c>
      <c r="C6658">
        <v>126.33999633789</v>
      </c>
      <c r="D6658">
        <v>120.790000915527</v>
      </c>
      <c r="E6658">
        <v>121.389999389648</v>
      </c>
      <c r="F6658">
        <v>121.389999389648</v>
      </c>
      <c r="G6658">
        <v>74577500</v>
      </c>
      <c r="H6658">
        <f t="shared" si="412"/>
        <v>2023</v>
      </c>
      <c r="I6658">
        <f t="shared" si="413"/>
        <v>10</v>
      </c>
      <c r="J6658" t="str">
        <f t="shared" si="414"/>
        <v>Oct</v>
      </c>
      <c r="K6658" t="str">
        <f t="shared" si="415"/>
        <v>Wed</v>
      </c>
    </row>
    <row r="6659" spans="1:11" x14ac:dyDescent="0.35">
      <c r="A6659" s="1">
        <v>45225</v>
      </c>
      <c r="B6659">
        <v>120.629997253417</v>
      </c>
      <c r="C6659">
        <v>121.639999389648</v>
      </c>
      <c r="D6659">
        <v>118.34999847412099</v>
      </c>
      <c r="E6659">
        <v>119.56999969482401</v>
      </c>
      <c r="F6659">
        <v>119.56999969482401</v>
      </c>
      <c r="G6659">
        <v>100419500</v>
      </c>
      <c r="H6659">
        <f t="shared" si="412"/>
        <v>2023</v>
      </c>
      <c r="I6659">
        <f t="shared" si="413"/>
        <v>10</v>
      </c>
      <c r="J6659" t="str">
        <f t="shared" si="414"/>
        <v>Oct</v>
      </c>
      <c r="K6659" t="str">
        <f t="shared" si="415"/>
        <v>Thu</v>
      </c>
    </row>
    <row r="6660" spans="1:11" x14ac:dyDescent="0.35">
      <c r="A6660" s="1">
        <v>45226</v>
      </c>
      <c r="B6660">
        <v>126.199996948242</v>
      </c>
      <c r="C6660">
        <v>130.02000427246</v>
      </c>
      <c r="D6660">
        <v>125.51999664306599</v>
      </c>
      <c r="E6660">
        <v>127.73999786376901</v>
      </c>
      <c r="F6660">
        <v>127.73999786376901</v>
      </c>
      <c r="G6660">
        <v>125309300</v>
      </c>
      <c r="H6660">
        <f t="shared" ref="H6660:H6723" si="416">YEAR($A6660)</f>
        <v>2023</v>
      </c>
      <c r="I6660">
        <f t="shared" ref="I6660:I6723" si="417">MONTH($A6660)</f>
        <v>10</v>
      </c>
      <c r="J6660" t="str">
        <f t="shared" ref="J6660:J6723" si="418">TEXT($A6660,"mmm")</f>
        <v>Oct</v>
      </c>
      <c r="K6660" t="str">
        <f t="shared" ref="K6660:K6723" si="419">TEXT($A6660,"ddd")</f>
        <v>Fri</v>
      </c>
    </row>
    <row r="6661" spans="1:11" x14ac:dyDescent="0.35">
      <c r="A6661" s="1">
        <v>45229</v>
      </c>
      <c r="B6661">
        <v>129.72000122070301</v>
      </c>
      <c r="C6661">
        <v>133</v>
      </c>
      <c r="D6661">
        <v>128.55999755859301</v>
      </c>
      <c r="E6661">
        <v>132.71000671386699</v>
      </c>
      <c r="F6661">
        <v>132.71000671386699</v>
      </c>
      <c r="G6661">
        <v>72485500</v>
      </c>
      <c r="H6661">
        <f t="shared" si="416"/>
        <v>2023</v>
      </c>
      <c r="I6661">
        <f t="shared" si="417"/>
        <v>10</v>
      </c>
      <c r="J6661" t="str">
        <f t="shared" si="418"/>
        <v>Oct</v>
      </c>
      <c r="K6661" t="str">
        <f t="shared" si="419"/>
        <v>Mon</v>
      </c>
    </row>
    <row r="6662" spans="1:11" x14ac:dyDescent="0.35">
      <c r="A6662" s="1">
        <v>45230</v>
      </c>
      <c r="B6662">
        <v>132.75</v>
      </c>
      <c r="C6662">
        <v>133.57000732421801</v>
      </c>
      <c r="D6662">
        <v>131.71000671386699</v>
      </c>
      <c r="E6662">
        <v>133.08999633789</v>
      </c>
      <c r="F6662">
        <v>133.08999633789</v>
      </c>
      <c r="G6662">
        <v>51589400</v>
      </c>
      <c r="H6662">
        <f t="shared" si="416"/>
        <v>2023</v>
      </c>
      <c r="I6662">
        <f t="shared" si="417"/>
        <v>10</v>
      </c>
      <c r="J6662" t="str">
        <f t="shared" si="418"/>
        <v>Oct</v>
      </c>
      <c r="K6662" t="str">
        <f t="shared" si="419"/>
        <v>Tue</v>
      </c>
    </row>
    <row r="6663" spans="1:11" x14ac:dyDescent="0.35">
      <c r="A6663" s="1">
        <v>45231</v>
      </c>
      <c r="B6663">
        <v>133.96000671386699</v>
      </c>
      <c r="C6663">
        <v>137.350006103515</v>
      </c>
      <c r="D6663">
        <v>133.71000671386699</v>
      </c>
      <c r="E6663">
        <v>137</v>
      </c>
      <c r="F6663">
        <v>137</v>
      </c>
      <c r="G6663">
        <v>61529400</v>
      </c>
      <c r="H6663">
        <f t="shared" si="416"/>
        <v>2023</v>
      </c>
      <c r="I6663">
        <f t="shared" si="417"/>
        <v>11</v>
      </c>
      <c r="J6663" t="str">
        <f t="shared" si="418"/>
        <v>Nov</v>
      </c>
      <c r="K6663" t="str">
        <f t="shared" si="419"/>
        <v>Wed</v>
      </c>
    </row>
    <row r="6664" spans="1:11" x14ac:dyDescent="0.35">
      <c r="A6664" s="1">
        <v>45232</v>
      </c>
      <c r="B6664">
        <v>138.72999572753901</v>
      </c>
      <c r="C6664">
        <v>138.80999755859301</v>
      </c>
      <c r="D6664">
        <v>136.47000122070301</v>
      </c>
      <c r="E6664">
        <v>138.07000732421801</v>
      </c>
      <c r="F6664">
        <v>138.07000732421801</v>
      </c>
      <c r="G6664">
        <v>52236700</v>
      </c>
      <c r="H6664">
        <f t="shared" si="416"/>
        <v>2023</v>
      </c>
      <c r="I6664">
        <f t="shared" si="417"/>
        <v>11</v>
      </c>
      <c r="J6664" t="str">
        <f t="shared" si="418"/>
        <v>Nov</v>
      </c>
      <c r="K6664" t="str">
        <f t="shared" si="419"/>
        <v>Thu</v>
      </c>
    </row>
    <row r="6665" spans="1:11" x14ac:dyDescent="0.35">
      <c r="A6665" s="1">
        <v>45233</v>
      </c>
      <c r="B6665">
        <v>138.99000549316401</v>
      </c>
      <c r="C6665">
        <v>139.49000549316401</v>
      </c>
      <c r="D6665">
        <v>137.44999694824199</v>
      </c>
      <c r="E6665">
        <v>138.600006103515</v>
      </c>
      <c r="F6665">
        <v>138.600006103515</v>
      </c>
      <c r="G6665">
        <v>44059800</v>
      </c>
      <c r="H6665">
        <f t="shared" si="416"/>
        <v>2023</v>
      </c>
      <c r="I6665">
        <f t="shared" si="417"/>
        <v>11</v>
      </c>
      <c r="J6665" t="str">
        <f t="shared" si="418"/>
        <v>Nov</v>
      </c>
      <c r="K6665" t="str">
        <f t="shared" si="419"/>
        <v>Fri</v>
      </c>
    </row>
    <row r="6666" spans="1:11" x14ac:dyDescent="0.35">
      <c r="A6666" s="1">
        <v>45236</v>
      </c>
      <c r="B6666">
        <v>138.759994506835</v>
      </c>
      <c r="C6666">
        <v>140.72999572753901</v>
      </c>
      <c r="D6666">
        <v>138.36000061035099</v>
      </c>
      <c r="E6666">
        <v>139.74000549316401</v>
      </c>
      <c r="F6666">
        <v>139.74000549316401</v>
      </c>
      <c r="G6666">
        <v>44970400</v>
      </c>
      <c r="H6666">
        <f t="shared" si="416"/>
        <v>2023</v>
      </c>
      <c r="I6666">
        <f t="shared" si="417"/>
        <v>11</v>
      </c>
      <c r="J6666" t="str">
        <f t="shared" si="418"/>
        <v>Nov</v>
      </c>
      <c r="K6666" t="str">
        <f t="shared" si="419"/>
        <v>Mon</v>
      </c>
    </row>
    <row r="6667" spans="1:11" x14ac:dyDescent="0.35">
      <c r="A6667" s="1">
        <v>45237</v>
      </c>
      <c r="B6667">
        <v>140.55000305175699</v>
      </c>
      <c r="C6667">
        <v>143.36999511718699</v>
      </c>
      <c r="D6667">
        <v>140.5</v>
      </c>
      <c r="E6667">
        <v>142.71000671386699</v>
      </c>
      <c r="F6667">
        <v>142.71000671386699</v>
      </c>
      <c r="G6667">
        <v>53553500</v>
      </c>
      <c r="H6667">
        <f t="shared" si="416"/>
        <v>2023</v>
      </c>
      <c r="I6667">
        <f t="shared" si="417"/>
        <v>11</v>
      </c>
      <c r="J6667" t="str">
        <f t="shared" si="418"/>
        <v>Nov</v>
      </c>
      <c r="K6667" t="str">
        <f t="shared" si="419"/>
        <v>Tue</v>
      </c>
    </row>
    <row r="6668" spans="1:11" x14ac:dyDescent="0.35">
      <c r="A6668" s="1">
        <v>45238</v>
      </c>
      <c r="B6668">
        <v>142.97000122070301</v>
      </c>
      <c r="C6668">
        <v>143.11999511718699</v>
      </c>
      <c r="D6668">
        <v>141.22000122070301</v>
      </c>
      <c r="E6668">
        <v>142.08000183105401</v>
      </c>
      <c r="F6668">
        <v>142.08000183105401</v>
      </c>
      <c r="G6668">
        <v>44521700</v>
      </c>
      <c r="H6668">
        <f t="shared" si="416"/>
        <v>2023</v>
      </c>
      <c r="I6668">
        <f t="shared" si="417"/>
        <v>11</v>
      </c>
      <c r="J6668" t="str">
        <f t="shared" si="418"/>
        <v>Nov</v>
      </c>
      <c r="K6668" t="str">
        <f t="shared" si="419"/>
        <v>Wed</v>
      </c>
    </row>
    <row r="6669" spans="1:11" x14ac:dyDescent="0.35">
      <c r="A6669" s="1">
        <v>45239</v>
      </c>
      <c r="B6669">
        <v>142.02000427246</v>
      </c>
      <c r="C6669">
        <v>142.64999389648401</v>
      </c>
      <c r="D6669">
        <v>139.83999633789</v>
      </c>
      <c r="E6669">
        <v>140.600006103515</v>
      </c>
      <c r="F6669">
        <v>140.600006103515</v>
      </c>
      <c r="G6669">
        <v>36235400</v>
      </c>
      <c r="H6669">
        <f t="shared" si="416"/>
        <v>2023</v>
      </c>
      <c r="I6669">
        <f t="shared" si="417"/>
        <v>11</v>
      </c>
      <c r="J6669" t="str">
        <f t="shared" si="418"/>
        <v>Nov</v>
      </c>
      <c r="K6669" t="str">
        <f t="shared" si="419"/>
        <v>Thu</v>
      </c>
    </row>
    <row r="6670" spans="1:11" x14ac:dyDescent="0.35">
      <c r="A6670" s="1">
        <v>45240</v>
      </c>
      <c r="B6670">
        <v>140.46000671386699</v>
      </c>
      <c r="C6670">
        <v>143.64999389648401</v>
      </c>
      <c r="D6670">
        <v>139.91000366210901</v>
      </c>
      <c r="E6670">
        <v>143.55999755859301</v>
      </c>
      <c r="F6670">
        <v>143.55999755859301</v>
      </c>
      <c r="G6670">
        <v>49287800</v>
      </c>
      <c r="H6670">
        <f t="shared" si="416"/>
        <v>2023</v>
      </c>
      <c r="I6670">
        <f t="shared" si="417"/>
        <v>11</v>
      </c>
      <c r="J6670" t="str">
        <f t="shared" si="418"/>
        <v>Nov</v>
      </c>
      <c r="K6670" t="str">
        <f t="shared" si="419"/>
        <v>Fri</v>
      </c>
    </row>
    <row r="6671" spans="1:11" x14ac:dyDescent="0.35">
      <c r="A6671" s="1">
        <v>45243</v>
      </c>
      <c r="B6671">
        <v>142.08000183105401</v>
      </c>
      <c r="C6671">
        <v>143.22999572753901</v>
      </c>
      <c r="D6671">
        <v>140.669998168945</v>
      </c>
      <c r="E6671">
        <v>142.58999633789</v>
      </c>
      <c r="F6671">
        <v>142.58999633789</v>
      </c>
      <c r="G6671">
        <v>35680600</v>
      </c>
      <c r="H6671">
        <f t="shared" si="416"/>
        <v>2023</v>
      </c>
      <c r="I6671">
        <f t="shared" si="417"/>
        <v>11</v>
      </c>
      <c r="J6671" t="str">
        <f t="shared" si="418"/>
        <v>Nov</v>
      </c>
      <c r="K6671" t="str">
        <f t="shared" si="419"/>
        <v>Mon</v>
      </c>
    </row>
    <row r="6672" spans="1:11" x14ac:dyDescent="0.35">
      <c r="A6672" s="1">
        <v>45244</v>
      </c>
      <c r="B6672">
        <v>145</v>
      </c>
      <c r="C6672">
        <v>147.259994506835</v>
      </c>
      <c r="D6672">
        <v>144.67999267578099</v>
      </c>
      <c r="E6672">
        <v>145.80000305175699</v>
      </c>
      <c r="F6672">
        <v>145.80000305175699</v>
      </c>
      <c r="G6672">
        <v>56674600</v>
      </c>
      <c r="H6672">
        <f t="shared" si="416"/>
        <v>2023</v>
      </c>
      <c r="I6672">
        <f t="shared" si="417"/>
        <v>11</v>
      </c>
      <c r="J6672" t="str">
        <f t="shared" si="418"/>
        <v>Nov</v>
      </c>
      <c r="K6672" t="str">
        <f t="shared" si="419"/>
        <v>Tue</v>
      </c>
    </row>
    <row r="6673" spans="1:11" x14ac:dyDescent="0.35">
      <c r="A6673" s="1">
        <v>45245</v>
      </c>
      <c r="B6673">
        <v>147.05999755859301</v>
      </c>
      <c r="C6673">
        <v>147.28999328613199</v>
      </c>
      <c r="D6673">
        <v>142.58999633789</v>
      </c>
      <c r="E6673">
        <v>143.19999694824199</v>
      </c>
      <c r="F6673">
        <v>143.19999694824199</v>
      </c>
      <c r="G6673">
        <v>63875700</v>
      </c>
      <c r="H6673">
        <f t="shared" si="416"/>
        <v>2023</v>
      </c>
      <c r="I6673">
        <f t="shared" si="417"/>
        <v>11</v>
      </c>
      <c r="J6673" t="str">
        <f t="shared" si="418"/>
        <v>Nov</v>
      </c>
      <c r="K6673" t="str">
        <f t="shared" si="419"/>
        <v>Wed</v>
      </c>
    </row>
    <row r="6674" spans="1:11" x14ac:dyDescent="0.35">
      <c r="A6674" s="1">
        <v>45246</v>
      </c>
      <c r="B6674">
        <v>140.91000366210901</v>
      </c>
      <c r="C6674">
        <v>143.32000732421801</v>
      </c>
      <c r="D6674">
        <v>139.52000427246</v>
      </c>
      <c r="E6674">
        <v>142.83000183105401</v>
      </c>
      <c r="F6674">
        <v>142.83000183105401</v>
      </c>
      <c r="G6674">
        <v>49653500</v>
      </c>
      <c r="H6674">
        <f t="shared" si="416"/>
        <v>2023</v>
      </c>
      <c r="I6674">
        <f t="shared" si="417"/>
        <v>11</v>
      </c>
      <c r="J6674" t="str">
        <f t="shared" si="418"/>
        <v>Nov</v>
      </c>
      <c r="K6674" t="str">
        <f t="shared" si="419"/>
        <v>Thu</v>
      </c>
    </row>
    <row r="6675" spans="1:11" x14ac:dyDescent="0.35">
      <c r="A6675" s="1">
        <v>45247</v>
      </c>
      <c r="B6675">
        <v>142.66000366210901</v>
      </c>
      <c r="C6675">
        <v>145.22999572753901</v>
      </c>
      <c r="D6675">
        <v>142.53999328613199</v>
      </c>
      <c r="E6675">
        <v>145.17999267578099</v>
      </c>
      <c r="F6675">
        <v>145.17999267578099</v>
      </c>
      <c r="G6675">
        <v>49636700</v>
      </c>
      <c r="H6675">
        <f t="shared" si="416"/>
        <v>2023</v>
      </c>
      <c r="I6675">
        <f t="shared" si="417"/>
        <v>11</v>
      </c>
      <c r="J6675" t="str">
        <f t="shared" si="418"/>
        <v>Nov</v>
      </c>
      <c r="K6675" t="str">
        <f t="shared" si="419"/>
        <v>Fri</v>
      </c>
    </row>
    <row r="6676" spans="1:11" x14ac:dyDescent="0.35">
      <c r="A6676" s="1">
        <v>45250</v>
      </c>
      <c r="B6676">
        <v>145.13000488281199</v>
      </c>
      <c r="C6676">
        <v>146.63000488281199</v>
      </c>
      <c r="D6676">
        <v>144.72999572753901</v>
      </c>
      <c r="E6676">
        <v>146.13000488281199</v>
      </c>
      <c r="F6676">
        <v>146.13000488281199</v>
      </c>
      <c r="G6676">
        <v>41951200</v>
      </c>
      <c r="H6676">
        <f t="shared" si="416"/>
        <v>2023</v>
      </c>
      <c r="I6676">
        <f t="shared" si="417"/>
        <v>11</v>
      </c>
      <c r="J6676" t="str">
        <f t="shared" si="418"/>
        <v>Nov</v>
      </c>
      <c r="K6676" t="str">
        <f t="shared" si="419"/>
        <v>Mon</v>
      </c>
    </row>
    <row r="6677" spans="1:11" x14ac:dyDescent="0.35">
      <c r="A6677" s="1">
        <v>45251</v>
      </c>
      <c r="B6677">
        <v>143.91000366210901</v>
      </c>
      <c r="C6677">
        <v>144.05000305175699</v>
      </c>
      <c r="D6677">
        <v>141.5</v>
      </c>
      <c r="E6677">
        <v>143.89999389648401</v>
      </c>
      <c r="F6677">
        <v>143.89999389648401</v>
      </c>
      <c r="G6677">
        <v>71226000</v>
      </c>
      <c r="H6677">
        <f t="shared" si="416"/>
        <v>2023</v>
      </c>
      <c r="I6677">
        <f t="shared" si="417"/>
        <v>11</v>
      </c>
      <c r="J6677" t="str">
        <f t="shared" si="418"/>
        <v>Nov</v>
      </c>
      <c r="K6677" t="str">
        <f t="shared" si="419"/>
        <v>Tue</v>
      </c>
    </row>
    <row r="6678" spans="1:11" x14ac:dyDescent="0.35">
      <c r="A6678" s="1">
        <v>45252</v>
      </c>
      <c r="B6678">
        <v>144.57000732421801</v>
      </c>
      <c r="C6678">
        <v>147.74000549316401</v>
      </c>
      <c r="D6678">
        <v>144.57000732421801</v>
      </c>
      <c r="E6678">
        <v>146.71000671386699</v>
      </c>
      <c r="F6678">
        <v>146.71000671386699</v>
      </c>
      <c r="G6678">
        <v>45669100</v>
      </c>
      <c r="H6678">
        <f t="shared" si="416"/>
        <v>2023</v>
      </c>
      <c r="I6678">
        <f t="shared" si="417"/>
        <v>11</v>
      </c>
      <c r="J6678" t="str">
        <f t="shared" si="418"/>
        <v>Nov</v>
      </c>
      <c r="K6678" t="str">
        <f t="shared" si="419"/>
        <v>Wed</v>
      </c>
    </row>
    <row r="6679" spans="1:11" x14ac:dyDescent="0.35">
      <c r="A6679" s="1">
        <v>45254</v>
      </c>
      <c r="B6679">
        <v>146.69999694824199</v>
      </c>
      <c r="C6679">
        <v>147.19999694824199</v>
      </c>
      <c r="D6679">
        <v>145.32000732421801</v>
      </c>
      <c r="E6679">
        <v>146.74000549316401</v>
      </c>
      <c r="F6679">
        <v>146.74000549316401</v>
      </c>
      <c r="G6679">
        <v>22378400</v>
      </c>
      <c r="H6679">
        <f t="shared" si="416"/>
        <v>2023</v>
      </c>
      <c r="I6679">
        <f t="shared" si="417"/>
        <v>11</v>
      </c>
      <c r="J6679" t="str">
        <f t="shared" si="418"/>
        <v>Nov</v>
      </c>
      <c r="K6679" t="str">
        <f t="shared" si="419"/>
        <v>Fri</v>
      </c>
    </row>
    <row r="6680" spans="1:11" x14ac:dyDescent="0.35">
      <c r="A6680" s="1">
        <v>45257</v>
      </c>
      <c r="B6680">
        <v>147.52999877929599</v>
      </c>
      <c r="C6680">
        <v>149.259994506835</v>
      </c>
      <c r="D6680">
        <v>146.88000488281199</v>
      </c>
      <c r="E6680">
        <v>147.72999572753901</v>
      </c>
      <c r="F6680">
        <v>147.72999572753901</v>
      </c>
      <c r="G6680">
        <v>53762400</v>
      </c>
      <c r="H6680">
        <f t="shared" si="416"/>
        <v>2023</v>
      </c>
      <c r="I6680">
        <f t="shared" si="417"/>
        <v>11</v>
      </c>
      <c r="J6680" t="str">
        <f t="shared" si="418"/>
        <v>Nov</v>
      </c>
      <c r="K6680" t="str">
        <f t="shared" si="419"/>
        <v>Mon</v>
      </c>
    </row>
    <row r="6681" spans="1:11" x14ac:dyDescent="0.35">
      <c r="A6681" s="1">
        <v>45258</v>
      </c>
      <c r="B6681">
        <v>146.97999572753901</v>
      </c>
      <c r="C6681">
        <v>147.600006103515</v>
      </c>
      <c r="D6681">
        <v>145.52999877929599</v>
      </c>
      <c r="E6681">
        <v>147.02999877929599</v>
      </c>
      <c r="F6681">
        <v>147.02999877929599</v>
      </c>
      <c r="G6681">
        <v>42711700</v>
      </c>
      <c r="H6681">
        <f t="shared" si="416"/>
        <v>2023</v>
      </c>
      <c r="I6681">
        <f t="shared" si="417"/>
        <v>11</v>
      </c>
      <c r="J6681" t="str">
        <f t="shared" si="418"/>
        <v>Nov</v>
      </c>
      <c r="K6681" t="str">
        <f t="shared" si="419"/>
        <v>Tue</v>
      </c>
    </row>
    <row r="6682" spans="1:11" x14ac:dyDescent="0.35">
      <c r="A6682" s="1">
        <v>45259</v>
      </c>
      <c r="B6682">
        <v>147.850006103515</v>
      </c>
      <c r="C6682">
        <v>148.53999328613199</v>
      </c>
      <c r="D6682">
        <v>145.97000122070301</v>
      </c>
      <c r="E6682">
        <v>146.32000732421801</v>
      </c>
      <c r="F6682">
        <v>146.32000732421801</v>
      </c>
      <c r="G6682">
        <v>40610900</v>
      </c>
      <c r="H6682">
        <f t="shared" si="416"/>
        <v>2023</v>
      </c>
      <c r="I6682">
        <f t="shared" si="417"/>
        <v>11</v>
      </c>
      <c r="J6682" t="str">
        <f t="shared" si="418"/>
        <v>Nov</v>
      </c>
      <c r="K6682" t="str">
        <f t="shared" si="419"/>
        <v>Wed</v>
      </c>
    </row>
    <row r="6683" spans="1:11" x14ac:dyDescent="0.35">
      <c r="A6683" s="1">
        <v>45260</v>
      </c>
      <c r="B6683">
        <v>144.759994506835</v>
      </c>
      <c r="C6683">
        <v>146.92999267578099</v>
      </c>
      <c r="D6683">
        <v>144.33000183105401</v>
      </c>
      <c r="E6683">
        <v>146.08999633789</v>
      </c>
      <c r="F6683">
        <v>146.08999633789</v>
      </c>
      <c r="G6683">
        <v>65814000</v>
      </c>
      <c r="H6683">
        <f t="shared" si="416"/>
        <v>2023</v>
      </c>
      <c r="I6683">
        <f t="shared" si="417"/>
        <v>11</v>
      </c>
      <c r="J6683" t="str">
        <f t="shared" si="418"/>
        <v>Nov</v>
      </c>
      <c r="K6683" t="str">
        <f t="shared" si="419"/>
        <v>Thu</v>
      </c>
    </row>
    <row r="6684" spans="1:11" x14ac:dyDescent="0.35">
      <c r="A6684" s="1">
        <v>45261</v>
      </c>
      <c r="B6684">
        <v>146</v>
      </c>
      <c r="C6684">
        <v>147.25</v>
      </c>
      <c r="D6684">
        <v>145.55000305175699</v>
      </c>
      <c r="E6684">
        <v>147.02999877929599</v>
      </c>
      <c r="F6684">
        <v>147.02999877929599</v>
      </c>
      <c r="G6684">
        <v>39951800</v>
      </c>
      <c r="H6684">
        <f t="shared" si="416"/>
        <v>2023</v>
      </c>
      <c r="I6684">
        <f t="shared" si="417"/>
        <v>12</v>
      </c>
      <c r="J6684" t="str">
        <f t="shared" si="418"/>
        <v>Dec</v>
      </c>
      <c r="K6684" t="str">
        <f t="shared" si="419"/>
        <v>Fri</v>
      </c>
    </row>
    <row r="6685" spans="1:11" x14ac:dyDescent="0.35">
      <c r="A6685" s="1">
        <v>45264</v>
      </c>
      <c r="B6685">
        <v>145.25</v>
      </c>
      <c r="C6685">
        <v>145.350006103515</v>
      </c>
      <c r="D6685">
        <v>142.80999755859301</v>
      </c>
      <c r="E6685">
        <v>144.83999633789</v>
      </c>
      <c r="F6685">
        <v>144.83999633789</v>
      </c>
      <c r="G6685">
        <v>48294200</v>
      </c>
      <c r="H6685">
        <f t="shared" si="416"/>
        <v>2023</v>
      </c>
      <c r="I6685">
        <f t="shared" si="417"/>
        <v>12</v>
      </c>
      <c r="J6685" t="str">
        <f t="shared" si="418"/>
        <v>Dec</v>
      </c>
      <c r="K6685" t="str">
        <f t="shared" si="419"/>
        <v>Mon</v>
      </c>
    </row>
    <row r="6686" spans="1:11" x14ac:dyDescent="0.35">
      <c r="A6686" s="1">
        <v>45265</v>
      </c>
      <c r="B6686">
        <v>143.55000305175699</v>
      </c>
      <c r="C6686">
        <v>148.57000732421801</v>
      </c>
      <c r="D6686">
        <v>143.13000488281199</v>
      </c>
      <c r="E6686">
        <v>146.88000488281199</v>
      </c>
      <c r="F6686">
        <v>146.88000488281199</v>
      </c>
      <c r="G6686">
        <v>46822400</v>
      </c>
      <c r="H6686">
        <f t="shared" si="416"/>
        <v>2023</v>
      </c>
      <c r="I6686">
        <f t="shared" si="417"/>
        <v>12</v>
      </c>
      <c r="J6686" t="str">
        <f t="shared" si="418"/>
        <v>Dec</v>
      </c>
      <c r="K6686" t="str">
        <f t="shared" si="419"/>
        <v>Tue</v>
      </c>
    </row>
    <row r="6687" spans="1:11" x14ac:dyDescent="0.35">
      <c r="A6687" s="1">
        <v>45266</v>
      </c>
      <c r="B6687">
        <v>147.58000183105401</v>
      </c>
      <c r="C6687">
        <v>147.850006103515</v>
      </c>
      <c r="D6687">
        <v>144.27999877929599</v>
      </c>
      <c r="E6687">
        <v>144.52000427246</v>
      </c>
      <c r="F6687">
        <v>144.52000427246</v>
      </c>
      <c r="G6687">
        <v>39679000</v>
      </c>
      <c r="H6687">
        <f t="shared" si="416"/>
        <v>2023</v>
      </c>
      <c r="I6687">
        <f t="shared" si="417"/>
        <v>12</v>
      </c>
      <c r="J6687" t="str">
        <f t="shared" si="418"/>
        <v>Dec</v>
      </c>
      <c r="K6687" t="str">
        <f t="shared" si="419"/>
        <v>Wed</v>
      </c>
    </row>
    <row r="6688" spans="1:11" x14ac:dyDescent="0.35">
      <c r="A6688" s="1">
        <v>45267</v>
      </c>
      <c r="B6688">
        <v>146.14999389648401</v>
      </c>
      <c r="C6688">
        <v>147.919998168945</v>
      </c>
      <c r="D6688">
        <v>145.33999633789</v>
      </c>
      <c r="E6688">
        <v>146.88000488281199</v>
      </c>
      <c r="F6688">
        <v>146.88000488281199</v>
      </c>
      <c r="G6688">
        <v>52352800</v>
      </c>
      <c r="H6688">
        <f t="shared" si="416"/>
        <v>2023</v>
      </c>
      <c r="I6688">
        <f t="shared" si="417"/>
        <v>12</v>
      </c>
      <c r="J6688" t="str">
        <f t="shared" si="418"/>
        <v>Dec</v>
      </c>
      <c r="K6688" t="str">
        <f t="shared" si="419"/>
        <v>Thu</v>
      </c>
    </row>
    <row r="6689" spans="1:11" x14ac:dyDescent="0.35">
      <c r="A6689" s="1">
        <v>45268</v>
      </c>
      <c r="B6689">
        <v>145.47999572753901</v>
      </c>
      <c r="C6689">
        <v>147.83999633789</v>
      </c>
      <c r="D6689">
        <v>145.39999389648401</v>
      </c>
      <c r="E6689">
        <v>147.419998168945</v>
      </c>
      <c r="F6689">
        <v>147.419998168945</v>
      </c>
      <c r="G6689">
        <v>41906000</v>
      </c>
      <c r="H6689">
        <f t="shared" si="416"/>
        <v>2023</v>
      </c>
      <c r="I6689">
        <f t="shared" si="417"/>
        <v>12</v>
      </c>
      <c r="J6689" t="str">
        <f t="shared" si="418"/>
        <v>Dec</v>
      </c>
      <c r="K6689" t="str">
        <f t="shared" si="419"/>
        <v>Fri</v>
      </c>
    </row>
    <row r="6690" spans="1:11" x14ac:dyDescent="0.35">
      <c r="A6690" s="1">
        <v>45271</v>
      </c>
      <c r="B6690">
        <v>145.66000366210901</v>
      </c>
      <c r="C6690">
        <v>146.19000244140599</v>
      </c>
      <c r="D6690">
        <v>143.63999938964801</v>
      </c>
      <c r="E6690">
        <v>145.88999938964801</v>
      </c>
      <c r="F6690">
        <v>145.88999938964801</v>
      </c>
      <c r="G6690">
        <v>50907300</v>
      </c>
      <c r="H6690">
        <f t="shared" si="416"/>
        <v>2023</v>
      </c>
      <c r="I6690">
        <f t="shared" si="417"/>
        <v>12</v>
      </c>
      <c r="J6690" t="str">
        <f t="shared" si="418"/>
        <v>Dec</v>
      </c>
      <c r="K6690" t="str">
        <f t="shared" si="419"/>
        <v>Mon</v>
      </c>
    </row>
    <row r="6691" spans="1:11" x14ac:dyDescent="0.35">
      <c r="A6691" s="1">
        <v>45272</v>
      </c>
      <c r="B6691">
        <v>145.52000427246</v>
      </c>
      <c r="C6691">
        <v>147.5</v>
      </c>
      <c r="D6691">
        <v>145.30000305175699</v>
      </c>
      <c r="E6691">
        <v>147.47999572753901</v>
      </c>
      <c r="F6691">
        <v>147.47999572753901</v>
      </c>
      <c r="G6691">
        <v>44944300</v>
      </c>
      <c r="H6691">
        <f t="shared" si="416"/>
        <v>2023</v>
      </c>
      <c r="I6691">
        <f t="shared" si="417"/>
        <v>12</v>
      </c>
      <c r="J6691" t="str">
        <f t="shared" si="418"/>
        <v>Dec</v>
      </c>
      <c r="K6691" t="str">
        <f t="shared" si="419"/>
        <v>Tue</v>
      </c>
    </row>
    <row r="6692" spans="1:11" x14ac:dyDescent="0.35">
      <c r="A6692" s="1">
        <v>45273</v>
      </c>
      <c r="B6692">
        <v>148.11999511718699</v>
      </c>
      <c r="C6692">
        <v>149.46000671386699</v>
      </c>
      <c r="D6692">
        <v>146.82000732421801</v>
      </c>
      <c r="E6692">
        <v>148.83999633789</v>
      </c>
      <c r="F6692">
        <v>148.83999633789</v>
      </c>
      <c r="G6692">
        <v>52766200</v>
      </c>
      <c r="H6692">
        <f t="shared" si="416"/>
        <v>2023</v>
      </c>
      <c r="I6692">
        <f t="shared" si="417"/>
        <v>12</v>
      </c>
      <c r="J6692" t="str">
        <f t="shared" si="418"/>
        <v>Dec</v>
      </c>
      <c r="K6692" t="str">
        <f t="shared" si="419"/>
        <v>Wed</v>
      </c>
    </row>
    <row r="6693" spans="1:11" x14ac:dyDescent="0.35">
      <c r="A6693" s="1">
        <v>45274</v>
      </c>
      <c r="B6693">
        <v>149.92999267578099</v>
      </c>
      <c r="C6693">
        <v>150.53999328613199</v>
      </c>
      <c r="D6693">
        <v>145.52000427246</v>
      </c>
      <c r="E6693">
        <v>147.419998168945</v>
      </c>
      <c r="F6693">
        <v>147.419998168945</v>
      </c>
      <c r="G6693">
        <v>58400800</v>
      </c>
      <c r="H6693">
        <f t="shared" si="416"/>
        <v>2023</v>
      </c>
      <c r="I6693">
        <f t="shared" si="417"/>
        <v>12</v>
      </c>
      <c r="J6693" t="str">
        <f t="shared" si="418"/>
        <v>Dec</v>
      </c>
      <c r="K6693" t="str">
        <f t="shared" si="419"/>
        <v>Thu</v>
      </c>
    </row>
    <row r="6694" spans="1:11" x14ac:dyDescent="0.35">
      <c r="A6694" s="1">
        <v>45275</v>
      </c>
      <c r="B6694">
        <v>148.38000488281199</v>
      </c>
      <c r="C6694">
        <v>150.57000732421801</v>
      </c>
      <c r="D6694">
        <v>147.88000488281199</v>
      </c>
      <c r="E6694">
        <v>149.97000122070301</v>
      </c>
      <c r="F6694">
        <v>149.97000122070301</v>
      </c>
      <c r="G6694">
        <v>110089300</v>
      </c>
      <c r="H6694">
        <f t="shared" si="416"/>
        <v>2023</v>
      </c>
      <c r="I6694">
        <f t="shared" si="417"/>
        <v>12</v>
      </c>
      <c r="J6694" t="str">
        <f t="shared" si="418"/>
        <v>Dec</v>
      </c>
      <c r="K6694" t="str">
        <f t="shared" si="419"/>
        <v>Fri</v>
      </c>
    </row>
    <row r="6695" spans="1:11" x14ac:dyDescent="0.35">
      <c r="A6695" s="1">
        <v>45278</v>
      </c>
      <c r="B6695">
        <v>150.55999755859301</v>
      </c>
      <c r="C6695">
        <v>154.850006103515</v>
      </c>
      <c r="D6695">
        <v>150.05000305175699</v>
      </c>
      <c r="E6695">
        <v>154.07000732421801</v>
      </c>
      <c r="F6695">
        <v>154.07000732421801</v>
      </c>
      <c r="G6695">
        <v>62512800</v>
      </c>
      <c r="H6695">
        <f t="shared" si="416"/>
        <v>2023</v>
      </c>
      <c r="I6695">
        <f t="shared" si="417"/>
        <v>12</v>
      </c>
      <c r="J6695" t="str">
        <f t="shared" si="418"/>
        <v>Dec</v>
      </c>
      <c r="K6695" t="str">
        <f t="shared" si="419"/>
        <v>Mon</v>
      </c>
    </row>
    <row r="6696" spans="1:11" x14ac:dyDescent="0.35">
      <c r="A6696" s="1">
        <v>45279</v>
      </c>
      <c r="B6696">
        <v>154.39999389648401</v>
      </c>
      <c r="C6696">
        <v>155.11999511718699</v>
      </c>
      <c r="D6696">
        <v>152.69000244140599</v>
      </c>
      <c r="E6696">
        <v>153.78999328613199</v>
      </c>
      <c r="F6696">
        <v>153.78999328613199</v>
      </c>
      <c r="G6696">
        <v>43171300</v>
      </c>
      <c r="H6696">
        <f t="shared" si="416"/>
        <v>2023</v>
      </c>
      <c r="I6696">
        <f t="shared" si="417"/>
        <v>12</v>
      </c>
      <c r="J6696" t="str">
        <f t="shared" si="418"/>
        <v>Dec</v>
      </c>
      <c r="K6696" t="str">
        <f t="shared" si="419"/>
        <v>Tue</v>
      </c>
    </row>
    <row r="6697" spans="1:11" x14ac:dyDescent="0.35">
      <c r="A6697" s="1">
        <v>45280</v>
      </c>
      <c r="B6697">
        <v>152.89999389648401</v>
      </c>
      <c r="C6697">
        <v>155.63000488281199</v>
      </c>
      <c r="D6697">
        <v>151.55999755859301</v>
      </c>
      <c r="E6697">
        <v>152.11999511718699</v>
      </c>
      <c r="F6697">
        <v>152.11999511718699</v>
      </c>
      <c r="G6697">
        <v>50322100</v>
      </c>
      <c r="H6697">
        <f t="shared" si="416"/>
        <v>2023</v>
      </c>
      <c r="I6697">
        <f t="shared" si="417"/>
        <v>12</v>
      </c>
      <c r="J6697" t="str">
        <f t="shared" si="418"/>
        <v>Dec</v>
      </c>
      <c r="K6697" t="str">
        <f t="shared" si="419"/>
        <v>Wed</v>
      </c>
    </row>
    <row r="6698" spans="1:11" x14ac:dyDescent="0.35">
      <c r="A6698" s="1">
        <v>45281</v>
      </c>
      <c r="B6698">
        <v>153.30000305175699</v>
      </c>
      <c r="C6698">
        <v>153.97000122070301</v>
      </c>
      <c r="D6698">
        <v>152.100006103515</v>
      </c>
      <c r="E6698">
        <v>153.83999633789</v>
      </c>
      <c r="F6698">
        <v>153.83999633789</v>
      </c>
      <c r="G6698">
        <v>36305700</v>
      </c>
      <c r="H6698">
        <f t="shared" si="416"/>
        <v>2023</v>
      </c>
      <c r="I6698">
        <f t="shared" si="417"/>
        <v>12</v>
      </c>
      <c r="J6698" t="str">
        <f t="shared" si="418"/>
        <v>Dec</v>
      </c>
      <c r="K6698" t="str">
        <f t="shared" si="419"/>
        <v>Thu</v>
      </c>
    </row>
    <row r="6699" spans="1:11" x14ac:dyDescent="0.35">
      <c r="A6699" s="1">
        <v>45282</v>
      </c>
      <c r="B6699">
        <v>153.77000427246</v>
      </c>
      <c r="C6699">
        <v>154.350006103515</v>
      </c>
      <c r="D6699">
        <v>152.71000671386699</v>
      </c>
      <c r="E6699">
        <v>153.419998168945</v>
      </c>
      <c r="F6699">
        <v>153.419998168945</v>
      </c>
      <c r="G6699">
        <v>29514100</v>
      </c>
      <c r="H6699">
        <f t="shared" si="416"/>
        <v>2023</v>
      </c>
      <c r="I6699">
        <f t="shared" si="417"/>
        <v>12</v>
      </c>
      <c r="J6699" t="str">
        <f t="shared" si="418"/>
        <v>Dec</v>
      </c>
      <c r="K6699" t="str">
        <f t="shared" si="419"/>
        <v>Fri</v>
      </c>
    </row>
    <row r="6700" spans="1:11" x14ac:dyDescent="0.35">
      <c r="A6700" s="1">
        <v>45286</v>
      </c>
      <c r="B6700">
        <v>153.55999755859301</v>
      </c>
      <c r="C6700">
        <v>153.97999572753901</v>
      </c>
      <c r="D6700">
        <v>153.02999877929599</v>
      </c>
      <c r="E6700">
        <v>153.41000366210901</v>
      </c>
      <c r="F6700">
        <v>153.41000366210901</v>
      </c>
      <c r="G6700">
        <v>25067200</v>
      </c>
      <c r="H6700">
        <f t="shared" si="416"/>
        <v>2023</v>
      </c>
      <c r="I6700">
        <f t="shared" si="417"/>
        <v>12</v>
      </c>
      <c r="J6700" t="str">
        <f t="shared" si="418"/>
        <v>Dec</v>
      </c>
      <c r="K6700" t="str">
        <f t="shared" si="419"/>
        <v>Tue</v>
      </c>
    </row>
    <row r="6701" spans="1:11" x14ac:dyDescent="0.35">
      <c r="A6701" s="1">
        <v>45287</v>
      </c>
      <c r="B6701">
        <v>153.55999755859301</v>
      </c>
      <c r="C6701">
        <v>154.77999877929599</v>
      </c>
      <c r="D6701">
        <v>153.11999511718699</v>
      </c>
      <c r="E6701">
        <v>153.33999633789</v>
      </c>
      <c r="F6701">
        <v>153.33999633789</v>
      </c>
      <c r="G6701">
        <v>31434700</v>
      </c>
      <c r="H6701">
        <f t="shared" si="416"/>
        <v>2023</v>
      </c>
      <c r="I6701">
        <f t="shared" si="417"/>
        <v>12</v>
      </c>
      <c r="J6701" t="str">
        <f t="shared" si="418"/>
        <v>Dec</v>
      </c>
      <c r="K6701" t="str">
        <f t="shared" si="419"/>
        <v>Wed</v>
      </c>
    </row>
    <row r="6702" spans="1:11" x14ac:dyDescent="0.35">
      <c r="A6702" s="1">
        <v>45288</v>
      </c>
      <c r="B6702">
        <v>153.72000122070301</v>
      </c>
      <c r="C6702">
        <v>154.08000183105401</v>
      </c>
      <c r="D6702">
        <v>152.94999694824199</v>
      </c>
      <c r="E6702">
        <v>153.38000488281199</v>
      </c>
      <c r="F6702">
        <v>153.38000488281199</v>
      </c>
      <c r="G6702">
        <v>27057000</v>
      </c>
      <c r="H6702">
        <f t="shared" si="416"/>
        <v>2023</v>
      </c>
      <c r="I6702">
        <f t="shared" si="417"/>
        <v>12</v>
      </c>
      <c r="J6702" t="str">
        <f t="shared" si="418"/>
        <v>Dec</v>
      </c>
      <c r="K6702" t="str">
        <f t="shared" si="419"/>
        <v>Thu</v>
      </c>
    </row>
    <row r="6703" spans="1:11" x14ac:dyDescent="0.35">
      <c r="A6703" s="1">
        <v>45289</v>
      </c>
      <c r="B6703">
        <v>153.100006103515</v>
      </c>
      <c r="C6703">
        <v>153.88999938964801</v>
      </c>
      <c r="D6703">
        <v>151.02999877929599</v>
      </c>
      <c r="E6703">
        <v>151.94000244140599</v>
      </c>
      <c r="F6703">
        <v>151.94000244140599</v>
      </c>
      <c r="G6703">
        <v>39823200</v>
      </c>
      <c r="H6703">
        <f t="shared" si="416"/>
        <v>2023</v>
      </c>
      <c r="I6703">
        <f t="shared" si="417"/>
        <v>12</v>
      </c>
      <c r="J6703" t="str">
        <f t="shared" si="418"/>
        <v>Dec</v>
      </c>
      <c r="K6703" t="str">
        <f t="shared" si="419"/>
        <v>Fri</v>
      </c>
    </row>
    <row r="6704" spans="1:11" x14ac:dyDescent="0.35">
      <c r="A6704" s="1">
        <v>45293</v>
      </c>
      <c r="B6704">
        <v>151.53999328613199</v>
      </c>
      <c r="C6704">
        <v>152.38000488281199</v>
      </c>
      <c r="D6704">
        <v>148.38999938964801</v>
      </c>
      <c r="E6704">
        <v>149.92999267578099</v>
      </c>
      <c r="F6704">
        <v>149.92999267578099</v>
      </c>
      <c r="G6704">
        <v>47339400</v>
      </c>
      <c r="H6704">
        <f t="shared" si="416"/>
        <v>2024</v>
      </c>
      <c r="I6704">
        <f t="shared" si="417"/>
        <v>1</v>
      </c>
      <c r="J6704" t="str">
        <f t="shared" si="418"/>
        <v>Jan</v>
      </c>
      <c r="K6704" t="str">
        <f t="shared" si="419"/>
        <v>Tue</v>
      </c>
    </row>
    <row r="6705" spans="1:11" x14ac:dyDescent="0.35">
      <c r="A6705" s="1">
        <v>45294</v>
      </c>
      <c r="B6705">
        <v>149.19999694824199</v>
      </c>
      <c r="C6705">
        <v>151.05000305175699</v>
      </c>
      <c r="D6705">
        <v>148.33000183105401</v>
      </c>
      <c r="E6705">
        <v>148.47000122070301</v>
      </c>
      <c r="F6705">
        <v>148.47000122070301</v>
      </c>
      <c r="G6705">
        <v>49425500</v>
      </c>
      <c r="H6705">
        <f t="shared" si="416"/>
        <v>2024</v>
      </c>
      <c r="I6705">
        <f t="shared" si="417"/>
        <v>1</v>
      </c>
      <c r="J6705" t="str">
        <f t="shared" si="418"/>
        <v>Jan</v>
      </c>
      <c r="K6705" t="str">
        <f t="shared" si="419"/>
        <v>Wed</v>
      </c>
    </row>
    <row r="6706" spans="1:11" x14ac:dyDescent="0.35">
      <c r="A6706" s="1">
        <v>45295</v>
      </c>
      <c r="B6706">
        <v>145.58999633789</v>
      </c>
      <c r="C6706">
        <v>147.38000488281199</v>
      </c>
      <c r="D6706">
        <v>144.05000305175699</v>
      </c>
      <c r="E6706">
        <v>144.57000732421801</v>
      </c>
      <c r="F6706">
        <v>144.57000732421801</v>
      </c>
      <c r="G6706">
        <v>56039800</v>
      </c>
      <c r="H6706">
        <f t="shared" si="416"/>
        <v>2024</v>
      </c>
      <c r="I6706">
        <f t="shared" si="417"/>
        <v>1</v>
      </c>
      <c r="J6706" t="str">
        <f t="shared" si="418"/>
        <v>Jan</v>
      </c>
      <c r="K6706" t="str">
        <f t="shared" si="419"/>
        <v>Thu</v>
      </c>
    </row>
    <row r="6707" spans="1:11" x14ac:dyDescent="0.35">
      <c r="A6707" s="1">
        <v>45296</v>
      </c>
      <c r="B6707">
        <v>144.69000244140599</v>
      </c>
      <c r="C6707">
        <v>146.58999633789</v>
      </c>
      <c r="D6707">
        <v>144.52999877929599</v>
      </c>
      <c r="E6707">
        <v>145.24000549316401</v>
      </c>
      <c r="F6707">
        <v>145.24000549316401</v>
      </c>
      <c r="G6707">
        <v>45153100</v>
      </c>
      <c r="H6707">
        <f t="shared" si="416"/>
        <v>2024</v>
      </c>
      <c r="I6707">
        <f t="shared" si="417"/>
        <v>1</v>
      </c>
      <c r="J6707" t="str">
        <f t="shared" si="418"/>
        <v>Jan</v>
      </c>
      <c r="K6707" t="str">
        <f t="shared" si="419"/>
        <v>Fri</v>
      </c>
    </row>
    <row r="6708" spans="1:11" x14ac:dyDescent="0.35">
      <c r="A6708" s="1">
        <v>45299</v>
      </c>
      <c r="B6708">
        <v>146.74000549316401</v>
      </c>
      <c r="C6708">
        <v>149.39999389648401</v>
      </c>
      <c r="D6708">
        <v>146.14999389648401</v>
      </c>
      <c r="E6708">
        <v>149.100006103515</v>
      </c>
      <c r="F6708">
        <v>149.100006103515</v>
      </c>
      <c r="G6708">
        <v>46757100</v>
      </c>
      <c r="H6708">
        <f t="shared" si="416"/>
        <v>2024</v>
      </c>
      <c r="I6708">
        <f t="shared" si="417"/>
        <v>1</v>
      </c>
      <c r="J6708" t="str">
        <f t="shared" si="418"/>
        <v>Jan</v>
      </c>
      <c r="K6708" t="str">
        <f t="shared" si="419"/>
        <v>Mon</v>
      </c>
    </row>
    <row r="6709" spans="1:11" x14ac:dyDescent="0.35">
      <c r="A6709" s="1">
        <v>45300</v>
      </c>
      <c r="B6709">
        <v>148.33000183105401</v>
      </c>
      <c r="C6709">
        <v>151.71000671386699</v>
      </c>
      <c r="D6709">
        <v>148.21000671386699</v>
      </c>
      <c r="E6709">
        <v>151.36999511718699</v>
      </c>
      <c r="F6709">
        <v>151.36999511718699</v>
      </c>
      <c r="G6709">
        <v>43812600</v>
      </c>
      <c r="H6709">
        <f t="shared" si="416"/>
        <v>2024</v>
      </c>
      <c r="I6709">
        <f t="shared" si="417"/>
        <v>1</v>
      </c>
      <c r="J6709" t="str">
        <f t="shared" si="418"/>
        <v>Jan</v>
      </c>
      <c r="K6709" t="str">
        <f t="shared" si="419"/>
        <v>Tue</v>
      </c>
    </row>
    <row r="6710" spans="1:11" x14ac:dyDescent="0.35">
      <c r="A6710" s="1">
        <v>45301</v>
      </c>
      <c r="B6710">
        <v>152.05999755859301</v>
      </c>
      <c r="C6710">
        <v>154.419998168945</v>
      </c>
      <c r="D6710">
        <v>151.88000488281199</v>
      </c>
      <c r="E6710">
        <v>153.72999572753901</v>
      </c>
      <c r="F6710">
        <v>153.72999572753901</v>
      </c>
      <c r="G6710">
        <v>44421800</v>
      </c>
      <c r="H6710">
        <f t="shared" si="416"/>
        <v>2024</v>
      </c>
      <c r="I6710">
        <f t="shared" si="417"/>
        <v>1</v>
      </c>
      <c r="J6710" t="str">
        <f t="shared" si="418"/>
        <v>Jan</v>
      </c>
      <c r="K6710" t="str">
        <f t="shared" si="419"/>
        <v>Wed</v>
      </c>
    </row>
    <row r="6711" spans="1:11" x14ac:dyDescent="0.35">
      <c r="A6711" s="1">
        <v>45302</v>
      </c>
      <c r="B6711">
        <v>155.03999328613199</v>
      </c>
      <c r="C6711">
        <v>157.169998168945</v>
      </c>
      <c r="D6711">
        <v>153.11999511718699</v>
      </c>
      <c r="E6711">
        <v>155.17999267578099</v>
      </c>
      <c r="F6711">
        <v>155.17999267578099</v>
      </c>
      <c r="G6711">
        <v>49072700</v>
      </c>
      <c r="H6711">
        <f t="shared" si="416"/>
        <v>2024</v>
      </c>
      <c r="I6711">
        <f t="shared" si="417"/>
        <v>1</v>
      </c>
      <c r="J6711" t="str">
        <f t="shared" si="418"/>
        <v>Jan</v>
      </c>
      <c r="K6711" t="str">
        <f t="shared" si="419"/>
        <v>Thu</v>
      </c>
    </row>
    <row r="6712" spans="1:11" x14ac:dyDescent="0.35">
      <c r="A6712" s="1">
        <v>45303</v>
      </c>
      <c r="B6712">
        <v>155.38999938964801</v>
      </c>
      <c r="C6712">
        <v>156.19999694824199</v>
      </c>
      <c r="D6712">
        <v>154.009994506835</v>
      </c>
      <c r="E6712">
        <v>154.61999511718699</v>
      </c>
      <c r="F6712">
        <v>154.61999511718699</v>
      </c>
      <c r="G6712">
        <v>40484200</v>
      </c>
      <c r="H6712">
        <f t="shared" si="416"/>
        <v>2024</v>
      </c>
      <c r="I6712">
        <f t="shared" si="417"/>
        <v>1</v>
      </c>
      <c r="J6712" t="str">
        <f t="shared" si="418"/>
        <v>Jan</v>
      </c>
      <c r="K6712" t="str">
        <f t="shared" si="419"/>
        <v>Fri</v>
      </c>
    </row>
    <row r="6713" spans="1:11" x14ac:dyDescent="0.35">
      <c r="A6713" s="1">
        <v>45307</v>
      </c>
      <c r="B6713">
        <v>153.52999877929599</v>
      </c>
      <c r="C6713">
        <v>154.99000549316401</v>
      </c>
      <c r="D6713">
        <v>152.14999389648401</v>
      </c>
      <c r="E6713">
        <v>153.16000366210901</v>
      </c>
      <c r="F6713">
        <v>153.16000366210901</v>
      </c>
      <c r="G6713">
        <v>41384600</v>
      </c>
      <c r="H6713">
        <f t="shared" si="416"/>
        <v>2024</v>
      </c>
      <c r="I6713">
        <f t="shared" si="417"/>
        <v>1</v>
      </c>
      <c r="J6713" t="str">
        <f t="shared" si="418"/>
        <v>Jan</v>
      </c>
      <c r="K6713" t="str">
        <f t="shared" si="419"/>
        <v>Tue</v>
      </c>
    </row>
    <row r="6714" spans="1:11" x14ac:dyDescent="0.35">
      <c r="A6714" s="1">
        <v>45308</v>
      </c>
      <c r="B6714">
        <v>151.49000549316401</v>
      </c>
      <c r="C6714">
        <v>152.14999389648401</v>
      </c>
      <c r="D6714">
        <v>149.91000366210901</v>
      </c>
      <c r="E6714">
        <v>151.71000671386699</v>
      </c>
      <c r="F6714">
        <v>151.71000671386699</v>
      </c>
      <c r="G6714">
        <v>34953400</v>
      </c>
      <c r="H6714">
        <f t="shared" si="416"/>
        <v>2024</v>
      </c>
      <c r="I6714">
        <f t="shared" si="417"/>
        <v>1</v>
      </c>
      <c r="J6714" t="str">
        <f t="shared" si="418"/>
        <v>Jan</v>
      </c>
      <c r="K6714" t="str">
        <f t="shared" si="419"/>
        <v>Wed</v>
      </c>
    </row>
    <row r="6715" spans="1:11" x14ac:dyDescent="0.35">
      <c r="A6715" s="1">
        <v>45309</v>
      </c>
      <c r="B6715">
        <v>152.77000427246</v>
      </c>
      <c r="C6715">
        <v>153.77999877929599</v>
      </c>
      <c r="D6715">
        <v>151.82000732421801</v>
      </c>
      <c r="E6715">
        <v>153.5</v>
      </c>
      <c r="F6715">
        <v>153.5</v>
      </c>
      <c r="G6715">
        <v>37850200</v>
      </c>
      <c r="H6715">
        <f t="shared" si="416"/>
        <v>2024</v>
      </c>
      <c r="I6715">
        <f t="shared" si="417"/>
        <v>1</v>
      </c>
      <c r="J6715" t="str">
        <f t="shared" si="418"/>
        <v>Jan</v>
      </c>
      <c r="K6715" t="str">
        <f t="shared" si="419"/>
        <v>Thu</v>
      </c>
    </row>
    <row r="6716" spans="1:11" x14ac:dyDescent="0.35">
      <c r="A6716" s="1">
        <v>45310</v>
      </c>
      <c r="B6716">
        <v>153.83000183105401</v>
      </c>
      <c r="C6716">
        <v>155.759994506835</v>
      </c>
      <c r="D6716">
        <v>152.74000549316401</v>
      </c>
      <c r="E6716">
        <v>155.33999633789</v>
      </c>
      <c r="F6716">
        <v>155.33999633789</v>
      </c>
      <c r="G6716">
        <v>51651600</v>
      </c>
      <c r="H6716">
        <f t="shared" si="416"/>
        <v>2024</v>
      </c>
      <c r="I6716">
        <f t="shared" si="417"/>
        <v>1</v>
      </c>
      <c r="J6716" t="str">
        <f t="shared" si="418"/>
        <v>Jan</v>
      </c>
      <c r="K6716" t="str">
        <f t="shared" si="419"/>
        <v>Fri</v>
      </c>
    </row>
    <row r="6717" spans="1:11" x14ac:dyDescent="0.35">
      <c r="A6717" s="1">
        <v>45313</v>
      </c>
      <c r="B6717">
        <v>156.88999938964801</v>
      </c>
      <c r="C6717">
        <v>157.05000305175699</v>
      </c>
      <c r="D6717">
        <v>153.89999389648401</v>
      </c>
      <c r="E6717">
        <v>154.77999877929599</v>
      </c>
      <c r="F6717">
        <v>154.77999877929599</v>
      </c>
      <c r="G6717">
        <v>43687500</v>
      </c>
      <c r="H6717">
        <f t="shared" si="416"/>
        <v>2024</v>
      </c>
      <c r="I6717">
        <f t="shared" si="417"/>
        <v>1</v>
      </c>
      <c r="J6717" t="str">
        <f t="shared" si="418"/>
        <v>Jan</v>
      </c>
      <c r="K6717" t="str">
        <f t="shared" si="419"/>
        <v>Mon</v>
      </c>
    </row>
    <row r="6718" spans="1:11" x14ac:dyDescent="0.35">
      <c r="A6718" s="1">
        <v>45314</v>
      </c>
      <c r="B6718">
        <v>154.850006103515</v>
      </c>
      <c r="C6718">
        <v>156.21000671386699</v>
      </c>
      <c r="D6718">
        <v>153.92999267578099</v>
      </c>
      <c r="E6718">
        <v>156.02000427246</v>
      </c>
      <c r="F6718">
        <v>156.02000427246</v>
      </c>
      <c r="G6718">
        <v>37986000</v>
      </c>
      <c r="H6718">
        <f t="shared" si="416"/>
        <v>2024</v>
      </c>
      <c r="I6718">
        <f t="shared" si="417"/>
        <v>1</v>
      </c>
      <c r="J6718" t="str">
        <f t="shared" si="418"/>
        <v>Jan</v>
      </c>
      <c r="K6718" t="str">
        <f t="shared" si="419"/>
        <v>Tue</v>
      </c>
    </row>
    <row r="6719" spans="1:11" x14ac:dyDescent="0.35">
      <c r="A6719" s="1">
        <v>45315</v>
      </c>
      <c r="B6719">
        <v>157.80000305175699</v>
      </c>
      <c r="C6719">
        <v>158.509994506835</v>
      </c>
      <c r="D6719">
        <v>156.47999572753901</v>
      </c>
      <c r="E6719">
        <v>156.86999511718699</v>
      </c>
      <c r="F6719">
        <v>156.86999511718699</v>
      </c>
      <c r="G6719">
        <v>48547300</v>
      </c>
      <c r="H6719">
        <f t="shared" si="416"/>
        <v>2024</v>
      </c>
      <c r="I6719">
        <f t="shared" si="417"/>
        <v>1</v>
      </c>
      <c r="J6719" t="str">
        <f t="shared" si="418"/>
        <v>Jan</v>
      </c>
      <c r="K6719" t="str">
        <f t="shared" si="419"/>
        <v>Wed</v>
      </c>
    </row>
    <row r="6720" spans="1:11" x14ac:dyDescent="0.35">
      <c r="A6720" s="1">
        <v>45316</v>
      </c>
      <c r="B6720">
        <v>156.94999694824199</v>
      </c>
      <c r="C6720">
        <v>158.509994506835</v>
      </c>
      <c r="D6720">
        <v>154.55000305175699</v>
      </c>
      <c r="E6720">
        <v>157.75</v>
      </c>
      <c r="F6720">
        <v>157.75</v>
      </c>
      <c r="G6720">
        <v>43638600</v>
      </c>
      <c r="H6720">
        <f t="shared" si="416"/>
        <v>2024</v>
      </c>
      <c r="I6720">
        <f t="shared" si="417"/>
        <v>1</v>
      </c>
      <c r="J6720" t="str">
        <f t="shared" si="418"/>
        <v>Jan</v>
      </c>
      <c r="K6720" t="str">
        <f t="shared" si="419"/>
        <v>Thu</v>
      </c>
    </row>
    <row r="6721" spans="1:11" x14ac:dyDescent="0.35">
      <c r="A6721" s="1">
        <v>45317</v>
      </c>
      <c r="B6721">
        <v>158.419998168945</v>
      </c>
      <c r="C6721">
        <v>160.72000122070301</v>
      </c>
      <c r="D6721">
        <v>157.91000366210901</v>
      </c>
      <c r="E6721">
        <v>159.11999511718699</v>
      </c>
      <c r="F6721">
        <v>159.11999511718699</v>
      </c>
      <c r="G6721">
        <v>51047400</v>
      </c>
      <c r="H6721">
        <f t="shared" si="416"/>
        <v>2024</v>
      </c>
      <c r="I6721">
        <f t="shared" si="417"/>
        <v>1</v>
      </c>
      <c r="J6721" t="str">
        <f t="shared" si="418"/>
        <v>Jan</v>
      </c>
      <c r="K6721" t="str">
        <f t="shared" si="419"/>
        <v>Fri</v>
      </c>
    </row>
    <row r="6722" spans="1:11" x14ac:dyDescent="0.35">
      <c r="A6722" s="1">
        <v>45320</v>
      </c>
      <c r="B6722">
        <v>159.33999633789</v>
      </c>
      <c r="C6722">
        <v>161.28999328613199</v>
      </c>
      <c r="D6722">
        <v>158.89999389648401</v>
      </c>
      <c r="E6722">
        <v>161.259994506835</v>
      </c>
      <c r="F6722">
        <v>161.259994506835</v>
      </c>
      <c r="G6722">
        <v>45270400</v>
      </c>
      <c r="H6722">
        <f t="shared" si="416"/>
        <v>2024</v>
      </c>
      <c r="I6722">
        <f t="shared" si="417"/>
        <v>1</v>
      </c>
      <c r="J6722" t="str">
        <f t="shared" si="418"/>
        <v>Jan</v>
      </c>
      <c r="K6722" t="str">
        <f t="shared" si="419"/>
        <v>Mon</v>
      </c>
    </row>
    <row r="6723" spans="1:11" x14ac:dyDescent="0.35">
      <c r="A6723" s="1">
        <v>45321</v>
      </c>
      <c r="B6723">
        <v>160.69999694824199</v>
      </c>
      <c r="C6723">
        <v>161.72999572753901</v>
      </c>
      <c r="D6723">
        <v>158.49000549316401</v>
      </c>
      <c r="E6723">
        <v>159</v>
      </c>
      <c r="F6723">
        <v>159</v>
      </c>
      <c r="G6723">
        <v>45207400</v>
      </c>
      <c r="H6723">
        <f t="shared" si="416"/>
        <v>2024</v>
      </c>
      <c r="I6723">
        <f t="shared" si="417"/>
        <v>1</v>
      </c>
      <c r="J6723" t="str">
        <f t="shared" si="418"/>
        <v>Jan</v>
      </c>
      <c r="K6723" t="str">
        <f t="shared" si="419"/>
        <v>Tue</v>
      </c>
    </row>
    <row r="6724" spans="1:11" x14ac:dyDescent="0.35">
      <c r="A6724" s="1">
        <v>45322</v>
      </c>
      <c r="B6724">
        <v>157</v>
      </c>
      <c r="C6724">
        <v>159.009994506835</v>
      </c>
      <c r="D6724">
        <v>154.80999755859301</v>
      </c>
      <c r="E6724">
        <v>155.19999694824199</v>
      </c>
      <c r="F6724">
        <v>155.19999694824199</v>
      </c>
      <c r="G6724">
        <v>50284400</v>
      </c>
      <c r="H6724">
        <f t="shared" ref="H6724:H6787" si="420">YEAR($A6724)</f>
        <v>2024</v>
      </c>
      <c r="I6724">
        <f t="shared" ref="I6724:I6787" si="421">MONTH($A6724)</f>
        <v>1</v>
      </c>
      <c r="J6724" t="str">
        <f t="shared" ref="J6724:J6787" si="422">TEXT($A6724,"mmm")</f>
        <v>Jan</v>
      </c>
      <c r="K6724" t="str">
        <f t="shared" ref="K6724:K6787" si="423">TEXT($A6724,"ddd")</f>
        <v>Wed</v>
      </c>
    </row>
    <row r="6725" spans="1:11" x14ac:dyDescent="0.35">
      <c r="A6725" s="1">
        <v>45323</v>
      </c>
      <c r="B6725">
        <v>155.86999511718699</v>
      </c>
      <c r="C6725">
        <v>159.759994506835</v>
      </c>
      <c r="D6725">
        <v>155.61999511718699</v>
      </c>
      <c r="E6725">
        <v>159.27999877929599</v>
      </c>
      <c r="F6725">
        <v>159.27999877929599</v>
      </c>
      <c r="G6725">
        <v>76542400</v>
      </c>
      <c r="H6725">
        <f t="shared" si="420"/>
        <v>2024</v>
      </c>
      <c r="I6725">
        <f t="shared" si="421"/>
        <v>2</v>
      </c>
      <c r="J6725" t="str">
        <f t="shared" si="422"/>
        <v>Feb</v>
      </c>
      <c r="K6725" t="str">
        <f t="shared" si="423"/>
        <v>Thu</v>
      </c>
    </row>
    <row r="6726" spans="1:11" x14ac:dyDescent="0.35">
      <c r="A6726" s="1">
        <v>45324</v>
      </c>
      <c r="B6726">
        <v>169.19000244140599</v>
      </c>
      <c r="C6726">
        <v>172.5</v>
      </c>
      <c r="D6726">
        <v>167.33000183105401</v>
      </c>
      <c r="E6726">
        <v>171.80999755859301</v>
      </c>
      <c r="F6726">
        <v>171.80999755859301</v>
      </c>
      <c r="G6726">
        <v>117218300</v>
      </c>
      <c r="H6726">
        <f t="shared" si="420"/>
        <v>2024</v>
      </c>
      <c r="I6726">
        <f t="shared" si="421"/>
        <v>2</v>
      </c>
      <c r="J6726" t="str">
        <f t="shared" si="422"/>
        <v>Feb</v>
      </c>
      <c r="K6726" t="str">
        <f t="shared" si="423"/>
        <v>Fri</v>
      </c>
    </row>
    <row r="6727" spans="1:11" x14ac:dyDescent="0.35">
      <c r="A6727" s="1">
        <v>45327</v>
      </c>
      <c r="B6727">
        <v>170.19999694824199</v>
      </c>
      <c r="C6727">
        <v>170.55000305175699</v>
      </c>
      <c r="D6727">
        <v>167.69999694824199</v>
      </c>
      <c r="E6727">
        <v>170.30999755859301</v>
      </c>
      <c r="F6727">
        <v>170.30999755859301</v>
      </c>
      <c r="G6727">
        <v>55081300</v>
      </c>
      <c r="H6727">
        <f t="shared" si="420"/>
        <v>2024</v>
      </c>
      <c r="I6727">
        <f t="shared" si="421"/>
        <v>2</v>
      </c>
      <c r="J6727" t="str">
        <f t="shared" si="422"/>
        <v>Feb</v>
      </c>
      <c r="K6727" t="str">
        <f t="shared" si="423"/>
        <v>Mon</v>
      </c>
    </row>
    <row r="6728" spans="1:11" x14ac:dyDescent="0.35">
      <c r="A6728" s="1">
        <v>45328</v>
      </c>
      <c r="B6728">
        <v>169.38999938964801</v>
      </c>
      <c r="C6728">
        <v>170.71000671386699</v>
      </c>
      <c r="D6728">
        <v>167.64999389648401</v>
      </c>
      <c r="E6728">
        <v>169.14999389648401</v>
      </c>
      <c r="F6728">
        <v>169.14999389648401</v>
      </c>
      <c r="G6728">
        <v>42505500</v>
      </c>
      <c r="H6728">
        <f t="shared" si="420"/>
        <v>2024</v>
      </c>
      <c r="I6728">
        <f t="shared" si="421"/>
        <v>2</v>
      </c>
      <c r="J6728" t="str">
        <f t="shared" si="422"/>
        <v>Feb</v>
      </c>
      <c r="K6728" t="str">
        <f t="shared" si="423"/>
        <v>Tue</v>
      </c>
    </row>
    <row r="6729" spans="1:11" x14ac:dyDescent="0.35">
      <c r="A6729" s="1">
        <v>45329</v>
      </c>
      <c r="B6729">
        <v>169.47999572753901</v>
      </c>
      <c r="C6729">
        <v>170.88000488281199</v>
      </c>
      <c r="D6729">
        <v>168.94000244140599</v>
      </c>
      <c r="E6729">
        <v>170.52999877929599</v>
      </c>
      <c r="F6729">
        <v>170.52999877929599</v>
      </c>
      <c r="G6729">
        <v>47174100</v>
      </c>
      <c r="H6729">
        <f t="shared" si="420"/>
        <v>2024</v>
      </c>
      <c r="I6729">
        <f t="shared" si="421"/>
        <v>2</v>
      </c>
      <c r="J6729" t="str">
        <f t="shared" si="422"/>
        <v>Feb</v>
      </c>
      <c r="K6729" t="str">
        <f t="shared" si="423"/>
        <v>Wed</v>
      </c>
    </row>
    <row r="6730" spans="1:11" x14ac:dyDescent="0.35">
      <c r="A6730" s="1">
        <v>45330</v>
      </c>
      <c r="B6730">
        <v>169.64999389648401</v>
      </c>
      <c r="C6730">
        <v>171.42999267578099</v>
      </c>
      <c r="D6730">
        <v>168.88000488281199</v>
      </c>
      <c r="E6730">
        <v>169.83999633789</v>
      </c>
      <c r="F6730">
        <v>169.83999633789</v>
      </c>
      <c r="G6730">
        <v>42316500</v>
      </c>
      <c r="H6730">
        <f t="shared" si="420"/>
        <v>2024</v>
      </c>
      <c r="I6730">
        <f t="shared" si="421"/>
        <v>2</v>
      </c>
      <c r="J6730" t="str">
        <f t="shared" si="422"/>
        <v>Feb</v>
      </c>
      <c r="K6730" t="str">
        <f t="shared" si="423"/>
        <v>Thu</v>
      </c>
    </row>
    <row r="6731" spans="1:11" x14ac:dyDescent="0.35">
      <c r="A6731" s="1">
        <v>45331</v>
      </c>
      <c r="B6731">
        <v>170.89999389648401</v>
      </c>
      <c r="C6731">
        <v>175</v>
      </c>
      <c r="D6731">
        <v>170.58000183105401</v>
      </c>
      <c r="E6731">
        <v>174.44999694824199</v>
      </c>
      <c r="F6731">
        <v>174.44999694824199</v>
      </c>
      <c r="G6731">
        <v>56986000</v>
      </c>
      <c r="H6731">
        <f t="shared" si="420"/>
        <v>2024</v>
      </c>
      <c r="I6731">
        <f t="shared" si="421"/>
        <v>2</v>
      </c>
      <c r="J6731" t="str">
        <f t="shared" si="422"/>
        <v>Feb</v>
      </c>
      <c r="K6731" t="str">
        <f t="shared" si="423"/>
        <v>Fri</v>
      </c>
    </row>
    <row r="6732" spans="1:11" x14ac:dyDescent="0.35">
      <c r="A6732" s="1">
        <v>45334</v>
      </c>
      <c r="B6732">
        <v>174.80000305175699</v>
      </c>
      <c r="C6732">
        <v>175.38999938964801</v>
      </c>
      <c r="D6732">
        <v>171.53999328613199</v>
      </c>
      <c r="E6732">
        <v>172.33999633789</v>
      </c>
      <c r="F6732">
        <v>172.33999633789</v>
      </c>
      <c r="G6732">
        <v>51050400</v>
      </c>
      <c r="H6732">
        <f t="shared" si="420"/>
        <v>2024</v>
      </c>
      <c r="I6732">
        <f t="shared" si="421"/>
        <v>2</v>
      </c>
      <c r="J6732" t="str">
        <f t="shared" si="422"/>
        <v>Feb</v>
      </c>
      <c r="K6732" t="str">
        <f t="shared" si="423"/>
        <v>Mon</v>
      </c>
    </row>
    <row r="6733" spans="1:11" x14ac:dyDescent="0.35">
      <c r="A6733" s="1">
        <v>45335</v>
      </c>
      <c r="B6733">
        <v>167.72999572753901</v>
      </c>
      <c r="C6733">
        <v>170.94999694824199</v>
      </c>
      <c r="D6733">
        <v>165.75</v>
      </c>
      <c r="E6733">
        <v>168.63999938964801</v>
      </c>
      <c r="F6733">
        <v>168.63999938964801</v>
      </c>
      <c r="G6733">
        <v>56345100</v>
      </c>
      <c r="H6733">
        <f t="shared" si="420"/>
        <v>2024</v>
      </c>
      <c r="I6733">
        <f t="shared" si="421"/>
        <v>2</v>
      </c>
      <c r="J6733" t="str">
        <f t="shared" si="422"/>
        <v>Feb</v>
      </c>
      <c r="K6733" t="str">
        <f t="shared" si="423"/>
        <v>Tue</v>
      </c>
    </row>
    <row r="6734" spans="1:11" x14ac:dyDescent="0.35">
      <c r="A6734" s="1">
        <v>45336</v>
      </c>
      <c r="B6734">
        <v>169.21000671386699</v>
      </c>
      <c r="C6734">
        <v>171.21000671386699</v>
      </c>
      <c r="D6734">
        <v>168.27999877929599</v>
      </c>
      <c r="E6734">
        <v>170.97999572753901</v>
      </c>
      <c r="F6734">
        <v>170.97999572753901</v>
      </c>
      <c r="G6734">
        <v>42815500</v>
      </c>
      <c r="H6734">
        <f t="shared" si="420"/>
        <v>2024</v>
      </c>
      <c r="I6734">
        <f t="shared" si="421"/>
        <v>2</v>
      </c>
      <c r="J6734" t="str">
        <f t="shared" si="422"/>
        <v>Feb</v>
      </c>
      <c r="K6734" t="str">
        <f t="shared" si="423"/>
        <v>Wed</v>
      </c>
    </row>
    <row r="6735" spans="1:11" x14ac:dyDescent="0.35">
      <c r="A6735" s="1">
        <v>45337</v>
      </c>
      <c r="B6735">
        <v>170.58000183105401</v>
      </c>
      <c r="C6735">
        <v>171.169998168945</v>
      </c>
      <c r="D6735">
        <v>167.58999633789</v>
      </c>
      <c r="E6735">
        <v>169.80000305175699</v>
      </c>
      <c r="F6735">
        <v>169.80000305175699</v>
      </c>
      <c r="G6735">
        <v>49855200</v>
      </c>
      <c r="H6735">
        <f t="shared" si="420"/>
        <v>2024</v>
      </c>
      <c r="I6735">
        <f t="shared" si="421"/>
        <v>2</v>
      </c>
      <c r="J6735" t="str">
        <f t="shared" si="422"/>
        <v>Feb</v>
      </c>
      <c r="K6735" t="str">
        <f t="shared" si="423"/>
        <v>Thu</v>
      </c>
    </row>
    <row r="6736" spans="1:11" x14ac:dyDescent="0.35">
      <c r="A6736" s="1">
        <v>45338</v>
      </c>
      <c r="B6736">
        <v>168.74000549316401</v>
      </c>
      <c r="C6736">
        <v>170.419998168945</v>
      </c>
      <c r="D6736">
        <v>167.169998168945</v>
      </c>
      <c r="E6736">
        <v>169.509994506835</v>
      </c>
      <c r="F6736">
        <v>169.509994506835</v>
      </c>
      <c r="G6736">
        <v>48107700</v>
      </c>
      <c r="H6736">
        <f t="shared" si="420"/>
        <v>2024</v>
      </c>
      <c r="I6736">
        <f t="shared" si="421"/>
        <v>2</v>
      </c>
      <c r="J6736" t="str">
        <f t="shared" si="422"/>
        <v>Feb</v>
      </c>
      <c r="K6736" t="str">
        <f t="shared" si="423"/>
        <v>Fri</v>
      </c>
    </row>
    <row r="6737" spans="1:11" x14ac:dyDescent="0.35">
      <c r="A6737" s="1">
        <v>45342</v>
      </c>
      <c r="B6737">
        <v>167.83000183105401</v>
      </c>
      <c r="C6737">
        <v>168.71000671386699</v>
      </c>
      <c r="D6737">
        <v>165.74000549316401</v>
      </c>
      <c r="E6737">
        <v>167.08000183105401</v>
      </c>
      <c r="F6737">
        <v>167.08000183105401</v>
      </c>
      <c r="G6737">
        <v>41980300</v>
      </c>
      <c r="H6737">
        <f t="shared" si="420"/>
        <v>2024</v>
      </c>
      <c r="I6737">
        <f t="shared" si="421"/>
        <v>2</v>
      </c>
      <c r="J6737" t="str">
        <f t="shared" si="422"/>
        <v>Feb</v>
      </c>
      <c r="K6737" t="str">
        <f t="shared" si="423"/>
        <v>Tue</v>
      </c>
    </row>
    <row r="6738" spans="1:11" x14ac:dyDescent="0.35">
      <c r="A6738" s="1">
        <v>45343</v>
      </c>
      <c r="B6738">
        <v>168.94000244140599</v>
      </c>
      <c r="C6738">
        <v>170.22999572753901</v>
      </c>
      <c r="D6738">
        <v>167.13999938964801</v>
      </c>
      <c r="E6738">
        <v>168.58999633789</v>
      </c>
      <c r="F6738">
        <v>168.58999633789</v>
      </c>
      <c r="G6738">
        <v>44420100</v>
      </c>
      <c r="H6738">
        <f t="shared" si="420"/>
        <v>2024</v>
      </c>
      <c r="I6738">
        <f t="shared" si="421"/>
        <v>2</v>
      </c>
      <c r="J6738" t="str">
        <f t="shared" si="422"/>
        <v>Feb</v>
      </c>
      <c r="K6738" t="str">
        <f t="shared" si="423"/>
        <v>Wed</v>
      </c>
    </row>
    <row r="6739" spans="1:11" x14ac:dyDescent="0.35">
      <c r="A6739" s="1">
        <v>45344</v>
      </c>
      <c r="B6739">
        <v>173.100006103515</v>
      </c>
      <c r="C6739">
        <v>174.80000305175699</v>
      </c>
      <c r="D6739">
        <v>171.77000427246</v>
      </c>
      <c r="E6739">
        <v>174.58000183105401</v>
      </c>
      <c r="F6739">
        <v>174.58000183105401</v>
      </c>
      <c r="G6739">
        <v>55392400</v>
      </c>
      <c r="H6739">
        <f t="shared" si="420"/>
        <v>2024</v>
      </c>
      <c r="I6739">
        <f t="shared" si="421"/>
        <v>2</v>
      </c>
      <c r="J6739" t="str">
        <f t="shared" si="422"/>
        <v>Feb</v>
      </c>
      <c r="K6739" t="str">
        <f t="shared" si="423"/>
        <v>Thu</v>
      </c>
    </row>
    <row r="6740" spans="1:11" x14ac:dyDescent="0.35">
      <c r="A6740" s="1">
        <v>45345</v>
      </c>
      <c r="B6740">
        <v>174.27999877929599</v>
      </c>
      <c r="C6740">
        <v>175.75</v>
      </c>
      <c r="D6740">
        <v>173.69999694824199</v>
      </c>
      <c r="E6740">
        <v>174.99000549316401</v>
      </c>
      <c r="F6740">
        <v>174.99000549316401</v>
      </c>
      <c r="G6740">
        <v>59715200</v>
      </c>
      <c r="H6740">
        <f t="shared" si="420"/>
        <v>2024</v>
      </c>
      <c r="I6740">
        <f t="shared" si="421"/>
        <v>2</v>
      </c>
      <c r="J6740" t="str">
        <f t="shared" si="422"/>
        <v>Feb</v>
      </c>
      <c r="K6740" t="str">
        <f t="shared" si="423"/>
        <v>Fri</v>
      </c>
    </row>
    <row r="6741" spans="1:11" x14ac:dyDescent="0.35">
      <c r="A6741" s="1">
        <v>45348</v>
      </c>
      <c r="B6741">
        <v>175.69999694824199</v>
      </c>
      <c r="C6741">
        <v>176.36999511718699</v>
      </c>
      <c r="D6741">
        <v>174.259994506835</v>
      </c>
      <c r="E6741">
        <v>174.72999572753901</v>
      </c>
      <c r="F6741">
        <v>174.72999572753901</v>
      </c>
      <c r="G6741">
        <v>44368600</v>
      </c>
      <c r="H6741">
        <f t="shared" si="420"/>
        <v>2024</v>
      </c>
      <c r="I6741">
        <f t="shared" si="421"/>
        <v>2</v>
      </c>
      <c r="J6741" t="str">
        <f t="shared" si="422"/>
        <v>Feb</v>
      </c>
      <c r="K6741" t="str">
        <f t="shared" si="423"/>
        <v>Mon</v>
      </c>
    </row>
    <row r="6742" spans="1:11" x14ac:dyDescent="0.35">
      <c r="A6742" s="1">
        <v>45349</v>
      </c>
      <c r="B6742">
        <v>174.08000183105401</v>
      </c>
      <c r="C6742">
        <v>174.61999511718699</v>
      </c>
      <c r="D6742">
        <v>172.86000061035099</v>
      </c>
      <c r="E6742">
        <v>173.53999328613199</v>
      </c>
      <c r="F6742">
        <v>173.53999328613199</v>
      </c>
      <c r="G6742">
        <v>31141700</v>
      </c>
      <c r="H6742">
        <f t="shared" si="420"/>
        <v>2024</v>
      </c>
      <c r="I6742">
        <f t="shared" si="421"/>
        <v>2</v>
      </c>
      <c r="J6742" t="str">
        <f t="shared" si="422"/>
        <v>Feb</v>
      </c>
      <c r="K6742" t="str">
        <f t="shared" si="423"/>
        <v>Tue</v>
      </c>
    </row>
    <row r="6743" spans="1:11" x14ac:dyDescent="0.35">
      <c r="A6743" s="1">
        <v>45350</v>
      </c>
      <c r="B6743">
        <v>172.44000244140599</v>
      </c>
      <c r="C6743">
        <v>174.05000305175699</v>
      </c>
      <c r="D6743">
        <v>172.27000427246</v>
      </c>
      <c r="E6743">
        <v>173.16000366210901</v>
      </c>
      <c r="F6743">
        <v>173.16000366210901</v>
      </c>
      <c r="G6743">
        <v>28180500</v>
      </c>
      <c r="H6743">
        <f t="shared" si="420"/>
        <v>2024</v>
      </c>
      <c r="I6743">
        <f t="shared" si="421"/>
        <v>2</v>
      </c>
      <c r="J6743" t="str">
        <f t="shared" si="422"/>
        <v>Feb</v>
      </c>
      <c r="K6743" t="str">
        <f t="shared" si="423"/>
        <v>Wed</v>
      </c>
    </row>
    <row r="6744" spans="1:11" x14ac:dyDescent="0.35">
      <c r="A6744" s="1">
        <v>45351</v>
      </c>
      <c r="B6744">
        <v>173.009994506835</v>
      </c>
      <c r="C6744">
        <v>177.22000122070301</v>
      </c>
      <c r="D6744">
        <v>172.850006103515</v>
      </c>
      <c r="E6744">
        <v>176.759994506835</v>
      </c>
      <c r="F6744">
        <v>176.759994506835</v>
      </c>
      <c r="G6744">
        <v>53805400</v>
      </c>
      <c r="H6744">
        <f t="shared" si="420"/>
        <v>2024</v>
      </c>
      <c r="I6744">
        <f t="shared" si="421"/>
        <v>2</v>
      </c>
      <c r="J6744" t="str">
        <f t="shared" si="422"/>
        <v>Feb</v>
      </c>
      <c r="K6744" t="str">
        <f t="shared" si="423"/>
        <v>Thu</v>
      </c>
    </row>
    <row r="6745" spans="1:11" x14ac:dyDescent="0.35">
      <c r="A6745" s="1">
        <v>45352</v>
      </c>
      <c r="B6745">
        <v>176.75</v>
      </c>
      <c r="C6745">
        <v>178.72999572753901</v>
      </c>
      <c r="D6745">
        <v>176.07000732421801</v>
      </c>
      <c r="E6745">
        <v>178.22000122070301</v>
      </c>
      <c r="F6745">
        <v>178.22000122070301</v>
      </c>
      <c r="G6745">
        <v>31981200</v>
      </c>
      <c r="H6745">
        <f t="shared" si="420"/>
        <v>2024</v>
      </c>
      <c r="I6745">
        <f t="shared" si="421"/>
        <v>3</v>
      </c>
      <c r="J6745" t="str">
        <f t="shared" si="422"/>
        <v>Mar</v>
      </c>
      <c r="K6745" t="str">
        <f t="shared" si="423"/>
        <v>Fri</v>
      </c>
    </row>
    <row r="6746" spans="1:11" x14ac:dyDescent="0.35">
      <c r="A6746" s="1">
        <v>45355</v>
      </c>
      <c r="B6746">
        <v>177.52999877929599</v>
      </c>
      <c r="C6746">
        <v>180.13999938964801</v>
      </c>
      <c r="D6746">
        <v>177.49000549316401</v>
      </c>
      <c r="E6746">
        <v>177.58000183105401</v>
      </c>
      <c r="F6746">
        <v>177.58000183105401</v>
      </c>
      <c r="G6746">
        <v>37381500</v>
      </c>
      <c r="H6746">
        <f t="shared" si="420"/>
        <v>2024</v>
      </c>
      <c r="I6746">
        <f t="shared" si="421"/>
        <v>3</v>
      </c>
      <c r="J6746" t="str">
        <f t="shared" si="422"/>
        <v>Mar</v>
      </c>
      <c r="K6746" t="str">
        <f t="shared" si="423"/>
        <v>Mon</v>
      </c>
    </row>
    <row r="6747" spans="1:11" x14ac:dyDescent="0.35">
      <c r="A6747" s="1">
        <v>45356</v>
      </c>
      <c r="B6747">
        <v>176.92999267578099</v>
      </c>
      <c r="C6747">
        <v>176.92999267578099</v>
      </c>
      <c r="D6747">
        <v>173.30000305175699</v>
      </c>
      <c r="E6747">
        <v>174.11999511718699</v>
      </c>
      <c r="F6747">
        <v>174.11999511718699</v>
      </c>
      <c r="G6747">
        <v>37228300</v>
      </c>
      <c r="H6747">
        <f t="shared" si="420"/>
        <v>2024</v>
      </c>
      <c r="I6747">
        <f t="shared" si="421"/>
        <v>3</v>
      </c>
      <c r="J6747" t="str">
        <f t="shared" si="422"/>
        <v>Mar</v>
      </c>
      <c r="K6747" t="str">
        <f t="shared" si="423"/>
        <v>Tue</v>
      </c>
    </row>
    <row r="6748" spans="1:11" x14ac:dyDescent="0.35">
      <c r="A6748" s="1">
        <v>45357</v>
      </c>
      <c r="B6748">
        <v>175.53999328613199</v>
      </c>
      <c r="C6748">
        <v>176.46000671386699</v>
      </c>
      <c r="D6748">
        <v>173.259994506835</v>
      </c>
      <c r="E6748">
        <v>173.509994506835</v>
      </c>
      <c r="F6748">
        <v>173.509994506835</v>
      </c>
      <c r="G6748">
        <v>32090900</v>
      </c>
      <c r="H6748">
        <f t="shared" si="420"/>
        <v>2024</v>
      </c>
      <c r="I6748">
        <f t="shared" si="421"/>
        <v>3</v>
      </c>
      <c r="J6748" t="str">
        <f t="shared" si="422"/>
        <v>Mar</v>
      </c>
      <c r="K6748" t="str">
        <f t="shared" si="423"/>
        <v>Wed</v>
      </c>
    </row>
    <row r="6749" spans="1:11" x14ac:dyDescent="0.35">
      <c r="A6749" s="1">
        <v>45358</v>
      </c>
      <c r="B6749">
        <v>174.83000183105401</v>
      </c>
      <c r="C6749">
        <v>177.99000549316401</v>
      </c>
      <c r="D6749">
        <v>173.72000122070301</v>
      </c>
      <c r="E6749">
        <v>176.82000732421801</v>
      </c>
      <c r="F6749">
        <v>176.82000732421801</v>
      </c>
      <c r="G6749">
        <v>34063300</v>
      </c>
      <c r="H6749">
        <f t="shared" si="420"/>
        <v>2024</v>
      </c>
      <c r="I6749">
        <f t="shared" si="421"/>
        <v>3</v>
      </c>
      <c r="J6749" t="str">
        <f t="shared" si="422"/>
        <v>Mar</v>
      </c>
      <c r="K6749" t="str">
        <f t="shared" si="423"/>
        <v>Thu</v>
      </c>
    </row>
    <row r="6750" spans="1:11" x14ac:dyDescent="0.35">
      <c r="A6750" s="1">
        <v>45359</v>
      </c>
      <c r="B6750">
        <v>176.44000244140599</v>
      </c>
      <c r="C6750">
        <v>178.78999328613199</v>
      </c>
      <c r="D6750">
        <v>174.33000183105401</v>
      </c>
      <c r="E6750">
        <v>175.350006103515</v>
      </c>
      <c r="F6750">
        <v>175.350006103515</v>
      </c>
      <c r="G6750">
        <v>37893200</v>
      </c>
      <c r="H6750">
        <f t="shared" si="420"/>
        <v>2024</v>
      </c>
      <c r="I6750">
        <f t="shared" si="421"/>
        <v>3</v>
      </c>
      <c r="J6750" t="str">
        <f t="shared" si="422"/>
        <v>Mar</v>
      </c>
      <c r="K6750" t="str">
        <f t="shared" si="423"/>
        <v>Fri</v>
      </c>
    </row>
    <row r="6751" spans="1:11" x14ac:dyDescent="0.35">
      <c r="A6751" s="1">
        <v>45362</v>
      </c>
      <c r="B6751">
        <v>174.30999755859301</v>
      </c>
      <c r="C6751">
        <v>174.47000122070301</v>
      </c>
      <c r="D6751">
        <v>171.47000122070301</v>
      </c>
      <c r="E6751">
        <v>171.96000671386699</v>
      </c>
      <c r="F6751">
        <v>171.96000671386699</v>
      </c>
      <c r="G6751">
        <v>28484800</v>
      </c>
      <c r="H6751">
        <f t="shared" si="420"/>
        <v>2024</v>
      </c>
      <c r="I6751">
        <f t="shared" si="421"/>
        <v>3</v>
      </c>
      <c r="J6751" t="str">
        <f t="shared" si="422"/>
        <v>Mar</v>
      </c>
      <c r="K6751" t="str">
        <f t="shared" si="423"/>
        <v>Mon</v>
      </c>
    </row>
    <row r="6752" spans="1:11" x14ac:dyDescent="0.35">
      <c r="A6752" s="1">
        <v>45363</v>
      </c>
      <c r="B6752">
        <v>173.5</v>
      </c>
      <c r="C6752">
        <v>176.759994506835</v>
      </c>
      <c r="D6752">
        <v>171.97999572753901</v>
      </c>
      <c r="E6752">
        <v>175.38999938964801</v>
      </c>
      <c r="F6752">
        <v>175.38999938964801</v>
      </c>
      <c r="G6752">
        <v>36610600</v>
      </c>
      <c r="H6752">
        <f t="shared" si="420"/>
        <v>2024</v>
      </c>
      <c r="I6752">
        <f t="shared" si="421"/>
        <v>3</v>
      </c>
      <c r="J6752" t="str">
        <f t="shared" si="422"/>
        <v>Mar</v>
      </c>
      <c r="K6752" t="str">
        <f t="shared" si="423"/>
        <v>Tue</v>
      </c>
    </row>
    <row r="6753" spans="1:11" x14ac:dyDescent="0.35">
      <c r="A6753" s="1">
        <v>45364</v>
      </c>
      <c r="B6753">
        <v>175.89999389648401</v>
      </c>
      <c r="C6753">
        <v>177.61999511718699</v>
      </c>
      <c r="D6753">
        <v>175.55000305175699</v>
      </c>
      <c r="E6753">
        <v>176.55999755859301</v>
      </c>
      <c r="F6753">
        <v>176.55999755859301</v>
      </c>
      <c r="G6753">
        <v>30772600</v>
      </c>
      <c r="H6753">
        <f t="shared" si="420"/>
        <v>2024</v>
      </c>
      <c r="I6753">
        <f t="shared" si="421"/>
        <v>3</v>
      </c>
      <c r="J6753" t="str">
        <f t="shared" si="422"/>
        <v>Mar</v>
      </c>
      <c r="K6753" t="str">
        <f t="shared" si="423"/>
        <v>Wed</v>
      </c>
    </row>
    <row r="6754" spans="1:11" x14ac:dyDescent="0.35">
      <c r="A6754" s="1">
        <v>45365</v>
      </c>
      <c r="B6754">
        <v>177.69000244140599</v>
      </c>
      <c r="C6754">
        <v>179.52999877929599</v>
      </c>
      <c r="D6754">
        <v>176.47000122070301</v>
      </c>
      <c r="E6754">
        <v>178.75</v>
      </c>
      <c r="F6754">
        <v>178.75</v>
      </c>
      <c r="G6754">
        <v>43705800</v>
      </c>
      <c r="H6754">
        <f t="shared" si="420"/>
        <v>2024</v>
      </c>
      <c r="I6754">
        <f t="shared" si="421"/>
        <v>3</v>
      </c>
      <c r="J6754" t="str">
        <f t="shared" si="422"/>
        <v>Mar</v>
      </c>
      <c r="K6754" t="str">
        <f t="shared" si="423"/>
        <v>Thu</v>
      </c>
    </row>
    <row r="6755" spans="1:11" x14ac:dyDescent="0.35">
      <c r="A6755" s="1">
        <v>45366</v>
      </c>
      <c r="B6755">
        <v>176.63999938964801</v>
      </c>
      <c r="C6755">
        <v>177.92999267578099</v>
      </c>
      <c r="D6755">
        <v>173.89999389648401</v>
      </c>
      <c r="E6755">
        <v>174.419998168945</v>
      </c>
      <c r="F6755">
        <v>174.419998168945</v>
      </c>
      <c r="G6755">
        <v>72147400</v>
      </c>
      <c r="H6755">
        <f t="shared" si="420"/>
        <v>2024</v>
      </c>
      <c r="I6755">
        <f t="shared" si="421"/>
        <v>3</v>
      </c>
      <c r="J6755" t="str">
        <f t="shared" si="422"/>
        <v>Mar</v>
      </c>
      <c r="K6755" t="str">
        <f t="shared" si="423"/>
        <v>Fri</v>
      </c>
    </row>
    <row r="6756" spans="1:11" x14ac:dyDescent="0.35">
      <c r="A6756" s="1">
        <v>45369</v>
      </c>
      <c r="B6756">
        <v>175.80000305175699</v>
      </c>
      <c r="C6756">
        <v>176.69000244140599</v>
      </c>
      <c r="D6756">
        <v>174.27999877929599</v>
      </c>
      <c r="E6756">
        <v>174.47999572753901</v>
      </c>
      <c r="F6756">
        <v>174.47999572753901</v>
      </c>
      <c r="G6756">
        <v>31250700</v>
      </c>
      <c r="H6756">
        <f t="shared" si="420"/>
        <v>2024</v>
      </c>
      <c r="I6756">
        <f t="shared" si="421"/>
        <v>3</v>
      </c>
      <c r="J6756" t="str">
        <f t="shared" si="422"/>
        <v>Mar</v>
      </c>
      <c r="K6756" t="str">
        <f t="shared" si="423"/>
        <v>Mon</v>
      </c>
    </row>
    <row r="6757" spans="1:11" x14ac:dyDescent="0.35">
      <c r="A6757" s="1">
        <v>45370</v>
      </c>
      <c r="B6757">
        <v>174.22000122070301</v>
      </c>
      <c r="C6757">
        <v>176.08999633789</v>
      </c>
      <c r="D6757">
        <v>173.52000427246</v>
      </c>
      <c r="E6757">
        <v>175.89999389648401</v>
      </c>
      <c r="F6757">
        <v>175.89999389648401</v>
      </c>
      <c r="G6757">
        <v>26880900</v>
      </c>
      <c r="H6757">
        <f t="shared" si="420"/>
        <v>2024</v>
      </c>
      <c r="I6757">
        <f t="shared" si="421"/>
        <v>3</v>
      </c>
      <c r="J6757" t="str">
        <f t="shared" si="422"/>
        <v>Mar</v>
      </c>
      <c r="K6757" t="str">
        <f t="shared" si="423"/>
        <v>Tue</v>
      </c>
    </row>
    <row r="6758" spans="1:11" x14ac:dyDescent="0.35">
      <c r="A6758" s="1">
        <v>45371</v>
      </c>
      <c r="B6758">
        <v>176.13999938964801</v>
      </c>
      <c r="C6758">
        <v>178.52999877929599</v>
      </c>
      <c r="D6758">
        <v>174.63999938964801</v>
      </c>
      <c r="E6758">
        <v>178.14999389648401</v>
      </c>
      <c r="F6758">
        <v>178.14999389648401</v>
      </c>
      <c r="G6758">
        <v>29947200</v>
      </c>
      <c r="H6758">
        <f t="shared" si="420"/>
        <v>2024</v>
      </c>
      <c r="I6758">
        <f t="shared" si="421"/>
        <v>3</v>
      </c>
      <c r="J6758" t="str">
        <f t="shared" si="422"/>
        <v>Mar</v>
      </c>
      <c r="K6758" t="str">
        <f t="shared" si="423"/>
        <v>Wed</v>
      </c>
    </row>
    <row r="6759" spans="1:11" x14ac:dyDescent="0.35">
      <c r="A6759" s="1">
        <v>45372</v>
      </c>
      <c r="B6759">
        <v>179.99000549316401</v>
      </c>
      <c r="C6759">
        <v>181.419998168945</v>
      </c>
      <c r="D6759">
        <v>178.14999389648401</v>
      </c>
      <c r="E6759">
        <v>178.14999389648401</v>
      </c>
      <c r="F6759">
        <v>178.14999389648401</v>
      </c>
      <c r="G6759">
        <v>32824300</v>
      </c>
      <c r="H6759">
        <f t="shared" si="420"/>
        <v>2024</v>
      </c>
      <c r="I6759">
        <f t="shared" si="421"/>
        <v>3</v>
      </c>
      <c r="J6759" t="str">
        <f t="shared" si="422"/>
        <v>Mar</v>
      </c>
      <c r="K6759" t="str">
        <f t="shared" si="423"/>
        <v>Thu</v>
      </c>
    </row>
    <row r="6760" spans="1:11" x14ac:dyDescent="0.35">
      <c r="A6760" s="1">
        <v>45373</v>
      </c>
      <c r="B6760">
        <v>177.75</v>
      </c>
      <c r="C6760">
        <v>179.259994506835</v>
      </c>
      <c r="D6760">
        <v>176.75</v>
      </c>
      <c r="E6760">
        <v>178.86999511718699</v>
      </c>
      <c r="F6760">
        <v>178.86999511718699</v>
      </c>
      <c r="G6760">
        <v>27995400</v>
      </c>
      <c r="H6760">
        <f t="shared" si="420"/>
        <v>2024</v>
      </c>
      <c r="I6760">
        <f t="shared" si="421"/>
        <v>3</v>
      </c>
      <c r="J6760" t="str">
        <f t="shared" si="422"/>
        <v>Mar</v>
      </c>
      <c r="K6760" t="str">
        <f t="shared" si="423"/>
        <v>Fri</v>
      </c>
    </row>
    <row r="6761" spans="1:11" x14ac:dyDescent="0.35">
      <c r="A6761" s="1">
        <v>45376</v>
      </c>
      <c r="B6761">
        <v>178.009994506835</v>
      </c>
      <c r="C6761">
        <v>180.99000549316401</v>
      </c>
      <c r="D6761">
        <v>177.24000549316401</v>
      </c>
      <c r="E6761">
        <v>179.71000671386699</v>
      </c>
      <c r="F6761">
        <v>179.71000671386699</v>
      </c>
      <c r="G6761">
        <v>29815500</v>
      </c>
      <c r="H6761">
        <f t="shared" si="420"/>
        <v>2024</v>
      </c>
      <c r="I6761">
        <f t="shared" si="421"/>
        <v>3</v>
      </c>
      <c r="J6761" t="str">
        <f t="shared" si="422"/>
        <v>Mar</v>
      </c>
      <c r="K6761" t="str">
        <f t="shared" si="423"/>
        <v>Mon</v>
      </c>
    </row>
    <row r="6762" spans="1:11" x14ac:dyDescent="0.35">
      <c r="A6762" s="1">
        <v>45377</v>
      </c>
      <c r="B6762">
        <v>180.14999389648401</v>
      </c>
      <c r="C6762">
        <v>180.44999694824199</v>
      </c>
      <c r="D6762">
        <v>177.94999694824199</v>
      </c>
      <c r="E6762">
        <v>178.30000305175699</v>
      </c>
      <c r="F6762">
        <v>178.30000305175699</v>
      </c>
      <c r="G6762">
        <v>29659000</v>
      </c>
      <c r="H6762">
        <f t="shared" si="420"/>
        <v>2024</v>
      </c>
      <c r="I6762">
        <f t="shared" si="421"/>
        <v>3</v>
      </c>
      <c r="J6762" t="str">
        <f t="shared" si="422"/>
        <v>Mar</v>
      </c>
      <c r="K6762" t="str">
        <f t="shared" si="423"/>
        <v>Tue</v>
      </c>
    </row>
    <row r="6763" spans="1:11" x14ac:dyDescent="0.35">
      <c r="A6763" s="1">
        <v>45378</v>
      </c>
      <c r="B6763">
        <v>179.88000488281199</v>
      </c>
      <c r="C6763">
        <v>180</v>
      </c>
      <c r="D6763">
        <v>177.30999755859301</v>
      </c>
      <c r="E6763">
        <v>179.83000183105401</v>
      </c>
      <c r="F6763">
        <v>179.83000183105401</v>
      </c>
      <c r="G6763">
        <v>33272600</v>
      </c>
      <c r="H6763">
        <f t="shared" si="420"/>
        <v>2024</v>
      </c>
      <c r="I6763">
        <f t="shared" si="421"/>
        <v>3</v>
      </c>
      <c r="J6763" t="str">
        <f t="shared" si="422"/>
        <v>Mar</v>
      </c>
      <c r="K6763" t="str">
        <f t="shared" si="423"/>
        <v>Wed</v>
      </c>
    </row>
    <row r="6764" spans="1:11" x14ac:dyDescent="0.35">
      <c r="A6764" s="1">
        <v>45379</v>
      </c>
      <c r="B6764">
        <v>180.169998168945</v>
      </c>
      <c r="C6764">
        <v>181.69999694824199</v>
      </c>
      <c r="D6764">
        <v>179.259994506835</v>
      </c>
      <c r="E6764">
        <v>180.38000488281199</v>
      </c>
      <c r="F6764">
        <v>180.38000488281199</v>
      </c>
      <c r="G6764">
        <v>38051600</v>
      </c>
      <c r="H6764">
        <f t="shared" si="420"/>
        <v>2024</v>
      </c>
      <c r="I6764">
        <f t="shared" si="421"/>
        <v>3</v>
      </c>
      <c r="J6764" t="str">
        <f t="shared" si="422"/>
        <v>Mar</v>
      </c>
      <c r="K6764" t="str">
        <f t="shared" si="423"/>
        <v>Thu</v>
      </c>
    </row>
    <row r="6765" spans="1:11" x14ac:dyDescent="0.35">
      <c r="A6765" s="1">
        <v>45383</v>
      </c>
      <c r="B6765">
        <v>180.78999328613199</v>
      </c>
      <c r="C6765">
        <v>183</v>
      </c>
      <c r="D6765">
        <v>179.94999694824199</v>
      </c>
      <c r="E6765">
        <v>180.97000122070301</v>
      </c>
      <c r="F6765">
        <v>180.97000122070301</v>
      </c>
      <c r="G6765">
        <v>29174500</v>
      </c>
      <c r="H6765">
        <f t="shared" si="420"/>
        <v>2024</v>
      </c>
      <c r="I6765">
        <f t="shared" si="421"/>
        <v>4</v>
      </c>
      <c r="J6765" t="str">
        <f t="shared" si="422"/>
        <v>Apr</v>
      </c>
      <c r="K6765" t="str">
        <f t="shared" si="423"/>
        <v>Mon</v>
      </c>
    </row>
    <row r="6766" spans="1:11" x14ac:dyDescent="0.35">
      <c r="A6766" s="1">
        <v>45384</v>
      </c>
      <c r="B6766">
        <v>179.07000732421801</v>
      </c>
      <c r="C6766">
        <v>180.78999328613199</v>
      </c>
      <c r="D6766">
        <v>178.38000488281199</v>
      </c>
      <c r="E6766">
        <v>180.69000244140599</v>
      </c>
      <c r="F6766">
        <v>180.69000244140599</v>
      </c>
      <c r="G6766">
        <v>32611500</v>
      </c>
      <c r="H6766">
        <f t="shared" si="420"/>
        <v>2024</v>
      </c>
      <c r="I6766">
        <f t="shared" si="421"/>
        <v>4</v>
      </c>
      <c r="J6766" t="str">
        <f t="shared" si="422"/>
        <v>Apr</v>
      </c>
      <c r="K6766" t="str">
        <f t="shared" si="423"/>
        <v>Tue</v>
      </c>
    </row>
    <row r="6767" spans="1:11" x14ac:dyDescent="0.35">
      <c r="A6767" s="1">
        <v>45385</v>
      </c>
      <c r="B6767">
        <v>179.89999389648401</v>
      </c>
      <c r="C6767">
        <v>182.86999511718699</v>
      </c>
      <c r="D6767">
        <v>179.80000305175699</v>
      </c>
      <c r="E6767">
        <v>182.41000366210901</v>
      </c>
      <c r="F6767">
        <v>182.41000366210901</v>
      </c>
      <c r="G6767">
        <v>31046600</v>
      </c>
      <c r="H6767">
        <f t="shared" si="420"/>
        <v>2024</v>
      </c>
      <c r="I6767">
        <f t="shared" si="421"/>
        <v>4</v>
      </c>
      <c r="J6767" t="str">
        <f t="shared" si="422"/>
        <v>Apr</v>
      </c>
      <c r="K6767" t="str">
        <f t="shared" si="423"/>
        <v>Wed</v>
      </c>
    </row>
    <row r="6768" spans="1:11" x14ac:dyDescent="0.35">
      <c r="A6768" s="1">
        <v>45386</v>
      </c>
      <c r="B6768">
        <v>184</v>
      </c>
      <c r="C6768">
        <v>185.100006103515</v>
      </c>
      <c r="D6768">
        <v>180</v>
      </c>
      <c r="E6768">
        <v>180</v>
      </c>
      <c r="F6768">
        <v>180</v>
      </c>
      <c r="G6768">
        <v>41624300</v>
      </c>
      <c r="H6768">
        <f t="shared" si="420"/>
        <v>2024</v>
      </c>
      <c r="I6768">
        <f t="shared" si="421"/>
        <v>4</v>
      </c>
      <c r="J6768" t="str">
        <f t="shared" si="422"/>
        <v>Apr</v>
      </c>
      <c r="K6768" t="str">
        <f t="shared" si="423"/>
        <v>Thu</v>
      </c>
    </row>
    <row r="6769" spans="1:11" x14ac:dyDescent="0.35">
      <c r="A6769" s="1">
        <v>45387</v>
      </c>
      <c r="B6769">
        <v>182.38000488281199</v>
      </c>
      <c r="C6769">
        <v>186.27000427246</v>
      </c>
      <c r="D6769">
        <v>181.97000122070301</v>
      </c>
      <c r="E6769">
        <v>185.07000732421801</v>
      </c>
      <c r="F6769">
        <v>185.07000732421801</v>
      </c>
      <c r="G6769">
        <v>42374000</v>
      </c>
      <c r="H6769">
        <f t="shared" si="420"/>
        <v>2024</v>
      </c>
      <c r="I6769">
        <f t="shared" si="421"/>
        <v>4</v>
      </c>
      <c r="J6769" t="str">
        <f t="shared" si="422"/>
        <v>Apr</v>
      </c>
      <c r="K6769" t="str">
        <f t="shared" si="423"/>
        <v>Fri</v>
      </c>
    </row>
    <row r="6770" spans="1:11" x14ac:dyDescent="0.35">
      <c r="A6770" s="1">
        <v>45390</v>
      </c>
      <c r="B6770">
        <v>186.89999389648401</v>
      </c>
      <c r="C6770">
        <v>187.28999328613199</v>
      </c>
      <c r="D6770">
        <v>184.80999755859301</v>
      </c>
      <c r="E6770">
        <v>185.19000244140599</v>
      </c>
      <c r="F6770">
        <v>185.19000244140599</v>
      </c>
      <c r="G6770">
        <v>39221300</v>
      </c>
      <c r="H6770">
        <f t="shared" si="420"/>
        <v>2024</v>
      </c>
      <c r="I6770">
        <f t="shared" si="421"/>
        <v>4</v>
      </c>
      <c r="J6770" t="str">
        <f t="shared" si="422"/>
        <v>Apr</v>
      </c>
      <c r="K6770" t="str">
        <f t="shared" si="423"/>
        <v>Mon</v>
      </c>
    </row>
    <row r="6771" spans="1:11" x14ac:dyDescent="0.35">
      <c r="A6771" s="1">
        <v>45391</v>
      </c>
      <c r="B6771">
        <v>187.24000549316401</v>
      </c>
      <c r="C6771">
        <v>187.33999633789</v>
      </c>
      <c r="D6771">
        <v>184.19999694824199</v>
      </c>
      <c r="E6771">
        <v>185.669998168945</v>
      </c>
      <c r="F6771">
        <v>185.669998168945</v>
      </c>
      <c r="G6771">
        <v>36520100</v>
      </c>
      <c r="H6771">
        <f t="shared" si="420"/>
        <v>2024</v>
      </c>
      <c r="I6771">
        <f t="shared" si="421"/>
        <v>4</v>
      </c>
      <c r="J6771" t="str">
        <f t="shared" si="422"/>
        <v>Apr</v>
      </c>
      <c r="K6771" t="str">
        <f t="shared" si="423"/>
        <v>Tue</v>
      </c>
    </row>
    <row r="6772" spans="1:11" x14ac:dyDescent="0.35">
      <c r="A6772" s="1">
        <v>45392</v>
      </c>
      <c r="B6772">
        <v>182.77000427246</v>
      </c>
      <c r="C6772">
        <v>186.27000427246</v>
      </c>
      <c r="D6772">
        <v>182.669998168945</v>
      </c>
      <c r="E6772">
        <v>185.94999694824199</v>
      </c>
      <c r="F6772">
        <v>185.94999694824199</v>
      </c>
      <c r="G6772">
        <v>35879200</v>
      </c>
      <c r="H6772">
        <f t="shared" si="420"/>
        <v>2024</v>
      </c>
      <c r="I6772">
        <f t="shared" si="421"/>
        <v>4</v>
      </c>
      <c r="J6772" t="str">
        <f t="shared" si="422"/>
        <v>Apr</v>
      </c>
      <c r="K6772" t="str">
        <f t="shared" si="423"/>
        <v>Wed</v>
      </c>
    </row>
    <row r="6773" spans="1:11" x14ac:dyDescent="0.35">
      <c r="A6773" s="1">
        <v>45393</v>
      </c>
      <c r="B6773">
        <v>186.74000549316401</v>
      </c>
      <c r="C6773">
        <v>189.77000427246</v>
      </c>
      <c r="D6773">
        <v>185.509994506835</v>
      </c>
      <c r="E6773">
        <v>189.05000305175699</v>
      </c>
      <c r="F6773">
        <v>189.05000305175699</v>
      </c>
      <c r="G6773">
        <v>40020700</v>
      </c>
      <c r="H6773">
        <f t="shared" si="420"/>
        <v>2024</v>
      </c>
      <c r="I6773">
        <f t="shared" si="421"/>
        <v>4</v>
      </c>
      <c r="J6773" t="str">
        <f t="shared" si="422"/>
        <v>Apr</v>
      </c>
      <c r="K6773" t="str">
        <f t="shared" si="423"/>
        <v>Thu</v>
      </c>
    </row>
    <row r="6774" spans="1:11" x14ac:dyDescent="0.35">
      <c r="A6774" s="1">
        <v>45394</v>
      </c>
      <c r="B6774">
        <v>187.72000122070301</v>
      </c>
      <c r="C6774">
        <v>188.38000488281199</v>
      </c>
      <c r="D6774">
        <v>185.08000183105401</v>
      </c>
      <c r="E6774">
        <v>186.13000488281199</v>
      </c>
      <c r="F6774">
        <v>186.13000488281199</v>
      </c>
      <c r="G6774">
        <v>38608800</v>
      </c>
      <c r="H6774">
        <f t="shared" si="420"/>
        <v>2024</v>
      </c>
      <c r="I6774">
        <f t="shared" si="421"/>
        <v>4</v>
      </c>
      <c r="J6774" t="str">
        <f t="shared" si="422"/>
        <v>Apr</v>
      </c>
      <c r="K6774" t="str">
        <f t="shared" si="423"/>
        <v>Fri</v>
      </c>
    </row>
    <row r="6775" spans="1:11" x14ac:dyDescent="0.35">
      <c r="A6775" s="1">
        <v>45397</v>
      </c>
      <c r="B6775">
        <v>187.42999267578099</v>
      </c>
      <c r="C6775">
        <v>188.69000244140599</v>
      </c>
      <c r="D6775">
        <v>183</v>
      </c>
      <c r="E6775">
        <v>183.61999511718699</v>
      </c>
      <c r="F6775">
        <v>183.61999511718699</v>
      </c>
      <c r="G6775">
        <v>48052400</v>
      </c>
      <c r="H6775">
        <f t="shared" si="420"/>
        <v>2024</v>
      </c>
      <c r="I6775">
        <f t="shared" si="421"/>
        <v>4</v>
      </c>
      <c r="J6775" t="str">
        <f t="shared" si="422"/>
        <v>Apr</v>
      </c>
      <c r="K6775" t="str">
        <f t="shared" si="423"/>
        <v>Mon</v>
      </c>
    </row>
    <row r="6776" spans="1:11" x14ac:dyDescent="0.35">
      <c r="A6776" s="1">
        <v>45398</v>
      </c>
      <c r="B6776">
        <v>183.27000427246</v>
      </c>
      <c r="C6776">
        <v>184.83000183105401</v>
      </c>
      <c r="D6776">
        <v>182.259994506835</v>
      </c>
      <c r="E6776">
        <v>183.32000732421801</v>
      </c>
      <c r="F6776">
        <v>183.32000732421801</v>
      </c>
      <c r="G6776">
        <v>32891300</v>
      </c>
      <c r="H6776">
        <f t="shared" si="420"/>
        <v>2024</v>
      </c>
      <c r="I6776">
        <f t="shared" si="421"/>
        <v>4</v>
      </c>
      <c r="J6776" t="str">
        <f t="shared" si="422"/>
        <v>Apr</v>
      </c>
      <c r="K6776" t="str">
        <f t="shared" si="423"/>
        <v>Tue</v>
      </c>
    </row>
    <row r="6777" spans="1:11" x14ac:dyDescent="0.35">
      <c r="A6777" s="1">
        <v>45399</v>
      </c>
      <c r="B6777">
        <v>184.30999755859301</v>
      </c>
      <c r="C6777">
        <v>184.57000732421801</v>
      </c>
      <c r="D6777">
        <v>179.82000732421801</v>
      </c>
      <c r="E6777">
        <v>181.27999877929599</v>
      </c>
      <c r="F6777">
        <v>181.27999877929599</v>
      </c>
      <c r="G6777">
        <v>31359700</v>
      </c>
      <c r="H6777">
        <f t="shared" si="420"/>
        <v>2024</v>
      </c>
      <c r="I6777">
        <f t="shared" si="421"/>
        <v>4</v>
      </c>
      <c r="J6777" t="str">
        <f t="shared" si="422"/>
        <v>Apr</v>
      </c>
      <c r="K6777" t="str">
        <f t="shared" si="423"/>
        <v>Wed</v>
      </c>
    </row>
    <row r="6778" spans="1:11" x14ac:dyDescent="0.35">
      <c r="A6778" s="1">
        <v>45400</v>
      </c>
      <c r="B6778">
        <v>181.47000122070301</v>
      </c>
      <c r="C6778">
        <v>182.38999938964801</v>
      </c>
      <c r="D6778">
        <v>178.64999389648401</v>
      </c>
      <c r="E6778">
        <v>179.22000122070301</v>
      </c>
      <c r="F6778">
        <v>179.22000122070301</v>
      </c>
      <c r="G6778">
        <v>30723800</v>
      </c>
      <c r="H6778">
        <f t="shared" si="420"/>
        <v>2024</v>
      </c>
      <c r="I6778">
        <f t="shared" si="421"/>
        <v>4</v>
      </c>
      <c r="J6778" t="str">
        <f t="shared" si="422"/>
        <v>Apr</v>
      </c>
      <c r="K6778" t="str">
        <f t="shared" si="423"/>
        <v>Thu</v>
      </c>
    </row>
    <row r="6779" spans="1:11" x14ac:dyDescent="0.35">
      <c r="A6779" s="1">
        <v>45401</v>
      </c>
      <c r="B6779">
        <v>178.74000549316401</v>
      </c>
      <c r="C6779">
        <v>179</v>
      </c>
      <c r="D6779">
        <v>173.44000244140599</v>
      </c>
      <c r="E6779">
        <v>174.63000488281199</v>
      </c>
      <c r="F6779">
        <v>174.63000488281199</v>
      </c>
      <c r="G6779">
        <v>56000700</v>
      </c>
      <c r="H6779">
        <f t="shared" si="420"/>
        <v>2024</v>
      </c>
      <c r="I6779">
        <f t="shared" si="421"/>
        <v>4</v>
      </c>
      <c r="J6779" t="str">
        <f t="shared" si="422"/>
        <v>Apr</v>
      </c>
      <c r="K6779" t="str">
        <f t="shared" si="423"/>
        <v>Fri</v>
      </c>
    </row>
    <row r="6780" spans="1:11" x14ac:dyDescent="0.35">
      <c r="A6780" s="1">
        <v>45404</v>
      </c>
      <c r="B6780">
        <v>176.94000244140599</v>
      </c>
      <c r="C6780">
        <v>178.86999511718699</v>
      </c>
      <c r="D6780">
        <v>174.55999755859301</v>
      </c>
      <c r="E6780">
        <v>177.22999572753901</v>
      </c>
      <c r="F6780">
        <v>177.22999572753901</v>
      </c>
      <c r="G6780">
        <v>37924900</v>
      </c>
      <c r="H6780">
        <f t="shared" si="420"/>
        <v>2024</v>
      </c>
      <c r="I6780">
        <f t="shared" si="421"/>
        <v>4</v>
      </c>
      <c r="J6780" t="str">
        <f t="shared" si="422"/>
        <v>Apr</v>
      </c>
      <c r="K6780" t="str">
        <f t="shared" si="423"/>
        <v>Mon</v>
      </c>
    </row>
    <row r="6781" spans="1:11" x14ac:dyDescent="0.35">
      <c r="A6781" s="1">
        <v>45405</v>
      </c>
      <c r="B6781">
        <v>178.08000183105401</v>
      </c>
      <c r="C6781">
        <v>179.92999267578099</v>
      </c>
      <c r="D6781">
        <v>175.97999572753901</v>
      </c>
      <c r="E6781">
        <v>179.53999328613199</v>
      </c>
      <c r="F6781">
        <v>179.53999328613199</v>
      </c>
      <c r="G6781">
        <v>37046500</v>
      </c>
      <c r="H6781">
        <f t="shared" si="420"/>
        <v>2024</v>
      </c>
      <c r="I6781">
        <f t="shared" si="421"/>
        <v>4</v>
      </c>
      <c r="J6781" t="str">
        <f t="shared" si="422"/>
        <v>Apr</v>
      </c>
      <c r="K6781" t="str">
        <f t="shared" si="423"/>
        <v>Tue</v>
      </c>
    </row>
    <row r="6782" spans="1:11" x14ac:dyDescent="0.35">
      <c r="A6782" s="1">
        <v>45406</v>
      </c>
      <c r="B6782">
        <v>179.94000244140599</v>
      </c>
      <c r="C6782">
        <v>180.32000732421801</v>
      </c>
      <c r="D6782">
        <v>176.17999267578099</v>
      </c>
      <c r="E6782">
        <v>176.58999633789</v>
      </c>
      <c r="F6782">
        <v>176.58999633789</v>
      </c>
      <c r="G6782">
        <v>34185100</v>
      </c>
      <c r="H6782">
        <f t="shared" si="420"/>
        <v>2024</v>
      </c>
      <c r="I6782">
        <f t="shared" si="421"/>
        <v>4</v>
      </c>
      <c r="J6782" t="str">
        <f t="shared" si="422"/>
        <v>Apr</v>
      </c>
      <c r="K6782" t="str">
        <f t="shared" si="423"/>
        <v>Wed</v>
      </c>
    </row>
    <row r="6783" spans="1:11" x14ac:dyDescent="0.35">
      <c r="A6783" s="1">
        <v>45407</v>
      </c>
      <c r="B6783">
        <v>169.67999267578099</v>
      </c>
      <c r="C6783">
        <v>173.919998168945</v>
      </c>
      <c r="D6783">
        <v>166.32000732421801</v>
      </c>
      <c r="E6783">
        <v>173.669998168945</v>
      </c>
      <c r="F6783">
        <v>173.669998168945</v>
      </c>
      <c r="G6783">
        <v>49249400</v>
      </c>
      <c r="H6783">
        <f t="shared" si="420"/>
        <v>2024</v>
      </c>
      <c r="I6783">
        <f t="shared" si="421"/>
        <v>4</v>
      </c>
      <c r="J6783" t="str">
        <f t="shared" si="422"/>
        <v>Apr</v>
      </c>
      <c r="K6783" t="str">
        <f t="shared" si="423"/>
        <v>Thu</v>
      </c>
    </row>
    <row r="6784" spans="1:11" x14ac:dyDescent="0.35">
      <c r="A6784" s="1">
        <v>45408</v>
      </c>
      <c r="B6784">
        <v>177.80000305175699</v>
      </c>
      <c r="C6784">
        <v>180.82000732421801</v>
      </c>
      <c r="D6784">
        <v>176.13000488281199</v>
      </c>
      <c r="E6784">
        <v>179.61999511718699</v>
      </c>
      <c r="F6784">
        <v>179.61999511718699</v>
      </c>
      <c r="G6784">
        <v>43919800</v>
      </c>
      <c r="H6784">
        <f t="shared" si="420"/>
        <v>2024</v>
      </c>
      <c r="I6784">
        <f t="shared" si="421"/>
        <v>4</v>
      </c>
      <c r="J6784" t="str">
        <f t="shared" si="422"/>
        <v>Apr</v>
      </c>
      <c r="K6784" t="str">
        <f t="shared" si="423"/>
        <v>Fri</v>
      </c>
    </row>
    <row r="6785" spans="1:11" x14ac:dyDescent="0.35">
      <c r="A6785" s="1">
        <v>45411</v>
      </c>
      <c r="B6785">
        <v>182.75</v>
      </c>
      <c r="C6785">
        <v>183.52999877929599</v>
      </c>
      <c r="D6785">
        <v>179.38999938964801</v>
      </c>
      <c r="E6785">
        <v>180.96000671386699</v>
      </c>
      <c r="F6785">
        <v>180.96000671386699</v>
      </c>
      <c r="G6785">
        <v>54063900</v>
      </c>
      <c r="H6785">
        <f t="shared" si="420"/>
        <v>2024</v>
      </c>
      <c r="I6785">
        <f t="shared" si="421"/>
        <v>4</v>
      </c>
      <c r="J6785" t="str">
        <f t="shared" si="422"/>
        <v>Apr</v>
      </c>
      <c r="K6785" t="str">
        <f t="shared" si="423"/>
        <v>Mon</v>
      </c>
    </row>
    <row r="6786" spans="1:11" x14ac:dyDescent="0.35">
      <c r="A6786" s="1">
        <v>45412</v>
      </c>
      <c r="B6786">
        <v>181.08999633789</v>
      </c>
      <c r="C6786">
        <v>182.99000549316401</v>
      </c>
      <c r="D6786">
        <v>174.80000305175699</v>
      </c>
      <c r="E6786">
        <v>175</v>
      </c>
      <c r="F6786">
        <v>175</v>
      </c>
      <c r="G6786">
        <v>94639800</v>
      </c>
      <c r="H6786">
        <f t="shared" si="420"/>
        <v>2024</v>
      </c>
      <c r="I6786">
        <f t="shared" si="421"/>
        <v>4</v>
      </c>
      <c r="J6786" t="str">
        <f t="shared" si="422"/>
        <v>Apr</v>
      </c>
      <c r="K6786" t="str">
        <f t="shared" si="423"/>
        <v>Tue</v>
      </c>
    </row>
    <row r="6787" spans="1:11" x14ac:dyDescent="0.35">
      <c r="A6787" s="1">
        <v>45413</v>
      </c>
      <c r="B6787">
        <v>181.63999938964801</v>
      </c>
      <c r="C6787">
        <v>185.14999389648401</v>
      </c>
      <c r="D6787">
        <v>176.55999755859301</v>
      </c>
      <c r="E6787">
        <v>179</v>
      </c>
      <c r="F6787">
        <v>179</v>
      </c>
      <c r="G6787">
        <v>94645100</v>
      </c>
      <c r="H6787">
        <f t="shared" si="420"/>
        <v>2024</v>
      </c>
      <c r="I6787">
        <f t="shared" si="421"/>
        <v>5</v>
      </c>
      <c r="J6787" t="str">
        <f t="shared" si="422"/>
        <v>May</v>
      </c>
      <c r="K6787" t="str">
        <f t="shared" si="423"/>
        <v>Wed</v>
      </c>
    </row>
    <row r="6788" spans="1:11" x14ac:dyDescent="0.35">
      <c r="A6788" s="1">
        <v>45414</v>
      </c>
      <c r="B6788">
        <v>180.850006103515</v>
      </c>
      <c r="C6788">
        <v>185.100006103515</v>
      </c>
      <c r="D6788">
        <v>179.91000366210901</v>
      </c>
      <c r="E6788">
        <v>184.72000122070301</v>
      </c>
      <c r="F6788">
        <v>184.72000122070301</v>
      </c>
      <c r="G6788">
        <v>54303500</v>
      </c>
      <c r="H6788">
        <f t="shared" ref="H6788:H6851" si="424">YEAR($A6788)</f>
        <v>2024</v>
      </c>
      <c r="I6788">
        <f t="shared" ref="I6788:I6851" si="425">MONTH($A6788)</f>
        <v>5</v>
      </c>
      <c r="J6788" t="str">
        <f t="shared" ref="J6788:J6851" si="426">TEXT($A6788,"mmm")</f>
        <v>May</v>
      </c>
      <c r="K6788" t="str">
        <f t="shared" ref="K6788:K6851" si="427">TEXT($A6788,"ddd")</f>
        <v>Thu</v>
      </c>
    </row>
    <row r="6789" spans="1:11" x14ac:dyDescent="0.35">
      <c r="A6789" s="1">
        <v>45415</v>
      </c>
      <c r="B6789">
        <v>186.99000549316401</v>
      </c>
      <c r="C6789">
        <v>187.86999511718699</v>
      </c>
      <c r="D6789">
        <v>185.419998168945</v>
      </c>
      <c r="E6789">
        <v>186.21000671386699</v>
      </c>
      <c r="F6789">
        <v>186.21000671386699</v>
      </c>
      <c r="G6789">
        <v>39172000</v>
      </c>
      <c r="H6789">
        <f t="shared" si="424"/>
        <v>2024</v>
      </c>
      <c r="I6789">
        <f t="shared" si="425"/>
        <v>5</v>
      </c>
      <c r="J6789" t="str">
        <f t="shared" si="426"/>
        <v>May</v>
      </c>
      <c r="K6789" t="str">
        <f t="shared" si="427"/>
        <v>Fri</v>
      </c>
    </row>
    <row r="6790" spans="1:11" x14ac:dyDescent="0.35">
      <c r="A6790" s="1">
        <v>45418</v>
      </c>
      <c r="B6790">
        <v>186.27999877929599</v>
      </c>
      <c r="C6790">
        <v>188.75</v>
      </c>
      <c r="D6790">
        <v>184.80000305175699</v>
      </c>
      <c r="E6790">
        <v>188.69999694824199</v>
      </c>
      <c r="F6790">
        <v>188.69999694824199</v>
      </c>
      <c r="G6790">
        <v>34725300</v>
      </c>
      <c r="H6790">
        <f t="shared" si="424"/>
        <v>2024</v>
      </c>
      <c r="I6790">
        <f t="shared" si="425"/>
        <v>5</v>
      </c>
      <c r="J6790" t="str">
        <f t="shared" si="426"/>
        <v>May</v>
      </c>
      <c r="K6790" t="str">
        <f t="shared" si="427"/>
        <v>Mon</v>
      </c>
    </row>
    <row r="6791" spans="1:11" x14ac:dyDescent="0.35">
      <c r="A6791" s="1">
        <v>45419</v>
      </c>
      <c r="B6791">
        <v>188.919998168945</v>
      </c>
      <c r="C6791">
        <v>189.94000244140599</v>
      </c>
      <c r="D6791">
        <v>187.30999755859301</v>
      </c>
      <c r="E6791">
        <v>188.759994506835</v>
      </c>
      <c r="F6791">
        <v>188.759994506835</v>
      </c>
      <c r="G6791">
        <v>34048900</v>
      </c>
      <c r="H6791">
        <f t="shared" si="424"/>
        <v>2024</v>
      </c>
      <c r="I6791">
        <f t="shared" si="425"/>
        <v>5</v>
      </c>
      <c r="J6791" t="str">
        <f t="shared" si="426"/>
        <v>May</v>
      </c>
      <c r="K6791" t="str">
        <f t="shared" si="427"/>
        <v>Tue</v>
      </c>
    </row>
    <row r="6792" spans="1:11" x14ac:dyDescent="0.35">
      <c r="A6792" s="1">
        <v>45420</v>
      </c>
      <c r="B6792">
        <v>187.44000244140599</v>
      </c>
      <c r="C6792">
        <v>188.42999267578099</v>
      </c>
      <c r="D6792">
        <v>186.38999938964801</v>
      </c>
      <c r="E6792">
        <v>188</v>
      </c>
      <c r="F6792">
        <v>188</v>
      </c>
      <c r="G6792">
        <v>26136400</v>
      </c>
      <c r="H6792">
        <f t="shared" si="424"/>
        <v>2024</v>
      </c>
      <c r="I6792">
        <f t="shared" si="425"/>
        <v>5</v>
      </c>
      <c r="J6792" t="str">
        <f t="shared" si="426"/>
        <v>May</v>
      </c>
      <c r="K6792" t="str">
        <f t="shared" si="427"/>
        <v>Wed</v>
      </c>
    </row>
    <row r="6793" spans="1:11" x14ac:dyDescent="0.35">
      <c r="A6793" s="1">
        <v>45421</v>
      </c>
      <c r="B6793">
        <v>188.88000488281199</v>
      </c>
      <c r="C6793">
        <v>191.69999694824199</v>
      </c>
      <c r="D6793">
        <v>187.44000244140599</v>
      </c>
      <c r="E6793">
        <v>189.5</v>
      </c>
      <c r="F6793">
        <v>189.5</v>
      </c>
      <c r="G6793">
        <v>43368400</v>
      </c>
      <c r="H6793">
        <f t="shared" si="424"/>
        <v>2024</v>
      </c>
      <c r="I6793">
        <f t="shared" si="425"/>
        <v>5</v>
      </c>
      <c r="J6793" t="str">
        <f t="shared" si="426"/>
        <v>May</v>
      </c>
      <c r="K6793" t="str">
        <f t="shared" si="427"/>
        <v>Thu</v>
      </c>
    </row>
    <row r="6794" spans="1:11" x14ac:dyDescent="0.35">
      <c r="A6794" s="1">
        <v>45422</v>
      </c>
      <c r="B6794">
        <v>189.16000366210901</v>
      </c>
      <c r="C6794">
        <v>189.88999938964801</v>
      </c>
      <c r="D6794">
        <v>186.92999267578099</v>
      </c>
      <c r="E6794">
        <v>187.47999572753901</v>
      </c>
      <c r="F6794">
        <v>187.47999572753901</v>
      </c>
      <c r="G6794">
        <v>34141800</v>
      </c>
      <c r="H6794">
        <f t="shared" si="424"/>
        <v>2024</v>
      </c>
      <c r="I6794">
        <f t="shared" si="425"/>
        <v>5</v>
      </c>
      <c r="J6794" t="str">
        <f t="shared" si="426"/>
        <v>May</v>
      </c>
      <c r="K6794" t="str">
        <f t="shared" si="427"/>
        <v>Fri</v>
      </c>
    </row>
    <row r="6795" spans="1:11" x14ac:dyDescent="0.35">
      <c r="A6795" s="1">
        <v>45425</v>
      </c>
      <c r="B6795">
        <v>188</v>
      </c>
      <c r="C6795">
        <v>188.30999755859301</v>
      </c>
      <c r="D6795">
        <v>185.36000061035099</v>
      </c>
      <c r="E6795">
        <v>186.57000732421801</v>
      </c>
      <c r="F6795">
        <v>186.57000732421801</v>
      </c>
      <c r="G6795">
        <v>24898600</v>
      </c>
      <c r="H6795">
        <f t="shared" si="424"/>
        <v>2024</v>
      </c>
      <c r="I6795">
        <f t="shared" si="425"/>
        <v>5</v>
      </c>
      <c r="J6795" t="str">
        <f t="shared" si="426"/>
        <v>May</v>
      </c>
      <c r="K6795" t="str">
        <f t="shared" si="427"/>
        <v>Mon</v>
      </c>
    </row>
    <row r="6796" spans="1:11" x14ac:dyDescent="0.35">
      <c r="A6796" s="1">
        <v>45426</v>
      </c>
      <c r="B6796">
        <v>183.82000732421801</v>
      </c>
      <c r="C6796">
        <v>187.72000122070301</v>
      </c>
      <c r="D6796">
        <v>183.44999694824199</v>
      </c>
      <c r="E6796">
        <v>187.07000732421801</v>
      </c>
      <c r="F6796">
        <v>187.07000732421801</v>
      </c>
      <c r="G6796">
        <v>38698200</v>
      </c>
      <c r="H6796">
        <f t="shared" si="424"/>
        <v>2024</v>
      </c>
      <c r="I6796">
        <f t="shared" si="425"/>
        <v>5</v>
      </c>
      <c r="J6796" t="str">
        <f t="shared" si="426"/>
        <v>May</v>
      </c>
      <c r="K6796" t="str">
        <f t="shared" si="427"/>
        <v>Tue</v>
      </c>
    </row>
    <row r="6797" spans="1:11" x14ac:dyDescent="0.35">
      <c r="A6797" s="1">
        <v>45427</v>
      </c>
      <c r="B6797">
        <v>185.97000122070301</v>
      </c>
      <c r="C6797">
        <v>186.72000122070301</v>
      </c>
      <c r="D6797">
        <v>182.72999572753901</v>
      </c>
      <c r="E6797">
        <v>185.99000549316401</v>
      </c>
      <c r="F6797">
        <v>185.99000549316401</v>
      </c>
      <c r="G6797">
        <v>75459900</v>
      </c>
      <c r="H6797">
        <f t="shared" si="424"/>
        <v>2024</v>
      </c>
      <c r="I6797">
        <f t="shared" si="425"/>
        <v>5</v>
      </c>
      <c r="J6797" t="str">
        <f t="shared" si="426"/>
        <v>May</v>
      </c>
      <c r="K6797" t="str">
        <f t="shared" si="427"/>
        <v>Wed</v>
      </c>
    </row>
    <row r="6798" spans="1:11" x14ac:dyDescent="0.35">
      <c r="A6798" s="1">
        <v>45428</v>
      </c>
      <c r="B6798">
        <v>185.600006103515</v>
      </c>
      <c r="C6798">
        <v>187.30999755859301</v>
      </c>
      <c r="D6798">
        <v>183.46000671386699</v>
      </c>
      <c r="E6798">
        <v>183.63000488281199</v>
      </c>
      <c r="F6798">
        <v>183.63000488281199</v>
      </c>
      <c r="G6798">
        <v>38834500</v>
      </c>
      <c r="H6798">
        <f t="shared" si="424"/>
        <v>2024</v>
      </c>
      <c r="I6798">
        <f t="shared" si="425"/>
        <v>5</v>
      </c>
      <c r="J6798" t="str">
        <f t="shared" si="426"/>
        <v>May</v>
      </c>
      <c r="K6798" t="str">
        <f t="shared" si="427"/>
        <v>Thu</v>
      </c>
    </row>
    <row r="6799" spans="1:11" x14ac:dyDescent="0.35">
      <c r="A6799" s="1">
        <v>45429</v>
      </c>
      <c r="B6799">
        <v>183.759994506835</v>
      </c>
      <c r="C6799">
        <v>185.30000305175699</v>
      </c>
      <c r="D6799">
        <v>183.350006103515</v>
      </c>
      <c r="E6799">
        <v>184.69999694824199</v>
      </c>
      <c r="F6799">
        <v>184.69999694824199</v>
      </c>
      <c r="G6799">
        <v>33175700</v>
      </c>
      <c r="H6799">
        <f t="shared" si="424"/>
        <v>2024</v>
      </c>
      <c r="I6799">
        <f t="shared" si="425"/>
        <v>5</v>
      </c>
      <c r="J6799" t="str">
        <f t="shared" si="426"/>
        <v>May</v>
      </c>
      <c r="K6799" t="str">
        <f t="shared" si="427"/>
        <v>Fri</v>
      </c>
    </row>
    <row r="6800" spans="1:11" x14ac:dyDescent="0.35">
      <c r="A6800" s="1">
        <v>45432</v>
      </c>
      <c r="B6800">
        <v>184.33999633789</v>
      </c>
      <c r="C6800">
        <v>186.669998168945</v>
      </c>
      <c r="D6800">
        <v>183.27999877929599</v>
      </c>
      <c r="E6800">
        <v>183.53999328613199</v>
      </c>
      <c r="F6800">
        <v>183.53999328613199</v>
      </c>
      <c r="G6800">
        <v>30511800</v>
      </c>
      <c r="H6800">
        <f t="shared" si="424"/>
        <v>2024</v>
      </c>
      <c r="I6800">
        <f t="shared" si="425"/>
        <v>5</v>
      </c>
      <c r="J6800" t="str">
        <f t="shared" si="426"/>
        <v>May</v>
      </c>
      <c r="K6800" t="str">
        <f t="shared" si="427"/>
        <v>Mon</v>
      </c>
    </row>
    <row r="6801" spans="1:11" x14ac:dyDescent="0.35">
      <c r="A6801" s="1">
        <v>45433</v>
      </c>
      <c r="B6801">
        <v>182.30000305175699</v>
      </c>
      <c r="C6801">
        <v>183.259994506835</v>
      </c>
      <c r="D6801">
        <v>180.75</v>
      </c>
      <c r="E6801">
        <v>183.14999389648401</v>
      </c>
      <c r="F6801">
        <v>183.14999389648401</v>
      </c>
      <c r="G6801">
        <v>50839100</v>
      </c>
      <c r="H6801">
        <f t="shared" si="424"/>
        <v>2024</v>
      </c>
      <c r="I6801">
        <f t="shared" si="425"/>
        <v>5</v>
      </c>
      <c r="J6801" t="str">
        <f t="shared" si="426"/>
        <v>May</v>
      </c>
      <c r="K6801" t="str">
        <f t="shared" si="427"/>
        <v>Tue</v>
      </c>
    </row>
    <row r="6802" spans="1:11" x14ac:dyDescent="0.35">
      <c r="A6802" s="1">
        <v>45434</v>
      </c>
      <c r="B6802">
        <v>183.88000488281199</v>
      </c>
      <c r="C6802">
        <v>185.22000122070301</v>
      </c>
      <c r="D6802">
        <v>181.97000122070301</v>
      </c>
      <c r="E6802">
        <v>183.13000488281199</v>
      </c>
      <c r="F6802">
        <v>183.13000488281199</v>
      </c>
      <c r="G6802">
        <v>28148800</v>
      </c>
      <c r="H6802">
        <f t="shared" si="424"/>
        <v>2024</v>
      </c>
      <c r="I6802">
        <f t="shared" si="425"/>
        <v>5</v>
      </c>
      <c r="J6802" t="str">
        <f t="shared" si="426"/>
        <v>May</v>
      </c>
      <c r="K6802" t="str">
        <f t="shared" si="427"/>
        <v>Wed</v>
      </c>
    </row>
    <row r="6803" spans="1:11" x14ac:dyDescent="0.35">
      <c r="A6803" s="1">
        <v>45435</v>
      </c>
      <c r="B6803">
        <v>183.66000366210901</v>
      </c>
      <c r="C6803">
        <v>184.759994506835</v>
      </c>
      <c r="D6803">
        <v>180.08000183105401</v>
      </c>
      <c r="E6803">
        <v>181.05000305175699</v>
      </c>
      <c r="F6803">
        <v>181.05000305175699</v>
      </c>
      <c r="G6803">
        <v>33670200</v>
      </c>
      <c r="H6803">
        <f t="shared" si="424"/>
        <v>2024</v>
      </c>
      <c r="I6803">
        <f t="shared" si="425"/>
        <v>5</v>
      </c>
      <c r="J6803" t="str">
        <f t="shared" si="426"/>
        <v>May</v>
      </c>
      <c r="K6803" t="str">
        <f t="shared" si="427"/>
        <v>Thu</v>
      </c>
    </row>
    <row r="6804" spans="1:11" x14ac:dyDescent="0.35">
      <c r="A6804" s="1">
        <v>45436</v>
      </c>
      <c r="B6804">
        <v>181.64999389648401</v>
      </c>
      <c r="C6804">
        <v>182.44000244140599</v>
      </c>
      <c r="D6804">
        <v>180.30000305175699</v>
      </c>
      <c r="E6804">
        <v>180.75</v>
      </c>
      <c r="F6804">
        <v>180.75</v>
      </c>
      <c r="G6804">
        <v>27471600</v>
      </c>
      <c r="H6804">
        <f t="shared" si="424"/>
        <v>2024</v>
      </c>
      <c r="I6804">
        <f t="shared" si="425"/>
        <v>5</v>
      </c>
      <c r="J6804" t="str">
        <f t="shared" si="426"/>
        <v>May</v>
      </c>
      <c r="K6804" t="str">
        <f t="shared" si="427"/>
        <v>Fri</v>
      </c>
    </row>
    <row r="6805" spans="1:11" x14ac:dyDescent="0.35">
      <c r="A6805" s="1">
        <v>45440</v>
      </c>
      <c r="B6805">
        <v>179.92999267578099</v>
      </c>
      <c r="C6805">
        <v>182.24000549316401</v>
      </c>
      <c r="D6805">
        <v>179.49000549316401</v>
      </c>
      <c r="E6805">
        <v>182.14999389648401</v>
      </c>
      <c r="F6805">
        <v>182.14999389648401</v>
      </c>
      <c r="G6805">
        <v>29927000</v>
      </c>
      <c r="H6805">
        <f t="shared" si="424"/>
        <v>2024</v>
      </c>
      <c r="I6805">
        <f t="shared" si="425"/>
        <v>5</v>
      </c>
      <c r="J6805" t="str">
        <f t="shared" si="426"/>
        <v>May</v>
      </c>
      <c r="K6805" t="str">
        <f t="shared" si="427"/>
        <v>Tue</v>
      </c>
    </row>
    <row r="6806" spans="1:11" x14ac:dyDescent="0.35">
      <c r="A6806" s="1">
        <v>45441</v>
      </c>
      <c r="B6806">
        <v>181.69999694824199</v>
      </c>
      <c r="C6806">
        <v>184.08000183105401</v>
      </c>
      <c r="D6806">
        <v>181.55000305175699</v>
      </c>
      <c r="E6806">
        <v>182.02000427246</v>
      </c>
      <c r="F6806">
        <v>182.02000427246</v>
      </c>
      <c r="G6806">
        <v>32009300</v>
      </c>
      <c r="H6806">
        <f t="shared" si="424"/>
        <v>2024</v>
      </c>
      <c r="I6806">
        <f t="shared" si="425"/>
        <v>5</v>
      </c>
      <c r="J6806" t="str">
        <f t="shared" si="426"/>
        <v>May</v>
      </c>
      <c r="K6806" t="str">
        <f t="shared" si="427"/>
        <v>Wed</v>
      </c>
    </row>
    <row r="6807" spans="1:11" x14ac:dyDescent="0.35">
      <c r="A6807" s="1">
        <v>45442</v>
      </c>
      <c r="B6807">
        <v>181.30999755859301</v>
      </c>
      <c r="C6807">
        <v>181.33999633789</v>
      </c>
      <c r="D6807">
        <v>178.36000061035099</v>
      </c>
      <c r="E6807">
        <v>179.32000732421801</v>
      </c>
      <c r="F6807">
        <v>179.32000732421801</v>
      </c>
      <c r="G6807">
        <v>29184700</v>
      </c>
      <c r="H6807">
        <f t="shared" si="424"/>
        <v>2024</v>
      </c>
      <c r="I6807">
        <f t="shared" si="425"/>
        <v>5</v>
      </c>
      <c r="J6807" t="str">
        <f t="shared" si="426"/>
        <v>May</v>
      </c>
      <c r="K6807" t="str">
        <f t="shared" si="427"/>
        <v>Thu</v>
      </c>
    </row>
    <row r="6808" spans="1:11" x14ac:dyDescent="0.35">
      <c r="A6808" s="1">
        <v>45443</v>
      </c>
      <c r="B6808">
        <v>178.30000305175699</v>
      </c>
      <c r="C6808">
        <v>179.21000671386699</v>
      </c>
      <c r="D6808">
        <v>173.86999511718699</v>
      </c>
      <c r="E6808">
        <v>176.44000244140599</v>
      </c>
      <c r="F6808">
        <v>176.44000244140599</v>
      </c>
      <c r="G6808">
        <v>58903900</v>
      </c>
      <c r="H6808">
        <f t="shared" si="424"/>
        <v>2024</v>
      </c>
      <c r="I6808">
        <f t="shared" si="425"/>
        <v>5</v>
      </c>
      <c r="J6808" t="str">
        <f t="shared" si="426"/>
        <v>May</v>
      </c>
      <c r="K6808" t="str">
        <f t="shared" si="427"/>
        <v>Fri</v>
      </c>
    </row>
    <row r="6809" spans="1:11" x14ac:dyDescent="0.35">
      <c r="A6809" s="1">
        <v>45446</v>
      </c>
      <c r="B6809">
        <v>177.69999694824199</v>
      </c>
      <c r="C6809">
        <v>178.69999694824199</v>
      </c>
      <c r="D6809">
        <v>175.919998168945</v>
      </c>
      <c r="E6809">
        <v>178.33999633789</v>
      </c>
      <c r="F6809">
        <v>178.33999633789</v>
      </c>
      <c r="G6809">
        <v>30786600</v>
      </c>
      <c r="H6809">
        <f t="shared" si="424"/>
        <v>2024</v>
      </c>
      <c r="I6809">
        <f t="shared" si="425"/>
        <v>6</v>
      </c>
      <c r="J6809" t="str">
        <f t="shared" si="426"/>
        <v>Jun</v>
      </c>
      <c r="K6809" t="str">
        <f t="shared" si="427"/>
        <v>Mon</v>
      </c>
    </row>
    <row r="6810" spans="1:11" x14ac:dyDescent="0.35">
      <c r="A6810" s="1">
        <v>45447</v>
      </c>
      <c r="B6810">
        <v>177.63999938964801</v>
      </c>
      <c r="C6810">
        <v>179.82000732421801</v>
      </c>
      <c r="D6810">
        <v>176.44000244140599</v>
      </c>
      <c r="E6810">
        <v>179.33999633789</v>
      </c>
      <c r="F6810">
        <v>179.33999633789</v>
      </c>
      <c r="G6810">
        <v>27198400</v>
      </c>
      <c r="H6810">
        <f t="shared" si="424"/>
        <v>2024</v>
      </c>
      <c r="I6810">
        <f t="shared" si="425"/>
        <v>6</v>
      </c>
      <c r="J6810" t="str">
        <f t="shared" si="426"/>
        <v>Jun</v>
      </c>
      <c r="K6810" t="str">
        <f t="shared" si="427"/>
        <v>Tue</v>
      </c>
    </row>
    <row r="6811" spans="1:11" x14ac:dyDescent="0.35">
      <c r="A6811" s="1">
        <v>45448</v>
      </c>
      <c r="B6811">
        <v>180.100006103515</v>
      </c>
      <c r="C6811">
        <v>181.5</v>
      </c>
      <c r="D6811">
        <v>178.75</v>
      </c>
      <c r="E6811">
        <v>181.27999877929599</v>
      </c>
      <c r="F6811">
        <v>181.27999877929599</v>
      </c>
      <c r="G6811">
        <v>32116400</v>
      </c>
      <c r="H6811">
        <f t="shared" si="424"/>
        <v>2024</v>
      </c>
      <c r="I6811">
        <f t="shared" si="425"/>
        <v>6</v>
      </c>
      <c r="J6811" t="str">
        <f t="shared" si="426"/>
        <v>Jun</v>
      </c>
      <c r="K6811" t="str">
        <f t="shared" si="427"/>
        <v>Wed</v>
      </c>
    </row>
    <row r="6812" spans="1:11" x14ac:dyDescent="0.35">
      <c r="A6812" s="1">
        <v>45449</v>
      </c>
      <c r="B6812">
        <v>181.75</v>
      </c>
      <c r="C6812">
        <v>185</v>
      </c>
      <c r="D6812">
        <v>181.49000549316401</v>
      </c>
      <c r="E6812">
        <v>185</v>
      </c>
      <c r="F6812">
        <v>185</v>
      </c>
      <c r="G6812">
        <v>31371200</v>
      </c>
      <c r="H6812">
        <f t="shared" si="424"/>
        <v>2024</v>
      </c>
      <c r="I6812">
        <f t="shared" si="425"/>
        <v>6</v>
      </c>
      <c r="J6812" t="str">
        <f t="shared" si="426"/>
        <v>Jun</v>
      </c>
      <c r="K6812" t="str">
        <f t="shared" si="427"/>
        <v>Thu</v>
      </c>
    </row>
    <row r="6813" spans="1:11" x14ac:dyDescent="0.35">
      <c r="A6813" s="1">
        <v>45450</v>
      </c>
      <c r="B6813">
        <v>184.89999389648401</v>
      </c>
      <c r="C6813">
        <v>186.28999328613199</v>
      </c>
      <c r="D6813">
        <v>183.36000061035099</v>
      </c>
      <c r="E6813">
        <v>184.30000305175699</v>
      </c>
      <c r="F6813">
        <v>184.30000305175699</v>
      </c>
      <c r="G6813">
        <v>28021500</v>
      </c>
      <c r="H6813">
        <f t="shared" si="424"/>
        <v>2024</v>
      </c>
      <c r="I6813">
        <f t="shared" si="425"/>
        <v>6</v>
      </c>
      <c r="J6813" t="str">
        <f t="shared" si="426"/>
        <v>Jun</v>
      </c>
      <c r="K6813" t="str">
        <f t="shared" si="427"/>
        <v>Fri</v>
      </c>
    </row>
    <row r="6814" spans="1:11" x14ac:dyDescent="0.35">
      <c r="A6814" s="1">
        <v>45453</v>
      </c>
      <c r="B6814">
        <v>184.07000732421801</v>
      </c>
      <c r="C6814">
        <v>187.22999572753901</v>
      </c>
      <c r="D6814">
        <v>183.78999328613199</v>
      </c>
      <c r="E6814">
        <v>187.05999755859301</v>
      </c>
      <c r="F6814">
        <v>187.05999755859301</v>
      </c>
      <c r="G6814">
        <v>34445600</v>
      </c>
      <c r="H6814">
        <f t="shared" si="424"/>
        <v>2024</v>
      </c>
      <c r="I6814">
        <f t="shared" si="425"/>
        <v>6</v>
      </c>
      <c r="J6814" t="str">
        <f t="shared" si="426"/>
        <v>Jun</v>
      </c>
      <c r="K6814" t="str">
        <f t="shared" si="427"/>
        <v>Mon</v>
      </c>
    </row>
    <row r="6815" spans="1:11" x14ac:dyDescent="0.35">
      <c r="A6815" s="1">
        <v>45454</v>
      </c>
      <c r="B6815">
        <v>187.05999755859301</v>
      </c>
      <c r="C6815">
        <v>187.77000427246</v>
      </c>
      <c r="D6815">
        <v>184.53999328613199</v>
      </c>
      <c r="E6815">
        <v>187.22999572753901</v>
      </c>
      <c r="F6815">
        <v>187.22999572753901</v>
      </c>
      <c r="G6815">
        <v>27265100</v>
      </c>
      <c r="H6815">
        <f t="shared" si="424"/>
        <v>2024</v>
      </c>
      <c r="I6815">
        <f t="shared" si="425"/>
        <v>6</v>
      </c>
      <c r="J6815" t="str">
        <f t="shared" si="426"/>
        <v>Jun</v>
      </c>
      <c r="K6815" t="str">
        <f t="shared" si="427"/>
        <v>Tue</v>
      </c>
    </row>
    <row r="6816" spans="1:11" x14ac:dyDescent="0.35">
      <c r="A6816" s="1">
        <v>45455</v>
      </c>
      <c r="B6816">
        <v>188.02000427246</v>
      </c>
      <c r="C6816">
        <v>188.350006103515</v>
      </c>
      <c r="D6816">
        <v>185.42999267578099</v>
      </c>
      <c r="E6816">
        <v>186.88999938964801</v>
      </c>
      <c r="F6816">
        <v>186.88999938964801</v>
      </c>
      <c r="G6816">
        <v>33984200</v>
      </c>
      <c r="H6816">
        <f t="shared" si="424"/>
        <v>2024</v>
      </c>
      <c r="I6816">
        <f t="shared" si="425"/>
        <v>6</v>
      </c>
      <c r="J6816" t="str">
        <f t="shared" si="426"/>
        <v>Jun</v>
      </c>
      <c r="K6816" t="str">
        <f t="shared" si="427"/>
        <v>Wed</v>
      </c>
    </row>
    <row r="6817" spans="1:11" x14ac:dyDescent="0.35">
      <c r="A6817" s="1">
        <v>45456</v>
      </c>
      <c r="B6817">
        <v>186.08999633789</v>
      </c>
      <c r="C6817">
        <v>187.669998168945</v>
      </c>
      <c r="D6817">
        <v>182.669998168945</v>
      </c>
      <c r="E6817">
        <v>183.83000183105401</v>
      </c>
      <c r="F6817">
        <v>183.83000183105401</v>
      </c>
      <c r="G6817">
        <v>39721500</v>
      </c>
      <c r="H6817">
        <f t="shared" si="424"/>
        <v>2024</v>
      </c>
      <c r="I6817">
        <f t="shared" si="425"/>
        <v>6</v>
      </c>
      <c r="J6817" t="str">
        <f t="shared" si="426"/>
        <v>Jun</v>
      </c>
      <c r="K6817" t="str">
        <f t="shared" si="427"/>
        <v>Thu</v>
      </c>
    </row>
    <row r="6818" spans="1:11" x14ac:dyDescent="0.35">
      <c r="A6818" s="1">
        <v>45457</v>
      </c>
      <c r="B6818">
        <v>183.08000183105401</v>
      </c>
      <c r="C6818">
        <v>183.72000122070301</v>
      </c>
      <c r="D6818">
        <v>182.22999572753901</v>
      </c>
      <c r="E6818">
        <v>183.66000366210901</v>
      </c>
      <c r="F6818">
        <v>183.66000366210901</v>
      </c>
      <c r="G6818">
        <v>25456400</v>
      </c>
      <c r="H6818">
        <f t="shared" si="424"/>
        <v>2024</v>
      </c>
      <c r="I6818">
        <f t="shared" si="425"/>
        <v>6</v>
      </c>
      <c r="J6818" t="str">
        <f t="shared" si="426"/>
        <v>Jun</v>
      </c>
      <c r="K6818" t="str">
        <f t="shared" si="427"/>
        <v>Fri</v>
      </c>
    </row>
    <row r="6819" spans="1:11" x14ac:dyDescent="0.35">
      <c r="A6819" s="1">
        <v>45460</v>
      </c>
      <c r="B6819">
        <v>182.52000427246</v>
      </c>
      <c r="C6819">
        <v>185</v>
      </c>
      <c r="D6819">
        <v>181.22000122070301</v>
      </c>
      <c r="E6819">
        <v>184.05999755859301</v>
      </c>
      <c r="F6819">
        <v>184.05999755859301</v>
      </c>
      <c r="G6819">
        <v>35601900</v>
      </c>
      <c r="H6819">
        <f t="shared" si="424"/>
        <v>2024</v>
      </c>
      <c r="I6819">
        <f t="shared" si="425"/>
        <v>6</v>
      </c>
      <c r="J6819" t="str">
        <f t="shared" si="426"/>
        <v>Jun</v>
      </c>
      <c r="K6819" t="str">
        <f t="shared" si="427"/>
        <v>Mon</v>
      </c>
    </row>
    <row r="6820" spans="1:11" x14ac:dyDescent="0.35">
      <c r="A6820" s="1">
        <v>45461</v>
      </c>
      <c r="B6820">
        <v>183.74000549316401</v>
      </c>
      <c r="C6820">
        <v>184.28999328613199</v>
      </c>
      <c r="D6820">
        <v>181.42999267578099</v>
      </c>
      <c r="E6820">
        <v>182.80999755859301</v>
      </c>
      <c r="F6820">
        <v>182.80999755859301</v>
      </c>
      <c r="G6820">
        <v>36659200</v>
      </c>
      <c r="H6820">
        <f t="shared" si="424"/>
        <v>2024</v>
      </c>
      <c r="I6820">
        <f t="shared" si="425"/>
        <v>6</v>
      </c>
      <c r="J6820" t="str">
        <f t="shared" si="426"/>
        <v>Jun</v>
      </c>
      <c r="K6820" t="str">
        <f t="shared" si="427"/>
        <v>Tue</v>
      </c>
    </row>
    <row r="6821" spans="1:11" x14ac:dyDescent="0.35">
      <c r="A6821" s="1">
        <v>45463</v>
      </c>
      <c r="B6821">
        <v>182.91000366210901</v>
      </c>
      <c r="C6821">
        <v>186.509994506835</v>
      </c>
      <c r="D6821">
        <v>182.72000122070301</v>
      </c>
      <c r="E6821">
        <v>186.100006103515</v>
      </c>
      <c r="F6821">
        <v>186.100006103515</v>
      </c>
      <c r="G6821">
        <v>44726800</v>
      </c>
      <c r="H6821">
        <f t="shared" si="424"/>
        <v>2024</v>
      </c>
      <c r="I6821">
        <f t="shared" si="425"/>
        <v>6</v>
      </c>
      <c r="J6821" t="str">
        <f t="shared" si="426"/>
        <v>Jun</v>
      </c>
      <c r="K6821" t="str">
        <f t="shared" si="427"/>
        <v>Thu</v>
      </c>
    </row>
    <row r="6822" spans="1:11" x14ac:dyDescent="0.35">
      <c r="A6822" s="1">
        <v>45464</v>
      </c>
      <c r="B6822">
        <v>187.80000305175699</v>
      </c>
      <c r="C6822">
        <v>189.27999877929599</v>
      </c>
      <c r="D6822">
        <v>185.86000061035099</v>
      </c>
      <c r="E6822">
        <v>189.08000183105401</v>
      </c>
      <c r="F6822">
        <v>189.08000183105401</v>
      </c>
      <c r="G6822">
        <v>70792500</v>
      </c>
      <c r="H6822">
        <f t="shared" si="424"/>
        <v>2024</v>
      </c>
      <c r="I6822">
        <f t="shared" si="425"/>
        <v>6</v>
      </c>
      <c r="J6822" t="str">
        <f t="shared" si="426"/>
        <v>Jun</v>
      </c>
      <c r="K6822" t="str">
        <f t="shared" si="427"/>
        <v>Fri</v>
      </c>
    </row>
    <row r="6823" spans="1:11" x14ac:dyDescent="0.35">
      <c r="A6823" s="1">
        <v>45467</v>
      </c>
      <c r="B6823">
        <v>189.33000183105401</v>
      </c>
      <c r="C6823">
        <v>191</v>
      </c>
      <c r="D6823">
        <v>185.33000183105401</v>
      </c>
      <c r="E6823">
        <v>185.57000732421801</v>
      </c>
      <c r="F6823">
        <v>185.57000732421801</v>
      </c>
      <c r="G6823">
        <v>50610400</v>
      </c>
      <c r="H6823">
        <f t="shared" si="424"/>
        <v>2024</v>
      </c>
      <c r="I6823">
        <f t="shared" si="425"/>
        <v>6</v>
      </c>
      <c r="J6823" t="str">
        <f t="shared" si="426"/>
        <v>Jun</v>
      </c>
      <c r="K6823" t="str">
        <f t="shared" si="427"/>
        <v>Mon</v>
      </c>
    </row>
    <row r="6824" spans="1:11" x14ac:dyDescent="0.35">
      <c r="A6824" s="1">
        <v>45468</v>
      </c>
      <c r="B6824">
        <v>186.80999755859301</v>
      </c>
      <c r="C6824">
        <v>188.83999633789</v>
      </c>
      <c r="D6824">
        <v>185.419998168945</v>
      </c>
      <c r="E6824">
        <v>186.33999633789</v>
      </c>
      <c r="F6824">
        <v>186.33999633789</v>
      </c>
      <c r="G6824">
        <v>45366400</v>
      </c>
      <c r="H6824">
        <f t="shared" si="424"/>
        <v>2024</v>
      </c>
      <c r="I6824">
        <f t="shared" si="425"/>
        <v>6</v>
      </c>
      <c r="J6824" t="str">
        <f t="shared" si="426"/>
        <v>Jun</v>
      </c>
      <c r="K6824" t="str">
        <f t="shared" si="427"/>
        <v>Tue</v>
      </c>
    </row>
    <row r="6825" spans="1:11" x14ac:dyDescent="0.35">
      <c r="A6825" s="1">
        <v>45469</v>
      </c>
      <c r="B6825">
        <v>186.919998168945</v>
      </c>
      <c r="C6825">
        <v>194.80000305175699</v>
      </c>
      <c r="D6825">
        <v>186.259994506835</v>
      </c>
      <c r="E6825">
        <v>193.61000061035099</v>
      </c>
      <c r="F6825">
        <v>193.61000061035099</v>
      </c>
      <c r="G6825">
        <v>65103900</v>
      </c>
      <c r="H6825">
        <f t="shared" si="424"/>
        <v>2024</v>
      </c>
      <c r="I6825">
        <f t="shared" si="425"/>
        <v>6</v>
      </c>
      <c r="J6825" t="str">
        <f t="shared" si="426"/>
        <v>Jun</v>
      </c>
      <c r="K6825" t="str">
        <f t="shared" si="427"/>
        <v>Wed</v>
      </c>
    </row>
    <row r="6826" spans="1:11" x14ac:dyDescent="0.35">
      <c r="A6826" s="1">
        <v>45470</v>
      </c>
      <c r="B6826">
        <v>195.009994506835</v>
      </c>
      <c r="C6826">
        <v>199.83999633789</v>
      </c>
      <c r="D6826">
        <v>194.19999694824199</v>
      </c>
      <c r="E6826">
        <v>197.850006103515</v>
      </c>
      <c r="F6826">
        <v>197.850006103515</v>
      </c>
      <c r="G6826">
        <v>74397500</v>
      </c>
      <c r="H6826">
        <f t="shared" si="424"/>
        <v>2024</v>
      </c>
      <c r="I6826">
        <f t="shared" si="425"/>
        <v>6</v>
      </c>
      <c r="J6826" t="str">
        <f t="shared" si="426"/>
        <v>Jun</v>
      </c>
      <c r="K6826" t="str">
        <f t="shared" si="427"/>
        <v>Thu</v>
      </c>
    </row>
    <row r="6827" spans="1:11" x14ac:dyDescent="0.35">
      <c r="A6827" s="1">
        <v>45471</v>
      </c>
      <c r="B6827">
        <v>197.72999572753901</v>
      </c>
      <c r="C6827">
        <v>198.850006103515</v>
      </c>
      <c r="D6827">
        <v>192.5</v>
      </c>
      <c r="E6827">
        <v>193.25</v>
      </c>
      <c r="F6827">
        <v>193.25</v>
      </c>
      <c r="G6827">
        <v>76930200</v>
      </c>
      <c r="H6827">
        <f t="shared" si="424"/>
        <v>2024</v>
      </c>
      <c r="I6827">
        <f t="shared" si="425"/>
        <v>6</v>
      </c>
      <c r="J6827" t="str">
        <f t="shared" si="426"/>
        <v>Jun</v>
      </c>
      <c r="K6827" t="str">
        <f t="shared" si="427"/>
        <v>Fri</v>
      </c>
    </row>
    <row r="6828" spans="1:11" x14ac:dyDescent="0.35">
      <c r="A6828" s="1">
        <v>45474</v>
      </c>
      <c r="B6828">
        <v>193.49000549316401</v>
      </c>
      <c r="C6828">
        <v>198.30000305175699</v>
      </c>
      <c r="D6828">
        <v>192.82000732421801</v>
      </c>
      <c r="E6828">
        <v>197.19999694824199</v>
      </c>
      <c r="F6828">
        <v>197.19999694824199</v>
      </c>
      <c r="G6828">
        <v>41192000</v>
      </c>
      <c r="H6828">
        <f t="shared" si="424"/>
        <v>2024</v>
      </c>
      <c r="I6828">
        <f t="shared" si="425"/>
        <v>7</v>
      </c>
      <c r="J6828" t="str">
        <f t="shared" si="426"/>
        <v>Jul</v>
      </c>
      <c r="K6828" t="str">
        <f t="shared" si="427"/>
        <v>Mon</v>
      </c>
    </row>
    <row r="6829" spans="1:11" x14ac:dyDescent="0.35">
      <c r="A6829" s="1">
        <v>45475</v>
      </c>
      <c r="B6829">
        <v>197.27999877929599</v>
      </c>
      <c r="C6829">
        <v>200.42999267578099</v>
      </c>
      <c r="D6829">
        <v>195.92999267578099</v>
      </c>
      <c r="E6829">
        <v>200</v>
      </c>
      <c r="F6829">
        <v>200</v>
      </c>
      <c r="G6829">
        <v>45600000</v>
      </c>
      <c r="H6829">
        <f t="shared" si="424"/>
        <v>2024</v>
      </c>
      <c r="I6829">
        <f t="shared" si="425"/>
        <v>7</v>
      </c>
      <c r="J6829" t="str">
        <f t="shared" si="426"/>
        <v>Jul</v>
      </c>
      <c r="K6829" t="str">
        <f t="shared" si="427"/>
        <v>Tue</v>
      </c>
    </row>
    <row r="6830" spans="1:11" x14ac:dyDescent="0.35">
      <c r="A6830" s="1">
        <v>45476</v>
      </c>
      <c r="B6830">
        <v>199.94000244140599</v>
      </c>
      <c r="C6830">
        <v>200.02999877929599</v>
      </c>
      <c r="D6830">
        <v>196.759994506835</v>
      </c>
      <c r="E6830">
        <v>197.58999633789</v>
      </c>
      <c r="F6830">
        <v>197.58999633789</v>
      </c>
      <c r="G6830">
        <v>31597900</v>
      </c>
      <c r="H6830">
        <f t="shared" si="424"/>
        <v>2024</v>
      </c>
      <c r="I6830">
        <f t="shared" si="425"/>
        <v>7</v>
      </c>
      <c r="J6830" t="str">
        <f t="shared" si="426"/>
        <v>Jul</v>
      </c>
      <c r="K6830" t="str">
        <f t="shared" si="427"/>
        <v>Wed</v>
      </c>
    </row>
    <row r="6831" spans="1:11" x14ac:dyDescent="0.35">
      <c r="A6831" s="1">
        <v>45478</v>
      </c>
      <c r="B6831">
        <v>198.64999389648401</v>
      </c>
      <c r="C6831">
        <v>200.55000305175699</v>
      </c>
      <c r="D6831">
        <v>198.169998168945</v>
      </c>
      <c r="E6831">
        <v>200</v>
      </c>
      <c r="F6831">
        <v>200</v>
      </c>
      <c r="G6831">
        <v>39858900</v>
      </c>
      <c r="H6831">
        <f t="shared" si="424"/>
        <v>2024</v>
      </c>
      <c r="I6831">
        <f t="shared" si="425"/>
        <v>7</v>
      </c>
      <c r="J6831" t="str">
        <f t="shared" si="426"/>
        <v>Jul</v>
      </c>
      <c r="K6831" t="str">
        <f t="shared" si="427"/>
        <v>Fri</v>
      </c>
    </row>
    <row r="6832" spans="1:11" x14ac:dyDescent="0.35">
      <c r="A6832" s="1">
        <v>45481</v>
      </c>
      <c r="B6832">
        <v>200.03999328613199</v>
      </c>
      <c r="C6832">
        <v>201.19999694824199</v>
      </c>
      <c r="D6832">
        <v>197.96000671386699</v>
      </c>
      <c r="E6832">
        <v>199.28999328613199</v>
      </c>
      <c r="F6832">
        <v>199.28999328613199</v>
      </c>
      <c r="G6832">
        <v>34767300</v>
      </c>
      <c r="H6832">
        <f t="shared" si="424"/>
        <v>2024</v>
      </c>
      <c r="I6832">
        <f t="shared" si="425"/>
        <v>7</v>
      </c>
      <c r="J6832" t="str">
        <f t="shared" si="426"/>
        <v>Jul</v>
      </c>
      <c r="K6832" t="str">
        <f t="shared" si="427"/>
        <v>Mon</v>
      </c>
    </row>
    <row r="6833" spans="1:11" x14ac:dyDescent="0.35">
      <c r="A6833" s="1">
        <v>45482</v>
      </c>
      <c r="B6833">
        <v>199.39999389648401</v>
      </c>
      <c r="C6833">
        <v>200.57000732421801</v>
      </c>
      <c r="D6833">
        <v>199.05000305175699</v>
      </c>
      <c r="E6833">
        <v>199.33999633789</v>
      </c>
      <c r="F6833">
        <v>199.33999633789</v>
      </c>
      <c r="G6833">
        <v>32700100</v>
      </c>
      <c r="H6833">
        <f t="shared" si="424"/>
        <v>2024</v>
      </c>
      <c r="I6833">
        <f t="shared" si="425"/>
        <v>7</v>
      </c>
      <c r="J6833" t="str">
        <f t="shared" si="426"/>
        <v>Jul</v>
      </c>
      <c r="K6833" t="str">
        <f t="shared" si="427"/>
        <v>Tue</v>
      </c>
    </row>
    <row r="6834" spans="1:11" x14ac:dyDescent="0.35">
      <c r="A6834" s="1">
        <v>45483</v>
      </c>
      <c r="B6834">
        <v>200</v>
      </c>
      <c r="C6834">
        <v>200.11000061035099</v>
      </c>
      <c r="D6834">
        <v>197.69000244140599</v>
      </c>
      <c r="E6834">
        <v>199.78999328613199</v>
      </c>
      <c r="F6834">
        <v>199.78999328613199</v>
      </c>
      <c r="G6834">
        <v>32883800</v>
      </c>
      <c r="H6834">
        <f t="shared" si="424"/>
        <v>2024</v>
      </c>
      <c r="I6834">
        <f t="shared" si="425"/>
        <v>7</v>
      </c>
      <c r="J6834" t="str">
        <f t="shared" si="426"/>
        <v>Jul</v>
      </c>
      <c r="K6834" t="str">
        <f t="shared" si="427"/>
        <v>Wed</v>
      </c>
    </row>
    <row r="6835" spans="1:11" x14ac:dyDescent="0.35">
      <c r="A6835" s="1">
        <v>45484</v>
      </c>
      <c r="B6835">
        <v>200.08999633789</v>
      </c>
      <c r="C6835">
        <v>200.27000427246</v>
      </c>
      <c r="D6835">
        <v>192.86000061035099</v>
      </c>
      <c r="E6835">
        <v>195.05000305175699</v>
      </c>
      <c r="F6835">
        <v>195.05000305175699</v>
      </c>
      <c r="G6835">
        <v>44565000</v>
      </c>
      <c r="H6835">
        <f t="shared" si="424"/>
        <v>2024</v>
      </c>
      <c r="I6835">
        <f t="shared" si="425"/>
        <v>7</v>
      </c>
      <c r="J6835" t="str">
        <f t="shared" si="426"/>
        <v>Jul</v>
      </c>
      <c r="K6835" t="str">
        <f t="shared" si="427"/>
        <v>Thu</v>
      </c>
    </row>
    <row r="6836" spans="1:11" x14ac:dyDescent="0.35">
      <c r="A6836" s="1">
        <v>45485</v>
      </c>
      <c r="B6836">
        <v>194.80000305175699</v>
      </c>
      <c r="C6836">
        <v>196.47000122070301</v>
      </c>
      <c r="D6836">
        <v>193.83000183105401</v>
      </c>
      <c r="E6836">
        <v>194.49000549316401</v>
      </c>
      <c r="F6836">
        <v>194.49000549316401</v>
      </c>
      <c r="G6836">
        <v>30598500</v>
      </c>
      <c r="H6836">
        <f t="shared" si="424"/>
        <v>2024</v>
      </c>
      <c r="I6836">
        <f t="shared" si="425"/>
        <v>7</v>
      </c>
      <c r="J6836" t="str">
        <f t="shared" si="426"/>
        <v>Jul</v>
      </c>
      <c r="K6836" t="str">
        <f t="shared" si="427"/>
        <v>Fri</v>
      </c>
    </row>
    <row r="6837" spans="1:11" x14ac:dyDescent="0.35">
      <c r="A6837" s="1">
        <v>45488</v>
      </c>
      <c r="B6837">
        <v>194.55999755859301</v>
      </c>
      <c r="C6837">
        <v>196.19000244140599</v>
      </c>
      <c r="D6837">
        <v>190.83000183105401</v>
      </c>
      <c r="E6837">
        <v>192.72000122070301</v>
      </c>
      <c r="F6837">
        <v>192.72000122070301</v>
      </c>
      <c r="G6837">
        <v>40683200</v>
      </c>
      <c r="H6837">
        <f t="shared" si="424"/>
        <v>2024</v>
      </c>
      <c r="I6837">
        <f t="shared" si="425"/>
        <v>7</v>
      </c>
      <c r="J6837" t="str">
        <f t="shared" si="426"/>
        <v>Jul</v>
      </c>
      <c r="K6837" t="str">
        <f t="shared" si="427"/>
        <v>Mon</v>
      </c>
    </row>
    <row r="6838" spans="1:11" x14ac:dyDescent="0.35">
      <c r="A6838" s="1">
        <v>45489</v>
      </c>
      <c r="B6838">
        <v>195.58999633789</v>
      </c>
      <c r="C6838">
        <v>196.61999511718699</v>
      </c>
      <c r="D6838">
        <v>192.24000549316401</v>
      </c>
      <c r="E6838">
        <v>193.02000427246</v>
      </c>
      <c r="F6838">
        <v>193.02000427246</v>
      </c>
      <c r="G6838">
        <v>33994700</v>
      </c>
      <c r="H6838">
        <f t="shared" si="424"/>
        <v>2024</v>
      </c>
      <c r="I6838">
        <f t="shared" si="425"/>
        <v>7</v>
      </c>
      <c r="J6838" t="str">
        <f t="shared" si="426"/>
        <v>Jul</v>
      </c>
      <c r="K6838" t="str">
        <f t="shared" si="427"/>
        <v>Tue</v>
      </c>
    </row>
    <row r="6839" spans="1:11" x14ac:dyDescent="0.35">
      <c r="A6839" s="1">
        <v>45490</v>
      </c>
      <c r="B6839">
        <v>191.350006103515</v>
      </c>
      <c r="C6839">
        <v>191.58000183105401</v>
      </c>
      <c r="D6839">
        <v>185.99000549316401</v>
      </c>
      <c r="E6839">
        <v>187.92999267578099</v>
      </c>
      <c r="F6839">
        <v>187.92999267578099</v>
      </c>
      <c r="G6839">
        <v>48076100</v>
      </c>
      <c r="H6839">
        <f t="shared" si="424"/>
        <v>2024</v>
      </c>
      <c r="I6839">
        <f t="shared" si="425"/>
        <v>7</v>
      </c>
      <c r="J6839" t="str">
        <f t="shared" si="426"/>
        <v>Jul</v>
      </c>
      <c r="K6839" t="str">
        <f t="shared" si="427"/>
        <v>Wed</v>
      </c>
    </row>
    <row r="6840" spans="1:11" x14ac:dyDescent="0.35">
      <c r="A6840" s="1">
        <v>45491</v>
      </c>
      <c r="B6840">
        <v>189.58999633789</v>
      </c>
      <c r="C6840">
        <v>189.67999267578099</v>
      </c>
      <c r="D6840">
        <v>181.44999694824199</v>
      </c>
      <c r="E6840">
        <v>183.75</v>
      </c>
      <c r="F6840">
        <v>183.75</v>
      </c>
      <c r="G6840">
        <v>51043600</v>
      </c>
      <c r="H6840">
        <f t="shared" si="424"/>
        <v>2024</v>
      </c>
      <c r="I6840">
        <f t="shared" si="425"/>
        <v>7</v>
      </c>
      <c r="J6840" t="str">
        <f t="shared" si="426"/>
        <v>Jul</v>
      </c>
      <c r="K6840" t="str">
        <f t="shared" si="427"/>
        <v>Thu</v>
      </c>
    </row>
    <row r="6841" spans="1:11" x14ac:dyDescent="0.35">
      <c r="A6841" s="1">
        <v>45492</v>
      </c>
      <c r="B6841">
        <v>181.13999938964801</v>
      </c>
      <c r="C6841">
        <v>184.92999267578099</v>
      </c>
      <c r="D6841">
        <v>180.11000061035099</v>
      </c>
      <c r="E6841">
        <v>183.13000488281199</v>
      </c>
      <c r="F6841">
        <v>183.13000488281199</v>
      </c>
      <c r="G6841">
        <v>43081800</v>
      </c>
      <c r="H6841">
        <f t="shared" si="424"/>
        <v>2024</v>
      </c>
      <c r="I6841">
        <f t="shared" si="425"/>
        <v>7</v>
      </c>
      <c r="J6841" t="str">
        <f t="shared" si="426"/>
        <v>Jul</v>
      </c>
      <c r="K6841" t="str">
        <f t="shared" si="427"/>
        <v>Fri</v>
      </c>
    </row>
    <row r="6842" spans="1:11" x14ac:dyDescent="0.35">
      <c r="A6842" s="1">
        <v>45495</v>
      </c>
      <c r="B6842">
        <v>185</v>
      </c>
      <c r="C6842">
        <v>185.05999755859301</v>
      </c>
      <c r="D6842">
        <v>182.47999572753901</v>
      </c>
      <c r="E6842">
        <v>182.55000305175699</v>
      </c>
      <c r="F6842">
        <v>182.55000305175699</v>
      </c>
      <c r="G6842">
        <v>39931900</v>
      </c>
      <c r="H6842">
        <f t="shared" si="424"/>
        <v>2024</v>
      </c>
      <c r="I6842">
        <f t="shared" si="425"/>
        <v>7</v>
      </c>
      <c r="J6842" t="str">
        <f t="shared" si="426"/>
        <v>Jul</v>
      </c>
      <c r="K6842" t="str">
        <f t="shared" si="427"/>
        <v>Mon</v>
      </c>
    </row>
    <row r="6843" spans="1:11" x14ac:dyDescent="0.35">
      <c r="A6843" s="1">
        <v>45496</v>
      </c>
      <c r="B6843">
        <v>184.100006103515</v>
      </c>
      <c r="C6843">
        <v>189.38999938964801</v>
      </c>
      <c r="D6843">
        <v>183.55999755859301</v>
      </c>
      <c r="E6843">
        <v>186.41000366210901</v>
      </c>
      <c r="F6843">
        <v>186.41000366210901</v>
      </c>
      <c r="G6843">
        <v>47537700</v>
      </c>
      <c r="H6843">
        <f t="shared" si="424"/>
        <v>2024</v>
      </c>
      <c r="I6843">
        <f t="shared" si="425"/>
        <v>7</v>
      </c>
      <c r="J6843" t="str">
        <f t="shared" si="426"/>
        <v>Jul</v>
      </c>
      <c r="K6843" t="str">
        <f t="shared" si="427"/>
        <v>Tue</v>
      </c>
    </row>
    <row r="6844" spans="1:11" x14ac:dyDescent="0.35">
      <c r="A6844" s="1">
        <v>45497</v>
      </c>
      <c r="B6844">
        <v>183.19999694824199</v>
      </c>
      <c r="C6844">
        <v>185.44999694824199</v>
      </c>
      <c r="D6844">
        <v>180.41000366210901</v>
      </c>
      <c r="E6844">
        <v>180.83000183105401</v>
      </c>
      <c r="F6844">
        <v>180.83000183105401</v>
      </c>
      <c r="G6844">
        <v>41532400</v>
      </c>
      <c r="H6844">
        <f t="shared" si="424"/>
        <v>2024</v>
      </c>
      <c r="I6844">
        <f t="shared" si="425"/>
        <v>7</v>
      </c>
      <c r="J6844" t="str">
        <f t="shared" si="426"/>
        <v>Jul</v>
      </c>
      <c r="K6844" t="str">
        <f t="shared" si="427"/>
        <v>Wed</v>
      </c>
    </row>
    <row r="6845" spans="1:11" x14ac:dyDescent="0.35">
      <c r="A6845" s="1">
        <v>45498</v>
      </c>
      <c r="B6845">
        <v>182.91000366210901</v>
      </c>
      <c r="C6845">
        <v>183.89999389648401</v>
      </c>
      <c r="D6845">
        <v>176.80000305175699</v>
      </c>
      <c r="E6845">
        <v>179.850006103515</v>
      </c>
      <c r="F6845">
        <v>179.850006103515</v>
      </c>
      <c r="G6845">
        <v>44464200</v>
      </c>
      <c r="H6845">
        <f t="shared" si="424"/>
        <v>2024</v>
      </c>
      <c r="I6845">
        <f t="shared" si="425"/>
        <v>7</v>
      </c>
      <c r="J6845" t="str">
        <f t="shared" si="426"/>
        <v>Jul</v>
      </c>
      <c r="K6845" t="str">
        <f t="shared" si="427"/>
        <v>Thu</v>
      </c>
    </row>
    <row r="6846" spans="1:11" x14ac:dyDescent="0.35">
      <c r="A6846" s="1">
        <v>45499</v>
      </c>
      <c r="B6846">
        <v>180.38999938964801</v>
      </c>
      <c r="C6846">
        <v>183.19000244140599</v>
      </c>
      <c r="D6846">
        <v>180.24000549316401</v>
      </c>
      <c r="E6846">
        <v>182.5</v>
      </c>
      <c r="F6846">
        <v>182.5</v>
      </c>
      <c r="G6846">
        <v>29506000</v>
      </c>
      <c r="H6846">
        <f t="shared" si="424"/>
        <v>2024</v>
      </c>
      <c r="I6846">
        <f t="shared" si="425"/>
        <v>7</v>
      </c>
      <c r="J6846" t="str">
        <f t="shared" si="426"/>
        <v>Jul</v>
      </c>
      <c r="K6846" t="str">
        <f t="shared" si="427"/>
        <v>Fri</v>
      </c>
    </row>
    <row r="6847" spans="1:11" x14ac:dyDescent="0.35">
      <c r="A6847" s="1">
        <v>45502</v>
      </c>
      <c r="B6847">
        <v>183.83999633789</v>
      </c>
      <c r="C6847">
        <v>184.75</v>
      </c>
      <c r="D6847">
        <v>182.38000488281199</v>
      </c>
      <c r="E6847">
        <v>183.19999694824199</v>
      </c>
      <c r="F6847">
        <v>183.19999694824199</v>
      </c>
      <c r="G6847">
        <v>33270100</v>
      </c>
      <c r="H6847">
        <f t="shared" si="424"/>
        <v>2024</v>
      </c>
      <c r="I6847">
        <f t="shared" si="425"/>
        <v>7</v>
      </c>
      <c r="J6847" t="str">
        <f t="shared" si="426"/>
        <v>Jul</v>
      </c>
      <c r="K6847" t="str">
        <f t="shared" si="427"/>
        <v>Mon</v>
      </c>
    </row>
    <row r="6848" spans="1:11" x14ac:dyDescent="0.35">
      <c r="A6848" s="1">
        <v>45503</v>
      </c>
      <c r="B6848">
        <v>184.72000122070301</v>
      </c>
      <c r="C6848">
        <v>185.86000061035099</v>
      </c>
      <c r="D6848">
        <v>179.38000488281199</v>
      </c>
      <c r="E6848">
        <v>181.71000671386699</v>
      </c>
      <c r="F6848">
        <v>181.71000671386699</v>
      </c>
      <c r="G6848">
        <v>39508600</v>
      </c>
      <c r="H6848">
        <f t="shared" si="424"/>
        <v>2024</v>
      </c>
      <c r="I6848">
        <f t="shared" si="425"/>
        <v>7</v>
      </c>
      <c r="J6848" t="str">
        <f t="shared" si="426"/>
        <v>Jul</v>
      </c>
      <c r="K6848" t="str">
        <f t="shared" si="427"/>
        <v>Tue</v>
      </c>
    </row>
    <row r="6849" spans="1:11" x14ac:dyDescent="0.35">
      <c r="A6849" s="1">
        <v>45504</v>
      </c>
      <c r="B6849">
        <v>185.05000305175699</v>
      </c>
      <c r="C6849">
        <v>187.94000244140599</v>
      </c>
      <c r="D6849">
        <v>184.46000671386699</v>
      </c>
      <c r="E6849">
        <v>186.97999572753901</v>
      </c>
      <c r="F6849">
        <v>186.97999572753901</v>
      </c>
      <c r="G6849">
        <v>41667300</v>
      </c>
      <c r="H6849">
        <f t="shared" si="424"/>
        <v>2024</v>
      </c>
      <c r="I6849">
        <f t="shared" si="425"/>
        <v>7</v>
      </c>
      <c r="J6849" t="str">
        <f t="shared" si="426"/>
        <v>Jul</v>
      </c>
      <c r="K6849" t="str">
        <f t="shared" si="427"/>
        <v>Wed</v>
      </c>
    </row>
    <row r="6850" spans="1:11" x14ac:dyDescent="0.35">
      <c r="A6850" s="1">
        <v>45505</v>
      </c>
      <c r="B6850">
        <v>189.28999328613199</v>
      </c>
      <c r="C6850">
        <v>190.600006103515</v>
      </c>
      <c r="D6850">
        <v>181.86999511718699</v>
      </c>
      <c r="E6850">
        <v>184.07000732421801</v>
      </c>
      <c r="F6850">
        <v>184.07000732421801</v>
      </c>
      <c r="G6850">
        <v>70435600</v>
      </c>
      <c r="H6850">
        <f t="shared" si="424"/>
        <v>2024</v>
      </c>
      <c r="I6850">
        <f t="shared" si="425"/>
        <v>8</v>
      </c>
      <c r="J6850" t="str">
        <f t="shared" si="426"/>
        <v>Aug</v>
      </c>
      <c r="K6850" t="str">
        <f t="shared" si="427"/>
        <v>Thu</v>
      </c>
    </row>
    <row r="6851" spans="1:11" x14ac:dyDescent="0.35">
      <c r="A6851" s="1">
        <v>45506</v>
      </c>
      <c r="B6851">
        <v>166.75</v>
      </c>
      <c r="C6851">
        <v>168.77000427246</v>
      </c>
      <c r="D6851">
        <v>160.55000305175699</v>
      </c>
      <c r="E6851">
        <v>167.89999389648401</v>
      </c>
      <c r="F6851">
        <v>167.89999389648401</v>
      </c>
      <c r="G6851">
        <v>141448400</v>
      </c>
      <c r="H6851">
        <f t="shared" si="424"/>
        <v>2024</v>
      </c>
      <c r="I6851">
        <f t="shared" si="425"/>
        <v>8</v>
      </c>
      <c r="J6851" t="str">
        <f t="shared" si="426"/>
        <v>Aug</v>
      </c>
      <c r="K6851" t="str">
        <f t="shared" si="427"/>
        <v>Fri</v>
      </c>
    </row>
    <row r="6852" spans="1:11" x14ac:dyDescent="0.35">
      <c r="A6852" s="1">
        <v>45509</v>
      </c>
      <c r="B6852">
        <v>154.21000671386699</v>
      </c>
      <c r="C6852">
        <v>162.96000671386699</v>
      </c>
      <c r="D6852">
        <v>151.61000061035099</v>
      </c>
      <c r="E6852">
        <v>161.02000427246</v>
      </c>
      <c r="F6852">
        <v>161.02000427246</v>
      </c>
      <c r="G6852">
        <v>83149400</v>
      </c>
      <c r="H6852">
        <f t="shared" ref="H6852:H6915" si="428">YEAR($A6852)</f>
        <v>2024</v>
      </c>
      <c r="I6852">
        <f t="shared" ref="I6852:I6915" si="429">MONTH($A6852)</f>
        <v>8</v>
      </c>
      <c r="J6852" t="str">
        <f t="shared" ref="J6852:J6915" si="430">TEXT($A6852,"mmm")</f>
        <v>Aug</v>
      </c>
      <c r="K6852" t="str">
        <f t="shared" ref="K6852:K6915" si="431">TEXT($A6852,"ddd")</f>
        <v>Mon</v>
      </c>
    </row>
    <row r="6853" spans="1:11" x14ac:dyDescent="0.35">
      <c r="A6853" s="1">
        <v>45510</v>
      </c>
      <c r="B6853">
        <v>161.71000671386699</v>
      </c>
      <c r="C6853">
        <v>165.08000183105401</v>
      </c>
      <c r="D6853">
        <v>158.53999328613199</v>
      </c>
      <c r="E6853">
        <v>161.92999267578099</v>
      </c>
      <c r="F6853">
        <v>161.92999267578099</v>
      </c>
      <c r="G6853">
        <v>59950800</v>
      </c>
      <c r="H6853">
        <f t="shared" si="428"/>
        <v>2024</v>
      </c>
      <c r="I6853">
        <f t="shared" si="429"/>
        <v>8</v>
      </c>
      <c r="J6853" t="str">
        <f t="shared" si="430"/>
        <v>Aug</v>
      </c>
      <c r="K6853" t="str">
        <f t="shared" si="431"/>
        <v>Tue</v>
      </c>
    </row>
    <row r="6854" spans="1:11" x14ac:dyDescent="0.35">
      <c r="A6854" s="1">
        <v>45511</v>
      </c>
      <c r="B6854">
        <v>166.55000305175699</v>
      </c>
      <c r="C6854">
        <v>167.58000183105401</v>
      </c>
      <c r="D6854">
        <v>161.42999267578099</v>
      </c>
      <c r="E6854">
        <v>162.77000427246</v>
      </c>
      <c r="F6854">
        <v>162.77000427246</v>
      </c>
      <c r="G6854">
        <v>48408200</v>
      </c>
      <c r="H6854">
        <f t="shared" si="428"/>
        <v>2024</v>
      </c>
      <c r="I6854">
        <f t="shared" si="429"/>
        <v>8</v>
      </c>
      <c r="J6854" t="str">
        <f t="shared" si="430"/>
        <v>Aug</v>
      </c>
      <c r="K6854" t="str">
        <f t="shared" si="431"/>
        <v>Wed</v>
      </c>
    </row>
    <row r="6855" spans="1:11" x14ac:dyDescent="0.35">
      <c r="A6855" s="1">
        <v>45512</v>
      </c>
      <c r="B6855">
        <v>165.169998168945</v>
      </c>
      <c r="C6855">
        <v>166.69000244140599</v>
      </c>
      <c r="D6855">
        <v>162.55000305175699</v>
      </c>
      <c r="E6855">
        <v>165.80000305175699</v>
      </c>
      <c r="F6855">
        <v>165.80000305175699</v>
      </c>
      <c r="G6855">
        <v>44616200</v>
      </c>
      <c r="H6855">
        <f t="shared" si="428"/>
        <v>2024</v>
      </c>
      <c r="I6855">
        <f t="shared" si="429"/>
        <v>8</v>
      </c>
      <c r="J6855" t="str">
        <f t="shared" si="430"/>
        <v>Aug</v>
      </c>
      <c r="K6855" t="str">
        <f t="shared" si="431"/>
        <v>Thu</v>
      </c>
    </row>
    <row r="6856" spans="1:11" x14ac:dyDescent="0.35">
      <c r="A6856" s="1">
        <v>45513</v>
      </c>
      <c r="B6856">
        <v>166.39999389648401</v>
      </c>
      <c r="C6856">
        <v>168.55000305175699</v>
      </c>
      <c r="D6856">
        <v>165.850006103515</v>
      </c>
      <c r="E6856">
        <v>166.94000244140599</v>
      </c>
      <c r="F6856">
        <v>166.94000244140599</v>
      </c>
      <c r="G6856">
        <v>36401000</v>
      </c>
      <c r="H6856">
        <f t="shared" si="428"/>
        <v>2024</v>
      </c>
      <c r="I6856">
        <f t="shared" si="429"/>
        <v>8</v>
      </c>
      <c r="J6856" t="str">
        <f t="shared" si="430"/>
        <v>Aug</v>
      </c>
      <c r="K6856" t="str">
        <f t="shared" si="431"/>
        <v>Fri</v>
      </c>
    </row>
    <row r="6857" spans="1:11" x14ac:dyDescent="0.35">
      <c r="A6857" s="1">
        <v>45516</v>
      </c>
      <c r="B6857">
        <v>168.13999938964801</v>
      </c>
      <c r="C6857">
        <v>168.55000305175699</v>
      </c>
      <c r="D6857">
        <v>166.11000061035099</v>
      </c>
      <c r="E6857">
        <v>166.80000305175699</v>
      </c>
      <c r="F6857">
        <v>166.80000305175699</v>
      </c>
      <c r="G6857">
        <v>30072800</v>
      </c>
      <c r="H6857">
        <f t="shared" si="428"/>
        <v>2024</v>
      </c>
      <c r="I6857">
        <f t="shared" si="429"/>
        <v>8</v>
      </c>
      <c r="J6857" t="str">
        <f t="shared" si="430"/>
        <v>Aug</v>
      </c>
      <c r="K6857" t="str">
        <f t="shared" si="431"/>
        <v>Mon</v>
      </c>
    </row>
    <row r="6858" spans="1:11" x14ac:dyDescent="0.35">
      <c r="A6858" s="1">
        <v>45517</v>
      </c>
      <c r="B6858">
        <v>167.80999755859301</v>
      </c>
      <c r="C6858">
        <v>171.03999328613199</v>
      </c>
      <c r="D6858">
        <v>167.100006103515</v>
      </c>
      <c r="E6858">
        <v>170.22999572753901</v>
      </c>
      <c r="F6858">
        <v>170.22999572753901</v>
      </c>
      <c r="G6858">
        <v>39237900</v>
      </c>
      <c r="H6858">
        <f t="shared" si="428"/>
        <v>2024</v>
      </c>
      <c r="I6858">
        <f t="shared" si="429"/>
        <v>8</v>
      </c>
      <c r="J6858" t="str">
        <f t="shared" si="430"/>
        <v>Aug</v>
      </c>
      <c r="K6858" t="str">
        <f t="shared" si="431"/>
        <v>Tue</v>
      </c>
    </row>
    <row r="6859" spans="1:11" x14ac:dyDescent="0.35">
      <c r="A6859" s="1">
        <v>45518</v>
      </c>
      <c r="B6859">
        <v>172.11000061035099</v>
      </c>
      <c r="C6859">
        <v>172.27999877929599</v>
      </c>
      <c r="D6859">
        <v>168.86000061035099</v>
      </c>
      <c r="E6859">
        <v>170.100006103515</v>
      </c>
      <c r="F6859">
        <v>170.100006103515</v>
      </c>
      <c r="G6859">
        <v>28843800</v>
      </c>
      <c r="H6859">
        <f t="shared" si="428"/>
        <v>2024</v>
      </c>
      <c r="I6859">
        <f t="shared" si="429"/>
        <v>8</v>
      </c>
      <c r="J6859" t="str">
        <f t="shared" si="430"/>
        <v>Aug</v>
      </c>
      <c r="K6859" t="str">
        <f t="shared" si="431"/>
        <v>Wed</v>
      </c>
    </row>
    <row r="6860" spans="1:11" x14ac:dyDescent="0.35">
      <c r="A6860" s="1">
        <v>45519</v>
      </c>
      <c r="B6860">
        <v>174.86000061035099</v>
      </c>
      <c r="C6860">
        <v>177.91000366210901</v>
      </c>
      <c r="D6860">
        <v>173.99000549316401</v>
      </c>
      <c r="E6860">
        <v>177.58999633789</v>
      </c>
      <c r="F6860">
        <v>177.58999633789</v>
      </c>
      <c r="G6860">
        <v>51698500</v>
      </c>
      <c r="H6860">
        <f t="shared" si="428"/>
        <v>2024</v>
      </c>
      <c r="I6860">
        <f t="shared" si="429"/>
        <v>8</v>
      </c>
      <c r="J6860" t="str">
        <f t="shared" si="430"/>
        <v>Aug</v>
      </c>
      <c r="K6860" t="str">
        <f t="shared" si="431"/>
        <v>Thu</v>
      </c>
    </row>
    <row r="6861" spans="1:11" x14ac:dyDescent="0.35">
      <c r="A6861" s="1">
        <v>45520</v>
      </c>
      <c r="B6861">
        <v>177.03999328613199</v>
      </c>
      <c r="C6861">
        <v>178.33999633789</v>
      </c>
      <c r="D6861">
        <v>176.259994506835</v>
      </c>
      <c r="E6861">
        <v>177.05999755859301</v>
      </c>
      <c r="F6861">
        <v>177.05999755859301</v>
      </c>
      <c r="G6861">
        <v>31489200</v>
      </c>
      <c r="H6861">
        <f t="shared" si="428"/>
        <v>2024</v>
      </c>
      <c r="I6861">
        <f t="shared" si="429"/>
        <v>8</v>
      </c>
      <c r="J6861" t="str">
        <f t="shared" si="430"/>
        <v>Aug</v>
      </c>
      <c r="K6861" t="str">
        <f t="shared" si="431"/>
        <v>Fri</v>
      </c>
    </row>
    <row r="6862" spans="1:11" x14ac:dyDescent="0.35">
      <c r="A6862" s="1">
        <v>45523</v>
      </c>
      <c r="B6862">
        <v>177.63999938964801</v>
      </c>
      <c r="C6862">
        <v>178.30000305175699</v>
      </c>
      <c r="D6862">
        <v>176.16000366210901</v>
      </c>
      <c r="E6862">
        <v>178.22000122070301</v>
      </c>
      <c r="F6862">
        <v>178.22000122070301</v>
      </c>
      <c r="G6862">
        <v>31129800</v>
      </c>
      <c r="H6862">
        <f t="shared" si="428"/>
        <v>2024</v>
      </c>
      <c r="I6862">
        <f t="shared" si="429"/>
        <v>8</v>
      </c>
      <c r="J6862" t="str">
        <f t="shared" si="430"/>
        <v>Aug</v>
      </c>
      <c r="K6862" t="str">
        <f t="shared" si="431"/>
        <v>Mon</v>
      </c>
    </row>
    <row r="6863" spans="1:11" x14ac:dyDescent="0.35">
      <c r="A6863" s="1">
        <v>45524</v>
      </c>
      <c r="B6863">
        <v>177.919998168945</v>
      </c>
      <c r="C6863">
        <v>179.009994506835</v>
      </c>
      <c r="D6863">
        <v>177.42999267578099</v>
      </c>
      <c r="E6863">
        <v>178.88000488281199</v>
      </c>
      <c r="F6863">
        <v>178.88000488281199</v>
      </c>
      <c r="G6863">
        <v>26255200</v>
      </c>
      <c r="H6863">
        <f t="shared" si="428"/>
        <v>2024</v>
      </c>
      <c r="I6863">
        <f t="shared" si="429"/>
        <v>8</v>
      </c>
      <c r="J6863" t="str">
        <f t="shared" si="430"/>
        <v>Aug</v>
      </c>
      <c r="K6863" t="str">
        <f t="shared" si="431"/>
        <v>Tue</v>
      </c>
    </row>
    <row r="6864" spans="1:11" x14ac:dyDescent="0.35">
      <c r="A6864" s="1">
        <v>45525</v>
      </c>
      <c r="B6864">
        <v>179.919998168945</v>
      </c>
      <c r="C6864">
        <v>182.38999938964801</v>
      </c>
      <c r="D6864">
        <v>178.88999938964801</v>
      </c>
      <c r="E6864">
        <v>180.11000061035099</v>
      </c>
      <c r="F6864">
        <v>180.11000061035099</v>
      </c>
      <c r="G6864">
        <v>35599100</v>
      </c>
      <c r="H6864">
        <f t="shared" si="428"/>
        <v>2024</v>
      </c>
      <c r="I6864">
        <f t="shared" si="429"/>
        <v>8</v>
      </c>
      <c r="J6864" t="str">
        <f t="shared" si="430"/>
        <v>Aug</v>
      </c>
      <c r="K6864" t="str">
        <f t="shared" si="431"/>
        <v>Wed</v>
      </c>
    </row>
    <row r="6865" spans="1:11" x14ac:dyDescent="0.35">
      <c r="A6865" s="1">
        <v>45526</v>
      </c>
      <c r="B6865">
        <v>181.38000488281199</v>
      </c>
      <c r="C6865">
        <v>181.47000122070301</v>
      </c>
      <c r="D6865">
        <v>175.67999267578099</v>
      </c>
      <c r="E6865">
        <v>176.13000488281199</v>
      </c>
      <c r="F6865">
        <v>176.13000488281199</v>
      </c>
      <c r="G6865">
        <v>32047500</v>
      </c>
      <c r="H6865">
        <f t="shared" si="428"/>
        <v>2024</v>
      </c>
      <c r="I6865">
        <f t="shared" si="429"/>
        <v>8</v>
      </c>
      <c r="J6865" t="str">
        <f t="shared" si="430"/>
        <v>Aug</v>
      </c>
      <c r="K6865" t="str">
        <f t="shared" si="431"/>
        <v>Thu</v>
      </c>
    </row>
    <row r="6866" spans="1:11" x14ac:dyDescent="0.35">
      <c r="A6866" s="1">
        <v>45527</v>
      </c>
      <c r="B6866">
        <v>177.33999633789</v>
      </c>
      <c r="C6866">
        <v>178.97000122070301</v>
      </c>
      <c r="D6866">
        <v>175.24000549316401</v>
      </c>
      <c r="E6866">
        <v>177.03999328613199</v>
      </c>
      <c r="F6866">
        <v>177.03999328613199</v>
      </c>
      <c r="G6866">
        <v>29150100</v>
      </c>
      <c r="H6866">
        <f t="shared" si="428"/>
        <v>2024</v>
      </c>
      <c r="I6866">
        <f t="shared" si="429"/>
        <v>8</v>
      </c>
      <c r="J6866" t="str">
        <f t="shared" si="430"/>
        <v>Aug</v>
      </c>
      <c r="K6866" t="str">
        <f t="shared" si="431"/>
        <v>Fri</v>
      </c>
    </row>
    <row r="6867" spans="1:11" x14ac:dyDescent="0.35">
      <c r="A6867" s="1">
        <v>45530</v>
      </c>
      <c r="B6867">
        <v>176.69999694824199</v>
      </c>
      <c r="C6867">
        <v>177.47000122070301</v>
      </c>
      <c r="D6867">
        <v>174.30000305175699</v>
      </c>
      <c r="E6867">
        <v>175.5</v>
      </c>
      <c r="F6867">
        <v>175.5</v>
      </c>
      <c r="G6867">
        <v>22366200</v>
      </c>
      <c r="H6867">
        <f t="shared" si="428"/>
        <v>2024</v>
      </c>
      <c r="I6867">
        <f t="shared" si="429"/>
        <v>8</v>
      </c>
      <c r="J6867" t="str">
        <f t="shared" si="430"/>
        <v>Aug</v>
      </c>
      <c r="K6867" t="str">
        <f t="shared" si="431"/>
        <v>Mon</v>
      </c>
    </row>
    <row r="6868" spans="1:11" x14ac:dyDescent="0.35">
      <c r="A6868" s="1">
        <v>45531</v>
      </c>
      <c r="B6868">
        <v>174.14999389648401</v>
      </c>
      <c r="C6868">
        <v>174.88999938964801</v>
      </c>
      <c r="D6868">
        <v>172.25</v>
      </c>
      <c r="E6868">
        <v>173.11999511718699</v>
      </c>
      <c r="F6868">
        <v>173.11999511718699</v>
      </c>
      <c r="G6868">
        <v>29842000</v>
      </c>
      <c r="H6868">
        <f t="shared" si="428"/>
        <v>2024</v>
      </c>
      <c r="I6868">
        <f t="shared" si="429"/>
        <v>8</v>
      </c>
      <c r="J6868" t="str">
        <f t="shared" si="430"/>
        <v>Aug</v>
      </c>
      <c r="K6868" t="str">
        <f t="shared" si="431"/>
        <v>Tue</v>
      </c>
    </row>
    <row r="6869" spans="1:11" x14ac:dyDescent="0.35">
      <c r="A6869" s="1">
        <v>45532</v>
      </c>
      <c r="B6869">
        <v>173.69000244140599</v>
      </c>
      <c r="C6869">
        <v>173.69000244140599</v>
      </c>
      <c r="D6869">
        <v>168.919998168945</v>
      </c>
      <c r="E6869">
        <v>170.80000305175699</v>
      </c>
      <c r="F6869">
        <v>170.80000305175699</v>
      </c>
      <c r="G6869">
        <v>29045000</v>
      </c>
      <c r="H6869">
        <f t="shared" si="428"/>
        <v>2024</v>
      </c>
      <c r="I6869">
        <f t="shared" si="429"/>
        <v>8</v>
      </c>
      <c r="J6869" t="str">
        <f t="shared" si="430"/>
        <v>Aug</v>
      </c>
      <c r="K6869" t="str">
        <f t="shared" si="431"/>
        <v>Wed</v>
      </c>
    </row>
    <row r="6870" spans="1:11" x14ac:dyDescent="0.35">
      <c r="A6870" s="1">
        <v>45533</v>
      </c>
      <c r="B6870">
        <v>173.22000122070301</v>
      </c>
      <c r="C6870">
        <v>174.28999328613199</v>
      </c>
      <c r="D6870">
        <v>170.80999755859301</v>
      </c>
      <c r="E6870">
        <v>172.11999511718699</v>
      </c>
      <c r="F6870">
        <v>172.11999511718699</v>
      </c>
      <c r="G6870">
        <v>26407800</v>
      </c>
      <c r="H6870">
        <f t="shared" si="428"/>
        <v>2024</v>
      </c>
      <c r="I6870">
        <f t="shared" si="429"/>
        <v>8</v>
      </c>
      <c r="J6870" t="str">
        <f t="shared" si="430"/>
        <v>Aug</v>
      </c>
      <c r="K6870" t="str">
        <f t="shared" si="431"/>
        <v>Thu</v>
      </c>
    </row>
    <row r="6871" spans="1:11" x14ac:dyDescent="0.35">
      <c r="A6871" s="1">
        <v>45534</v>
      </c>
      <c r="B6871">
        <v>172.77999877929599</v>
      </c>
      <c r="C6871">
        <v>178.89999389648401</v>
      </c>
      <c r="D6871">
        <v>172.600006103515</v>
      </c>
      <c r="E6871">
        <v>178.5</v>
      </c>
      <c r="F6871">
        <v>178.5</v>
      </c>
      <c r="G6871">
        <v>43429400</v>
      </c>
      <c r="H6871">
        <f t="shared" si="428"/>
        <v>2024</v>
      </c>
      <c r="I6871">
        <f t="shared" si="429"/>
        <v>8</v>
      </c>
      <c r="J6871" t="str">
        <f t="shared" si="430"/>
        <v>Aug</v>
      </c>
      <c r="K6871" t="str">
        <f t="shared" si="431"/>
        <v>Fri</v>
      </c>
    </row>
    <row r="6872" spans="1:11" x14ac:dyDescent="0.35">
      <c r="A6872" s="1">
        <v>45538</v>
      </c>
      <c r="B6872">
        <v>177.55000305175699</v>
      </c>
      <c r="C6872">
        <v>178.259994506835</v>
      </c>
      <c r="D6872">
        <v>175.259994506835</v>
      </c>
      <c r="E6872">
        <v>176.25</v>
      </c>
      <c r="F6872">
        <v>176.25</v>
      </c>
      <c r="G6872">
        <v>37817500</v>
      </c>
      <c r="H6872">
        <f t="shared" si="428"/>
        <v>2024</v>
      </c>
      <c r="I6872">
        <f t="shared" si="429"/>
        <v>9</v>
      </c>
      <c r="J6872" t="str">
        <f t="shared" si="430"/>
        <v>Sep</v>
      </c>
      <c r="K6872" t="str">
        <f t="shared" si="431"/>
        <v>Tue</v>
      </c>
    </row>
    <row r="6873" spans="1:11" x14ac:dyDescent="0.35">
      <c r="A6873" s="1">
        <v>45539</v>
      </c>
      <c r="B6873">
        <v>174.47999572753901</v>
      </c>
      <c r="C6873">
        <v>175.97999572753901</v>
      </c>
      <c r="D6873">
        <v>172.53999328613199</v>
      </c>
      <c r="E6873">
        <v>173.33000183105401</v>
      </c>
      <c r="F6873">
        <v>173.33000183105401</v>
      </c>
      <c r="G6873">
        <v>30309200</v>
      </c>
      <c r="H6873">
        <f t="shared" si="428"/>
        <v>2024</v>
      </c>
      <c r="I6873">
        <f t="shared" si="429"/>
        <v>9</v>
      </c>
      <c r="J6873" t="str">
        <f t="shared" si="430"/>
        <v>Sep</v>
      </c>
      <c r="K6873" t="str">
        <f t="shared" si="431"/>
        <v>Wed</v>
      </c>
    </row>
    <row r="6874" spans="1:11" x14ac:dyDescent="0.35">
      <c r="A6874" s="1">
        <v>45540</v>
      </c>
      <c r="B6874">
        <v>175</v>
      </c>
      <c r="C6874">
        <v>179.88000488281199</v>
      </c>
      <c r="D6874">
        <v>175</v>
      </c>
      <c r="E6874">
        <v>177.88999938964801</v>
      </c>
      <c r="F6874">
        <v>177.88999938964801</v>
      </c>
      <c r="G6874">
        <v>40170500</v>
      </c>
      <c r="H6874">
        <f t="shared" si="428"/>
        <v>2024</v>
      </c>
      <c r="I6874">
        <f t="shared" si="429"/>
        <v>9</v>
      </c>
      <c r="J6874" t="str">
        <f t="shared" si="430"/>
        <v>Sep</v>
      </c>
      <c r="K6874" t="str">
        <f t="shared" si="431"/>
        <v>Thu</v>
      </c>
    </row>
    <row r="6875" spans="1:11" x14ac:dyDescent="0.35">
      <c r="A6875" s="1">
        <v>45541</v>
      </c>
      <c r="B6875">
        <v>177.24000549316401</v>
      </c>
      <c r="C6875">
        <v>178.38000488281199</v>
      </c>
      <c r="D6875">
        <v>171.16000366210901</v>
      </c>
      <c r="E6875">
        <v>171.38999938964801</v>
      </c>
      <c r="F6875">
        <v>171.38999938964801</v>
      </c>
      <c r="G6875">
        <v>41466500</v>
      </c>
      <c r="H6875">
        <f t="shared" si="428"/>
        <v>2024</v>
      </c>
      <c r="I6875">
        <f t="shared" si="429"/>
        <v>9</v>
      </c>
      <c r="J6875" t="str">
        <f t="shared" si="430"/>
        <v>Sep</v>
      </c>
      <c r="K6875" t="str">
        <f t="shared" si="431"/>
        <v>Fri</v>
      </c>
    </row>
    <row r="6876" spans="1:11" x14ac:dyDescent="0.35">
      <c r="A6876" s="1">
        <v>45544</v>
      </c>
      <c r="B6876">
        <v>174.52999877929599</v>
      </c>
      <c r="C6876">
        <v>175.850006103515</v>
      </c>
      <c r="D6876">
        <v>173.509994506835</v>
      </c>
      <c r="E6876">
        <v>175.39999389648401</v>
      </c>
      <c r="F6876">
        <v>175.39999389648401</v>
      </c>
      <c r="G6876">
        <v>29037400</v>
      </c>
      <c r="H6876">
        <f t="shared" si="428"/>
        <v>2024</v>
      </c>
      <c r="I6876">
        <f t="shared" si="429"/>
        <v>9</v>
      </c>
      <c r="J6876" t="str">
        <f t="shared" si="430"/>
        <v>Sep</v>
      </c>
      <c r="K6876" t="str">
        <f t="shared" si="431"/>
        <v>Mon</v>
      </c>
    </row>
    <row r="6877" spans="1:11" x14ac:dyDescent="0.35">
      <c r="A6877" s="1">
        <v>45545</v>
      </c>
      <c r="B6877">
        <v>177.49000549316401</v>
      </c>
      <c r="C6877">
        <v>180.5</v>
      </c>
      <c r="D6877">
        <v>176.78999328613199</v>
      </c>
      <c r="E6877">
        <v>179.55000305175699</v>
      </c>
      <c r="F6877">
        <v>179.55000305175699</v>
      </c>
      <c r="G6877">
        <v>36233800</v>
      </c>
      <c r="H6877">
        <f t="shared" si="428"/>
        <v>2024</v>
      </c>
      <c r="I6877">
        <f t="shared" si="429"/>
        <v>9</v>
      </c>
      <c r="J6877" t="str">
        <f t="shared" si="430"/>
        <v>Sep</v>
      </c>
      <c r="K6877" t="str">
        <f t="shared" si="431"/>
        <v>Tue</v>
      </c>
    </row>
    <row r="6878" spans="1:11" x14ac:dyDescent="0.35">
      <c r="A6878" s="1">
        <v>45546</v>
      </c>
      <c r="B6878">
        <v>180.100006103515</v>
      </c>
      <c r="C6878">
        <v>184.99000549316401</v>
      </c>
      <c r="D6878">
        <v>175.72999572753901</v>
      </c>
      <c r="E6878">
        <v>184.52000427246</v>
      </c>
      <c r="F6878">
        <v>184.52000427246</v>
      </c>
      <c r="G6878">
        <v>42564700</v>
      </c>
      <c r="H6878">
        <f t="shared" si="428"/>
        <v>2024</v>
      </c>
      <c r="I6878">
        <f t="shared" si="429"/>
        <v>9</v>
      </c>
      <c r="J6878" t="str">
        <f t="shared" si="430"/>
        <v>Sep</v>
      </c>
      <c r="K6878" t="str">
        <f t="shared" si="431"/>
        <v>Wed</v>
      </c>
    </row>
    <row r="6879" spans="1:11" x14ac:dyDescent="0.35">
      <c r="A6879" s="1">
        <v>45547</v>
      </c>
      <c r="B6879">
        <v>184.80000305175699</v>
      </c>
      <c r="C6879">
        <v>187.41000366210901</v>
      </c>
      <c r="D6879">
        <v>183.53999328613199</v>
      </c>
      <c r="E6879">
        <v>187</v>
      </c>
      <c r="F6879">
        <v>187</v>
      </c>
      <c r="G6879">
        <v>33544200</v>
      </c>
      <c r="H6879">
        <f t="shared" si="428"/>
        <v>2024</v>
      </c>
      <c r="I6879">
        <f t="shared" si="429"/>
        <v>9</v>
      </c>
      <c r="J6879" t="str">
        <f t="shared" si="430"/>
        <v>Sep</v>
      </c>
      <c r="K6879" t="str">
        <f t="shared" si="431"/>
        <v>Thu</v>
      </c>
    </row>
    <row r="6880" spans="1:11" x14ac:dyDescent="0.35">
      <c r="A6880" s="1">
        <v>45548</v>
      </c>
      <c r="B6880">
        <v>187</v>
      </c>
      <c r="C6880">
        <v>188.5</v>
      </c>
      <c r="D6880">
        <v>185.91000366210901</v>
      </c>
      <c r="E6880">
        <v>186.49000549316401</v>
      </c>
      <c r="F6880">
        <v>186.49000549316401</v>
      </c>
      <c r="G6880">
        <v>26495400</v>
      </c>
      <c r="H6880">
        <f t="shared" si="428"/>
        <v>2024</v>
      </c>
      <c r="I6880">
        <f t="shared" si="429"/>
        <v>9</v>
      </c>
      <c r="J6880" t="str">
        <f t="shared" si="430"/>
        <v>Sep</v>
      </c>
      <c r="K6880" t="str">
        <f t="shared" si="431"/>
        <v>Fri</v>
      </c>
    </row>
    <row r="6881" spans="1:11" x14ac:dyDescent="0.35">
      <c r="A6881" s="1">
        <v>45551</v>
      </c>
      <c r="B6881">
        <v>185.28999328613199</v>
      </c>
      <c r="C6881">
        <v>185.80999755859301</v>
      </c>
      <c r="D6881">
        <v>183.36000061035099</v>
      </c>
      <c r="E6881">
        <v>184.88999938964801</v>
      </c>
      <c r="F6881">
        <v>184.88999938964801</v>
      </c>
      <c r="G6881">
        <v>26065500</v>
      </c>
      <c r="H6881">
        <f t="shared" si="428"/>
        <v>2024</v>
      </c>
      <c r="I6881">
        <f t="shared" si="429"/>
        <v>9</v>
      </c>
      <c r="J6881" t="str">
        <f t="shared" si="430"/>
        <v>Sep</v>
      </c>
      <c r="K6881" t="str">
        <f t="shared" si="431"/>
        <v>Mon</v>
      </c>
    </row>
    <row r="6882" spans="1:11" x14ac:dyDescent="0.35">
      <c r="A6882" s="1">
        <v>45552</v>
      </c>
      <c r="B6882">
        <v>186.850006103515</v>
      </c>
      <c r="C6882">
        <v>189.44999694824199</v>
      </c>
      <c r="D6882">
        <v>186.13999938964801</v>
      </c>
      <c r="E6882">
        <v>186.88000488281199</v>
      </c>
      <c r="F6882">
        <v>186.88000488281199</v>
      </c>
      <c r="G6882">
        <v>26091700</v>
      </c>
      <c r="H6882">
        <f t="shared" si="428"/>
        <v>2024</v>
      </c>
      <c r="I6882">
        <f t="shared" si="429"/>
        <v>9</v>
      </c>
      <c r="J6882" t="str">
        <f t="shared" si="430"/>
        <v>Sep</v>
      </c>
      <c r="K6882" t="str">
        <f t="shared" si="431"/>
        <v>Tue</v>
      </c>
    </row>
    <row r="6883" spans="1:11" x14ac:dyDescent="0.35">
      <c r="A6883" s="1">
        <v>45553</v>
      </c>
      <c r="B6883">
        <v>186.44999694824199</v>
      </c>
      <c r="C6883">
        <v>188.80000305175699</v>
      </c>
      <c r="D6883">
        <v>185.05999755859301</v>
      </c>
      <c r="E6883">
        <v>186.42999267578099</v>
      </c>
      <c r="F6883">
        <v>186.42999267578099</v>
      </c>
      <c r="G6883">
        <v>34448100</v>
      </c>
      <c r="H6883">
        <f t="shared" si="428"/>
        <v>2024</v>
      </c>
      <c r="I6883">
        <f t="shared" si="429"/>
        <v>9</v>
      </c>
      <c r="J6883" t="str">
        <f t="shared" si="430"/>
        <v>Sep</v>
      </c>
      <c r="K6883" t="str">
        <f t="shared" si="431"/>
        <v>Wed</v>
      </c>
    </row>
    <row r="6884" spans="1:11" x14ac:dyDescent="0.35">
      <c r="A6884" s="1">
        <v>45554</v>
      </c>
      <c r="B6884">
        <v>190.03999328613199</v>
      </c>
      <c r="C6884">
        <v>190.99000549316401</v>
      </c>
      <c r="D6884">
        <v>188.47000122070301</v>
      </c>
      <c r="E6884">
        <v>189.86999511718699</v>
      </c>
      <c r="F6884">
        <v>189.86999511718699</v>
      </c>
      <c r="G6884">
        <v>39543200</v>
      </c>
      <c r="H6884">
        <f t="shared" si="428"/>
        <v>2024</v>
      </c>
      <c r="I6884">
        <f t="shared" si="429"/>
        <v>9</v>
      </c>
      <c r="J6884" t="str">
        <f t="shared" si="430"/>
        <v>Sep</v>
      </c>
      <c r="K6884" t="str">
        <f t="shared" si="431"/>
        <v>Thu</v>
      </c>
    </row>
    <row r="6885" spans="1:11" x14ac:dyDescent="0.35">
      <c r="A6885" s="1">
        <v>45555</v>
      </c>
      <c r="B6885">
        <v>190.22999572753901</v>
      </c>
      <c r="C6885">
        <v>191.83999633789</v>
      </c>
      <c r="D6885">
        <v>187.41000366210901</v>
      </c>
      <c r="E6885">
        <v>191.600006103515</v>
      </c>
      <c r="F6885">
        <v>191.600006103515</v>
      </c>
      <c r="G6885">
        <v>100378600</v>
      </c>
      <c r="H6885">
        <f t="shared" si="428"/>
        <v>2024</v>
      </c>
      <c r="I6885">
        <f t="shared" si="429"/>
        <v>9</v>
      </c>
      <c r="J6885" t="str">
        <f t="shared" si="430"/>
        <v>Sep</v>
      </c>
      <c r="K6885" t="str">
        <f t="shared" si="431"/>
        <v>Fri</v>
      </c>
    </row>
    <row r="6886" spans="1:11" x14ac:dyDescent="0.35">
      <c r="A6886" s="1">
        <v>45558</v>
      </c>
      <c r="B6886">
        <v>191.63999938964801</v>
      </c>
      <c r="C6886">
        <v>194.44999694824199</v>
      </c>
      <c r="D6886">
        <v>190.57000732421801</v>
      </c>
      <c r="E6886">
        <v>193.88000488281199</v>
      </c>
      <c r="F6886">
        <v>193.88000488281199</v>
      </c>
      <c r="G6886">
        <v>36993100</v>
      </c>
      <c r="H6886">
        <f t="shared" si="428"/>
        <v>2024</v>
      </c>
      <c r="I6886">
        <f t="shared" si="429"/>
        <v>9</v>
      </c>
      <c r="J6886" t="str">
        <f t="shared" si="430"/>
        <v>Sep</v>
      </c>
      <c r="K6886" t="str">
        <f t="shared" si="431"/>
        <v>Mon</v>
      </c>
    </row>
    <row r="6887" spans="1:11" x14ac:dyDescent="0.35">
      <c r="A6887" s="1">
        <v>45559</v>
      </c>
      <c r="B6887">
        <v>194.27000427246</v>
      </c>
      <c r="C6887">
        <v>195.36999511718699</v>
      </c>
      <c r="D6887">
        <v>190.13000488281199</v>
      </c>
      <c r="E6887">
        <v>193.96000671386699</v>
      </c>
      <c r="F6887">
        <v>193.96000671386699</v>
      </c>
      <c r="G6887">
        <v>43478900</v>
      </c>
      <c r="H6887">
        <f t="shared" si="428"/>
        <v>2024</v>
      </c>
      <c r="I6887">
        <f t="shared" si="429"/>
        <v>9</v>
      </c>
      <c r="J6887" t="str">
        <f t="shared" si="430"/>
        <v>Sep</v>
      </c>
      <c r="K6887" t="str">
        <f t="shared" si="431"/>
        <v>Tue</v>
      </c>
    </row>
    <row r="6888" spans="1:11" x14ac:dyDescent="0.35">
      <c r="A6888" s="1">
        <v>45560</v>
      </c>
      <c r="B6888">
        <v>193.75</v>
      </c>
      <c r="C6888">
        <v>193.94999694824199</v>
      </c>
      <c r="D6888">
        <v>192.16000366210901</v>
      </c>
      <c r="E6888">
        <v>192.52999877929599</v>
      </c>
      <c r="F6888">
        <v>192.52999877929599</v>
      </c>
      <c r="G6888">
        <v>26391100</v>
      </c>
      <c r="H6888">
        <f t="shared" si="428"/>
        <v>2024</v>
      </c>
      <c r="I6888">
        <f t="shared" si="429"/>
        <v>9</v>
      </c>
      <c r="J6888" t="str">
        <f t="shared" si="430"/>
        <v>Sep</v>
      </c>
      <c r="K6888" t="str">
        <f t="shared" si="431"/>
        <v>Wed</v>
      </c>
    </row>
    <row r="6889" spans="1:11" x14ac:dyDescent="0.35">
      <c r="A6889" s="1">
        <v>45561</v>
      </c>
      <c r="B6889">
        <v>194.30999755859301</v>
      </c>
      <c r="C6889">
        <v>194.52999877929599</v>
      </c>
      <c r="D6889">
        <v>189.53999328613199</v>
      </c>
      <c r="E6889">
        <v>191.16000366210901</v>
      </c>
      <c r="F6889">
        <v>191.16000366210901</v>
      </c>
      <c r="G6889">
        <v>36334900</v>
      </c>
      <c r="H6889">
        <f t="shared" si="428"/>
        <v>2024</v>
      </c>
      <c r="I6889">
        <f t="shared" si="429"/>
        <v>9</v>
      </c>
      <c r="J6889" t="str">
        <f t="shared" si="430"/>
        <v>Sep</v>
      </c>
      <c r="K6889" t="str">
        <f t="shared" si="431"/>
        <v>Thu</v>
      </c>
    </row>
    <row r="6890" spans="1:11" x14ac:dyDescent="0.35">
      <c r="A6890" s="1">
        <v>45562</v>
      </c>
      <c r="B6890">
        <v>190.67999267578099</v>
      </c>
      <c r="C6890">
        <v>190.89999389648401</v>
      </c>
      <c r="D6890">
        <v>187.33999633789</v>
      </c>
      <c r="E6890">
        <v>187.97000122070301</v>
      </c>
      <c r="F6890">
        <v>187.97000122070301</v>
      </c>
      <c r="G6890">
        <v>36002300</v>
      </c>
      <c r="H6890">
        <f t="shared" si="428"/>
        <v>2024</v>
      </c>
      <c r="I6890">
        <f t="shared" si="429"/>
        <v>9</v>
      </c>
      <c r="J6890" t="str">
        <f t="shared" si="430"/>
        <v>Sep</v>
      </c>
      <c r="K6890" t="str">
        <f t="shared" si="431"/>
        <v>Fri</v>
      </c>
    </row>
    <row r="6891" spans="1:11" x14ac:dyDescent="0.35">
      <c r="A6891" s="1">
        <v>45565</v>
      </c>
      <c r="B6891">
        <v>187.13999938964801</v>
      </c>
      <c r="C6891">
        <v>188.49000549316401</v>
      </c>
      <c r="D6891">
        <v>184.64999389648401</v>
      </c>
      <c r="E6891">
        <v>186.33000183105401</v>
      </c>
      <c r="F6891">
        <v>186.33000183105401</v>
      </c>
      <c r="G6891">
        <v>41583900</v>
      </c>
      <c r="H6891">
        <f t="shared" si="428"/>
        <v>2024</v>
      </c>
      <c r="I6891">
        <f t="shared" si="429"/>
        <v>9</v>
      </c>
      <c r="J6891" t="str">
        <f t="shared" si="430"/>
        <v>Sep</v>
      </c>
      <c r="K6891" t="str">
        <f t="shared" si="431"/>
        <v>Mon</v>
      </c>
    </row>
    <row r="6892" spans="1:11" x14ac:dyDescent="0.35">
      <c r="A6892" s="1">
        <v>45566</v>
      </c>
      <c r="B6892">
        <v>184.89999389648401</v>
      </c>
      <c r="C6892">
        <v>186.19000244140599</v>
      </c>
      <c r="D6892">
        <v>183.44999694824199</v>
      </c>
      <c r="E6892">
        <v>185.13000488281199</v>
      </c>
      <c r="F6892">
        <v>185.13000488281199</v>
      </c>
      <c r="G6892">
        <v>36044900</v>
      </c>
      <c r="H6892">
        <f t="shared" si="428"/>
        <v>2024</v>
      </c>
      <c r="I6892">
        <f t="shared" si="429"/>
        <v>10</v>
      </c>
      <c r="J6892" t="str">
        <f t="shared" si="430"/>
        <v>Oct</v>
      </c>
      <c r="K6892" t="str">
        <f t="shared" si="431"/>
        <v>Tue</v>
      </c>
    </row>
    <row r="6893" spans="1:11" x14ac:dyDescent="0.35">
      <c r="A6893" s="1">
        <v>45567</v>
      </c>
      <c r="B6893">
        <v>184.44000244140599</v>
      </c>
      <c r="C6893">
        <v>186.600006103515</v>
      </c>
      <c r="D6893">
        <v>184.03999328613199</v>
      </c>
      <c r="E6893">
        <v>184.759994506835</v>
      </c>
      <c r="F6893">
        <v>184.759994506835</v>
      </c>
      <c r="G6893">
        <v>23704100</v>
      </c>
      <c r="H6893">
        <f t="shared" si="428"/>
        <v>2024</v>
      </c>
      <c r="I6893">
        <f t="shared" si="429"/>
        <v>10</v>
      </c>
      <c r="J6893" t="str">
        <f t="shared" si="430"/>
        <v>Oct</v>
      </c>
      <c r="K6893" t="str">
        <f t="shared" si="431"/>
        <v>Wed</v>
      </c>
    </row>
    <row r="6894" spans="1:11" x14ac:dyDescent="0.35">
      <c r="A6894" s="1">
        <v>45568</v>
      </c>
      <c r="B6894">
        <v>183.05000305175699</v>
      </c>
      <c r="C6894">
        <v>183.44000244140599</v>
      </c>
      <c r="D6894">
        <v>180.88000488281199</v>
      </c>
      <c r="E6894">
        <v>181.96000671386699</v>
      </c>
      <c r="F6894">
        <v>181.96000671386699</v>
      </c>
      <c r="G6894">
        <v>30204300</v>
      </c>
      <c r="H6894">
        <f t="shared" si="428"/>
        <v>2024</v>
      </c>
      <c r="I6894">
        <f t="shared" si="429"/>
        <v>10</v>
      </c>
      <c r="J6894" t="str">
        <f t="shared" si="430"/>
        <v>Oct</v>
      </c>
      <c r="K6894" t="str">
        <f t="shared" si="431"/>
        <v>Thu</v>
      </c>
    </row>
    <row r="6895" spans="1:11" x14ac:dyDescent="0.35">
      <c r="A6895" s="1">
        <v>45569</v>
      </c>
      <c r="B6895">
        <v>185.75</v>
      </c>
      <c r="C6895">
        <v>187.600006103515</v>
      </c>
      <c r="D6895">
        <v>183.600006103515</v>
      </c>
      <c r="E6895">
        <v>186.509994506835</v>
      </c>
      <c r="F6895">
        <v>186.509994506835</v>
      </c>
      <c r="G6895">
        <v>40890300</v>
      </c>
      <c r="H6895">
        <f t="shared" si="428"/>
        <v>2024</v>
      </c>
      <c r="I6895">
        <f t="shared" si="429"/>
        <v>10</v>
      </c>
      <c r="J6895" t="str">
        <f t="shared" si="430"/>
        <v>Oct</v>
      </c>
      <c r="K6895" t="str">
        <f t="shared" si="431"/>
        <v>Fri</v>
      </c>
    </row>
    <row r="6896" spans="1:11" x14ac:dyDescent="0.35">
      <c r="A6896" s="1">
        <v>45572</v>
      </c>
      <c r="B6896">
        <v>182.94999694824199</v>
      </c>
      <c r="C6896">
        <v>183.600006103515</v>
      </c>
      <c r="D6896">
        <v>180.25</v>
      </c>
      <c r="E6896">
        <v>180.80000305175699</v>
      </c>
      <c r="F6896">
        <v>180.80000305175699</v>
      </c>
      <c r="G6896">
        <v>42364200</v>
      </c>
      <c r="H6896">
        <f t="shared" si="428"/>
        <v>2024</v>
      </c>
      <c r="I6896">
        <f t="shared" si="429"/>
        <v>10</v>
      </c>
      <c r="J6896" t="str">
        <f t="shared" si="430"/>
        <v>Oct</v>
      </c>
      <c r="K6896" t="str">
        <f t="shared" si="431"/>
        <v>Mon</v>
      </c>
    </row>
    <row r="6897" spans="1:11" x14ac:dyDescent="0.35">
      <c r="A6897" s="1">
        <v>45573</v>
      </c>
      <c r="B6897">
        <v>181.919998168945</v>
      </c>
      <c r="C6897">
        <v>183.08999633789</v>
      </c>
      <c r="D6897">
        <v>180.919998168945</v>
      </c>
      <c r="E6897">
        <v>182.72000122070301</v>
      </c>
      <c r="F6897">
        <v>182.72000122070301</v>
      </c>
      <c r="G6897">
        <v>26372100</v>
      </c>
      <c r="H6897">
        <f t="shared" si="428"/>
        <v>2024</v>
      </c>
      <c r="I6897">
        <f t="shared" si="429"/>
        <v>10</v>
      </c>
      <c r="J6897" t="str">
        <f t="shared" si="430"/>
        <v>Oct</v>
      </c>
      <c r="K6897" t="str">
        <f t="shared" si="431"/>
        <v>Tue</v>
      </c>
    </row>
    <row r="6898" spans="1:11" x14ac:dyDescent="0.35">
      <c r="A6898" s="1">
        <v>45574</v>
      </c>
      <c r="B6898">
        <v>182.82000732421801</v>
      </c>
      <c r="C6898">
        <v>185.850006103515</v>
      </c>
      <c r="D6898">
        <v>182.05000305175699</v>
      </c>
      <c r="E6898">
        <v>185.169998168945</v>
      </c>
      <c r="F6898">
        <v>185.169998168945</v>
      </c>
      <c r="G6898">
        <v>26343100</v>
      </c>
      <c r="H6898">
        <f t="shared" si="428"/>
        <v>2024</v>
      </c>
      <c r="I6898">
        <f t="shared" si="429"/>
        <v>10</v>
      </c>
      <c r="J6898" t="str">
        <f t="shared" si="430"/>
        <v>Oct</v>
      </c>
      <c r="K6898" t="str">
        <f t="shared" si="431"/>
        <v>Wed</v>
      </c>
    </row>
    <row r="6899" spans="1:11" x14ac:dyDescent="0.35">
      <c r="A6899" s="1">
        <v>45575</v>
      </c>
      <c r="B6899">
        <v>187.13000488281199</v>
      </c>
      <c r="C6899">
        <v>188.13000488281199</v>
      </c>
      <c r="D6899">
        <v>185.83000183105401</v>
      </c>
      <c r="E6899">
        <v>186.64999389648401</v>
      </c>
      <c r="F6899">
        <v>186.64999389648401</v>
      </c>
      <c r="G6899">
        <v>27785000</v>
      </c>
      <c r="H6899">
        <f t="shared" si="428"/>
        <v>2024</v>
      </c>
      <c r="I6899">
        <f t="shared" si="429"/>
        <v>10</v>
      </c>
      <c r="J6899" t="str">
        <f t="shared" si="430"/>
        <v>Oct</v>
      </c>
      <c r="K6899" t="str">
        <f t="shared" si="431"/>
        <v>Thu</v>
      </c>
    </row>
    <row r="6900" spans="1:11" x14ac:dyDescent="0.35">
      <c r="A6900" s="1">
        <v>45576</v>
      </c>
      <c r="B6900">
        <v>186.63000488281199</v>
      </c>
      <c r="C6900">
        <v>189.92999267578099</v>
      </c>
      <c r="D6900">
        <v>186.30000305175699</v>
      </c>
      <c r="E6900">
        <v>188.82000732421801</v>
      </c>
      <c r="F6900">
        <v>188.82000732421801</v>
      </c>
      <c r="G6900">
        <v>25751600</v>
      </c>
      <c r="H6900">
        <f t="shared" si="428"/>
        <v>2024</v>
      </c>
      <c r="I6900">
        <f t="shared" si="429"/>
        <v>10</v>
      </c>
      <c r="J6900" t="str">
        <f t="shared" si="430"/>
        <v>Oct</v>
      </c>
      <c r="K6900" t="str">
        <f t="shared" si="431"/>
        <v>Fri</v>
      </c>
    </row>
    <row r="6901" spans="1:11" x14ac:dyDescent="0.35">
      <c r="A6901" s="1">
        <v>45579</v>
      </c>
      <c r="B6901">
        <v>189.77999877929599</v>
      </c>
      <c r="C6901">
        <v>189.83000183105401</v>
      </c>
      <c r="D6901">
        <v>187.36000061035099</v>
      </c>
      <c r="E6901">
        <v>187.53999328613199</v>
      </c>
      <c r="F6901">
        <v>187.53999328613199</v>
      </c>
      <c r="G6901">
        <v>22614400</v>
      </c>
      <c r="H6901">
        <f t="shared" si="428"/>
        <v>2024</v>
      </c>
      <c r="I6901">
        <f t="shared" si="429"/>
        <v>10</v>
      </c>
      <c r="J6901" t="str">
        <f t="shared" si="430"/>
        <v>Oct</v>
      </c>
      <c r="K6901" t="str">
        <f t="shared" si="431"/>
        <v>Mon</v>
      </c>
    </row>
    <row r="6902" spans="1:11" x14ac:dyDescent="0.35">
      <c r="A6902" s="1">
        <v>45580</v>
      </c>
      <c r="B6902">
        <v>187.63000488281199</v>
      </c>
      <c r="C6902">
        <v>188.41000366210901</v>
      </c>
      <c r="D6902">
        <v>184.58000183105401</v>
      </c>
      <c r="E6902">
        <v>187.69000244140599</v>
      </c>
      <c r="F6902">
        <v>187.69000244140599</v>
      </c>
      <c r="G6902">
        <v>32178900</v>
      </c>
      <c r="H6902">
        <f t="shared" si="428"/>
        <v>2024</v>
      </c>
      <c r="I6902">
        <f t="shared" si="429"/>
        <v>10</v>
      </c>
      <c r="J6902" t="str">
        <f t="shared" si="430"/>
        <v>Oct</v>
      </c>
      <c r="K6902" t="str">
        <f t="shared" si="431"/>
        <v>Tue</v>
      </c>
    </row>
    <row r="6903" spans="1:11" x14ac:dyDescent="0.35">
      <c r="A6903" s="1">
        <v>45581</v>
      </c>
      <c r="B6903">
        <v>187.05000305175699</v>
      </c>
      <c r="C6903">
        <v>187.77999877929599</v>
      </c>
      <c r="D6903">
        <v>185.61000061035099</v>
      </c>
      <c r="E6903">
        <v>186.88999938964801</v>
      </c>
      <c r="F6903">
        <v>186.88999938964801</v>
      </c>
      <c r="G6903">
        <v>23456800</v>
      </c>
      <c r="H6903">
        <f t="shared" si="428"/>
        <v>2024</v>
      </c>
      <c r="I6903">
        <f t="shared" si="429"/>
        <v>10</v>
      </c>
      <c r="J6903" t="str">
        <f t="shared" si="430"/>
        <v>Oct</v>
      </c>
      <c r="K6903" t="str">
        <f t="shared" si="431"/>
        <v>Wed</v>
      </c>
    </row>
    <row r="6904" spans="1:11" x14ac:dyDescent="0.35">
      <c r="A6904" s="1">
        <v>45582</v>
      </c>
      <c r="B6904">
        <v>188.22000122070301</v>
      </c>
      <c r="C6904">
        <v>188.94000244140599</v>
      </c>
      <c r="D6904">
        <v>186</v>
      </c>
      <c r="E6904">
        <v>187.52999877929599</v>
      </c>
      <c r="F6904">
        <v>187.52999877929599</v>
      </c>
      <c r="G6904">
        <v>25039400</v>
      </c>
      <c r="H6904">
        <f t="shared" si="428"/>
        <v>2024</v>
      </c>
      <c r="I6904">
        <f t="shared" si="429"/>
        <v>10</v>
      </c>
      <c r="J6904" t="str">
        <f t="shared" si="430"/>
        <v>Oct</v>
      </c>
      <c r="K6904" t="str">
        <f t="shared" si="431"/>
        <v>Thu</v>
      </c>
    </row>
    <row r="6905" spans="1:11" x14ac:dyDescent="0.35">
      <c r="A6905" s="1">
        <v>45583</v>
      </c>
      <c r="B6905">
        <v>187.14999389648401</v>
      </c>
      <c r="C6905">
        <v>190.74000549316401</v>
      </c>
      <c r="D6905">
        <v>186.27999877929599</v>
      </c>
      <c r="E6905">
        <v>188.99000549316401</v>
      </c>
      <c r="F6905">
        <v>188.99000549316401</v>
      </c>
      <c r="G6905">
        <v>37417700</v>
      </c>
      <c r="H6905">
        <f t="shared" si="428"/>
        <v>2024</v>
      </c>
      <c r="I6905">
        <f t="shared" si="429"/>
        <v>10</v>
      </c>
      <c r="J6905" t="str">
        <f t="shared" si="430"/>
        <v>Oct</v>
      </c>
      <c r="K6905" t="str">
        <f t="shared" si="431"/>
        <v>Fri</v>
      </c>
    </row>
    <row r="6906" spans="1:11" x14ac:dyDescent="0.35">
      <c r="A6906" s="1">
        <v>45586</v>
      </c>
      <c r="B6906">
        <v>188.05000305175699</v>
      </c>
      <c r="C6906">
        <v>189.46000671386699</v>
      </c>
      <c r="D6906">
        <v>186.39999389648401</v>
      </c>
      <c r="E6906">
        <v>189.07000732421801</v>
      </c>
      <c r="F6906">
        <v>189.07000732421801</v>
      </c>
      <c r="G6906">
        <v>24639400</v>
      </c>
      <c r="H6906">
        <f t="shared" si="428"/>
        <v>2024</v>
      </c>
      <c r="I6906">
        <f t="shared" si="429"/>
        <v>10</v>
      </c>
      <c r="J6906" t="str">
        <f t="shared" si="430"/>
        <v>Oct</v>
      </c>
      <c r="K6906" t="str">
        <f t="shared" si="431"/>
        <v>Mon</v>
      </c>
    </row>
    <row r="6907" spans="1:11" x14ac:dyDescent="0.35">
      <c r="A6907" s="1">
        <v>45587</v>
      </c>
      <c r="B6907">
        <v>188.350006103515</v>
      </c>
      <c r="C6907">
        <v>191.52000427246</v>
      </c>
      <c r="D6907">
        <v>186.97999572753901</v>
      </c>
      <c r="E6907">
        <v>189.69999694824199</v>
      </c>
      <c r="F6907">
        <v>189.69999694824199</v>
      </c>
      <c r="G6907">
        <v>29650600</v>
      </c>
      <c r="H6907">
        <f t="shared" si="428"/>
        <v>2024</v>
      </c>
      <c r="I6907">
        <f t="shared" si="429"/>
        <v>10</v>
      </c>
      <c r="J6907" t="str">
        <f t="shared" si="430"/>
        <v>Oct</v>
      </c>
      <c r="K6907" t="str">
        <f t="shared" si="431"/>
        <v>Tue</v>
      </c>
    </row>
    <row r="6908" spans="1:11" x14ac:dyDescent="0.35">
      <c r="A6908" s="1">
        <v>45588</v>
      </c>
      <c r="B6908">
        <v>188.850006103515</v>
      </c>
      <c r="C6908">
        <v>189.16000366210901</v>
      </c>
      <c r="D6908">
        <v>183.69000244140599</v>
      </c>
      <c r="E6908">
        <v>184.71000671386699</v>
      </c>
      <c r="F6908">
        <v>184.71000671386699</v>
      </c>
      <c r="G6908">
        <v>31937100</v>
      </c>
      <c r="H6908">
        <f t="shared" si="428"/>
        <v>2024</v>
      </c>
      <c r="I6908">
        <f t="shared" si="429"/>
        <v>10</v>
      </c>
      <c r="J6908" t="str">
        <f t="shared" si="430"/>
        <v>Oct</v>
      </c>
      <c r="K6908" t="str">
        <f t="shared" si="431"/>
        <v>Wed</v>
      </c>
    </row>
    <row r="6909" spans="1:11" x14ac:dyDescent="0.35">
      <c r="A6909" s="1">
        <v>45589</v>
      </c>
      <c r="B6909">
        <v>185.25</v>
      </c>
      <c r="C6909">
        <v>187.11000061035099</v>
      </c>
      <c r="D6909">
        <v>183.86000061035099</v>
      </c>
      <c r="E6909">
        <v>186.38000488281199</v>
      </c>
      <c r="F6909">
        <v>186.38000488281199</v>
      </c>
      <c r="G6909">
        <v>21647400</v>
      </c>
      <c r="H6909">
        <f t="shared" si="428"/>
        <v>2024</v>
      </c>
      <c r="I6909">
        <f t="shared" si="429"/>
        <v>10</v>
      </c>
      <c r="J6909" t="str">
        <f t="shared" si="430"/>
        <v>Oct</v>
      </c>
      <c r="K6909" t="str">
        <f t="shared" si="431"/>
        <v>Thu</v>
      </c>
    </row>
    <row r="6910" spans="1:11" x14ac:dyDescent="0.35">
      <c r="A6910" s="1">
        <v>45590</v>
      </c>
      <c r="B6910">
        <v>187.850006103515</v>
      </c>
      <c r="C6910">
        <v>190.44999694824199</v>
      </c>
      <c r="D6910">
        <v>187.52999877929599</v>
      </c>
      <c r="E6910">
        <v>187.83000183105401</v>
      </c>
      <c r="F6910">
        <v>187.83000183105401</v>
      </c>
      <c r="G6910">
        <v>29362100</v>
      </c>
      <c r="H6910">
        <f t="shared" si="428"/>
        <v>2024</v>
      </c>
      <c r="I6910">
        <f t="shared" si="429"/>
        <v>10</v>
      </c>
      <c r="J6910" t="str">
        <f t="shared" si="430"/>
        <v>Oct</v>
      </c>
      <c r="K6910" t="str">
        <f t="shared" si="431"/>
        <v>Fri</v>
      </c>
    </row>
    <row r="6911" spans="1:11" x14ac:dyDescent="0.35">
      <c r="A6911" s="1">
        <v>45593</v>
      </c>
      <c r="B6911">
        <v>189.57000732421801</v>
      </c>
      <c r="C6911">
        <v>190.21000671386699</v>
      </c>
      <c r="D6911">
        <v>188.21000671386699</v>
      </c>
      <c r="E6911">
        <v>188.38999938964801</v>
      </c>
      <c r="F6911">
        <v>188.38999938964801</v>
      </c>
      <c r="G6911">
        <v>27930800</v>
      </c>
      <c r="H6911">
        <f t="shared" si="428"/>
        <v>2024</v>
      </c>
      <c r="I6911">
        <f t="shared" si="429"/>
        <v>10</v>
      </c>
      <c r="J6911" t="str">
        <f t="shared" si="430"/>
        <v>Oct</v>
      </c>
      <c r="K6911" t="str">
        <f t="shared" si="431"/>
        <v>Mon</v>
      </c>
    </row>
    <row r="6912" spans="1:11" x14ac:dyDescent="0.35">
      <c r="A6912" s="1">
        <v>45594</v>
      </c>
      <c r="B6912">
        <v>188.58000183105401</v>
      </c>
      <c r="C6912">
        <v>191.46000671386699</v>
      </c>
      <c r="D6912">
        <v>187.82000732421801</v>
      </c>
      <c r="E6912">
        <v>190.83000183105401</v>
      </c>
      <c r="F6912">
        <v>190.83000183105401</v>
      </c>
      <c r="G6912">
        <v>35690200</v>
      </c>
      <c r="H6912">
        <f t="shared" si="428"/>
        <v>2024</v>
      </c>
      <c r="I6912">
        <f t="shared" si="429"/>
        <v>10</v>
      </c>
      <c r="J6912" t="str">
        <f t="shared" si="430"/>
        <v>Oct</v>
      </c>
      <c r="K6912" t="str">
        <f t="shared" si="431"/>
        <v>Tue</v>
      </c>
    </row>
    <row r="6913" spans="1:11" x14ac:dyDescent="0.35">
      <c r="A6913" s="1">
        <v>45595</v>
      </c>
      <c r="B6913">
        <v>194.69999694824199</v>
      </c>
      <c r="C6913">
        <v>195.61000061035099</v>
      </c>
      <c r="D6913">
        <v>192.419998168945</v>
      </c>
      <c r="E6913">
        <v>192.72999572753901</v>
      </c>
      <c r="F6913">
        <v>192.72999572753901</v>
      </c>
      <c r="G6913">
        <v>37707600</v>
      </c>
      <c r="H6913">
        <f t="shared" si="428"/>
        <v>2024</v>
      </c>
      <c r="I6913">
        <f t="shared" si="429"/>
        <v>10</v>
      </c>
      <c r="J6913" t="str">
        <f t="shared" si="430"/>
        <v>Oct</v>
      </c>
      <c r="K6913" t="str">
        <f t="shared" si="431"/>
        <v>Wed</v>
      </c>
    </row>
    <row r="6914" spans="1:11" x14ac:dyDescent="0.35">
      <c r="A6914" s="1">
        <v>45596</v>
      </c>
      <c r="B6914">
        <v>190.509994506835</v>
      </c>
      <c r="C6914">
        <v>190.600006103515</v>
      </c>
      <c r="D6914">
        <v>185.22999572753901</v>
      </c>
      <c r="E6914">
        <v>186.39999389648401</v>
      </c>
      <c r="F6914">
        <v>186.39999389648401</v>
      </c>
      <c r="G6914">
        <v>75146800</v>
      </c>
      <c r="H6914">
        <f t="shared" si="428"/>
        <v>2024</v>
      </c>
      <c r="I6914">
        <f t="shared" si="429"/>
        <v>10</v>
      </c>
      <c r="J6914" t="str">
        <f t="shared" si="430"/>
        <v>Oct</v>
      </c>
      <c r="K6914" t="str">
        <f t="shared" si="431"/>
        <v>Thu</v>
      </c>
    </row>
    <row r="6915" spans="1:11" x14ac:dyDescent="0.35">
      <c r="A6915" s="1">
        <v>45597</v>
      </c>
      <c r="B6915">
        <v>199</v>
      </c>
      <c r="C6915">
        <v>200.5</v>
      </c>
      <c r="D6915">
        <v>197.02000427246</v>
      </c>
      <c r="E6915">
        <v>197.92999267578099</v>
      </c>
      <c r="F6915">
        <v>197.92999267578099</v>
      </c>
      <c r="G6915">
        <v>99687800</v>
      </c>
      <c r="H6915">
        <f t="shared" si="428"/>
        <v>2024</v>
      </c>
      <c r="I6915">
        <f t="shared" si="429"/>
        <v>11</v>
      </c>
      <c r="J6915" t="str">
        <f t="shared" si="430"/>
        <v>Nov</v>
      </c>
      <c r="K6915" t="str">
        <f t="shared" si="431"/>
        <v>Fri</v>
      </c>
    </row>
    <row r="6916" spans="1:11" x14ac:dyDescent="0.35">
      <c r="A6916" s="1">
        <v>45600</v>
      </c>
      <c r="B6916">
        <v>196.44999694824199</v>
      </c>
      <c r="C6916">
        <v>197.33000183105401</v>
      </c>
      <c r="D6916">
        <v>194.30999755859301</v>
      </c>
      <c r="E6916">
        <v>195.77999877929599</v>
      </c>
      <c r="F6916">
        <v>195.77999877929599</v>
      </c>
      <c r="G6916">
        <v>38492100</v>
      </c>
      <c r="H6916">
        <f t="shared" ref="H6916:H6979" si="432">YEAR($A6916)</f>
        <v>2024</v>
      </c>
      <c r="I6916">
        <f t="shared" ref="I6916:I6979" si="433">MONTH($A6916)</f>
        <v>11</v>
      </c>
      <c r="J6916" t="str">
        <f t="shared" ref="J6916:J6979" si="434">TEXT($A6916,"mmm")</f>
        <v>Nov</v>
      </c>
      <c r="K6916" t="str">
        <f t="shared" ref="K6916:K6979" si="435">TEXT($A6916,"ddd")</f>
        <v>Mon</v>
      </c>
    </row>
    <row r="6917" spans="1:11" x14ac:dyDescent="0.35">
      <c r="A6917" s="1">
        <v>45601</v>
      </c>
      <c r="B6917">
        <v>196.03999328613199</v>
      </c>
      <c r="C6917">
        <v>199.82000732421801</v>
      </c>
      <c r="D6917">
        <v>195.99000549316401</v>
      </c>
      <c r="E6917">
        <v>199.5</v>
      </c>
      <c r="F6917">
        <v>199.5</v>
      </c>
      <c r="G6917">
        <v>30564800</v>
      </c>
      <c r="H6917">
        <f t="shared" si="432"/>
        <v>2024</v>
      </c>
      <c r="I6917">
        <f t="shared" si="433"/>
        <v>11</v>
      </c>
      <c r="J6917" t="str">
        <f t="shared" si="434"/>
        <v>Nov</v>
      </c>
      <c r="K6917" t="str">
        <f t="shared" si="435"/>
        <v>Tue</v>
      </c>
    </row>
    <row r="6918" spans="1:11" x14ac:dyDescent="0.35">
      <c r="A6918" s="1">
        <v>45602</v>
      </c>
      <c r="B6918">
        <v>200.009994506835</v>
      </c>
      <c r="C6918">
        <v>207.55000305175699</v>
      </c>
      <c r="D6918">
        <v>199.13999938964801</v>
      </c>
      <c r="E6918">
        <v>207.08999633789</v>
      </c>
      <c r="F6918">
        <v>207.08999633789</v>
      </c>
      <c r="G6918">
        <v>72292200</v>
      </c>
      <c r="H6918">
        <f t="shared" si="432"/>
        <v>2024</v>
      </c>
      <c r="I6918">
        <f t="shared" si="433"/>
        <v>11</v>
      </c>
      <c r="J6918" t="str">
        <f t="shared" si="434"/>
        <v>Nov</v>
      </c>
      <c r="K6918" t="str">
        <f t="shared" si="435"/>
        <v>Wed</v>
      </c>
    </row>
    <row r="6919" spans="1:11" x14ac:dyDescent="0.35">
      <c r="A6919" s="1">
        <v>45603</v>
      </c>
      <c r="B6919">
        <v>207.44000244140599</v>
      </c>
      <c r="C6919">
        <v>212.25</v>
      </c>
      <c r="D6919">
        <v>207.19000244140599</v>
      </c>
      <c r="E6919">
        <v>210.05000305175699</v>
      </c>
      <c r="F6919">
        <v>210.05000305175699</v>
      </c>
      <c r="G6919">
        <v>52878400</v>
      </c>
      <c r="H6919">
        <f t="shared" si="432"/>
        <v>2024</v>
      </c>
      <c r="I6919">
        <f t="shared" si="433"/>
        <v>11</v>
      </c>
      <c r="J6919" t="str">
        <f t="shared" si="434"/>
        <v>Nov</v>
      </c>
      <c r="K6919" t="str">
        <f t="shared" si="435"/>
        <v>Thu</v>
      </c>
    </row>
    <row r="6920" spans="1:11" x14ac:dyDescent="0.35">
      <c r="A6920" s="1">
        <v>45604</v>
      </c>
      <c r="B6920">
        <v>209.72000122070301</v>
      </c>
      <c r="C6920">
        <v>209.96000671386699</v>
      </c>
      <c r="D6920">
        <v>207.44000244140599</v>
      </c>
      <c r="E6920">
        <v>208.17999267578099</v>
      </c>
      <c r="F6920">
        <v>208.17999267578099</v>
      </c>
      <c r="G6920">
        <v>36075800</v>
      </c>
      <c r="H6920">
        <f t="shared" si="432"/>
        <v>2024</v>
      </c>
      <c r="I6920">
        <f t="shared" si="433"/>
        <v>11</v>
      </c>
      <c r="J6920" t="str">
        <f t="shared" si="434"/>
        <v>Nov</v>
      </c>
      <c r="K6920" t="str">
        <f t="shared" si="435"/>
        <v>Fri</v>
      </c>
    </row>
    <row r="6921" spans="1:11" x14ac:dyDescent="0.35">
      <c r="A6921" s="1">
        <v>45607</v>
      </c>
      <c r="B6921">
        <v>208.5</v>
      </c>
      <c r="C6921">
        <v>209.64999389648401</v>
      </c>
      <c r="D6921">
        <v>205.58999633789</v>
      </c>
      <c r="E6921">
        <v>206.83999633789</v>
      </c>
      <c r="F6921">
        <v>206.83999633789</v>
      </c>
      <c r="G6921">
        <v>35456000</v>
      </c>
      <c r="H6921">
        <f t="shared" si="432"/>
        <v>2024</v>
      </c>
      <c r="I6921">
        <f t="shared" si="433"/>
        <v>11</v>
      </c>
      <c r="J6921" t="str">
        <f t="shared" si="434"/>
        <v>Nov</v>
      </c>
      <c r="K6921" t="str">
        <f t="shared" si="435"/>
        <v>Mon</v>
      </c>
    </row>
    <row r="6922" spans="1:11" x14ac:dyDescent="0.35">
      <c r="A6922" s="1">
        <v>45608</v>
      </c>
      <c r="B6922">
        <v>208.36999511718699</v>
      </c>
      <c r="C6922">
        <v>209.53999328613199</v>
      </c>
      <c r="D6922">
        <v>206.009994506835</v>
      </c>
      <c r="E6922">
        <v>208.91000366210901</v>
      </c>
      <c r="F6922">
        <v>208.91000366210901</v>
      </c>
      <c r="G6922">
        <v>38942900</v>
      </c>
      <c r="H6922">
        <f t="shared" si="432"/>
        <v>2024</v>
      </c>
      <c r="I6922">
        <f t="shared" si="433"/>
        <v>11</v>
      </c>
      <c r="J6922" t="str">
        <f t="shared" si="434"/>
        <v>Nov</v>
      </c>
      <c r="K6922" t="str">
        <f t="shared" si="435"/>
        <v>Tue</v>
      </c>
    </row>
    <row r="6923" spans="1:11" x14ac:dyDescent="0.35">
      <c r="A6923" s="1">
        <v>45609</v>
      </c>
      <c r="B6923">
        <v>209.39999389648401</v>
      </c>
      <c r="C6923">
        <v>215.08999633789</v>
      </c>
      <c r="D6923">
        <v>209.13999938964801</v>
      </c>
      <c r="E6923">
        <v>214.100006103515</v>
      </c>
      <c r="F6923">
        <v>214.100006103515</v>
      </c>
      <c r="G6923">
        <v>46212900</v>
      </c>
      <c r="H6923">
        <f t="shared" si="432"/>
        <v>2024</v>
      </c>
      <c r="I6923">
        <f t="shared" si="433"/>
        <v>11</v>
      </c>
      <c r="J6923" t="str">
        <f t="shared" si="434"/>
        <v>Nov</v>
      </c>
      <c r="K6923" t="str">
        <f t="shared" si="435"/>
        <v>Wed</v>
      </c>
    </row>
    <row r="6924" spans="1:11" x14ac:dyDescent="0.35">
      <c r="A6924" s="1">
        <v>45610</v>
      </c>
      <c r="B6924">
        <v>214.16000366210901</v>
      </c>
      <c r="C6924">
        <v>215.89999389648401</v>
      </c>
      <c r="D6924">
        <v>210.88000488281199</v>
      </c>
      <c r="E6924">
        <v>211.47999572753901</v>
      </c>
      <c r="F6924">
        <v>211.47999572753901</v>
      </c>
      <c r="G6924">
        <v>42620300</v>
      </c>
      <c r="H6924">
        <f t="shared" si="432"/>
        <v>2024</v>
      </c>
      <c r="I6924">
        <f t="shared" si="433"/>
        <v>11</v>
      </c>
      <c r="J6924" t="str">
        <f t="shared" si="434"/>
        <v>Nov</v>
      </c>
      <c r="K6924" t="str">
        <f t="shared" si="435"/>
        <v>Thu</v>
      </c>
    </row>
    <row r="6925" spans="1:11" x14ac:dyDescent="0.35">
      <c r="A6925" s="1">
        <v>45611</v>
      </c>
      <c r="B6925">
        <v>206.759994506835</v>
      </c>
      <c r="C6925">
        <v>207.33999633789</v>
      </c>
      <c r="D6925">
        <v>199.61000061035099</v>
      </c>
      <c r="E6925">
        <v>202.61000061035099</v>
      </c>
      <c r="F6925">
        <v>202.61000061035099</v>
      </c>
      <c r="G6925">
        <v>86591100</v>
      </c>
      <c r="H6925">
        <f t="shared" si="432"/>
        <v>2024</v>
      </c>
      <c r="I6925">
        <f t="shared" si="433"/>
        <v>11</v>
      </c>
      <c r="J6925" t="str">
        <f t="shared" si="434"/>
        <v>Nov</v>
      </c>
      <c r="K6925" t="str">
        <f t="shared" si="435"/>
        <v>Fri</v>
      </c>
    </row>
    <row r="6926" spans="1:11" x14ac:dyDescent="0.35">
      <c r="A6926" s="1">
        <v>45614</v>
      </c>
      <c r="B6926">
        <v>204.14999389648401</v>
      </c>
      <c r="C6926">
        <v>204.669998168945</v>
      </c>
      <c r="D6926">
        <v>200.94999694824199</v>
      </c>
      <c r="E6926">
        <v>201.69999694824199</v>
      </c>
      <c r="F6926">
        <v>201.69999694824199</v>
      </c>
      <c r="G6926">
        <v>36409900</v>
      </c>
      <c r="H6926">
        <f t="shared" si="432"/>
        <v>2024</v>
      </c>
      <c r="I6926">
        <f t="shared" si="433"/>
        <v>11</v>
      </c>
      <c r="J6926" t="str">
        <f t="shared" si="434"/>
        <v>Nov</v>
      </c>
      <c r="K6926" t="str">
        <f t="shared" si="435"/>
        <v>Mon</v>
      </c>
    </row>
    <row r="6927" spans="1:11" x14ac:dyDescent="0.35">
      <c r="A6927" s="1">
        <v>45615</v>
      </c>
      <c r="B6927">
        <v>199.33000183105401</v>
      </c>
      <c r="C6927">
        <v>205.30000305175699</v>
      </c>
      <c r="D6927">
        <v>198.77999877929599</v>
      </c>
      <c r="E6927">
        <v>204.61000061035099</v>
      </c>
      <c r="F6927">
        <v>204.61000061035099</v>
      </c>
      <c r="G6927">
        <v>31197900</v>
      </c>
      <c r="H6927">
        <f t="shared" si="432"/>
        <v>2024</v>
      </c>
      <c r="I6927">
        <f t="shared" si="433"/>
        <v>11</v>
      </c>
      <c r="J6927" t="str">
        <f t="shared" si="434"/>
        <v>Nov</v>
      </c>
      <c r="K6927" t="str">
        <f t="shared" si="435"/>
        <v>Tue</v>
      </c>
    </row>
    <row r="6928" spans="1:11" x14ac:dyDescent="0.35">
      <c r="A6928" s="1">
        <v>45616</v>
      </c>
      <c r="B6928">
        <v>202.97999572753901</v>
      </c>
      <c r="C6928">
        <v>203.13000488281199</v>
      </c>
      <c r="D6928">
        <v>199.44999694824199</v>
      </c>
      <c r="E6928">
        <v>202.88000488281199</v>
      </c>
      <c r="F6928">
        <v>202.88000488281199</v>
      </c>
      <c r="G6928">
        <v>32769000</v>
      </c>
      <c r="H6928">
        <f t="shared" si="432"/>
        <v>2024</v>
      </c>
      <c r="I6928">
        <f t="shared" si="433"/>
        <v>11</v>
      </c>
      <c r="J6928" t="str">
        <f t="shared" si="434"/>
        <v>Nov</v>
      </c>
      <c r="K6928" t="str">
        <f t="shared" si="435"/>
        <v>Wed</v>
      </c>
    </row>
    <row r="6929" spans="1:11" x14ac:dyDescent="0.35">
      <c r="A6929" s="1">
        <v>45617</v>
      </c>
      <c r="B6929">
        <v>203.49000549316401</v>
      </c>
      <c r="C6929">
        <v>203.49000549316401</v>
      </c>
      <c r="D6929">
        <v>195.75</v>
      </c>
      <c r="E6929">
        <v>198.38000488281199</v>
      </c>
      <c r="F6929">
        <v>198.38000488281199</v>
      </c>
      <c r="G6929">
        <v>58800000</v>
      </c>
      <c r="H6929">
        <f t="shared" si="432"/>
        <v>2024</v>
      </c>
      <c r="I6929">
        <f t="shared" si="433"/>
        <v>11</v>
      </c>
      <c r="J6929" t="str">
        <f t="shared" si="434"/>
        <v>Nov</v>
      </c>
      <c r="K6929" t="str">
        <f t="shared" si="435"/>
        <v>Thu</v>
      </c>
    </row>
    <row r="6930" spans="1:11" x14ac:dyDescent="0.35">
      <c r="A6930" s="1">
        <v>45618</v>
      </c>
      <c r="B6930">
        <v>198.25</v>
      </c>
      <c r="C6930">
        <v>199.259994506835</v>
      </c>
      <c r="D6930">
        <v>196.75</v>
      </c>
      <c r="E6930">
        <v>197.11999511718699</v>
      </c>
      <c r="F6930">
        <v>197.11999511718699</v>
      </c>
      <c r="G6930">
        <v>31530800</v>
      </c>
      <c r="H6930">
        <f t="shared" si="432"/>
        <v>2024</v>
      </c>
      <c r="I6930">
        <f t="shared" si="433"/>
        <v>11</v>
      </c>
      <c r="J6930" t="str">
        <f t="shared" si="434"/>
        <v>Nov</v>
      </c>
      <c r="K6930" t="str">
        <f t="shared" si="435"/>
        <v>Fri</v>
      </c>
    </row>
    <row r="6931" spans="1:11" x14ac:dyDescent="0.35">
      <c r="A6931" s="1">
        <v>45621</v>
      </c>
      <c r="B6931">
        <v>199.27999877929599</v>
      </c>
      <c r="C6931">
        <v>201.94999694824199</v>
      </c>
      <c r="D6931">
        <v>199</v>
      </c>
      <c r="E6931">
        <v>201.44999694824199</v>
      </c>
      <c r="F6931">
        <v>201.44999694824199</v>
      </c>
      <c r="G6931">
        <v>40685700</v>
      </c>
      <c r="H6931">
        <f t="shared" si="432"/>
        <v>2024</v>
      </c>
      <c r="I6931">
        <f t="shared" si="433"/>
        <v>11</v>
      </c>
      <c r="J6931" t="str">
        <f t="shared" si="434"/>
        <v>Nov</v>
      </c>
      <c r="K6931" t="str">
        <f t="shared" si="435"/>
        <v>Mon</v>
      </c>
    </row>
    <row r="6932" spans="1:11" x14ac:dyDescent="0.35">
      <c r="A6932" s="1">
        <v>45622</v>
      </c>
      <c r="B6932">
        <v>201.89999389648401</v>
      </c>
      <c r="C6932">
        <v>208</v>
      </c>
      <c r="D6932">
        <v>201.78999328613199</v>
      </c>
      <c r="E6932">
        <v>207.86000061035099</v>
      </c>
      <c r="F6932">
        <v>207.86000061035099</v>
      </c>
      <c r="G6932">
        <v>41673700</v>
      </c>
      <c r="H6932">
        <f t="shared" si="432"/>
        <v>2024</v>
      </c>
      <c r="I6932">
        <f t="shared" si="433"/>
        <v>11</v>
      </c>
      <c r="J6932" t="str">
        <f t="shared" si="434"/>
        <v>Nov</v>
      </c>
      <c r="K6932" t="str">
        <f t="shared" si="435"/>
        <v>Tue</v>
      </c>
    </row>
    <row r="6933" spans="1:11" x14ac:dyDescent="0.35">
      <c r="A6933" s="1">
        <v>45623</v>
      </c>
      <c r="B6933">
        <v>206.97999572753901</v>
      </c>
      <c r="C6933">
        <v>207.63999938964801</v>
      </c>
      <c r="D6933">
        <v>205.05000305175699</v>
      </c>
      <c r="E6933">
        <v>205.74000549316401</v>
      </c>
      <c r="F6933">
        <v>205.74000549316401</v>
      </c>
      <c r="G6933">
        <v>28061600</v>
      </c>
      <c r="H6933">
        <f t="shared" si="432"/>
        <v>2024</v>
      </c>
      <c r="I6933">
        <f t="shared" si="433"/>
        <v>11</v>
      </c>
      <c r="J6933" t="str">
        <f t="shared" si="434"/>
        <v>Nov</v>
      </c>
      <c r="K6933" t="str">
        <f t="shared" si="435"/>
        <v>Wed</v>
      </c>
    </row>
    <row r="6934" spans="1:11" x14ac:dyDescent="0.35">
      <c r="A6934" s="1">
        <v>45625</v>
      </c>
      <c r="B6934">
        <v>205.83000183105401</v>
      </c>
      <c r="C6934">
        <v>208.19999694824199</v>
      </c>
      <c r="D6934">
        <v>204.58999633789</v>
      </c>
      <c r="E6934">
        <v>207.88999938964801</v>
      </c>
      <c r="F6934">
        <v>207.88999938964801</v>
      </c>
      <c r="G6934">
        <v>24892400</v>
      </c>
      <c r="H6934">
        <f t="shared" si="432"/>
        <v>2024</v>
      </c>
      <c r="I6934">
        <f t="shared" si="433"/>
        <v>11</v>
      </c>
      <c r="J6934" t="str">
        <f t="shared" si="434"/>
        <v>Nov</v>
      </c>
      <c r="K6934" t="str">
        <f t="shared" si="435"/>
        <v>Fri</v>
      </c>
    </row>
    <row r="6935" spans="1:11" x14ac:dyDescent="0.35">
      <c r="A6935" s="1">
        <v>45628</v>
      </c>
      <c r="B6935">
        <v>209.96000671386699</v>
      </c>
      <c r="C6935">
        <v>212.99000549316401</v>
      </c>
      <c r="D6935">
        <v>209.509994506835</v>
      </c>
      <c r="E6935">
        <v>210.71000671386699</v>
      </c>
      <c r="F6935">
        <v>210.71000671386699</v>
      </c>
      <c r="G6935">
        <v>39523200</v>
      </c>
      <c r="H6935">
        <f t="shared" si="432"/>
        <v>2024</v>
      </c>
      <c r="I6935">
        <f t="shared" si="433"/>
        <v>12</v>
      </c>
      <c r="J6935" t="str">
        <f t="shared" si="434"/>
        <v>Dec</v>
      </c>
      <c r="K6935" t="str">
        <f t="shared" si="435"/>
        <v>Mon</v>
      </c>
    </row>
    <row r="6936" spans="1:11" x14ac:dyDescent="0.35">
      <c r="A6936" s="1">
        <v>45629</v>
      </c>
      <c r="B6936">
        <v>210.30999755859301</v>
      </c>
      <c r="C6936">
        <v>214.02000427246</v>
      </c>
      <c r="D6936">
        <v>209.64999389648401</v>
      </c>
      <c r="E6936">
        <v>213.44000244140599</v>
      </c>
      <c r="F6936">
        <v>213.44000244140599</v>
      </c>
      <c r="G6936">
        <v>32214800</v>
      </c>
      <c r="H6936">
        <f t="shared" si="432"/>
        <v>2024</v>
      </c>
      <c r="I6936">
        <f t="shared" si="433"/>
        <v>12</v>
      </c>
      <c r="J6936" t="str">
        <f t="shared" si="434"/>
        <v>Dec</v>
      </c>
      <c r="K6936" t="str">
        <f t="shared" si="435"/>
        <v>Tue</v>
      </c>
    </row>
    <row r="6937" spans="1:11" x14ac:dyDescent="0.35">
      <c r="A6937" s="1">
        <v>45630</v>
      </c>
      <c r="B6937">
        <v>215.96000671386699</v>
      </c>
      <c r="C6937">
        <v>220</v>
      </c>
      <c r="D6937">
        <v>215.75</v>
      </c>
      <c r="E6937">
        <v>218.16000366210901</v>
      </c>
      <c r="F6937">
        <v>218.16000366210901</v>
      </c>
      <c r="G6937">
        <v>48745700</v>
      </c>
      <c r="H6937">
        <f t="shared" si="432"/>
        <v>2024</v>
      </c>
      <c r="I6937">
        <f t="shared" si="433"/>
        <v>12</v>
      </c>
      <c r="J6937" t="str">
        <f t="shared" si="434"/>
        <v>Dec</v>
      </c>
      <c r="K6937" t="str">
        <f t="shared" si="435"/>
        <v>Wed</v>
      </c>
    </row>
    <row r="6938" spans="1:11" x14ac:dyDescent="0.35">
      <c r="A6938" s="1">
        <v>45631</v>
      </c>
      <c r="B6938">
        <v>218.02999877929599</v>
      </c>
      <c r="C6938">
        <v>222.14999389648401</v>
      </c>
      <c r="D6938">
        <v>217.30000305175699</v>
      </c>
      <c r="E6938">
        <v>220.55000305175699</v>
      </c>
      <c r="F6938">
        <v>220.55000305175699</v>
      </c>
      <c r="G6938">
        <v>41140200</v>
      </c>
      <c r="H6938">
        <f t="shared" si="432"/>
        <v>2024</v>
      </c>
      <c r="I6938">
        <f t="shared" si="433"/>
        <v>12</v>
      </c>
      <c r="J6938" t="str">
        <f t="shared" si="434"/>
        <v>Dec</v>
      </c>
      <c r="K6938" t="str">
        <f t="shared" si="435"/>
        <v>Thu</v>
      </c>
    </row>
    <row r="6939" spans="1:11" x14ac:dyDescent="0.35">
      <c r="A6939" s="1">
        <v>45632</v>
      </c>
      <c r="B6939">
        <v>220.75</v>
      </c>
      <c r="C6939">
        <v>227.14999389648401</v>
      </c>
      <c r="D6939">
        <v>220.600006103515</v>
      </c>
      <c r="E6939">
        <v>227.02999877929599</v>
      </c>
      <c r="F6939">
        <v>227.02999877929599</v>
      </c>
      <c r="G6939">
        <v>44178100</v>
      </c>
      <c r="H6939">
        <f t="shared" si="432"/>
        <v>2024</v>
      </c>
      <c r="I6939">
        <f t="shared" si="433"/>
        <v>12</v>
      </c>
      <c r="J6939" t="str">
        <f t="shared" si="434"/>
        <v>Dec</v>
      </c>
      <c r="K6939" t="str">
        <f t="shared" si="435"/>
        <v>Fri</v>
      </c>
    </row>
    <row r="6940" spans="1:11" x14ac:dyDescent="0.35">
      <c r="A6940" s="1">
        <v>45635</v>
      </c>
      <c r="B6940">
        <v>227.21000671386699</v>
      </c>
      <c r="C6940">
        <v>230.08000183105401</v>
      </c>
      <c r="D6940">
        <v>225.669998168945</v>
      </c>
      <c r="E6940">
        <v>226.08999633789</v>
      </c>
      <c r="F6940">
        <v>226.08999633789</v>
      </c>
      <c r="G6940">
        <v>46819400</v>
      </c>
      <c r="H6940">
        <f t="shared" si="432"/>
        <v>2024</v>
      </c>
      <c r="I6940">
        <f t="shared" si="433"/>
        <v>12</v>
      </c>
      <c r="J6940" t="str">
        <f t="shared" si="434"/>
        <v>Dec</v>
      </c>
      <c r="K6940" t="str">
        <f t="shared" si="435"/>
        <v>Mon</v>
      </c>
    </row>
    <row r="6941" spans="1:11" x14ac:dyDescent="0.35">
      <c r="A6941" s="1">
        <v>45636</v>
      </c>
      <c r="B6941">
        <v>226.08999633789</v>
      </c>
      <c r="C6941">
        <v>229.05999755859301</v>
      </c>
      <c r="D6941">
        <v>224.19999694824199</v>
      </c>
      <c r="E6941">
        <v>225.03999328613199</v>
      </c>
      <c r="F6941">
        <v>225.03999328613199</v>
      </c>
      <c r="G6941">
        <v>31199900</v>
      </c>
      <c r="H6941">
        <f t="shared" si="432"/>
        <v>2024</v>
      </c>
      <c r="I6941">
        <f t="shared" si="433"/>
        <v>12</v>
      </c>
      <c r="J6941" t="str">
        <f t="shared" si="434"/>
        <v>Dec</v>
      </c>
      <c r="K6941" t="str">
        <f t="shared" si="435"/>
        <v>Tue</v>
      </c>
    </row>
    <row r="6942" spans="1:11" x14ac:dyDescent="0.35">
      <c r="A6942" s="1">
        <v>45637</v>
      </c>
      <c r="B6942">
        <v>226.41000366210901</v>
      </c>
      <c r="C6942">
        <v>231.19999694824199</v>
      </c>
      <c r="D6942">
        <v>226.259994506835</v>
      </c>
      <c r="E6942">
        <v>230.259994506835</v>
      </c>
      <c r="F6942">
        <v>230.259994506835</v>
      </c>
      <c r="G6942">
        <v>35385800</v>
      </c>
      <c r="H6942">
        <f t="shared" si="432"/>
        <v>2024</v>
      </c>
      <c r="I6942">
        <f t="shared" si="433"/>
        <v>12</v>
      </c>
      <c r="J6942" t="str">
        <f t="shared" si="434"/>
        <v>Dec</v>
      </c>
      <c r="K6942" t="str">
        <f t="shared" si="435"/>
        <v>Wed</v>
      </c>
    </row>
    <row r="6943" spans="1:11" x14ac:dyDescent="0.35">
      <c r="A6943" s="1">
        <v>45638</v>
      </c>
      <c r="B6943">
        <v>229.83000183105401</v>
      </c>
      <c r="C6943">
        <v>231.08999633789</v>
      </c>
      <c r="D6943">
        <v>227.63000488281199</v>
      </c>
      <c r="E6943">
        <v>228.97000122070301</v>
      </c>
      <c r="F6943">
        <v>228.97000122070301</v>
      </c>
      <c r="G6943">
        <v>28204100</v>
      </c>
      <c r="H6943">
        <f t="shared" si="432"/>
        <v>2024</v>
      </c>
      <c r="I6943">
        <f t="shared" si="433"/>
        <v>12</v>
      </c>
      <c r="J6943" t="str">
        <f t="shared" si="434"/>
        <v>Dec</v>
      </c>
      <c r="K6943" t="str">
        <f t="shared" si="435"/>
        <v>Thu</v>
      </c>
    </row>
    <row r="6944" spans="1:11" x14ac:dyDescent="0.35">
      <c r="A6944" s="1">
        <v>45639</v>
      </c>
      <c r="B6944">
        <v>228.39999389648401</v>
      </c>
      <c r="C6944">
        <v>230.19999694824199</v>
      </c>
      <c r="D6944">
        <v>225.86000061035099</v>
      </c>
      <c r="E6944">
        <v>227.46000671386699</v>
      </c>
      <c r="F6944">
        <v>227.46000671386699</v>
      </c>
      <c r="G6944">
        <v>28768100</v>
      </c>
      <c r="H6944">
        <f t="shared" si="432"/>
        <v>2024</v>
      </c>
      <c r="I6944">
        <f t="shared" si="433"/>
        <v>12</v>
      </c>
      <c r="J6944" t="str">
        <f t="shared" si="434"/>
        <v>Dec</v>
      </c>
      <c r="K6944" t="str">
        <f t="shared" si="435"/>
        <v>Fri</v>
      </c>
    </row>
    <row r="6945" spans="1:11" x14ac:dyDescent="0.35">
      <c r="A6945" s="1">
        <v>45642</v>
      </c>
      <c r="B6945">
        <v>230.22999572753901</v>
      </c>
      <c r="C6945">
        <v>233</v>
      </c>
      <c r="D6945">
        <v>228.009994506835</v>
      </c>
      <c r="E6945">
        <v>232.92999267578099</v>
      </c>
      <c r="F6945">
        <v>232.92999267578099</v>
      </c>
      <c r="G6945">
        <v>37552100</v>
      </c>
      <c r="H6945">
        <f t="shared" si="432"/>
        <v>2024</v>
      </c>
      <c r="I6945">
        <f t="shared" si="433"/>
        <v>12</v>
      </c>
      <c r="J6945" t="str">
        <f t="shared" si="434"/>
        <v>Dec</v>
      </c>
      <c r="K6945" t="str">
        <f t="shared" si="435"/>
        <v>Mon</v>
      </c>
    </row>
    <row r="6946" spans="1:11" x14ac:dyDescent="0.35">
      <c r="A6946" s="1">
        <v>45643</v>
      </c>
      <c r="B6946">
        <v>232.38999938964801</v>
      </c>
      <c r="C6946">
        <v>232.72999572753901</v>
      </c>
      <c r="D6946">
        <v>227.850006103515</v>
      </c>
      <c r="E6946">
        <v>231.14999389648401</v>
      </c>
      <c r="F6946">
        <v>231.14999389648401</v>
      </c>
      <c r="G6946">
        <v>35948100</v>
      </c>
      <c r="H6946">
        <f t="shared" si="432"/>
        <v>2024</v>
      </c>
      <c r="I6946">
        <f t="shared" si="433"/>
        <v>12</v>
      </c>
      <c r="J6946" t="str">
        <f t="shared" si="434"/>
        <v>Dec</v>
      </c>
      <c r="K6946" t="str">
        <f t="shared" si="435"/>
        <v>Tue</v>
      </c>
    </row>
    <row r="6947" spans="1:11" x14ac:dyDescent="0.35">
      <c r="A6947" s="1">
        <v>45644</v>
      </c>
      <c r="B6947">
        <v>230.77000427246</v>
      </c>
      <c r="C6947">
        <v>231.39999389648401</v>
      </c>
      <c r="D6947">
        <v>220.11000061035099</v>
      </c>
      <c r="E6947">
        <v>220.52000427246</v>
      </c>
      <c r="F6947">
        <v>220.52000427246</v>
      </c>
      <c r="G6947">
        <v>43281400</v>
      </c>
      <c r="H6947">
        <f t="shared" si="432"/>
        <v>2024</v>
      </c>
      <c r="I6947">
        <f t="shared" si="433"/>
        <v>12</v>
      </c>
      <c r="J6947" t="str">
        <f t="shared" si="434"/>
        <v>Dec</v>
      </c>
      <c r="K6947" t="str">
        <f t="shared" si="435"/>
        <v>Wed</v>
      </c>
    </row>
    <row r="6948" spans="1:11" x14ac:dyDescent="0.35">
      <c r="A6948" s="1">
        <v>45645</v>
      </c>
      <c r="B6948">
        <v>224.91000366210901</v>
      </c>
      <c r="C6948">
        <v>226.08999633789</v>
      </c>
      <c r="D6948">
        <v>222.919998168945</v>
      </c>
      <c r="E6948">
        <v>223.28999328613199</v>
      </c>
      <c r="F6948">
        <v>223.28999328613199</v>
      </c>
      <c r="G6948">
        <v>39918700</v>
      </c>
      <c r="H6948">
        <f t="shared" si="432"/>
        <v>2024</v>
      </c>
      <c r="I6948">
        <f t="shared" si="433"/>
        <v>12</v>
      </c>
      <c r="J6948" t="str">
        <f t="shared" si="434"/>
        <v>Dec</v>
      </c>
      <c r="K6948" t="str">
        <f t="shared" si="435"/>
        <v>Thu</v>
      </c>
    </row>
    <row r="6949" spans="1:11" x14ac:dyDescent="0.35">
      <c r="A6949" s="1">
        <v>45646</v>
      </c>
      <c r="B6949">
        <v>219.83999633789</v>
      </c>
      <c r="C6949">
        <v>226.21000671386699</v>
      </c>
      <c r="D6949">
        <v>218.72999572753901</v>
      </c>
      <c r="E6949">
        <v>224.919998168945</v>
      </c>
      <c r="F6949">
        <v>224.919998168945</v>
      </c>
      <c r="G6949">
        <v>88279200</v>
      </c>
      <c r="H6949">
        <f t="shared" si="432"/>
        <v>2024</v>
      </c>
      <c r="I6949">
        <f t="shared" si="433"/>
        <v>12</v>
      </c>
      <c r="J6949" t="str">
        <f t="shared" si="434"/>
        <v>Dec</v>
      </c>
      <c r="K6949" t="str">
        <f t="shared" si="435"/>
        <v>Fri</v>
      </c>
    </row>
    <row r="6950" spans="1:11" x14ac:dyDescent="0.35">
      <c r="A6950" s="1">
        <v>45649</v>
      </c>
      <c r="B6950">
        <v>225.009994506835</v>
      </c>
      <c r="C6950">
        <v>226.88000488281199</v>
      </c>
      <c r="D6950">
        <v>223.89999389648401</v>
      </c>
      <c r="E6950">
        <v>225.05999755859301</v>
      </c>
      <c r="F6950">
        <v>225.05999755859301</v>
      </c>
      <c r="G6950">
        <v>28070000</v>
      </c>
      <c r="H6950">
        <f t="shared" si="432"/>
        <v>2024</v>
      </c>
      <c r="I6950">
        <f t="shared" si="433"/>
        <v>12</v>
      </c>
      <c r="J6950" t="str">
        <f t="shared" si="434"/>
        <v>Dec</v>
      </c>
      <c r="K6950" t="str">
        <f t="shared" si="435"/>
        <v>Mon</v>
      </c>
    </row>
    <row r="6951" spans="1:11" x14ac:dyDescent="0.35">
      <c r="A6951" s="1">
        <v>45650</v>
      </c>
      <c r="B6951">
        <v>226.94000244140599</v>
      </c>
      <c r="C6951">
        <v>229.13999938964801</v>
      </c>
      <c r="D6951">
        <v>226.13000488281199</v>
      </c>
      <c r="E6951">
        <v>229.05000305175699</v>
      </c>
      <c r="F6951">
        <v>229.05000305175699</v>
      </c>
      <c r="G6951">
        <v>15007500</v>
      </c>
      <c r="H6951">
        <f t="shared" si="432"/>
        <v>2024</v>
      </c>
      <c r="I6951">
        <f t="shared" si="433"/>
        <v>12</v>
      </c>
      <c r="J6951" t="str">
        <f t="shared" si="434"/>
        <v>Dec</v>
      </c>
      <c r="K6951" t="str">
        <f t="shared" si="435"/>
        <v>Tue</v>
      </c>
    </row>
    <row r="6952" spans="1:11" x14ac:dyDescent="0.35">
      <c r="A6952" s="1">
        <v>45652</v>
      </c>
      <c r="B6952">
        <v>228.5</v>
      </c>
      <c r="C6952">
        <v>228.5</v>
      </c>
      <c r="D6952">
        <v>226.669998168945</v>
      </c>
      <c r="E6952">
        <v>227.05000305175699</v>
      </c>
      <c r="F6952">
        <v>227.05000305175699</v>
      </c>
      <c r="G6952">
        <v>16146700</v>
      </c>
      <c r="H6952">
        <f t="shared" si="432"/>
        <v>2024</v>
      </c>
      <c r="I6952">
        <f t="shared" si="433"/>
        <v>12</v>
      </c>
      <c r="J6952" t="str">
        <f t="shared" si="434"/>
        <v>Dec</v>
      </c>
      <c r="K6952" t="str">
        <f t="shared" si="435"/>
        <v>Thu</v>
      </c>
    </row>
    <row r="6953" spans="1:11" x14ac:dyDescent="0.35">
      <c r="A6953" s="1">
        <v>45653</v>
      </c>
      <c r="B6953">
        <v>225.600006103515</v>
      </c>
      <c r="C6953">
        <v>226.02999877929599</v>
      </c>
      <c r="D6953">
        <v>220.89999389648401</v>
      </c>
      <c r="E6953">
        <v>223.75</v>
      </c>
      <c r="F6953">
        <v>223.75</v>
      </c>
      <c r="G6953">
        <v>27367100</v>
      </c>
      <c r="H6953">
        <f t="shared" si="432"/>
        <v>2024</v>
      </c>
      <c r="I6953">
        <f t="shared" si="433"/>
        <v>12</v>
      </c>
      <c r="J6953" t="str">
        <f t="shared" si="434"/>
        <v>Dec</v>
      </c>
      <c r="K6953" t="str">
        <f t="shared" si="435"/>
        <v>Fri</v>
      </c>
    </row>
    <row r="6954" spans="1:11" x14ac:dyDescent="0.35">
      <c r="A6954" s="1">
        <v>45656</v>
      </c>
      <c r="B6954">
        <v>220.05999755859301</v>
      </c>
      <c r="C6954">
        <v>223</v>
      </c>
      <c r="D6954">
        <v>218.42999267578099</v>
      </c>
      <c r="E6954">
        <v>221.30000305175699</v>
      </c>
      <c r="F6954">
        <v>221.30000305175699</v>
      </c>
      <c r="G6954">
        <v>28321200</v>
      </c>
      <c r="H6954">
        <f t="shared" si="432"/>
        <v>2024</v>
      </c>
      <c r="I6954">
        <f t="shared" si="433"/>
        <v>12</v>
      </c>
      <c r="J6954" t="str">
        <f t="shared" si="434"/>
        <v>Dec</v>
      </c>
      <c r="K6954" t="str">
        <f t="shared" si="435"/>
        <v>Mon</v>
      </c>
    </row>
    <row r="6955" spans="1:11" x14ac:dyDescent="0.35">
      <c r="A6955" s="1">
        <v>45657</v>
      </c>
      <c r="B6955">
        <v>222.97000122070301</v>
      </c>
      <c r="C6955">
        <v>223.22999572753901</v>
      </c>
      <c r="D6955">
        <v>218.94000244140599</v>
      </c>
      <c r="E6955">
        <v>219.38999938964801</v>
      </c>
      <c r="F6955">
        <v>219.38999938964801</v>
      </c>
      <c r="G6955">
        <v>24819700</v>
      </c>
      <c r="H6955">
        <f t="shared" si="432"/>
        <v>2024</v>
      </c>
      <c r="I6955">
        <f t="shared" si="433"/>
        <v>12</v>
      </c>
      <c r="J6955" t="str">
        <f t="shared" si="434"/>
        <v>Dec</v>
      </c>
      <c r="K6955" t="str">
        <f t="shared" si="435"/>
        <v>Tue</v>
      </c>
    </row>
    <row r="6956" spans="1:11" x14ac:dyDescent="0.35">
      <c r="A6956" s="1">
        <v>45659</v>
      </c>
      <c r="B6956">
        <v>222.02999877929599</v>
      </c>
      <c r="C6956">
        <v>225.14999389648401</v>
      </c>
      <c r="D6956">
        <v>218.19000244140599</v>
      </c>
      <c r="E6956">
        <v>220.22000122070301</v>
      </c>
      <c r="F6956">
        <v>220.22000122070301</v>
      </c>
      <c r="G6956">
        <v>33956600</v>
      </c>
      <c r="H6956">
        <f t="shared" si="432"/>
        <v>2025</v>
      </c>
      <c r="I6956">
        <f t="shared" si="433"/>
        <v>1</v>
      </c>
      <c r="J6956" t="str">
        <f t="shared" si="434"/>
        <v>Jan</v>
      </c>
      <c r="K6956" t="str">
        <f t="shared" si="435"/>
        <v>Thu</v>
      </c>
    </row>
    <row r="6957" spans="1:11" x14ac:dyDescent="0.35">
      <c r="A6957" s="1">
        <v>45660</v>
      </c>
      <c r="B6957">
        <v>222.509994506835</v>
      </c>
      <c r="C6957">
        <v>225.36000061035099</v>
      </c>
      <c r="D6957">
        <v>221.61999511718699</v>
      </c>
      <c r="E6957">
        <v>224.19000244140599</v>
      </c>
      <c r="F6957">
        <v>224.19000244140599</v>
      </c>
      <c r="G6957">
        <v>27515600</v>
      </c>
      <c r="H6957">
        <f t="shared" si="432"/>
        <v>2025</v>
      </c>
      <c r="I6957">
        <f t="shared" si="433"/>
        <v>1</v>
      </c>
      <c r="J6957" t="str">
        <f t="shared" si="434"/>
        <v>Jan</v>
      </c>
      <c r="K6957" t="str">
        <f t="shared" si="435"/>
        <v>Fri</v>
      </c>
    </row>
    <row r="6958" spans="1:11" x14ac:dyDescent="0.35">
      <c r="A6958" s="1">
        <v>45663</v>
      </c>
      <c r="B6958">
        <v>226.77999877929599</v>
      </c>
      <c r="C6958">
        <v>228.83999633789</v>
      </c>
      <c r="D6958">
        <v>224.83999633789</v>
      </c>
      <c r="E6958">
        <v>227.61000061035099</v>
      </c>
      <c r="F6958">
        <v>227.61000061035099</v>
      </c>
      <c r="G6958">
        <v>31849800</v>
      </c>
      <c r="H6958">
        <f t="shared" si="432"/>
        <v>2025</v>
      </c>
      <c r="I6958">
        <f t="shared" si="433"/>
        <v>1</v>
      </c>
      <c r="J6958" t="str">
        <f t="shared" si="434"/>
        <v>Jan</v>
      </c>
      <c r="K6958" t="str">
        <f t="shared" si="435"/>
        <v>Mon</v>
      </c>
    </row>
    <row r="6959" spans="1:11" x14ac:dyDescent="0.35">
      <c r="A6959" s="1">
        <v>45664</v>
      </c>
      <c r="B6959">
        <v>227.89999389648401</v>
      </c>
      <c r="C6959">
        <v>228.38000488281199</v>
      </c>
      <c r="D6959">
        <v>221.46000671386699</v>
      </c>
      <c r="E6959">
        <v>222.11000061035099</v>
      </c>
      <c r="F6959">
        <v>222.11000061035099</v>
      </c>
      <c r="G6959">
        <v>28084200</v>
      </c>
      <c r="H6959">
        <f t="shared" si="432"/>
        <v>2025</v>
      </c>
      <c r="I6959">
        <f t="shared" si="433"/>
        <v>1</v>
      </c>
      <c r="J6959" t="str">
        <f t="shared" si="434"/>
        <v>Jan</v>
      </c>
      <c r="K6959" t="str">
        <f t="shared" si="435"/>
        <v>Tue</v>
      </c>
    </row>
    <row r="6960" spans="1:11" x14ac:dyDescent="0.35">
      <c r="A6960" s="1">
        <v>45665</v>
      </c>
      <c r="B6960">
        <v>223.19000244140599</v>
      </c>
      <c r="C6960">
        <v>223.52000427246</v>
      </c>
      <c r="D6960">
        <v>220.19999694824199</v>
      </c>
      <c r="E6960">
        <v>222.13000488281199</v>
      </c>
      <c r="F6960">
        <v>222.13000488281199</v>
      </c>
      <c r="G6960">
        <v>25033300</v>
      </c>
      <c r="H6960">
        <f t="shared" si="432"/>
        <v>2025</v>
      </c>
      <c r="I6960">
        <f t="shared" si="433"/>
        <v>1</v>
      </c>
      <c r="J6960" t="str">
        <f t="shared" si="434"/>
        <v>Jan</v>
      </c>
      <c r="K6960" t="str">
        <f t="shared" si="435"/>
        <v>Wed</v>
      </c>
    </row>
    <row r="6961" spans="1:11" x14ac:dyDescent="0.35">
      <c r="A6961" s="1">
        <v>45667</v>
      </c>
      <c r="B6961">
        <v>221.46000671386699</v>
      </c>
      <c r="C6961">
        <v>221.71000671386699</v>
      </c>
      <c r="D6961">
        <v>216.5</v>
      </c>
      <c r="E6961">
        <v>218.94000244140599</v>
      </c>
      <c r="F6961">
        <v>218.94000244140599</v>
      </c>
      <c r="G6961">
        <v>36811500</v>
      </c>
      <c r="H6961">
        <f t="shared" si="432"/>
        <v>2025</v>
      </c>
      <c r="I6961">
        <f t="shared" si="433"/>
        <v>1</v>
      </c>
      <c r="J6961" t="str">
        <f t="shared" si="434"/>
        <v>Jan</v>
      </c>
      <c r="K6961" t="str">
        <f t="shared" si="435"/>
        <v>Fri</v>
      </c>
    </row>
    <row r="6962" spans="1:11" x14ac:dyDescent="0.35">
      <c r="A6962" s="1">
        <v>45670</v>
      </c>
      <c r="B6962">
        <v>218.05999755859301</v>
      </c>
      <c r="C6962">
        <v>219.39999389648401</v>
      </c>
      <c r="D6962">
        <v>216.47000122070301</v>
      </c>
      <c r="E6962">
        <v>218.46000671386699</v>
      </c>
      <c r="F6962">
        <v>218.46000671386699</v>
      </c>
      <c r="G6962">
        <v>27262700</v>
      </c>
      <c r="H6962">
        <f t="shared" si="432"/>
        <v>2025</v>
      </c>
      <c r="I6962">
        <f t="shared" si="433"/>
        <v>1</v>
      </c>
      <c r="J6962" t="str">
        <f t="shared" si="434"/>
        <v>Jan</v>
      </c>
      <c r="K6962" t="str">
        <f t="shared" si="435"/>
        <v>Mon</v>
      </c>
    </row>
    <row r="6963" spans="1:11" x14ac:dyDescent="0.35">
      <c r="A6963" s="1">
        <v>45671</v>
      </c>
      <c r="B6963">
        <v>220.44000244140599</v>
      </c>
      <c r="C6963">
        <v>221.82000732421801</v>
      </c>
      <c r="D6963">
        <v>216.19999694824199</v>
      </c>
      <c r="E6963">
        <v>217.759994506835</v>
      </c>
      <c r="F6963">
        <v>217.759994506835</v>
      </c>
      <c r="G6963">
        <v>24711700</v>
      </c>
      <c r="H6963">
        <f t="shared" si="432"/>
        <v>2025</v>
      </c>
      <c r="I6963">
        <f t="shared" si="433"/>
        <v>1</v>
      </c>
      <c r="J6963" t="str">
        <f t="shared" si="434"/>
        <v>Jan</v>
      </c>
      <c r="K6963" t="str">
        <f t="shared" si="435"/>
        <v>Tue</v>
      </c>
    </row>
    <row r="6964" spans="1:11" x14ac:dyDescent="0.35">
      <c r="A6964" s="1">
        <v>45672</v>
      </c>
      <c r="B6964">
        <v>222.83000183105401</v>
      </c>
      <c r="C6964">
        <v>223.57000732421801</v>
      </c>
      <c r="D6964">
        <v>220.75</v>
      </c>
      <c r="E6964">
        <v>223.350006103515</v>
      </c>
      <c r="F6964">
        <v>223.350006103515</v>
      </c>
      <c r="G6964">
        <v>31291300</v>
      </c>
      <c r="H6964">
        <f t="shared" si="432"/>
        <v>2025</v>
      </c>
      <c r="I6964">
        <f t="shared" si="433"/>
        <v>1</v>
      </c>
      <c r="J6964" t="str">
        <f t="shared" si="434"/>
        <v>Jan</v>
      </c>
      <c r="K6964" t="str">
        <f t="shared" si="435"/>
        <v>Wed</v>
      </c>
    </row>
    <row r="6965" spans="1:11" x14ac:dyDescent="0.35">
      <c r="A6965" s="1">
        <v>45673</v>
      </c>
      <c r="B6965">
        <v>224.419998168945</v>
      </c>
      <c r="C6965">
        <v>224.64999389648401</v>
      </c>
      <c r="D6965">
        <v>220.30999755859301</v>
      </c>
      <c r="E6965">
        <v>220.66000366210901</v>
      </c>
      <c r="F6965">
        <v>220.66000366210901</v>
      </c>
      <c r="G6965">
        <v>24757300</v>
      </c>
      <c r="H6965">
        <f t="shared" si="432"/>
        <v>2025</v>
      </c>
      <c r="I6965">
        <f t="shared" si="433"/>
        <v>1</v>
      </c>
      <c r="J6965" t="str">
        <f t="shared" si="434"/>
        <v>Jan</v>
      </c>
      <c r="K6965" t="str">
        <f t="shared" si="435"/>
        <v>Thu</v>
      </c>
    </row>
    <row r="6966" spans="1:11" x14ac:dyDescent="0.35">
      <c r="A6966" s="1">
        <v>45674</v>
      </c>
      <c r="B6966">
        <v>225.83999633789</v>
      </c>
      <c r="C6966">
        <v>226.509994506835</v>
      </c>
      <c r="D6966">
        <v>223.08000183105401</v>
      </c>
      <c r="E6966">
        <v>225.94000244140599</v>
      </c>
      <c r="F6966">
        <v>225.94000244140599</v>
      </c>
      <c r="G6966">
        <v>42370100</v>
      </c>
      <c r="H6966">
        <f t="shared" si="432"/>
        <v>2025</v>
      </c>
      <c r="I6966">
        <f t="shared" si="433"/>
        <v>1</v>
      </c>
      <c r="J6966" t="str">
        <f t="shared" si="434"/>
        <v>Jan</v>
      </c>
      <c r="K6966" t="str">
        <f t="shared" si="435"/>
        <v>Fri</v>
      </c>
    </row>
    <row r="6967" spans="1:11" x14ac:dyDescent="0.35">
      <c r="A6967" s="1">
        <v>45678</v>
      </c>
      <c r="B6967">
        <v>228.89999389648401</v>
      </c>
      <c r="C6967">
        <v>231.77999877929599</v>
      </c>
      <c r="D6967">
        <v>226.94000244140599</v>
      </c>
      <c r="E6967">
        <v>230.71000671386699</v>
      </c>
      <c r="F6967">
        <v>230.71000671386699</v>
      </c>
      <c r="G6967">
        <v>39951500</v>
      </c>
      <c r="H6967">
        <f t="shared" si="432"/>
        <v>2025</v>
      </c>
      <c r="I6967">
        <f t="shared" si="433"/>
        <v>1</v>
      </c>
      <c r="J6967" t="str">
        <f t="shared" si="434"/>
        <v>Jan</v>
      </c>
      <c r="K6967" t="str">
        <f t="shared" si="435"/>
        <v>Tue</v>
      </c>
    </row>
    <row r="6968" spans="1:11" x14ac:dyDescent="0.35">
      <c r="A6968" s="1">
        <v>45679</v>
      </c>
      <c r="B6968">
        <v>232.02000427246</v>
      </c>
      <c r="C6968">
        <v>235.44000244140599</v>
      </c>
      <c r="D6968">
        <v>231.19000244140599</v>
      </c>
      <c r="E6968">
        <v>235.009994506835</v>
      </c>
      <c r="F6968">
        <v>235.009994506835</v>
      </c>
      <c r="G6968">
        <v>41448200</v>
      </c>
      <c r="H6968">
        <f t="shared" si="432"/>
        <v>2025</v>
      </c>
      <c r="I6968">
        <f t="shared" si="433"/>
        <v>1</v>
      </c>
      <c r="J6968" t="str">
        <f t="shared" si="434"/>
        <v>Jan</v>
      </c>
      <c r="K6968" t="str">
        <f t="shared" si="435"/>
        <v>Wed</v>
      </c>
    </row>
    <row r="6969" spans="1:11" x14ac:dyDescent="0.35">
      <c r="A6969" s="1">
        <v>45680</v>
      </c>
      <c r="B6969">
        <v>234.100006103515</v>
      </c>
      <c r="C6969">
        <v>235.52000427246</v>
      </c>
      <c r="D6969">
        <v>231.509994506835</v>
      </c>
      <c r="E6969">
        <v>235.419998168945</v>
      </c>
      <c r="F6969">
        <v>235.419998168945</v>
      </c>
      <c r="G6969">
        <v>26404400</v>
      </c>
      <c r="H6969">
        <f t="shared" si="432"/>
        <v>2025</v>
      </c>
      <c r="I6969">
        <f t="shared" si="433"/>
        <v>1</v>
      </c>
      <c r="J6969" t="str">
        <f t="shared" si="434"/>
        <v>Jan</v>
      </c>
      <c r="K6969" t="str">
        <f t="shared" si="435"/>
        <v>Thu</v>
      </c>
    </row>
    <row r="6970" spans="1:11" x14ac:dyDescent="0.35">
      <c r="A6970" s="1">
        <v>45681</v>
      </c>
      <c r="B6970">
        <v>234.5</v>
      </c>
      <c r="C6970">
        <v>236.39999389648401</v>
      </c>
      <c r="D6970">
        <v>232.92999267578099</v>
      </c>
      <c r="E6970">
        <v>234.850006103515</v>
      </c>
      <c r="F6970">
        <v>234.850006103515</v>
      </c>
      <c r="G6970">
        <v>25890700</v>
      </c>
      <c r="H6970">
        <f t="shared" si="432"/>
        <v>2025</v>
      </c>
      <c r="I6970">
        <f t="shared" si="433"/>
        <v>1</v>
      </c>
      <c r="J6970" t="str">
        <f t="shared" si="434"/>
        <v>Jan</v>
      </c>
      <c r="K6970" t="str">
        <f t="shared" si="435"/>
        <v>Fri</v>
      </c>
    </row>
    <row r="6971" spans="1:11" x14ac:dyDescent="0.35">
      <c r="A6971" s="1">
        <v>45684</v>
      </c>
      <c r="B6971">
        <v>226.21000671386699</v>
      </c>
      <c r="C6971">
        <v>235.61000061035099</v>
      </c>
      <c r="D6971">
        <v>225.86000061035099</v>
      </c>
      <c r="E6971">
        <v>235.419998168945</v>
      </c>
      <c r="F6971">
        <v>235.419998168945</v>
      </c>
      <c r="G6971">
        <v>49428300</v>
      </c>
      <c r="H6971">
        <f t="shared" si="432"/>
        <v>2025</v>
      </c>
      <c r="I6971">
        <f t="shared" si="433"/>
        <v>1</v>
      </c>
      <c r="J6971" t="str">
        <f t="shared" si="434"/>
        <v>Jan</v>
      </c>
      <c r="K6971" t="str">
        <f t="shared" si="435"/>
        <v>Mon</v>
      </c>
    </row>
    <row r="6972" spans="1:11" x14ac:dyDescent="0.35">
      <c r="A6972" s="1">
        <v>45685</v>
      </c>
      <c r="B6972">
        <v>234.28999328613199</v>
      </c>
      <c r="C6972">
        <v>241.77000427246</v>
      </c>
      <c r="D6972">
        <v>233.97999572753901</v>
      </c>
      <c r="E6972">
        <v>238.14999389648401</v>
      </c>
      <c r="F6972">
        <v>238.14999389648401</v>
      </c>
      <c r="G6972">
        <v>41587200</v>
      </c>
      <c r="H6972">
        <f t="shared" si="432"/>
        <v>2025</v>
      </c>
      <c r="I6972">
        <f t="shared" si="433"/>
        <v>1</v>
      </c>
      <c r="J6972" t="str">
        <f t="shared" si="434"/>
        <v>Jan</v>
      </c>
      <c r="K6972" t="str">
        <f t="shared" si="435"/>
        <v>Tue</v>
      </c>
    </row>
    <row r="6973" spans="1:11" x14ac:dyDescent="0.35">
      <c r="A6973" s="1">
        <v>45686</v>
      </c>
      <c r="B6973">
        <v>239.02000427246</v>
      </c>
      <c r="C6973">
        <v>240.38999938964801</v>
      </c>
      <c r="D6973">
        <v>236.14999389648401</v>
      </c>
      <c r="E6973">
        <v>237.07000732421801</v>
      </c>
      <c r="F6973">
        <v>237.07000732421801</v>
      </c>
      <c r="G6973">
        <v>26091700</v>
      </c>
      <c r="H6973">
        <f t="shared" si="432"/>
        <v>2025</v>
      </c>
      <c r="I6973">
        <f t="shared" si="433"/>
        <v>1</v>
      </c>
      <c r="J6973" t="str">
        <f t="shared" si="434"/>
        <v>Jan</v>
      </c>
      <c r="K6973" t="str">
        <f t="shared" si="435"/>
        <v>Wed</v>
      </c>
    </row>
    <row r="6974" spans="1:11" x14ac:dyDescent="0.35">
      <c r="A6974" s="1">
        <v>45687</v>
      </c>
      <c r="B6974">
        <v>237.13999938964801</v>
      </c>
      <c r="C6974">
        <v>237.94999694824199</v>
      </c>
      <c r="D6974">
        <v>232.22000122070301</v>
      </c>
      <c r="E6974">
        <v>234.63999938964801</v>
      </c>
      <c r="F6974">
        <v>234.63999938964801</v>
      </c>
      <c r="G6974">
        <v>32020700</v>
      </c>
      <c r="H6974">
        <f t="shared" si="432"/>
        <v>2025</v>
      </c>
      <c r="I6974">
        <f t="shared" si="433"/>
        <v>1</v>
      </c>
      <c r="J6974" t="str">
        <f t="shared" si="434"/>
        <v>Jan</v>
      </c>
      <c r="K6974" t="str">
        <f t="shared" si="435"/>
        <v>Thu</v>
      </c>
    </row>
    <row r="6975" spans="1:11" x14ac:dyDescent="0.35">
      <c r="A6975" s="1">
        <v>45688</v>
      </c>
      <c r="B6975">
        <v>236.5</v>
      </c>
      <c r="C6975">
        <v>240.28999328613199</v>
      </c>
      <c r="D6975">
        <v>236.41000366210901</v>
      </c>
      <c r="E6975">
        <v>237.67999267578099</v>
      </c>
      <c r="F6975">
        <v>237.67999267578099</v>
      </c>
      <c r="G6975">
        <v>36110200</v>
      </c>
      <c r="H6975">
        <f t="shared" si="432"/>
        <v>2025</v>
      </c>
      <c r="I6975">
        <f t="shared" si="433"/>
        <v>1</v>
      </c>
      <c r="J6975" t="str">
        <f t="shared" si="434"/>
        <v>Jan</v>
      </c>
      <c r="K6975" t="str">
        <f t="shared" si="435"/>
        <v>Fri</v>
      </c>
    </row>
    <row r="6976" spans="1:11" x14ac:dyDescent="0.35">
      <c r="A6976" s="1">
        <v>45691</v>
      </c>
      <c r="B6976">
        <v>234.05999755859301</v>
      </c>
      <c r="C6976">
        <v>239.25</v>
      </c>
      <c r="D6976">
        <v>232.89999389648401</v>
      </c>
      <c r="E6976">
        <v>237.419998168945</v>
      </c>
      <c r="F6976">
        <v>237.419998168945</v>
      </c>
      <c r="G6976">
        <v>37285900</v>
      </c>
      <c r="H6976">
        <f t="shared" si="432"/>
        <v>2025</v>
      </c>
      <c r="I6976">
        <f t="shared" si="433"/>
        <v>2</v>
      </c>
      <c r="J6976" t="str">
        <f t="shared" si="434"/>
        <v>Feb</v>
      </c>
      <c r="K6976" t="str">
        <f t="shared" si="435"/>
        <v>Mon</v>
      </c>
    </row>
    <row r="6977" spans="1:11" x14ac:dyDescent="0.35">
      <c r="A6977" s="1">
        <v>45692</v>
      </c>
      <c r="B6977">
        <v>239.009994506835</v>
      </c>
      <c r="C6977">
        <v>242.52000427246</v>
      </c>
      <c r="D6977">
        <v>238.02999877929599</v>
      </c>
      <c r="E6977">
        <v>242.05999755859301</v>
      </c>
      <c r="F6977">
        <v>242.05999755859301</v>
      </c>
      <c r="G6977">
        <v>29713800</v>
      </c>
      <c r="H6977">
        <f t="shared" si="432"/>
        <v>2025</v>
      </c>
      <c r="I6977">
        <f t="shared" si="433"/>
        <v>2</v>
      </c>
      <c r="J6977" t="str">
        <f t="shared" si="434"/>
        <v>Feb</v>
      </c>
      <c r="K6977" t="str">
        <f t="shared" si="435"/>
        <v>Tue</v>
      </c>
    </row>
    <row r="6978" spans="1:11" x14ac:dyDescent="0.35">
      <c r="A6978" s="1">
        <v>45693</v>
      </c>
      <c r="B6978">
        <v>237.02000427246</v>
      </c>
      <c r="C6978">
        <v>238.32000732421801</v>
      </c>
      <c r="D6978">
        <v>235.19999694824199</v>
      </c>
      <c r="E6978">
        <v>236.169998168945</v>
      </c>
      <c r="F6978">
        <v>236.169998168945</v>
      </c>
      <c r="G6978">
        <v>38727300</v>
      </c>
      <c r="H6978">
        <f t="shared" si="432"/>
        <v>2025</v>
      </c>
      <c r="I6978">
        <f t="shared" si="433"/>
        <v>2</v>
      </c>
      <c r="J6978" t="str">
        <f t="shared" si="434"/>
        <v>Feb</v>
      </c>
      <c r="K6978" t="str">
        <f t="shared" si="435"/>
        <v>Wed</v>
      </c>
    </row>
    <row r="6979" spans="1:11" x14ac:dyDescent="0.35">
      <c r="A6979" s="1">
        <v>45694</v>
      </c>
      <c r="B6979">
        <v>238.009994506835</v>
      </c>
      <c r="C6979">
        <v>239.66000366210901</v>
      </c>
      <c r="D6979">
        <v>236.009994506835</v>
      </c>
      <c r="E6979">
        <v>238.83000183105401</v>
      </c>
      <c r="F6979">
        <v>238.83000183105401</v>
      </c>
      <c r="G6979">
        <v>60897100</v>
      </c>
      <c r="H6979">
        <f t="shared" si="432"/>
        <v>2025</v>
      </c>
      <c r="I6979">
        <f t="shared" si="433"/>
        <v>2</v>
      </c>
      <c r="J6979" t="str">
        <f t="shared" si="434"/>
        <v>Feb</v>
      </c>
      <c r="K6979" t="str">
        <f t="shared" si="435"/>
        <v>Thu</v>
      </c>
    </row>
    <row r="6980" spans="1:11" x14ac:dyDescent="0.35">
      <c r="A6980" s="1">
        <v>45695</v>
      </c>
      <c r="B6980">
        <v>232.5</v>
      </c>
      <c r="C6980">
        <v>234.80999755859301</v>
      </c>
      <c r="D6980">
        <v>228.05999755859301</v>
      </c>
      <c r="E6980">
        <v>229.14999389648401</v>
      </c>
      <c r="F6980">
        <v>229.14999389648401</v>
      </c>
      <c r="G6980">
        <v>77539300</v>
      </c>
      <c r="H6980">
        <f t="shared" ref="H6980:H7043" si="436">YEAR($A6980)</f>
        <v>2025</v>
      </c>
      <c r="I6980">
        <f t="shared" ref="I6980:I7043" si="437">MONTH($A6980)</f>
        <v>2</v>
      </c>
      <c r="J6980" t="str">
        <f t="shared" ref="J6980:J7043" si="438">TEXT($A6980,"mmm")</f>
        <v>Feb</v>
      </c>
      <c r="K6980" t="str">
        <f t="shared" ref="K6980:K7043" si="439">TEXT($A6980,"ddd")</f>
        <v>Fri</v>
      </c>
    </row>
    <row r="6981" spans="1:11" x14ac:dyDescent="0.35">
      <c r="A6981" s="1">
        <v>45698</v>
      </c>
      <c r="B6981">
        <v>230.55000305175699</v>
      </c>
      <c r="C6981">
        <v>233.919998168945</v>
      </c>
      <c r="D6981">
        <v>229.19999694824199</v>
      </c>
      <c r="E6981">
        <v>233.13999938964801</v>
      </c>
      <c r="F6981">
        <v>233.13999938964801</v>
      </c>
      <c r="G6981">
        <v>35419900</v>
      </c>
      <c r="H6981">
        <f t="shared" si="436"/>
        <v>2025</v>
      </c>
      <c r="I6981">
        <f t="shared" si="437"/>
        <v>2</v>
      </c>
      <c r="J6981" t="str">
        <f t="shared" si="438"/>
        <v>Feb</v>
      </c>
      <c r="K6981" t="str">
        <f t="shared" si="439"/>
        <v>Mon</v>
      </c>
    </row>
    <row r="6982" spans="1:11" x14ac:dyDescent="0.35">
      <c r="A6982" s="1">
        <v>45699</v>
      </c>
      <c r="B6982">
        <v>231.919998168945</v>
      </c>
      <c r="C6982">
        <v>233.44000244140599</v>
      </c>
      <c r="D6982">
        <v>230.13000488281199</v>
      </c>
      <c r="E6982">
        <v>232.759994506835</v>
      </c>
      <c r="F6982">
        <v>232.759994506835</v>
      </c>
      <c r="G6982">
        <v>23713700</v>
      </c>
      <c r="H6982">
        <f t="shared" si="436"/>
        <v>2025</v>
      </c>
      <c r="I6982">
        <f t="shared" si="437"/>
        <v>2</v>
      </c>
      <c r="J6982" t="str">
        <f t="shared" si="438"/>
        <v>Feb</v>
      </c>
      <c r="K6982" t="str">
        <f t="shared" si="439"/>
        <v>Tue</v>
      </c>
    </row>
    <row r="6983" spans="1:11" x14ac:dyDescent="0.35">
      <c r="A6983" s="1">
        <v>45700</v>
      </c>
      <c r="B6983">
        <v>230.46000671386699</v>
      </c>
      <c r="C6983">
        <v>231.17999267578099</v>
      </c>
      <c r="D6983">
        <v>228.16000366210901</v>
      </c>
      <c r="E6983">
        <v>228.92999267578099</v>
      </c>
      <c r="F6983">
        <v>228.92999267578099</v>
      </c>
      <c r="G6983">
        <v>32285200</v>
      </c>
      <c r="H6983">
        <f t="shared" si="436"/>
        <v>2025</v>
      </c>
      <c r="I6983">
        <f t="shared" si="437"/>
        <v>2</v>
      </c>
      <c r="J6983" t="str">
        <f t="shared" si="438"/>
        <v>Feb</v>
      </c>
      <c r="K6983" t="str">
        <f t="shared" si="439"/>
        <v>Wed</v>
      </c>
    </row>
    <row r="6984" spans="1:11" x14ac:dyDescent="0.35">
      <c r="A6984" s="1">
        <v>45701</v>
      </c>
      <c r="B6984">
        <v>228.850006103515</v>
      </c>
      <c r="C6984">
        <v>230.419998168945</v>
      </c>
      <c r="D6984">
        <v>227.52000427246</v>
      </c>
      <c r="E6984">
        <v>230.36999511718699</v>
      </c>
      <c r="F6984">
        <v>230.36999511718699</v>
      </c>
      <c r="G6984">
        <v>31346500</v>
      </c>
      <c r="H6984">
        <f t="shared" si="436"/>
        <v>2025</v>
      </c>
      <c r="I6984">
        <f t="shared" si="437"/>
        <v>2</v>
      </c>
      <c r="J6984" t="str">
        <f t="shared" si="438"/>
        <v>Feb</v>
      </c>
      <c r="K6984" t="str">
        <f t="shared" si="439"/>
        <v>Thu</v>
      </c>
    </row>
    <row r="6985" spans="1:11" x14ac:dyDescent="0.35">
      <c r="A6985" s="1">
        <v>45702</v>
      </c>
      <c r="B6985">
        <v>229.19999694824199</v>
      </c>
      <c r="C6985">
        <v>229.88999938964801</v>
      </c>
      <c r="D6985">
        <v>227.22999572753901</v>
      </c>
      <c r="E6985">
        <v>228.67999267578099</v>
      </c>
      <c r="F6985">
        <v>228.67999267578099</v>
      </c>
      <c r="G6985">
        <v>27031100</v>
      </c>
      <c r="H6985">
        <f t="shared" si="436"/>
        <v>2025</v>
      </c>
      <c r="I6985">
        <f t="shared" si="437"/>
        <v>2</v>
      </c>
      <c r="J6985" t="str">
        <f t="shared" si="438"/>
        <v>Feb</v>
      </c>
      <c r="K6985" t="str">
        <f t="shared" si="439"/>
        <v>Fri</v>
      </c>
    </row>
    <row r="6986" spans="1:11" x14ac:dyDescent="0.35">
      <c r="A6986" s="1">
        <v>45706</v>
      </c>
      <c r="B6986">
        <v>228.82000732421801</v>
      </c>
      <c r="C6986">
        <v>229.30000305175699</v>
      </c>
      <c r="D6986">
        <v>223.72000122070301</v>
      </c>
      <c r="E6986">
        <v>226.64999389648401</v>
      </c>
      <c r="F6986">
        <v>226.64999389648401</v>
      </c>
      <c r="G6986">
        <v>42975100</v>
      </c>
      <c r="H6986">
        <f t="shared" si="436"/>
        <v>2025</v>
      </c>
      <c r="I6986">
        <f t="shared" si="437"/>
        <v>2</v>
      </c>
      <c r="J6986" t="str">
        <f t="shared" si="438"/>
        <v>Feb</v>
      </c>
      <c r="K6986" t="str">
        <f t="shared" si="439"/>
        <v>Tue</v>
      </c>
    </row>
    <row r="6987" spans="1:11" x14ac:dyDescent="0.35">
      <c r="A6987" s="1">
        <v>45707</v>
      </c>
      <c r="B6987">
        <v>225.52000427246</v>
      </c>
      <c r="C6987">
        <v>226.83000183105401</v>
      </c>
      <c r="D6987">
        <v>223.71000671386699</v>
      </c>
      <c r="E6987">
        <v>226.63000488281199</v>
      </c>
      <c r="F6987">
        <v>226.63000488281199</v>
      </c>
      <c r="G6987">
        <v>28566700</v>
      </c>
      <c r="H6987">
        <f t="shared" si="436"/>
        <v>2025</v>
      </c>
      <c r="I6987">
        <f t="shared" si="437"/>
        <v>2</v>
      </c>
      <c r="J6987" t="str">
        <f t="shared" si="438"/>
        <v>Feb</v>
      </c>
      <c r="K6987" t="str">
        <f t="shared" si="439"/>
        <v>Wed</v>
      </c>
    </row>
    <row r="6988" spans="1:11" x14ac:dyDescent="0.35">
      <c r="A6988" s="1">
        <v>45708</v>
      </c>
      <c r="B6988">
        <v>224.77999877929599</v>
      </c>
      <c r="C6988">
        <v>225.13000488281199</v>
      </c>
      <c r="D6988">
        <v>221.80999755859301</v>
      </c>
      <c r="E6988">
        <v>222.88000488281199</v>
      </c>
      <c r="F6988">
        <v>222.88000488281199</v>
      </c>
      <c r="G6988">
        <v>30001700</v>
      </c>
      <c r="H6988">
        <f t="shared" si="436"/>
        <v>2025</v>
      </c>
      <c r="I6988">
        <f t="shared" si="437"/>
        <v>2</v>
      </c>
      <c r="J6988" t="str">
        <f t="shared" si="438"/>
        <v>Feb</v>
      </c>
      <c r="K6988" t="str">
        <f t="shared" si="439"/>
        <v>Thu</v>
      </c>
    </row>
    <row r="6989" spans="1:11" x14ac:dyDescent="0.35">
      <c r="A6989" s="1">
        <v>45709</v>
      </c>
      <c r="B6989">
        <v>223.27999877929599</v>
      </c>
      <c r="C6989">
        <v>223.30999755859301</v>
      </c>
      <c r="D6989">
        <v>214.74000549316401</v>
      </c>
      <c r="E6989">
        <v>216.58000183105401</v>
      </c>
      <c r="F6989">
        <v>216.58000183105401</v>
      </c>
      <c r="G6989">
        <v>55323900</v>
      </c>
      <c r="H6989">
        <f t="shared" si="436"/>
        <v>2025</v>
      </c>
      <c r="I6989">
        <f t="shared" si="437"/>
        <v>2</v>
      </c>
      <c r="J6989" t="str">
        <f t="shared" si="438"/>
        <v>Feb</v>
      </c>
      <c r="K6989" t="str">
        <f t="shared" si="439"/>
        <v>Fri</v>
      </c>
    </row>
    <row r="6990" spans="1:11" x14ac:dyDescent="0.35">
      <c r="A6990" s="1">
        <v>45712</v>
      </c>
      <c r="B6990">
        <v>217.44999694824199</v>
      </c>
      <c r="C6990">
        <v>217.72000122070301</v>
      </c>
      <c r="D6990">
        <v>212.419998168945</v>
      </c>
      <c r="E6990">
        <v>212.71000671386699</v>
      </c>
      <c r="F6990">
        <v>212.71000671386699</v>
      </c>
      <c r="G6990">
        <v>42387600</v>
      </c>
      <c r="H6990">
        <f t="shared" si="436"/>
        <v>2025</v>
      </c>
      <c r="I6990">
        <f t="shared" si="437"/>
        <v>2</v>
      </c>
      <c r="J6990" t="str">
        <f t="shared" si="438"/>
        <v>Feb</v>
      </c>
      <c r="K6990" t="str">
        <f t="shared" si="439"/>
        <v>Mon</v>
      </c>
    </row>
    <row r="6991" spans="1:11" x14ac:dyDescent="0.35">
      <c r="A6991" s="1">
        <v>45713</v>
      </c>
      <c r="B6991">
        <v>211.63000488281199</v>
      </c>
      <c r="C6991">
        <v>213.33999633789</v>
      </c>
      <c r="D6991">
        <v>204.16000366210901</v>
      </c>
      <c r="E6991">
        <v>212.80000305175699</v>
      </c>
      <c r="F6991">
        <v>212.80000305175699</v>
      </c>
      <c r="G6991">
        <v>58958000</v>
      </c>
      <c r="H6991">
        <f t="shared" si="436"/>
        <v>2025</v>
      </c>
      <c r="I6991">
        <f t="shared" si="437"/>
        <v>2</v>
      </c>
      <c r="J6991" t="str">
        <f t="shared" si="438"/>
        <v>Feb</v>
      </c>
      <c r="K6991" t="str">
        <f t="shared" si="439"/>
        <v>Tue</v>
      </c>
    </row>
    <row r="6992" spans="1:11" x14ac:dyDescent="0.35">
      <c r="A6992" s="1">
        <v>45714</v>
      </c>
      <c r="B6992">
        <v>214.94000244140599</v>
      </c>
      <c r="C6992">
        <v>218.16000366210901</v>
      </c>
      <c r="D6992">
        <v>213.08999633789</v>
      </c>
      <c r="E6992">
        <v>214.350006103515</v>
      </c>
      <c r="F6992">
        <v>214.350006103515</v>
      </c>
      <c r="G6992">
        <v>39120600</v>
      </c>
      <c r="H6992">
        <f t="shared" si="436"/>
        <v>2025</v>
      </c>
      <c r="I6992">
        <f t="shared" si="437"/>
        <v>2</v>
      </c>
      <c r="J6992" t="str">
        <f t="shared" si="438"/>
        <v>Feb</v>
      </c>
      <c r="K6992" t="str">
        <f t="shared" si="439"/>
        <v>Wed</v>
      </c>
    </row>
    <row r="6993" spans="1:11" x14ac:dyDescent="0.35">
      <c r="A6993" s="1">
        <v>45715</v>
      </c>
      <c r="B6993">
        <v>218.350006103515</v>
      </c>
      <c r="C6993">
        <v>219.97000122070301</v>
      </c>
      <c r="D6993">
        <v>208.36999511718699</v>
      </c>
      <c r="E6993">
        <v>208.74000549316401</v>
      </c>
      <c r="F6993">
        <v>208.74000549316401</v>
      </c>
      <c r="G6993">
        <v>40548600</v>
      </c>
      <c r="H6993">
        <f t="shared" si="436"/>
        <v>2025</v>
      </c>
      <c r="I6993">
        <f t="shared" si="437"/>
        <v>2</v>
      </c>
      <c r="J6993" t="str">
        <f t="shared" si="438"/>
        <v>Feb</v>
      </c>
      <c r="K6993" t="str">
        <f t="shared" si="439"/>
        <v>Thu</v>
      </c>
    </row>
    <row r="6994" spans="1:11" x14ac:dyDescent="0.35">
      <c r="A6994" s="1">
        <v>45716</v>
      </c>
      <c r="B6994">
        <v>208.64999389648401</v>
      </c>
      <c r="C6994">
        <v>212.61999511718699</v>
      </c>
      <c r="D6994">
        <v>206.99000549316401</v>
      </c>
      <c r="E6994">
        <v>212.27999877929599</v>
      </c>
      <c r="F6994">
        <v>212.27999877929599</v>
      </c>
      <c r="G6994">
        <v>51771700</v>
      </c>
      <c r="H6994">
        <f t="shared" si="436"/>
        <v>2025</v>
      </c>
      <c r="I6994">
        <f t="shared" si="437"/>
        <v>2</v>
      </c>
      <c r="J6994" t="str">
        <f t="shared" si="438"/>
        <v>Feb</v>
      </c>
      <c r="K6994" t="str">
        <f t="shared" si="439"/>
        <v>Fri</v>
      </c>
    </row>
    <row r="6995" spans="1:11" x14ac:dyDescent="0.35">
      <c r="A6995" s="1">
        <v>45719</v>
      </c>
      <c r="B6995">
        <v>213.350006103515</v>
      </c>
      <c r="C6995">
        <v>214.009994506835</v>
      </c>
      <c r="D6995">
        <v>202.55000305175699</v>
      </c>
      <c r="E6995">
        <v>205.02000427246</v>
      </c>
      <c r="F6995">
        <v>205.02000427246</v>
      </c>
      <c r="G6995">
        <v>42948400</v>
      </c>
      <c r="H6995">
        <f t="shared" si="436"/>
        <v>2025</v>
      </c>
      <c r="I6995">
        <f t="shared" si="437"/>
        <v>3</v>
      </c>
      <c r="J6995" t="str">
        <f t="shared" si="438"/>
        <v>Mar</v>
      </c>
      <c r="K6995" t="str">
        <f t="shared" si="439"/>
        <v>Mon</v>
      </c>
    </row>
    <row r="6996" spans="1:11" x14ac:dyDescent="0.35">
      <c r="A6996" s="1">
        <v>45720</v>
      </c>
      <c r="B6996">
        <v>200.11000061035099</v>
      </c>
      <c r="C6996">
        <v>206.80000305175699</v>
      </c>
      <c r="D6996">
        <v>197.42999267578099</v>
      </c>
      <c r="E6996">
        <v>203.80000305175699</v>
      </c>
      <c r="F6996">
        <v>203.80000305175699</v>
      </c>
      <c r="G6996">
        <v>60853100</v>
      </c>
      <c r="H6996">
        <f t="shared" si="436"/>
        <v>2025</v>
      </c>
      <c r="I6996">
        <f t="shared" si="437"/>
        <v>3</v>
      </c>
      <c r="J6996" t="str">
        <f t="shared" si="438"/>
        <v>Mar</v>
      </c>
      <c r="K6996" t="str">
        <f t="shared" si="439"/>
        <v>Tue</v>
      </c>
    </row>
    <row r="6997" spans="1:11" x14ac:dyDescent="0.35">
      <c r="A6997" s="1">
        <v>45721</v>
      </c>
      <c r="B6997">
        <v>204.80000305175699</v>
      </c>
      <c r="C6997">
        <v>209.97999572753901</v>
      </c>
      <c r="D6997">
        <v>203.259994506835</v>
      </c>
      <c r="E6997">
        <v>208.36000061035099</v>
      </c>
      <c r="F6997">
        <v>208.36000061035099</v>
      </c>
      <c r="G6997">
        <v>38610100</v>
      </c>
      <c r="H6997">
        <f t="shared" si="436"/>
        <v>2025</v>
      </c>
      <c r="I6997">
        <f t="shared" si="437"/>
        <v>3</v>
      </c>
      <c r="J6997" t="str">
        <f t="shared" si="438"/>
        <v>Mar</v>
      </c>
      <c r="K6997" t="str">
        <f t="shared" si="439"/>
        <v>Wed</v>
      </c>
    </row>
    <row r="6998" spans="1:11" x14ac:dyDescent="0.35">
      <c r="A6998" s="1">
        <v>45722</v>
      </c>
      <c r="B6998">
        <v>204.39999389648401</v>
      </c>
      <c r="C6998">
        <v>205.77000427246</v>
      </c>
      <c r="D6998">
        <v>198.30000305175699</v>
      </c>
      <c r="E6998">
        <v>200.69999694824199</v>
      </c>
      <c r="F6998">
        <v>200.69999694824199</v>
      </c>
      <c r="G6998">
        <v>49863800</v>
      </c>
      <c r="H6998">
        <f t="shared" si="436"/>
        <v>2025</v>
      </c>
      <c r="I6998">
        <f t="shared" si="437"/>
        <v>3</v>
      </c>
      <c r="J6998" t="str">
        <f t="shared" si="438"/>
        <v>Mar</v>
      </c>
      <c r="K6998" t="str">
        <f t="shared" si="439"/>
        <v>Thu</v>
      </c>
    </row>
    <row r="6999" spans="1:11" x14ac:dyDescent="0.35">
      <c r="A6999" s="1">
        <v>45723</v>
      </c>
      <c r="B6999">
        <v>199.49000549316401</v>
      </c>
      <c r="C6999">
        <v>202.27000427246</v>
      </c>
      <c r="D6999">
        <v>192.52999877929599</v>
      </c>
      <c r="E6999">
        <v>199.25</v>
      </c>
      <c r="F6999">
        <v>199.25</v>
      </c>
      <c r="G6999">
        <v>59802800</v>
      </c>
      <c r="H6999">
        <f t="shared" si="436"/>
        <v>2025</v>
      </c>
      <c r="I6999">
        <f t="shared" si="437"/>
        <v>3</v>
      </c>
      <c r="J6999" t="str">
        <f t="shared" si="438"/>
        <v>Mar</v>
      </c>
      <c r="K6999" t="str">
        <f t="shared" si="439"/>
        <v>Fri</v>
      </c>
    </row>
    <row r="7000" spans="1:11" x14ac:dyDescent="0.35">
      <c r="A7000" s="1">
        <v>45726</v>
      </c>
      <c r="B7000">
        <v>195.600006103515</v>
      </c>
      <c r="C7000">
        <v>196.72999572753901</v>
      </c>
      <c r="D7000">
        <v>190.850006103515</v>
      </c>
      <c r="E7000">
        <v>194.53999328613199</v>
      </c>
      <c r="F7000">
        <v>194.53999328613199</v>
      </c>
      <c r="G7000">
        <v>62350900</v>
      </c>
      <c r="H7000">
        <f t="shared" si="436"/>
        <v>2025</v>
      </c>
      <c r="I7000">
        <f t="shared" si="437"/>
        <v>3</v>
      </c>
      <c r="J7000" t="str">
        <f t="shared" si="438"/>
        <v>Mar</v>
      </c>
      <c r="K7000" t="str">
        <f t="shared" si="439"/>
        <v>Mon</v>
      </c>
    </row>
    <row r="7001" spans="1:11" x14ac:dyDescent="0.35">
      <c r="A7001" s="1">
        <v>45727</v>
      </c>
      <c r="B7001">
        <v>193.89999389648401</v>
      </c>
      <c r="C7001">
        <v>200.17999267578099</v>
      </c>
      <c r="D7001">
        <v>193.39999389648401</v>
      </c>
      <c r="E7001">
        <v>196.58999633789</v>
      </c>
      <c r="F7001">
        <v>196.58999633789</v>
      </c>
      <c r="G7001">
        <v>54002900</v>
      </c>
      <c r="H7001">
        <f t="shared" si="436"/>
        <v>2025</v>
      </c>
      <c r="I7001">
        <f t="shared" si="437"/>
        <v>3</v>
      </c>
      <c r="J7001" t="str">
        <f t="shared" si="438"/>
        <v>Mar</v>
      </c>
      <c r="K7001" t="str">
        <f t="shared" si="439"/>
        <v>Tue</v>
      </c>
    </row>
    <row r="7002" spans="1:11" x14ac:dyDescent="0.35">
      <c r="A7002" s="1">
        <v>45728</v>
      </c>
      <c r="B7002">
        <v>200.72000122070301</v>
      </c>
      <c r="C7002">
        <v>201.52000427246</v>
      </c>
      <c r="D7002">
        <v>195.28999328613199</v>
      </c>
      <c r="E7002">
        <v>198.88999938964801</v>
      </c>
      <c r="F7002">
        <v>198.88999938964801</v>
      </c>
      <c r="G7002">
        <v>43679300</v>
      </c>
      <c r="H7002">
        <f t="shared" si="436"/>
        <v>2025</v>
      </c>
      <c r="I7002">
        <f t="shared" si="437"/>
        <v>3</v>
      </c>
      <c r="J7002" t="str">
        <f t="shared" si="438"/>
        <v>Mar</v>
      </c>
      <c r="K7002" t="str">
        <f t="shared" si="439"/>
        <v>Wed</v>
      </c>
    </row>
    <row r="7003" spans="1:11" x14ac:dyDescent="0.35">
      <c r="A7003" s="1">
        <v>45729</v>
      </c>
      <c r="B7003">
        <v>198.169998168945</v>
      </c>
      <c r="C7003">
        <v>198.88000488281199</v>
      </c>
      <c r="D7003">
        <v>191.82000732421801</v>
      </c>
      <c r="E7003">
        <v>193.88999938964801</v>
      </c>
      <c r="F7003">
        <v>193.88999938964801</v>
      </c>
      <c r="G7003">
        <v>41270800</v>
      </c>
      <c r="H7003">
        <f t="shared" si="436"/>
        <v>2025</v>
      </c>
      <c r="I7003">
        <f t="shared" si="437"/>
        <v>3</v>
      </c>
      <c r="J7003" t="str">
        <f t="shared" si="438"/>
        <v>Mar</v>
      </c>
      <c r="K7003" t="str">
        <f t="shared" si="439"/>
        <v>Thu</v>
      </c>
    </row>
    <row r="7004" spans="1:11" x14ac:dyDescent="0.35">
      <c r="A7004" s="1">
        <v>45730</v>
      </c>
      <c r="B7004">
        <v>197.41000366210901</v>
      </c>
      <c r="C7004">
        <v>198.64999389648401</v>
      </c>
      <c r="D7004">
        <v>195.32000732421801</v>
      </c>
      <c r="E7004">
        <v>197.94999694824199</v>
      </c>
      <c r="F7004">
        <v>197.94999694824199</v>
      </c>
      <c r="G7004">
        <v>38096700</v>
      </c>
      <c r="H7004">
        <f t="shared" si="436"/>
        <v>2025</v>
      </c>
      <c r="I7004">
        <f t="shared" si="437"/>
        <v>3</v>
      </c>
      <c r="J7004" t="str">
        <f t="shared" si="438"/>
        <v>Mar</v>
      </c>
      <c r="K7004" t="str">
        <f t="shared" si="439"/>
        <v>Fri</v>
      </c>
    </row>
    <row r="7005" spans="1:11" x14ac:dyDescent="0.35">
      <c r="A7005" s="1">
        <v>45733</v>
      </c>
      <c r="B7005">
        <v>198.77000427246</v>
      </c>
      <c r="C7005">
        <v>199</v>
      </c>
      <c r="D7005">
        <v>194.32000732421801</v>
      </c>
      <c r="E7005">
        <v>195.74000549316401</v>
      </c>
      <c r="F7005">
        <v>195.74000549316401</v>
      </c>
      <c r="G7005">
        <v>47341800</v>
      </c>
      <c r="H7005">
        <f t="shared" si="436"/>
        <v>2025</v>
      </c>
      <c r="I7005">
        <f t="shared" si="437"/>
        <v>3</v>
      </c>
      <c r="J7005" t="str">
        <f t="shared" si="438"/>
        <v>Mar</v>
      </c>
      <c r="K7005" t="str">
        <f t="shared" si="439"/>
        <v>Mon</v>
      </c>
    </row>
    <row r="7006" spans="1:11" x14ac:dyDescent="0.35">
      <c r="A7006" s="1">
        <v>45734</v>
      </c>
      <c r="B7006">
        <v>192.52000427246</v>
      </c>
      <c r="C7006">
        <v>194</v>
      </c>
      <c r="D7006">
        <v>189.38000488281199</v>
      </c>
      <c r="E7006">
        <v>192.82000732421801</v>
      </c>
      <c r="F7006">
        <v>192.82000732421801</v>
      </c>
      <c r="G7006">
        <v>40414900</v>
      </c>
      <c r="H7006">
        <f t="shared" si="436"/>
        <v>2025</v>
      </c>
      <c r="I7006">
        <f t="shared" si="437"/>
        <v>3</v>
      </c>
      <c r="J7006" t="str">
        <f t="shared" si="438"/>
        <v>Mar</v>
      </c>
      <c r="K7006" t="str">
        <f t="shared" si="439"/>
        <v>Tue</v>
      </c>
    </row>
    <row r="7007" spans="1:11" x14ac:dyDescent="0.35">
      <c r="A7007" s="1">
        <v>45735</v>
      </c>
      <c r="B7007">
        <v>193.38000488281199</v>
      </c>
      <c r="C7007">
        <v>195.97000122070301</v>
      </c>
      <c r="D7007">
        <v>191.96000671386699</v>
      </c>
      <c r="E7007">
        <v>195.53999328613199</v>
      </c>
      <c r="F7007">
        <v>195.53999328613199</v>
      </c>
      <c r="G7007">
        <v>39442900</v>
      </c>
      <c r="H7007">
        <f t="shared" si="436"/>
        <v>2025</v>
      </c>
      <c r="I7007">
        <f t="shared" si="437"/>
        <v>3</v>
      </c>
      <c r="J7007" t="str">
        <f t="shared" si="438"/>
        <v>Mar</v>
      </c>
      <c r="K7007" t="str">
        <f t="shared" si="439"/>
        <v>Wed</v>
      </c>
    </row>
    <row r="7008" spans="1:11" x14ac:dyDescent="0.35">
      <c r="A7008" s="1">
        <v>45736</v>
      </c>
      <c r="B7008">
        <v>193.07000732421801</v>
      </c>
      <c r="C7008">
        <v>199.32000732421801</v>
      </c>
      <c r="D7008">
        <v>192.30000305175699</v>
      </c>
      <c r="E7008">
        <v>194.94999694824199</v>
      </c>
      <c r="F7008">
        <v>194.94999694824199</v>
      </c>
      <c r="G7008">
        <v>38921100</v>
      </c>
      <c r="H7008">
        <f t="shared" si="436"/>
        <v>2025</v>
      </c>
      <c r="I7008">
        <f t="shared" si="437"/>
        <v>3</v>
      </c>
      <c r="J7008" t="str">
        <f t="shared" si="438"/>
        <v>Mar</v>
      </c>
      <c r="K7008" t="str">
        <f t="shared" si="439"/>
        <v>Thu</v>
      </c>
    </row>
    <row r="7009" spans="1:11" x14ac:dyDescent="0.35">
      <c r="A7009" s="1">
        <v>45737</v>
      </c>
      <c r="B7009">
        <v>192.89999389648401</v>
      </c>
      <c r="C7009">
        <v>196.99000549316401</v>
      </c>
      <c r="D7009">
        <v>192.52000427246</v>
      </c>
      <c r="E7009">
        <v>196.21000671386699</v>
      </c>
      <c r="F7009">
        <v>196.21000671386699</v>
      </c>
      <c r="G7009">
        <v>60056900</v>
      </c>
      <c r="H7009">
        <f t="shared" si="436"/>
        <v>2025</v>
      </c>
      <c r="I7009">
        <f t="shared" si="437"/>
        <v>3</v>
      </c>
      <c r="J7009" t="str">
        <f t="shared" si="438"/>
        <v>Mar</v>
      </c>
      <c r="K7009" t="str">
        <f t="shared" si="439"/>
        <v>Fri</v>
      </c>
    </row>
    <row r="7010" spans="1:11" x14ac:dyDescent="0.35">
      <c r="A7010" s="1">
        <v>45740</v>
      </c>
      <c r="B7010">
        <v>200</v>
      </c>
      <c r="C7010">
        <v>203.63999938964801</v>
      </c>
      <c r="D7010">
        <v>199.94999694824199</v>
      </c>
      <c r="E7010">
        <v>203.259994506835</v>
      </c>
      <c r="F7010">
        <v>203.259994506835</v>
      </c>
      <c r="G7010">
        <v>41625400</v>
      </c>
      <c r="H7010">
        <f t="shared" si="436"/>
        <v>2025</v>
      </c>
      <c r="I7010">
        <f t="shared" si="437"/>
        <v>3</v>
      </c>
      <c r="J7010" t="str">
        <f t="shared" si="438"/>
        <v>Mar</v>
      </c>
      <c r="K7010" t="str">
        <f t="shared" si="439"/>
        <v>Mon</v>
      </c>
    </row>
    <row r="7011" spans="1:11" x14ac:dyDescent="0.35">
      <c r="A7011" s="1">
        <v>45741</v>
      </c>
      <c r="B7011">
        <v>203.600006103515</v>
      </c>
      <c r="C7011">
        <v>206.21000671386699</v>
      </c>
      <c r="D7011">
        <v>203.22000122070301</v>
      </c>
      <c r="E7011">
        <v>205.71000671386699</v>
      </c>
      <c r="F7011">
        <v>205.71000671386699</v>
      </c>
      <c r="G7011">
        <v>31171200</v>
      </c>
      <c r="H7011">
        <f t="shared" si="436"/>
        <v>2025</v>
      </c>
      <c r="I7011">
        <f t="shared" si="437"/>
        <v>3</v>
      </c>
      <c r="J7011" t="str">
        <f t="shared" si="438"/>
        <v>Mar</v>
      </c>
      <c r="K7011" t="str">
        <f t="shared" si="439"/>
        <v>Tue</v>
      </c>
    </row>
    <row r="7012" spans="1:11" x14ac:dyDescent="0.35">
      <c r="A7012" s="1">
        <v>45742</v>
      </c>
      <c r="B7012">
        <v>205.83999633789</v>
      </c>
      <c r="C7012">
        <v>206.009994506835</v>
      </c>
      <c r="D7012">
        <v>199.92999267578099</v>
      </c>
      <c r="E7012">
        <v>201.13000488281199</v>
      </c>
      <c r="F7012">
        <v>201.13000488281199</v>
      </c>
      <c r="G7012">
        <v>32855300</v>
      </c>
      <c r="H7012">
        <f t="shared" si="436"/>
        <v>2025</v>
      </c>
      <c r="I7012">
        <f t="shared" si="437"/>
        <v>3</v>
      </c>
      <c r="J7012" t="str">
        <f t="shared" si="438"/>
        <v>Mar</v>
      </c>
      <c r="K7012" t="str">
        <f t="shared" si="439"/>
        <v>Wed</v>
      </c>
    </row>
    <row r="7013" spans="1:11" x14ac:dyDescent="0.35">
      <c r="A7013" s="1">
        <v>45743</v>
      </c>
      <c r="B7013">
        <v>200.88999938964801</v>
      </c>
      <c r="C7013">
        <v>203.78999328613199</v>
      </c>
      <c r="D7013">
        <v>199.27999877929599</v>
      </c>
      <c r="E7013">
        <v>201.36000061035099</v>
      </c>
      <c r="F7013">
        <v>201.36000061035099</v>
      </c>
      <c r="G7013">
        <v>27317700</v>
      </c>
      <c r="H7013">
        <f t="shared" si="436"/>
        <v>2025</v>
      </c>
      <c r="I7013">
        <f t="shared" si="437"/>
        <v>3</v>
      </c>
      <c r="J7013" t="str">
        <f t="shared" si="438"/>
        <v>Mar</v>
      </c>
      <c r="K7013" t="str">
        <f t="shared" si="439"/>
        <v>Thu</v>
      </c>
    </row>
    <row r="7014" spans="1:11" x14ac:dyDescent="0.35">
      <c r="A7014" s="1">
        <v>45744</v>
      </c>
      <c r="B7014">
        <v>198.419998168945</v>
      </c>
      <c r="C7014">
        <v>199.259994506835</v>
      </c>
      <c r="D7014">
        <v>191.88000488281199</v>
      </c>
      <c r="E7014">
        <v>192.72000122070301</v>
      </c>
      <c r="F7014">
        <v>192.72000122070301</v>
      </c>
      <c r="G7014">
        <v>52548200</v>
      </c>
      <c r="H7014">
        <f t="shared" si="436"/>
        <v>2025</v>
      </c>
      <c r="I7014">
        <f t="shared" si="437"/>
        <v>3</v>
      </c>
      <c r="J7014" t="str">
        <f t="shared" si="438"/>
        <v>Mar</v>
      </c>
      <c r="K7014" t="str">
        <f t="shared" si="439"/>
        <v>Fri</v>
      </c>
    </row>
    <row r="7015" spans="1:11" x14ac:dyDescent="0.35">
      <c r="A7015" s="1">
        <v>45747</v>
      </c>
      <c r="B7015">
        <v>188.19000244140599</v>
      </c>
      <c r="C7015">
        <v>191.33000183105401</v>
      </c>
      <c r="D7015">
        <v>184.39999389648401</v>
      </c>
      <c r="E7015">
        <v>190.259994506835</v>
      </c>
      <c r="F7015">
        <v>190.259994506835</v>
      </c>
      <c r="G7015">
        <v>63547600</v>
      </c>
      <c r="H7015">
        <f t="shared" si="436"/>
        <v>2025</v>
      </c>
      <c r="I7015">
        <f t="shared" si="437"/>
        <v>3</v>
      </c>
      <c r="J7015" t="str">
        <f t="shared" si="438"/>
        <v>Mar</v>
      </c>
      <c r="K7015" t="str">
        <f t="shared" si="439"/>
        <v>Mon</v>
      </c>
    </row>
    <row r="7016" spans="1:11" x14ac:dyDescent="0.35">
      <c r="A7016" s="1">
        <v>45748</v>
      </c>
      <c r="B7016">
        <v>187.86000061035099</v>
      </c>
      <c r="C7016">
        <v>193.92999267578099</v>
      </c>
      <c r="D7016">
        <v>187.19999694824199</v>
      </c>
      <c r="E7016">
        <v>192.169998168945</v>
      </c>
      <c r="F7016">
        <v>192.169998168945</v>
      </c>
      <c r="G7016">
        <v>41267300</v>
      </c>
      <c r="H7016">
        <f t="shared" si="436"/>
        <v>2025</v>
      </c>
      <c r="I7016">
        <f t="shared" si="437"/>
        <v>4</v>
      </c>
      <c r="J7016" t="str">
        <f t="shared" si="438"/>
        <v>Apr</v>
      </c>
      <c r="K7016" t="str">
        <f t="shared" si="439"/>
        <v>Tue</v>
      </c>
    </row>
    <row r="7017" spans="1:11" x14ac:dyDescent="0.35">
      <c r="A7017" s="1">
        <v>45749</v>
      </c>
      <c r="B7017">
        <v>187.66000366210901</v>
      </c>
      <c r="C7017">
        <v>198.33999633789</v>
      </c>
      <c r="D7017">
        <v>187.66000366210901</v>
      </c>
      <c r="E7017">
        <v>196.009994506835</v>
      </c>
      <c r="F7017">
        <v>196.009994506835</v>
      </c>
      <c r="G7017">
        <v>53679200</v>
      </c>
      <c r="H7017">
        <f t="shared" si="436"/>
        <v>2025</v>
      </c>
      <c r="I7017">
        <f t="shared" si="437"/>
        <v>4</v>
      </c>
      <c r="J7017" t="str">
        <f t="shared" si="438"/>
        <v>Apr</v>
      </c>
      <c r="K7017" t="str">
        <f t="shared" si="439"/>
        <v>Wed</v>
      </c>
    </row>
    <row r="7018" spans="1:11" x14ac:dyDescent="0.35">
      <c r="A7018" s="1">
        <v>45750</v>
      </c>
      <c r="B7018">
        <v>183</v>
      </c>
      <c r="C7018">
        <v>184.13000488281199</v>
      </c>
      <c r="D7018">
        <v>176.919998168945</v>
      </c>
      <c r="E7018">
        <v>178.41000366210901</v>
      </c>
      <c r="F7018">
        <v>178.41000366210901</v>
      </c>
      <c r="G7018">
        <v>95553600</v>
      </c>
      <c r="H7018">
        <f t="shared" si="436"/>
        <v>2025</v>
      </c>
      <c r="I7018">
        <f t="shared" si="437"/>
        <v>4</v>
      </c>
      <c r="J7018" t="str">
        <f t="shared" si="438"/>
        <v>Apr</v>
      </c>
      <c r="K7018" t="str">
        <f t="shared" si="439"/>
        <v>Thu</v>
      </c>
    </row>
    <row r="7019" spans="1:11" x14ac:dyDescent="0.35">
      <c r="A7019" s="1">
        <v>45751</v>
      </c>
      <c r="B7019">
        <v>167.14999389648401</v>
      </c>
      <c r="C7019">
        <v>178.13999938964801</v>
      </c>
      <c r="D7019">
        <v>166</v>
      </c>
      <c r="E7019">
        <v>171</v>
      </c>
      <c r="F7019">
        <v>171</v>
      </c>
      <c r="G7019">
        <v>123159400</v>
      </c>
      <c r="H7019">
        <f t="shared" si="436"/>
        <v>2025</v>
      </c>
      <c r="I7019">
        <f t="shared" si="437"/>
        <v>4</v>
      </c>
      <c r="J7019" t="str">
        <f t="shared" si="438"/>
        <v>Apr</v>
      </c>
      <c r="K7019" t="str">
        <f t="shared" si="439"/>
        <v>Fri</v>
      </c>
    </row>
    <row r="7020" spans="1:11" x14ac:dyDescent="0.35">
      <c r="A7020" s="1">
        <v>45754</v>
      </c>
      <c r="B7020">
        <v>162</v>
      </c>
      <c r="C7020">
        <v>183.41000366210901</v>
      </c>
      <c r="D7020">
        <v>161.38000488281199</v>
      </c>
      <c r="E7020">
        <v>175.259994506835</v>
      </c>
      <c r="F7020">
        <v>175.259994506835</v>
      </c>
      <c r="G7020">
        <v>109327100</v>
      </c>
      <c r="H7020">
        <f t="shared" si="436"/>
        <v>2025</v>
      </c>
      <c r="I7020">
        <f t="shared" si="437"/>
        <v>4</v>
      </c>
      <c r="J7020" t="str">
        <f t="shared" si="438"/>
        <v>Apr</v>
      </c>
      <c r="K7020" t="str">
        <f t="shared" si="439"/>
        <v>Mon</v>
      </c>
    </row>
    <row r="7021" spans="1:11" x14ac:dyDescent="0.35">
      <c r="A7021" s="1">
        <v>45755</v>
      </c>
      <c r="B7021">
        <v>185.22999572753901</v>
      </c>
      <c r="C7021">
        <v>185.89999389648401</v>
      </c>
      <c r="D7021">
        <v>168.57000732421801</v>
      </c>
      <c r="E7021">
        <v>170.66000366210901</v>
      </c>
      <c r="F7021">
        <v>170.66000366210901</v>
      </c>
      <c r="G7021">
        <v>87710400</v>
      </c>
      <c r="H7021">
        <f t="shared" si="436"/>
        <v>2025</v>
      </c>
      <c r="I7021">
        <f t="shared" si="437"/>
        <v>4</v>
      </c>
      <c r="J7021" t="str">
        <f t="shared" si="438"/>
        <v>Apr</v>
      </c>
      <c r="K7021" t="str">
        <f t="shared" si="439"/>
        <v>Tue</v>
      </c>
    </row>
    <row r="7022" spans="1:11" x14ac:dyDescent="0.35">
      <c r="A7022" s="1">
        <v>45756</v>
      </c>
      <c r="B7022">
        <v>172.11999511718699</v>
      </c>
      <c r="C7022">
        <v>192.64999389648401</v>
      </c>
      <c r="D7022">
        <v>169.92999267578099</v>
      </c>
      <c r="E7022">
        <v>191.100006103515</v>
      </c>
      <c r="F7022">
        <v>191.100006103515</v>
      </c>
      <c r="G7022">
        <v>116804300</v>
      </c>
      <c r="H7022">
        <f t="shared" si="436"/>
        <v>2025</v>
      </c>
      <c r="I7022">
        <f t="shared" si="437"/>
        <v>4</v>
      </c>
      <c r="J7022" t="str">
        <f t="shared" si="438"/>
        <v>Apr</v>
      </c>
      <c r="K7022" t="str">
        <f t="shared" si="439"/>
        <v>Wed</v>
      </c>
    </row>
    <row r="7023" spans="1:11" x14ac:dyDescent="0.35">
      <c r="A7023" s="1">
        <v>45757</v>
      </c>
      <c r="B7023">
        <v>185.44000244140599</v>
      </c>
      <c r="C7023">
        <v>186.86999511718699</v>
      </c>
      <c r="D7023">
        <v>175.850006103515</v>
      </c>
      <c r="E7023">
        <v>181.22000122070301</v>
      </c>
      <c r="F7023">
        <v>181.22000122070301</v>
      </c>
      <c r="G7023">
        <v>68302000</v>
      </c>
      <c r="H7023">
        <f t="shared" si="436"/>
        <v>2025</v>
      </c>
      <c r="I7023">
        <f t="shared" si="437"/>
        <v>4</v>
      </c>
      <c r="J7023" t="str">
        <f t="shared" si="438"/>
        <v>Apr</v>
      </c>
      <c r="K7023" t="str">
        <f t="shared" si="439"/>
        <v>Thu</v>
      </c>
    </row>
    <row r="7024" spans="1:11" x14ac:dyDescent="0.35">
      <c r="A7024" s="1">
        <v>45758</v>
      </c>
      <c r="B7024">
        <v>179.92999267578099</v>
      </c>
      <c r="C7024">
        <v>185.86000061035099</v>
      </c>
      <c r="D7024">
        <v>178</v>
      </c>
      <c r="E7024">
        <v>184.86999511718699</v>
      </c>
      <c r="F7024">
        <v>184.86999511718699</v>
      </c>
      <c r="G7024">
        <v>50594300</v>
      </c>
      <c r="H7024">
        <f t="shared" si="436"/>
        <v>2025</v>
      </c>
      <c r="I7024">
        <f t="shared" si="437"/>
        <v>4</v>
      </c>
      <c r="J7024" t="str">
        <f t="shared" si="438"/>
        <v>Apr</v>
      </c>
      <c r="K7024" t="str">
        <f t="shared" si="439"/>
        <v>Fri</v>
      </c>
    </row>
    <row r="7025" spans="1:11" x14ac:dyDescent="0.35">
      <c r="A7025" s="1">
        <v>45761</v>
      </c>
      <c r="B7025">
        <v>186.83999633789</v>
      </c>
      <c r="C7025">
        <v>187.44000244140599</v>
      </c>
      <c r="D7025">
        <v>179.22999572753901</v>
      </c>
      <c r="E7025">
        <v>182.11999511718699</v>
      </c>
      <c r="F7025">
        <v>182.11999511718699</v>
      </c>
      <c r="G7025">
        <v>48002500</v>
      </c>
      <c r="H7025">
        <f t="shared" si="436"/>
        <v>2025</v>
      </c>
      <c r="I7025">
        <f t="shared" si="437"/>
        <v>4</v>
      </c>
      <c r="J7025" t="str">
        <f t="shared" si="438"/>
        <v>Apr</v>
      </c>
      <c r="K7025" t="str">
        <f t="shared" si="439"/>
        <v>Mon</v>
      </c>
    </row>
    <row r="7026" spans="1:11" x14ac:dyDescent="0.35">
      <c r="A7026" s="1">
        <v>45762</v>
      </c>
      <c r="B7026">
        <v>181.41000366210901</v>
      </c>
      <c r="C7026">
        <v>182.350006103515</v>
      </c>
      <c r="D7026">
        <v>177.92999267578099</v>
      </c>
      <c r="E7026">
        <v>179.58999633789</v>
      </c>
      <c r="F7026">
        <v>179.58999633789</v>
      </c>
      <c r="G7026">
        <v>43642000</v>
      </c>
      <c r="H7026">
        <f t="shared" si="436"/>
        <v>2025</v>
      </c>
      <c r="I7026">
        <f t="shared" si="437"/>
        <v>4</v>
      </c>
      <c r="J7026" t="str">
        <f t="shared" si="438"/>
        <v>Apr</v>
      </c>
      <c r="K7026" t="str">
        <f t="shared" si="439"/>
        <v>Tue</v>
      </c>
    </row>
    <row r="7027" spans="1:11" x14ac:dyDescent="0.35">
      <c r="A7027" s="1">
        <v>45763</v>
      </c>
      <c r="B7027">
        <v>176.28999328613199</v>
      </c>
      <c r="C7027">
        <v>179.100006103515</v>
      </c>
      <c r="D7027">
        <v>171.41000366210901</v>
      </c>
      <c r="E7027">
        <v>174.33000183105401</v>
      </c>
      <c r="F7027">
        <v>174.33000183105401</v>
      </c>
      <c r="G7027">
        <v>51875300</v>
      </c>
      <c r="H7027">
        <f t="shared" si="436"/>
        <v>2025</v>
      </c>
      <c r="I7027">
        <f t="shared" si="437"/>
        <v>4</v>
      </c>
      <c r="J7027" t="str">
        <f t="shared" si="438"/>
        <v>Apr</v>
      </c>
      <c r="K7027" t="str">
        <f t="shared" si="439"/>
        <v>Wed</v>
      </c>
    </row>
    <row r="7028" spans="1:11" x14ac:dyDescent="0.35">
      <c r="A7028" s="1">
        <v>45764</v>
      </c>
      <c r="B7028">
        <v>176</v>
      </c>
      <c r="C7028">
        <v>176.21000671386699</v>
      </c>
      <c r="D7028">
        <v>172</v>
      </c>
      <c r="E7028">
        <v>172.61000061035099</v>
      </c>
      <c r="F7028">
        <v>172.61000061035099</v>
      </c>
      <c r="G7028">
        <v>44726500</v>
      </c>
      <c r="H7028">
        <f t="shared" si="436"/>
        <v>2025</v>
      </c>
      <c r="I7028">
        <f t="shared" si="437"/>
        <v>4</v>
      </c>
      <c r="J7028" t="str">
        <f t="shared" si="438"/>
        <v>Apr</v>
      </c>
      <c r="K7028" t="str">
        <f t="shared" si="439"/>
        <v>Thu</v>
      </c>
    </row>
    <row r="7029" spans="1:11" x14ac:dyDescent="0.35">
      <c r="A7029" s="1">
        <v>45768</v>
      </c>
      <c r="B7029">
        <v>169.600006103515</v>
      </c>
      <c r="C7029">
        <v>169.600006103515</v>
      </c>
      <c r="D7029">
        <v>165.28999328613199</v>
      </c>
      <c r="E7029">
        <v>167.32000732421801</v>
      </c>
      <c r="F7029">
        <v>167.32000732421801</v>
      </c>
      <c r="G7029">
        <v>48126100</v>
      </c>
      <c r="H7029">
        <f t="shared" si="436"/>
        <v>2025</v>
      </c>
      <c r="I7029">
        <f t="shared" si="437"/>
        <v>4</v>
      </c>
      <c r="J7029" t="str">
        <f t="shared" si="438"/>
        <v>Apr</v>
      </c>
      <c r="K7029" t="str">
        <f t="shared" si="439"/>
        <v>Mon</v>
      </c>
    </row>
    <row r="7030" spans="1:11" x14ac:dyDescent="0.35">
      <c r="A7030" s="1">
        <v>45769</v>
      </c>
      <c r="B7030">
        <v>169.850006103515</v>
      </c>
      <c r="C7030">
        <v>176.77999877929599</v>
      </c>
      <c r="D7030">
        <v>169.350006103515</v>
      </c>
      <c r="E7030">
        <v>173.17999267578099</v>
      </c>
      <c r="F7030">
        <v>173.17999267578099</v>
      </c>
      <c r="G7030">
        <v>56607200</v>
      </c>
      <c r="H7030">
        <f t="shared" si="436"/>
        <v>2025</v>
      </c>
      <c r="I7030">
        <f t="shared" si="437"/>
        <v>4</v>
      </c>
      <c r="J7030" t="str">
        <f t="shared" si="438"/>
        <v>Apr</v>
      </c>
      <c r="K7030" t="str">
        <f t="shared" si="439"/>
        <v>Tue</v>
      </c>
    </row>
    <row r="7031" spans="1:11" x14ac:dyDescent="0.35">
      <c r="A7031" s="1">
        <v>45770</v>
      </c>
      <c r="B7031">
        <v>183.44999694824199</v>
      </c>
      <c r="C7031">
        <v>187.38000488281199</v>
      </c>
      <c r="D7031">
        <v>180.19000244140599</v>
      </c>
      <c r="E7031">
        <v>180.600006103515</v>
      </c>
      <c r="F7031">
        <v>180.600006103515</v>
      </c>
      <c r="G7031">
        <v>63470100</v>
      </c>
      <c r="H7031">
        <f t="shared" si="436"/>
        <v>2025</v>
      </c>
      <c r="I7031">
        <f t="shared" si="437"/>
        <v>4</v>
      </c>
      <c r="J7031" t="str">
        <f t="shared" si="438"/>
        <v>Apr</v>
      </c>
      <c r="K7031" t="str">
        <f t="shared" si="439"/>
        <v>Wed</v>
      </c>
    </row>
    <row r="7032" spans="1:11" x14ac:dyDescent="0.35">
      <c r="A7032" s="1">
        <v>45771</v>
      </c>
      <c r="B7032">
        <v>180.919998168945</v>
      </c>
      <c r="C7032">
        <v>186.74000549316401</v>
      </c>
      <c r="D7032">
        <v>180.17999267578099</v>
      </c>
      <c r="E7032">
        <v>186.53999328613199</v>
      </c>
      <c r="F7032">
        <v>186.53999328613199</v>
      </c>
      <c r="G7032">
        <v>43763200</v>
      </c>
      <c r="H7032">
        <f t="shared" si="436"/>
        <v>2025</v>
      </c>
      <c r="I7032">
        <f t="shared" si="437"/>
        <v>4</v>
      </c>
      <c r="J7032" t="str">
        <f t="shared" si="438"/>
        <v>Apr</v>
      </c>
      <c r="K7032" t="str">
        <f t="shared" si="439"/>
        <v>Thu</v>
      </c>
    </row>
    <row r="7033" spans="1:11" x14ac:dyDescent="0.35">
      <c r="A7033" s="1">
        <v>45772</v>
      </c>
      <c r="B7033">
        <v>187.61999511718699</v>
      </c>
      <c r="C7033">
        <v>189.94000244140599</v>
      </c>
      <c r="D7033">
        <v>185.49000549316401</v>
      </c>
      <c r="E7033">
        <v>188.99000549316401</v>
      </c>
      <c r="F7033">
        <v>188.99000549316401</v>
      </c>
      <c r="G7033">
        <v>36414300</v>
      </c>
      <c r="H7033">
        <f t="shared" si="436"/>
        <v>2025</v>
      </c>
      <c r="I7033">
        <f t="shared" si="437"/>
        <v>4</v>
      </c>
      <c r="J7033" t="str">
        <f t="shared" si="438"/>
        <v>Apr</v>
      </c>
      <c r="K7033" t="str">
        <f t="shared" si="439"/>
        <v>Fri</v>
      </c>
    </row>
    <row r="7034" spans="1:11" x14ac:dyDescent="0.35">
      <c r="A7034" s="1">
        <v>45775</v>
      </c>
      <c r="B7034">
        <v>190.11000061035099</v>
      </c>
      <c r="C7034">
        <v>190.22000122070301</v>
      </c>
      <c r="D7034">
        <v>184.88999938964801</v>
      </c>
      <c r="E7034">
        <v>187.69999694824199</v>
      </c>
      <c r="F7034">
        <v>187.69999694824199</v>
      </c>
      <c r="G7034">
        <v>33224700</v>
      </c>
      <c r="H7034">
        <f t="shared" si="436"/>
        <v>2025</v>
      </c>
      <c r="I7034">
        <f t="shared" si="437"/>
        <v>4</v>
      </c>
      <c r="J7034" t="str">
        <f t="shared" si="438"/>
        <v>Apr</v>
      </c>
      <c r="K7034" t="str">
        <f t="shared" si="439"/>
        <v>Mon</v>
      </c>
    </row>
    <row r="7035" spans="1:11" x14ac:dyDescent="0.35">
      <c r="A7035" s="1">
        <v>45776</v>
      </c>
      <c r="B7035">
        <v>183.99000549316401</v>
      </c>
      <c r="C7035">
        <v>188.02000427246</v>
      </c>
      <c r="D7035">
        <v>183.67999267578099</v>
      </c>
      <c r="E7035">
        <v>187.38999938964801</v>
      </c>
      <c r="F7035">
        <v>187.38999938964801</v>
      </c>
      <c r="G7035">
        <v>41667300</v>
      </c>
      <c r="H7035">
        <f t="shared" si="436"/>
        <v>2025</v>
      </c>
      <c r="I7035">
        <f t="shared" si="437"/>
        <v>4</v>
      </c>
      <c r="J7035" t="str">
        <f t="shared" si="438"/>
        <v>Apr</v>
      </c>
      <c r="K7035" t="str">
        <f t="shared" si="439"/>
        <v>Tue</v>
      </c>
    </row>
    <row r="7036" spans="1:11" x14ac:dyDescent="0.35">
      <c r="A7036" s="1">
        <v>45777</v>
      </c>
      <c r="B7036">
        <v>182.169998168945</v>
      </c>
      <c r="C7036">
        <v>185.05000305175699</v>
      </c>
      <c r="D7036">
        <v>178.850006103515</v>
      </c>
      <c r="E7036">
        <v>184.419998168945</v>
      </c>
      <c r="F7036">
        <v>184.419998168945</v>
      </c>
      <c r="G7036">
        <v>55176500</v>
      </c>
      <c r="H7036">
        <f t="shared" si="436"/>
        <v>2025</v>
      </c>
      <c r="I7036">
        <f t="shared" si="437"/>
        <v>4</v>
      </c>
      <c r="J7036" t="str">
        <f t="shared" si="438"/>
        <v>Apr</v>
      </c>
      <c r="K7036" t="str">
        <f t="shared" si="439"/>
        <v>Wed</v>
      </c>
    </row>
    <row r="7037" spans="1:11" x14ac:dyDescent="0.35">
      <c r="A7037" s="1">
        <v>45778</v>
      </c>
      <c r="B7037">
        <v>190.63000488281199</v>
      </c>
      <c r="C7037">
        <v>191.80999755859301</v>
      </c>
      <c r="D7037">
        <v>187.5</v>
      </c>
      <c r="E7037">
        <v>190.19999694824199</v>
      </c>
      <c r="F7037">
        <v>190.19999694824199</v>
      </c>
      <c r="G7037">
        <v>74266000</v>
      </c>
      <c r="H7037">
        <f t="shared" si="436"/>
        <v>2025</v>
      </c>
      <c r="I7037">
        <f t="shared" si="437"/>
        <v>5</v>
      </c>
      <c r="J7037" t="str">
        <f t="shared" si="438"/>
        <v>May</v>
      </c>
      <c r="K7037" t="str">
        <f t="shared" si="439"/>
        <v>Thu</v>
      </c>
    </row>
    <row r="7038" spans="1:11" x14ac:dyDescent="0.35">
      <c r="A7038" s="1">
        <v>45779</v>
      </c>
      <c r="B7038">
        <v>191.44000244140599</v>
      </c>
      <c r="C7038">
        <v>192.88000488281199</v>
      </c>
      <c r="D7038">
        <v>186.39999389648401</v>
      </c>
      <c r="E7038">
        <v>189.97999572753901</v>
      </c>
      <c r="F7038">
        <v>189.97999572753901</v>
      </c>
      <c r="G7038">
        <v>77903500</v>
      </c>
      <c r="H7038">
        <f t="shared" si="436"/>
        <v>2025</v>
      </c>
      <c r="I7038">
        <f t="shared" si="437"/>
        <v>5</v>
      </c>
      <c r="J7038" t="str">
        <f t="shared" si="438"/>
        <v>May</v>
      </c>
      <c r="K7038" t="str">
        <f t="shared" si="439"/>
        <v>Fri</v>
      </c>
    </row>
    <row r="7039" spans="1:11" x14ac:dyDescent="0.35">
      <c r="A7039" s="1">
        <v>45782</v>
      </c>
      <c r="B7039">
        <v>186.509994506835</v>
      </c>
      <c r="C7039">
        <v>188.17999267578099</v>
      </c>
      <c r="D7039">
        <v>185.52999877929599</v>
      </c>
      <c r="E7039">
        <v>186.350006103515</v>
      </c>
      <c r="F7039">
        <v>186.350006103515</v>
      </c>
      <c r="G7039">
        <v>35217500</v>
      </c>
      <c r="H7039">
        <f t="shared" si="436"/>
        <v>2025</v>
      </c>
      <c r="I7039">
        <f t="shared" si="437"/>
        <v>5</v>
      </c>
      <c r="J7039" t="str">
        <f t="shared" si="438"/>
        <v>May</v>
      </c>
      <c r="K7039" t="str">
        <f t="shared" si="439"/>
        <v>Mon</v>
      </c>
    </row>
    <row r="7040" spans="1:11" x14ac:dyDescent="0.35">
      <c r="A7040" s="1">
        <v>45783</v>
      </c>
      <c r="B7040">
        <v>184.57000732421801</v>
      </c>
      <c r="C7040">
        <v>187.92999267578099</v>
      </c>
      <c r="D7040">
        <v>183.850006103515</v>
      </c>
      <c r="E7040">
        <v>185.009994506835</v>
      </c>
      <c r="F7040">
        <v>185.009994506835</v>
      </c>
      <c r="G7040">
        <v>29314100</v>
      </c>
      <c r="H7040">
        <f t="shared" si="436"/>
        <v>2025</v>
      </c>
      <c r="I7040">
        <f t="shared" si="437"/>
        <v>5</v>
      </c>
      <c r="J7040" t="str">
        <f t="shared" si="438"/>
        <v>May</v>
      </c>
      <c r="K7040" t="str">
        <f t="shared" si="439"/>
        <v>Tue</v>
      </c>
    </row>
    <row r="7041" spans="1:11" x14ac:dyDescent="0.35">
      <c r="A7041" s="1">
        <v>45784</v>
      </c>
      <c r="B7041">
        <v>185.55999755859301</v>
      </c>
      <c r="C7041">
        <v>190.99000549316401</v>
      </c>
      <c r="D7041">
        <v>185.009994506835</v>
      </c>
      <c r="E7041">
        <v>188.71000671386699</v>
      </c>
      <c r="F7041">
        <v>188.71000671386699</v>
      </c>
      <c r="G7041">
        <v>43948600</v>
      </c>
      <c r="H7041">
        <f t="shared" si="436"/>
        <v>2025</v>
      </c>
      <c r="I7041">
        <f t="shared" si="437"/>
        <v>5</v>
      </c>
      <c r="J7041" t="str">
        <f t="shared" si="438"/>
        <v>May</v>
      </c>
      <c r="K7041" t="str">
        <f t="shared" si="439"/>
        <v>Wed</v>
      </c>
    </row>
    <row r="7042" spans="1:11" x14ac:dyDescent="0.35">
      <c r="A7042" s="1">
        <v>45785</v>
      </c>
      <c r="B7042">
        <v>191.42999267578099</v>
      </c>
      <c r="C7042">
        <v>194.33000183105401</v>
      </c>
      <c r="D7042">
        <v>188.82000732421801</v>
      </c>
      <c r="E7042">
        <v>192.08000183105401</v>
      </c>
      <c r="F7042">
        <v>192.08000183105401</v>
      </c>
      <c r="G7042">
        <v>41043600</v>
      </c>
      <c r="H7042">
        <f t="shared" si="436"/>
        <v>2025</v>
      </c>
      <c r="I7042">
        <f t="shared" si="437"/>
        <v>5</v>
      </c>
      <c r="J7042" t="str">
        <f t="shared" si="438"/>
        <v>May</v>
      </c>
      <c r="K7042" t="str">
        <f t="shared" si="439"/>
        <v>Thu</v>
      </c>
    </row>
    <row r="7043" spans="1:11" x14ac:dyDescent="0.35">
      <c r="A7043" s="1">
        <v>45786</v>
      </c>
      <c r="B7043">
        <v>193.38000488281199</v>
      </c>
      <c r="C7043">
        <v>194.69000244140599</v>
      </c>
      <c r="D7043">
        <v>191.16000366210901</v>
      </c>
      <c r="E7043">
        <v>193.05999755859301</v>
      </c>
      <c r="F7043">
        <v>193.05999755859301</v>
      </c>
      <c r="G7043">
        <v>29663100</v>
      </c>
      <c r="H7043">
        <f t="shared" si="436"/>
        <v>2025</v>
      </c>
      <c r="I7043">
        <f t="shared" si="437"/>
        <v>5</v>
      </c>
      <c r="J7043" t="str">
        <f t="shared" si="438"/>
        <v>May</v>
      </c>
      <c r="K7043" t="str">
        <f t="shared" si="439"/>
        <v>Fri</v>
      </c>
    </row>
    <row r="7044" spans="1:11" x14ac:dyDescent="0.35">
      <c r="A7044" s="1">
        <v>45789</v>
      </c>
      <c r="B7044">
        <v>210.71000671386699</v>
      </c>
      <c r="C7044">
        <v>211.66000366210901</v>
      </c>
      <c r="D7044">
        <v>205.75</v>
      </c>
      <c r="E7044">
        <v>208.63999938964801</v>
      </c>
      <c r="F7044">
        <v>208.63999938964801</v>
      </c>
      <c r="G7044">
        <v>75205000</v>
      </c>
      <c r="H7044">
        <f t="shared" ref="H7044:H7107" si="440">YEAR($A7044)</f>
        <v>2025</v>
      </c>
      <c r="I7044">
        <f t="shared" ref="I7044:I7107" si="441">MONTH($A7044)</f>
        <v>5</v>
      </c>
      <c r="J7044" t="str">
        <f t="shared" ref="J7044:J7107" si="442">TEXT($A7044,"mmm")</f>
        <v>May</v>
      </c>
      <c r="K7044" t="str">
        <f t="shared" ref="K7044:K7107" si="443">TEXT($A7044,"ddd")</f>
        <v>Mon</v>
      </c>
    </row>
    <row r="7045" spans="1:11" x14ac:dyDescent="0.35">
      <c r="A7045" s="1">
        <v>45790</v>
      </c>
      <c r="B7045">
        <v>211.08000183105401</v>
      </c>
      <c r="C7045">
        <v>214.83999633789</v>
      </c>
      <c r="D7045">
        <v>210.100006103515</v>
      </c>
      <c r="E7045">
        <v>211.36999511718699</v>
      </c>
      <c r="F7045">
        <v>211.36999511718699</v>
      </c>
      <c r="G7045">
        <v>56193700</v>
      </c>
      <c r="H7045">
        <f t="shared" si="440"/>
        <v>2025</v>
      </c>
      <c r="I7045">
        <f t="shared" si="441"/>
        <v>5</v>
      </c>
      <c r="J7045" t="str">
        <f t="shared" si="442"/>
        <v>May</v>
      </c>
      <c r="K7045" t="str">
        <f t="shared" si="443"/>
        <v>Tue</v>
      </c>
    </row>
    <row r="7046" spans="1:11" x14ac:dyDescent="0.35">
      <c r="A7046" s="1">
        <v>45791</v>
      </c>
      <c r="B7046">
        <v>211.44999694824199</v>
      </c>
      <c r="C7046">
        <v>211.92999267578099</v>
      </c>
      <c r="D7046">
        <v>208.850006103515</v>
      </c>
      <c r="E7046">
        <v>210.25</v>
      </c>
      <c r="F7046">
        <v>210.25</v>
      </c>
      <c r="G7046">
        <v>38492100</v>
      </c>
      <c r="H7046">
        <f t="shared" si="440"/>
        <v>2025</v>
      </c>
      <c r="I7046">
        <f t="shared" si="441"/>
        <v>5</v>
      </c>
      <c r="J7046" t="str">
        <f t="shared" si="442"/>
        <v>May</v>
      </c>
      <c r="K7046" t="str">
        <f t="shared" si="443"/>
        <v>Wed</v>
      </c>
    </row>
    <row r="7047" spans="1:11" x14ac:dyDescent="0.35">
      <c r="A7047" s="1">
        <v>45792</v>
      </c>
      <c r="B7047">
        <v>206.44999694824199</v>
      </c>
      <c r="C7047">
        <v>206.88000488281199</v>
      </c>
      <c r="D7047">
        <v>202.669998168945</v>
      </c>
      <c r="E7047">
        <v>205.169998168945</v>
      </c>
      <c r="F7047">
        <v>205.169998168945</v>
      </c>
      <c r="G7047">
        <v>64347300</v>
      </c>
      <c r="H7047">
        <f t="shared" si="440"/>
        <v>2025</v>
      </c>
      <c r="I7047">
        <f t="shared" si="441"/>
        <v>5</v>
      </c>
      <c r="J7047" t="str">
        <f t="shared" si="442"/>
        <v>May</v>
      </c>
      <c r="K7047" t="str">
        <f t="shared" si="443"/>
        <v>Thu</v>
      </c>
    </row>
    <row r="7048" spans="1:11" x14ac:dyDescent="0.35">
      <c r="A7048" s="1">
        <v>45793</v>
      </c>
      <c r="B7048">
        <v>206.850006103515</v>
      </c>
      <c r="C7048">
        <v>206.850006103515</v>
      </c>
      <c r="D7048">
        <v>204.36999511718699</v>
      </c>
      <c r="E7048">
        <v>205.58999633789</v>
      </c>
      <c r="F7048">
        <v>205.58999633789</v>
      </c>
      <c r="G7048">
        <v>43318500</v>
      </c>
      <c r="H7048">
        <f t="shared" si="440"/>
        <v>2025</v>
      </c>
      <c r="I7048">
        <f t="shared" si="441"/>
        <v>5</v>
      </c>
      <c r="J7048" t="str">
        <f t="shared" si="442"/>
        <v>May</v>
      </c>
      <c r="K7048" t="str">
        <f t="shared" si="443"/>
        <v>Fri</v>
      </c>
    </row>
    <row r="7049" spans="1:11" x14ac:dyDescent="0.35">
      <c r="A7049" s="1">
        <v>45796</v>
      </c>
      <c r="B7049">
        <v>201.64999389648401</v>
      </c>
      <c r="C7049">
        <v>206.61999511718699</v>
      </c>
      <c r="D7049">
        <v>201.259994506835</v>
      </c>
      <c r="E7049">
        <v>206.16000366210901</v>
      </c>
      <c r="F7049">
        <v>206.16000366210901</v>
      </c>
      <c r="G7049">
        <v>34314800</v>
      </c>
      <c r="H7049">
        <f t="shared" si="440"/>
        <v>2025</v>
      </c>
      <c r="I7049">
        <f t="shared" si="441"/>
        <v>5</v>
      </c>
      <c r="J7049" t="str">
        <f t="shared" si="442"/>
        <v>May</v>
      </c>
      <c r="K7049" t="str">
        <f t="shared" si="443"/>
        <v>Mon</v>
      </c>
    </row>
    <row r="7050" spans="1:11" x14ac:dyDescent="0.35">
      <c r="A7050" s="1">
        <v>45797</v>
      </c>
      <c r="B7050">
        <v>204.63000488281199</v>
      </c>
      <c r="C7050">
        <v>205.58999633789</v>
      </c>
      <c r="D7050">
        <v>202.64999389648401</v>
      </c>
      <c r="E7050">
        <v>204.07000732421801</v>
      </c>
      <c r="F7050">
        <v>204.07000732421801</v>
      </c>
      <c r="G7050">
        <v>29470400</v>
      </c>
      <c r="H7050">
        <f t="shared" si="440"/>
        <v>2025</v>
      </c>
      <c r="I7050">
        <f t="shared" si="441"/>
        <v>5</v>
      </c>
      <c r="J7050" t="str">
        <f t="shared" si="442"/>
        <v>May</v>
      </c>
      <c r="K7050" t="str">
        <f t="shared" si="443"/>
        <v>Tue</v>
      </c>
    </row>
    <row r="7051" spans="1:11" x14ac:dyDescent="0.35">
      <c r="A7051" s="1">
        <v>45798</v>
      </c>
      <c r="B7051">
        <v>201.61000061035099</v>
      </c>
      <c r="C7051">
        <v>203.46000671386699</v>
      </c>
      <c r="D7051">
        <v>200.05999755859301</v>
      </c>
      <c r="E7051">
        <v>201.11999511718699</v>
      </c>
      <c r="F7051">
        <v>201.11999511718699</v>
      </c>
      <c r="G7051">
        <v>42460900</v>
      </c>
      <c r="H7051">
        <f t="shared" si="440"/>
        <v>2025</v>
      </c>
      <c r="I7051">
        <f t="shared" si="441"/>
        <v>5</v>
      </c>
      <c r="J7051" t="str">
        <f t="shared" si="442"/>
        <v>May</v>
      </c>
      <c r="K7051" t="str">
        <f t="shared" si="443"/>
        <v>Wed</v>
      </c>
    </row>
    <row r="7052" spans="1:11" x14ac:dyDescent="0.35">
      <c r="A7052" s="1">
        <v>45799</v>
      </c>
      <c r="B7052">
        <v>201.38000488281199</v>
      </c>
      <c r="C7052">
        <v>205.759994506835</v>
      </c>
      <c r="D7052">
        <v>200.16000366210901</v>
      </c>
      <c r="E7052">
        <v>203.100006103515</v>
      </c>
      <c r="F7052">
        <v>203.100006103515</v>
      </c>
      <c r="G7052">
        <v>38938900</v>
      </c>
      <c r="H7052">
        <f t="shared" si="440"/>
        <v>2025</v>
      </c>
      <c r="I7052">
        <f t="shared" si="441"/>
        <v>5</v>
      </c>
      <c r="J7052" t="str">
        <f t="shared" si="442"/>
        <v>May</v>
      </c>
      <c r="K7052" t="str">
        <f t="shared" si="443"/>
        <v>Thu</v>
      </c>
    </row>
    <row r="7053" spans="1:11" x14ac:dyDescent="0.35">
      <c r="A7053" s="1">
        <v>45800</v>
      </c>
      <c r="B7053">
        <v>198.89999389648401</v>
      </c>
      <c r="C7053">
        <v>202.36999511718699</v>
      </c>
      <c r="D7053">
        <v>197.850006103515</v>
      </c>
      <c r="E7053">
        <v>200.99000549316401</v>
      </c>
      <c r="F7053">
        <v>200.99000549316401</v>
      </c>
      <c r="G7053">
        <v>33393500</v>
      </c>
      <c r="H7053">
        <f t="shared" si="440"/>
        <v>2025</v>
      </c>
      <c r="I7053">
        <f t="shared" si="441"/>
        <v>5</v>
      </c>
      <c r="J7053" t="str">
        <f t="shared" si="442"/>
        <v>May</v>
      </c>
      <c r="K7053" t="str">
        <f t="shared" si="443"/>
        <v>Fri</v>
      </c>
    </row>
    <row r="7054" spans="1:11" x14ac:dyDescent="0.35">
      <c r="A7054" s="1">
        <v>45804</v>
      </c>
      <c r="B7054">
        <v>203.08999633789</v>
      </c>
      <c r="C7054">
        <v>206.69000244140599</v>
      </c>
      <c r="D7054">
        <v>202.19000244140599</v>
      </c>
      <c r="E7054">
        <v>206.02000427246</v>
      </c>
      <c r="F7054">
        <v>206.02000427246</v>
      </c>
      <c r="G7054">
        <v>34892000</v>
      </c>
      <c r="H7054">
        <f t="shared" si="440"/>
        <v>2025</v>
      </c>
      <c r="I7054">
        <f t="shared" si="441"/>
        <v>5</v>
      </c>
      <c r="J7054" t="str">
        <f t="shared" si="442"/>
        <v>May</v>
      </c>
      <c r="K7054" t="str">
        <f t="shared" si="443"/>
        <v>Tue</v>
      </c>
    </row>
    <row r="7055" spans="1:11" x14ac:dyDescent="0.35">
      <c r="A7055" s="1">
        <v>45805</v>
      </c>
      <c r="B7055">
        <v>205.919998168945</v>
      </c>
      <c r="C7055">
        <v>207.66000366210901</v>
      </c>
      <c r="D7055">
        <v>204.41000366210901</v>
      </c>
      <c r="E7055">
        <v>204.72000122070301</v>
      </c>
      <c r="F7055">
        <v>204.72000122070301</v>
      </c>
      <c r="G7055">
        <v>28549800</v>
      </c>
      <c r="H7055">
        <f t="shared" si="440"/>
        <v>2025</v>
      </c>
      <c r="I7055">
        <f t="shared" si="441"/>
        <v>5</v>
      </c>
      <c r="J7055" t="str">
        <f t="shared" si="442"/>
        <v>May</v>
      </c>
      <c r="K7055" t="str">
        <f t="shared" si="443"/>
        <v>Wed</v>
      </c>
    </row>
    <row r="7056" spans="1:11" x14ac:dyDescent="0.35">
      <c r="A7056" s="1">
        <v>45806</v>
      </c>
      <c r="B7056">
        <v>208.02999877929599</v>
      </c>
      <c r="C7056">
        <v>208.80999755859301</v>
      </c>
      <c r="D7056">
        <v>204.22999572753901</v>
      </c>
      <c r="E7056">
        <v>205.69999694824199</v>
      </c>
      <c r="F7056">
        <v>205.69999694824199</v>
      </c>
      <c r="G7056">
        <v>34650000</v>
      </c>
      <c r="H7056">
        <f t="shared" si="440"/>
        <v>2025</v>
      </c>
      <c r="I7056">
        <f t="shared" si="441"/>
        <v>5</v>
      </c>
      <c r="J7056" t="str">
        <f t="shared" si="442"/>
        <v>May</v>
      </c>
      <c r="K7056" t="str">
        <f t="shared" si="443"/>
        <v>Thu</v>
      </c>
    </row>
    <row r="7057" spans="1:11" x14ac:dyDescent="0.35">
      <c r="A7057" s="1">
        <v>45807</v>
      </c>
      <c r="B7057">
        <v>204.83999633789</v>
      </c>
      <c r="C7057">
        <v>205.99000549316401</v>
      </c>
      <c r="D7057">
        <v>201.69999694824199</v>
      </c>
      <c r="E7057">
        <v>205.009994506835</v>
      </c>
      <c r="F7057">
        <v>205.009994506835</v>
      </c>
      <c r="G7057">
        <v>51679400</v>
      </c>
      <c r="H7057">
        <f t="shared" si="440"/>
        <v>2025</v>
      </c>
      <c r="I7057">
        <f t="shared" si="441"/>
        <v>5</v>
      </c>
      <c r="J7057" t="str">
        <f t="shared" si="442"/>
        <v>May</v>
      </c>
      <c r="K7057" t="str">
        <f t="shared" si="443"/>
        <v>Fri</v>
      </c>
    </row>
    <row r="7058" spans="1:11" x14ac:dyDescent="0.35">
      <c r="A7058" s="1">
        <v>45810</v>
      </c>
      <c r="B7058">
        <v>204.97999572753901</v>
      </c>
      <c r="C7058">
        <v>207</v>
      </c>
      <c r="D7058">
        <v>202.67999267578099</v>
      </c>
      <c r="E7058">
        <v>206.64999389648401</v>
      </c>
      <c r="F7058">
        <v>206.64999389648401</v>
      </c>
      <c r="G7058">
        <v>29113300</v>
      </c>
      <c r="H7058">
        <f t="shared" si="440"/>
        <v>2025</v>
      </c>
      <c r="I7058">
        <f t="shared" si="441"/>
        <v>6</v>
      </c>
      <c r="J7058" t="str">
        <f t="shared" si="442"/>
        <v>Jun</v>
      </c>
      <c r="K7058" t="str">
        <f t="shared" si="443"/>
        <v>Mon</v>
      </c>
    </row>
    <row r="7059" spans="1:11" x14ac:dyDescent="0.35">
      <c r="A7059" s="1">
        <v>45811</v>
      </c>
      <c r="B7059">
        <v>207.11000061035099</v>
      </c>
      <c r="C7059">
        <v>208.94999694824199</v>
      </c>
      <c r="D7059">
        <v>205.02999877929599</v>
      </c>
      <c r="E7059">
        <v>205.71000671386699</v>
      </c>
      <c r="F7059">
        <v>205.71000671386699</v>
      </c>
      <c r="G7059">
        <v>33139100</v>
      </c>
      <c r="H7059">
        <f t="shared" si="440"/>
        <v>2025</v>
      </c>
      <c r="I7059">
        <f t="shared" si="441"/>
        <v>6</v>
      </c>
      <c r="J7059" t="str">
        <f t="shared" si="442"/>
        <v>Jun</v>
      </c>
      <c r="K7059" t="str">
        <f t="shared" si="443"/>
        <v>Tue</v>
      </c>
    </row>
    <row r="7060" spans="1:11" x14ac:dyDescent="0.35">
      <c r="A7060" s="1">
        <v>45812</v>
      </c>
      <c r="B7060">
        <v>206.55000305175699</v>
      </c>
      <c r="C7060">
        <v>208.17999267578099</v>
      </c>
      <c r="D7060">
        <v>205.17999267578099</v>
      </c>
      <c r="E7060">
        <v>207.22999572753901</v>
      </c>
      <c r="F7060">
        <v>207.22999572753901</v>
      </c>
      <c r="G7060">
        <v>29915600</v>
      </c>
      <c r="H7060">
        <f t="shared" si="440"/>
        <v>2025</v>
      </c>
      <c r="I7060">
        <f t="shared" si="441"/>
        <v>6</v>
      </c>
      <c r="J7060" t="str">
        <f t="shared" si="442"/>
        <v>Jun</v>
      </c>
      <c r="K7060" t="str">
        <f t="shared" si="443"/>
        <v>Wed</v>
      </c>
    </row>
    <row r="7061" spans="1:11" x14ac:dyDescent="0.35">
      <c r="A7061" s="1">
        <v>45813</v>
      </c>
      <c r="B7061">
        <v>209.55000305175699</v>
      </c>
      <c r="C7061">
        <v>212.80999755859301</v>
      </c>
      <c r="D7061">
        <v>207.55999755859301</v>
      </c>
      <c r="E7061">
        <v>207.91000366210901</v>
      </c>
      <c r="F7061">
        <v>207.91000366210901</v>
      </c>
      <c r="G7061">
        <v>51864200</v>
      </c>
      <c r="H7061">
        <f t="shared" si="440"/>
        <v>2025</v>
      </c>
      <c r="I7061">
        <f t="shared" si="441"/>
        <v>6</v>
      </c>
      <c r="J7061" t="str">
        <f t="shared" si="442"/>
        <v>Jun</v>
      </c>
      <c r="K7061" t="str">
        <f t="shared" si="443"/>
        <v>Thu</v>
      </c>
    </row>
    <row r="7062" spans="1:11" x14ac:dyDescent="0.35">
      <c r="A7062" s="1">
        <v>45814</v>
      </c>
      <c r="B7062">
        <v>212.39999389648401</v>
      </c>
      <c r="C7062">
        <v>213.86999511718699</v>
      </c>
      <c r="D7062">
        <v>210.5</v>
      </c>
      <c r="E7062">
        <v>213.57000732421801</v>
      </c>
      <c r="F7062">
        <v>213.57000732421801</v>
      </c>
      <c r="G7062">
        <v>39832500</v>
      </c>
      <c r="H7062">
        <f t="shared" si="440"/>
        <v>2025</v>
      </c>
      <c r="I7062">
        <f t="shared" si="441"/>
        <v>6</v>
      </c>
      <c r="J7062" t="str">
        <f t="shared" si="442"/>
        <v>Jun</v>
      </c>
      <c r="K7062" t="str">
        <f t="shared" si="443"/>
        <v>Fri</v>
      </c>
    </row>
    <row r="7063" spans="1:11" x14ac:dyDescent="0.35">
      <c r="A7063" s="1">
        <v>45817</v>
      </c>
      <c r="B7063">
        <v>214.75</v>
      </c>
      <c r="C7063">
        <v>217.850006103515</v>
      </c>
      <c r="D7063">
        <v>212.88000488281199</v>
      </c>
      <c r="E7063">
        <v>216.97999572753901</v>
      </c>
      <c r="F7063">
        <v>216.97999572753901</v>
      </c>
      <c r="G7063">
        <v>38102500</v>
      </c>
      <c r="H7063">
        <f t="shared" si="440"/>
        <v>2025</v>
      </c>
      <c r="I7063">
        <f t="shared" si="441"/>
        <v>6</v>
      </c>
      <c r="J7063" t="str">
        <f t="shared" si="442"/>
        <v>Jun</v>
      </c>
      <c r="K7063" t="str">
        <f t="shared" si="443"/>
        <v>Mon</v>
      </c>
    </row>
    <row r="7064" spans="1:11" x14ac:dyDescent="0.35">
      <c r="A7064" s="1">
        <v>45818</v>
      </c>
      <c r="B7064">
        <v>216.77999877929599</v>
      </c>
      <c r="C7064">
        <v>217.69000244140599</v>
      </c>
      <c r="D7064">
        <v>214.14999389648401</v>
      </c>
      <c r="E7064">
        <v>217.61000061035099</v>
      </c>
      <c r="F7064">
        <v>217.61000061035099</v>
      </c>
      <c r="G7064">
        <v>31303300</v>
      </c>
      <c r="H7064">
        <f t="shared" si="440"/>
        <v>2025</v>
      </c>
      <c r="I7064">
        <f t="shared" si="441"/>
        <v>6</v>
      </c>
      <c r="J7064" t="str">
        <f t="shared" si="442"/>
        <v>Jun</v>
      </c>
      <c r="K7064" t="str">
        <f t="shared" si="443"/>
        <v>Tue</v>
      </c>
    </row>
    <row r="7065" spans="1:11" x14ac:dyDescent="0.35">
      <c r="A7065" s="1">
        <v>45819</v>
      </c>
      <c r="B7065">
        <v>217.41000366210901</v>
      </c>
      <c r="C7065">
        <v>218.39999389648401</v>
      </c>
      <c r="D7065">
        <v>212.88999938964801</v>
      </c>
      <c r="E7065">
        <v>213.19999694824199</v>
      </c>
      <c r="F7065">
        <v>213.19999694824199</v>
      </c>
      <c r="G7065">
        <v>39326000</v>
      </c>
      <c r="H7065">
        <f t="shared" si="440"/>
        <v>2025</v>
      </c>
      <c r="I7065">
        <f t="shared" si="441"/>
        <v>6</v>
      </c>
      <c r="J7065" t="str">
        <f t="shared" si="442"/>
        <v>Jun</v>
      </c>
      <c r="K7065" t="str">
        <f t="shared" si="443"/>
        <v>Wed</v>
      </c>
    </row>
    <row r="7066" spans="1:11" x14ac:dyDescent="0.35">
      <c r="A7066" s="1">
        <v>45820</v>
      </c>
      <c r="B7066">
        <v>211.77999877929599</v>
      </c>
      <c r="C7066">
        <v>213.58000183105401</v>
      </c>
      <c r="D7066">
        <v>211.33000183105401</v>
      </c>
      <c r="E7066">
        <v>213.24000549316401</v>
      </c>
      <c r="F7066">
        <v>213.24000549316401</v>
      </c>
      <c r="G7066">
        <v>27640000</v>
      </c>
      <c r="H7066">
        <f t="shared" si="440"/>
        <v>2025</v>
      </c>
      <c r="I7066">
        <f t="shared" si="441"/>
        <v>6</v>
      </c>
      <c r="J7066" t="str">
        <f t="shared" si="442"/>
        <v>Jun</v>
      </c>
      <c r="K7066" t="str">
        <f t="shared" si="443"/>
        <v>Thu</v>
      </c>
    </row>
    <row r="7067" spans="1:11" x14ac:dyDescent="0.35">
      <c r="A7067" s="1">
        <v>45821</v>
      </c>
      <c r="B7067">
        <v>209.96000671386699</v>
      </c>
      <c r="C7067">
        <v>214.05000305175699</v>
      </c>
      <c r="D7067">
        <v>209.61999511718699</v>
      </c>
      <c r="E7067">
        <v>212.100006103515</v>
      </c>
      <c r="F7067">
        <v>212.100006103515</v>
      </c>
      <c r="G7067">
        <v>29337800</v>
      </c>
      <c r="H7067">
        <f t="shared" si="440"/>
        <v>2025</v>
      </c>
      <c r="I7067">
        <f t="shared" si="441"/>
        <v>6</v>
      </c>
      <c r="J7067" t="str">
        <f t="shared" si="442"/>
        <v>Jun</v>
      </c>
      <c r="K7067" t="str">
        <f t="shared" si="443"/>
        <v>Fri</v>
      </c>
    </row>
    <row r="7068" spans="1:11" x14ac:dyDescent="0.35">
      <c r="A7068" s="1">
        <v>45824</v>
      </c>
      <c r="B7068">
        <v>212.30999755859301</v>
      </c>
      <c r="C7068">
        <v>217.05999755859301</v>
      </c>
      <c r="D7068">
        <v>211.600006103515</v>
      </c>
      <c r="E7068">
        <v>216.100006103515</v>
      </c>
      <c r="F7068">
        <v>216.100006103515</v>
      </c>
      <c r="G7068">
        <v>33284200</v>
      </c>
      <c r="H7068">
        <f t="shared" si="440"/>
        <v>2025</v>
      </c>
      <c r="I7068">
        <f t="shared" si="441"/>
        <v>6</v>
      </c>
      <c r="J7068" t="str">
        <f t="shared" si="442"/>
        <v>Jun</v>
      </c>
      <c r="K7068" t="str">
        <f t="shared" si="443"/>
        <v>Mon</v>
      </c>
    </row>
    <row r="7069" spans="1:11" x14ac:dyDescent="0.35">
      <c r="A7069" s="1">
        <v>45825</v>
      </c>
      <c r="B7069">
        <v>215.19999694824199</v>
      </c>
      <c r="C7069">
        <v>217.41000366210901</v>
      </c>
      <c r="D7069">
        <v>214.55999755859301</v>
      </c>
      <c r="E7069">
        <v>214.82000732421801</v>
      </c>
      <c r="F7069">
        <v>214.82000732421801</v>
      </c>
      <c r="G7069">
        <v>32086300</v>
      </c>
      <c r="H7069">
        <f t="shared" si="440"/>
        <v>2025</v>
      </c>
      <c r="I7069">
        <f t="shared" si="441"/>
        <v>6</v>
      </c>
      <c r="J7069" t="str">
        <f t="shared" si="442"/>
        <v>Jun</v>
      </c>
      <c r="K7069" t="str">
        <f t="shared" si="443"/>
        <v>Tue</v>
      </c>
    </row>
    <row r="7070" spans="1:11" x14ac:dyDescent="0.35">
      <c r="A7070" s="1">
        <v>45826</v>
      </c>
      <c r="B7070">
        <v>215.08999633789</v>
      </c>
      <c r="C7070">
        <v>217.96000671386699</v>
      </c>
      <c r="D7070">
        <v>212.33999633789</v>
      </c>
      <c r="E7070">
        <v>212.52000427246</v>
      </c>
      <c r="F7070">
        <v>212.52000427246</v>
      </c>
      <c r="G7070">
        <v>44360500</v>
      </c>
      <c r="H7070">
        <f t="shared" si="440"/>
        <v>2025</v>
      </c>
      <c r="I7070">
        <f t="shared" si="441"/>
        <v>6</v>
      </c>
      <c r="J7070" t="str">
        <f t="shared" si="442"/>
        <v>Jun</v>
      </c>
      <c r="K7070" t="str">
        <f t="shared" si="443"/>
        <v>Wed</v>
      </c>
    </row>
    <row r="7071" spans="1:11" x14ac:dyDescent="0.35">
      <c r="A7071" s="1">
        <v>45828</v>
      </c>
      <c r="B7071">
        <v>214.67999267578099</v>
      </c>
      <c r="C7071">
        <v>214.88999938964801</v>
      </c>
      <c r="D7071">
        <v>208.27000427246</v>
      </c>
      <c r="E7071">
        <v>209.69000244140599</v>
      </c>
      <c r="F7071">
        <v>209.69000244140599</v>
      </c>
      <c r="G7071">
        <v>75350700</v>
      </c>
      <c r="H7071">
        <f t="shared" si="440"/>
        <v>2025</v>
      </c>
      <c r="I7071">
        <f t="shared" si="441"/>
        <v>6</v>
      </c>
      <c r="J7071" t="str">
        <f t="shared" si="442"/>
        <v>Jun</v>
      </c>
      <c r="K7071" t="str">
        <f t="shared" si="443"/>
        <v>Fri</v>
      </c>
    </row>
    <row r="7072" spans="1:11" x14ac:dyDescent="0.35">
      <c r="A7072" s="1">
        <v>45831</v>
      </c>
      <c r="B7072">
        <v>209.78999328613199</v>
      </c>
      <c r="C7072">
        <v>210.38999938964801</v>
      </c>
      <c r="D7072">
        <v>207.30999755859301</v>
      </c>
      <c r="E7072">
        <v>208.47000122070301</v>
      </c>
      <c r="F7072">
        <v>208.47000122070301</v>
      </c>
      <c r="G7072">
        <v>37311700</v>
      </c>
      <c r="H7072">
        <f t="shared" si="440"/>
        <v>2025</v>
      </c>
      <c r="I7072">
        <f t="shared" si="441"/>
        <v>6</v>
      </c>
      <c r="J7072" t="str">
        <f t="shared" si="442"/>
        <v>Jun</v>
      </c>
      <c r="K7072" t="str">
        <f t="shared" si="443"/>
        <v>Mon</v>
      </c>
    </row>
    <row r="7073" spans="1:11" x14ac:dyDescent="0.35">
      <c r="A7073" s="1">
        <v>45832</v>
      </c>
      <c r="B7073">
        <v>212.13999938964801</v>
      </c>
      <c r="C7073">
        <v>214.33999633789</v>
      </c>
      <c r="D7073">
        <v>211.05000305175699</v>
      </c>
      <c r="E7073">
        <v>212.77000427246</v>
      </c>
      <c r="F7073">
        <v>212.77000427246</v>
      </c>
      <c r="G7073">
        <v>38378800</v>
      </c>
      <c r="H7073">
        <f t="shared" si="440"/>
        <v>2025</v>
      </c>
      <c r="I7073">
        <f t="shared" si="441"/>
        <v>6</v>
      </c>
      <c r="J7073" t="str">
        <f t="shared" si="442"/>
        <v>Jun</v>
      </c>
      <c r="K7073" t="str">
        <f t="shared" si="443"/>
        <v>Tue</v>
      </c>
    </row>
    <row r="7074" spans="1:11" x14ac:dyDescent="0.35">
      <c r="A7074" s="1">
        <v>45833</v>
      </c>
      <c r="B7074">
        <v>214.61999511718699</v>
      </c>
      <c r="C7074">
        <v>216.02999877929599</v>
      </c>
      <c r="D7074">
        <v>211.11000061035099</v>
      </c>
      <c r="E7074">
        <v>211.99000549316401</v>
      </c>
      <c r="F7074">
        <v>211.99000549316401</v>
      </c>
      <c r="G7074">
        <v>31755700</v>
      </c>
      <c r="H7074">
        <f t="shared" si="440"/>
        <v>2025</v>
      </c>
      <c r="I7074">
        <f t="shared" si="441"/>
        <v>6</v>
      </c>
      <c r="J7074" t="str">
        <f t="shared" si="442"/>
        <v>Jun</v>
      </c>
      <c r="K7074" t="str">
        <f t="shared" si="443"/>
        <v>Wed</v>
      </c>
    </row>
    <row r="7075" spans="1:11" x14ac:dyDescent="0.35">
      <c r="A7075" s="1">
        <v>45834</v>
      </c>
      <c r="B7075">
        <v>213.11999511718699</v>
      </c>
      <c r="C7075">
        <v>218.03999328613199</v>
      </c>
      <c r="D7075">
        <v>212.009994506835</v>
      </c>
      <c r="E7075">
        <v>217.11999511718699</v>
      </c>
      <c r="F7075">
        <v>217.11999511718699</v>
      </c>
      <c r="G7075">
        <v>50480800</v>
      </c>
      <c r="H7075">
        <f t="shared" si="440"/>
        <v>2025</v>
      </c>
      <c r="I7075">
        <f t="shared" si="441"/>
        <v>6</v>
      </c>
      <c r="J7075" t="str">
        <f t="shared" si="442"/>
        <v>Jun</v>
      </c>
      <c r="K7075" t="str">
        <f t="shared" si="443"/>
        <v>Thu</v>
      </c>
    </row>
    <row r="7076" spans="1:11" x14ac:dyDescent="0.35">
      <c r="A7076" s="1">
        <v>45835</v>
      </c>
      <c r="B7076">
        <v>219.919998168945</v>
      </c>
      <c r="C7076">
        <v>223.30000305175699</v>
      </c>
      <c r="D7076">
        <v>216.74000549316401</v>
      </c>
      <c r="E7076">
        <v>223.30000305175699</v>
      </c>
      <c r="F7076">
        <v>223.30000305175699</v>
      </c>
      <c r="G7076">
        <v>119217100</v>
      </c>
      <c r="H7076">
        <f t="shared" si="440"/>
        <v>2025</v>
      </c>
      <c r="I7076">
        <f t="shared" si="441"/>
        <v>6</v>
      </c>
      <c r="J7076" t="str">
        <f t="shared" si="442"/>
        <v>Jun</v>
      </c>
      <c r="K7076" t="str">
        <f t="shared" si="443"/>
        <v>Fri</v>
      </c>
    </row>
    <row r="7077" spans="1:11" x14ac:dyDescent="0.35">
      <c r="A7077" s="1">
        <v>45838</v>
      </c>
      <c r="B7077">
        <v>223.52000427246</v>
      </c>
      <c r="C7077">
        <v>223.82000732421801</v>
      </c>
      <c r="D7077">
        <v>219.11999511718699</v>
      </c>
      <c r="E7077">
        <v>219.38999938964801</v>
      </c>
      <c r="F7077">
        <v>219.38999938964801</v>
      </c>
      <c r="G7077">
        <v>58887800</v>
      </c>
      <c r="H7077">
        <f t="shared" si="440"/>
        <v>2025</v>
      </c>
      <c r="I7077">
        <f t="shared" si="441"/>
        <v>6</v>
      </c>
      <c r="J7077" t="str">
        <f t="shared" si="442"/>
        <v>Jun</v>
      </c>
      <c r="K7077" t="str">
        <f t="shared" si="443"/>
        <v>Mon</v>
      </c>
    </row>
    <row r="7078" spans="1:11" x14ac:dyDescent="0.35">
      <c r="A7078" s="1">
        <v>45839</v>
      </c>
      <c r="B7078">
        <v>219.5</v>
      </c>
      <c r="C7078">
        <v>221.88000488281199</v>
      </c>
      <c r="D7078">
        <v>217.92999267578099</v>
      </c>
      <c r="E7078">
        <v>220.46000671386699</v>
      </c>
      <c r="F7078">
        <v>220.46000671386699</v>
      </c>
      <c r="G7078">
        <v>39256800</v>
      </c>
      <c r="H7078">
        <f t="shared" si="440"/>
        <v>2025</v>
      </c>
      <c r="I7078">
        <f t="shared" si="441"/>
        <v>7</v>
      </c>
      <c r="J7078" t="str">
        <f t="shared" si="442"/>
        <v>Jul</v>
      </c>
      <c r="K7078" t="str">
        <f t="shared" si="443"/>
        <v>Tue</v>
      </c>
    </row>
    <row r="7079" spans="1:11" x14ac:dyDescent="0.35">
      <c r="A7079" s="1">
        <v>45840</v>
      </c>
      <c r="B7079">
        <v>219.72999572753901</v>
      </c>
      <c r="C7079">
        <v>221.600006103515</v>
      </c>
      <c r="D7079">
        <v>219.05999755859301</v>
      </c>
      <c r="E7079">
        <v>219.919998168945</v>
      </c>
      <c r="F7079">
        <v>219.919998168945</v>
      </c>
      <c r="G7079">
        <v>30894200</v>
      </c>
      <c r="H7079">
        <f t="shared" si="440"/>
        <v>2025</v>
      </c>
      <c r="I7079">
        <f t="shared" si="441"/>
        <v>7</v>
      </c>
      <c r="J7079" t="str">
        <f t="shared" si="442"/>
        <v>Jul</v>
      </c>
      <c r="K7079" t="str">
        <f t="shared" si="443"/>
        <v>Wed</v>
      </c>
    </row>
    <row r="7080" spans="1:11" x14ac:dyDescent="0.35">
      <c r="A7080" s="1">
        <v>45841</v>
      </c>
      <c r="B7080">
        <v>221.82000732421801</v>
      </c>
      <c r="C7080">
        <v>224.009994506835</v>
      </c>
      <c r="D7080">
        <v>221.36000061035099</v>
      </c>
      <c r="E7080">
        <v>223.41000366210901</v>
      </c>
      <c r="F7080">
        <v>223.41000366210901</v>
      </c>
      <c r="G7080">
        <v>29632400</v>
      </c>
      <c r="H7080">
        <f t="shared" si="440"/>
        <v>2025</v>
      </c>
      <c r="I7080">
        <f t="shared" si="441"/>
        <v>7</v>
      </c>
      <c r="J7080" t="str">
        <f t="shared" si="442"/>
        <v>Jul</v>
      </c>
      <c r="K7080" t="str">
        <f t="shared" si="443"/>
        <v>Thu</v>
      </c>
    </row>
    <row r="7081" spans="1:11" x14ac:dyDescent="0.35">
      <c r="A7081" s="1">
        <v>45845</v>
      </c>
      <c r="B7081">
        <v>223</v>
      </c>
      <c r="C7081">
        <v>224.28999328613199</v>
      </c>
      <c r="D7081">
        <v>222.36999511718699</v>
      </c>
      <c r="E7081">
        <v>223.47000122070301</v>
      </c>
      <c r="F7081">
        <v>223.47000122070301</v>
      </c>
      <c r="G7081">
        <v>36604100</v>
      </c>
      <c r="H7081">
        <f t="shared" si="440"/>
        <v>2025</v>
      </c>
      <c r="I7081">
        <f t="shared" si="441"/>
        <v>7</v>
      </c>
      <c r="J7081" t="str">
        <f t="shared" si="442"/>
        <v>Jul</v>
      </c>
      <c r="K7081" t="str">
        <f t="shared" si="443"/>
        <v>Mon</v>
      </c>
    </row>
    <row r="7082" spans="1:11" x14ac:dyDescent="0.35">
      <c r="A7082" s="1">
        <v>45846</v>
      </c>
      <c r="B7082">
        <v>223.919998168945</v>
      </c>
      <c r="C7082">
        <v>224</v>
      </c>
      <c r="D7082">
        <v>218.42999267578099</v>
      </c>
      <c r="E7082">
        <v>219.36000061035099</v>
      </c>
      <c r="F7082">
        <v>219.36000061035099</v>
      </c>
      <c r="G7082">
        <v>45692000</v>
      </c>
      <c r="H7082">
        <f t="shared" si="440"/>
        <v>2025</v>
      </c>
      <c r="I7082">
        <f t="shared" si="441"/>
        <v>7</v>
      </c>
      <c r="J7082" t="str">
        <f t="shared" si="442"/>
        <v>Jul</v>
      </c>
      <c r="K7082" t="str">
        <f t="shared" si="443"/>
        <v>Tue</v>
      </c>
    </row>
    <row r="7083" spans="1:11" x14ac:dyDescent="0.35">
      <c r="A7083" s="1">
        <v>45847</v>
      </c>
      <c r="B7083">
        <v>221.07000732421801</v>
      </c>
      <c r="C7083">
        <v>224.28999328613199</v>
      </c>
      <c r="D7083">
        <v>220.47000122070301</v>
      </c>
      <c r="E7083">
        <v>222.53999328613199</v>
      </c>
      <c r="F7083">
        <v>222.53999328613199</v>
      </c>
      <c r="G7083">
        <v>38155100</v>
      </c>
      <c r="H7083">
        <f t="shared" si="440"/>
        <v>2025</v>
      </c>
      <c r="I7083">
        <f t="shared" si="441"/>
        <v>7</v>
      </c>
      <c r="J7083" t="str">
        <f t="shared" si="442"/>
        <v>Jul</v>
      </c>
      <c r="K7083" t="str">
        <f t="shared" si="443"/>
        <v>Wed</v>
      </c>
    </row>
    <row r="7084" spans="1:11" x14ac:dyDescent="0.35">
      <c r="A7084" s="1">
        <v>45848</v>
      </c>
      <c r="B7084">
        <v>221.55000305175699</v>
      </c>
      <c r="C7084">
        <v>222.78999328613199</v>
      </c>
      <c r="D7084">
        <v>219.69999694824199</v>
      </c>
      <c r="E7084">
        <v>222.259994506835</v>
      </c>
      <c r="F7084">
        <v>222.259994506835</v>
      </c>
      <c r="G7084">
        <v>30370600</v>
      </c>
      <c r="H7084">
        <f t="shared" si="440"/>
        <v>2025</v>
      </c>
      <c r="I7084">
        <f t="shared" si="441"/>
        <v>7</v>
      </c>
      <c r="J7084" t="str">
        <f t="shared" si="442"/>
        <v>Jul</v>
      </c>
      <c r="K7084" t="str">
        <f t="shared" si="443"/>
        <v>Thu</v>
      </c>
    </row>
    <row r="7085" spans="1:11" x14ac:dyDescent="0.35">
      <c r="A7085" s="1">
        <v>45849</v>
      </c>
      <c r="B7085">
        <v>223.58000183105401</v>
      </c>
      <c r="C7085">
        <v>226.67999267578099</v>
      </c>
      <c r="D7085">
        <v>222.36999511718699</v>
      </c>
      <c r="E7085">
        <v>225.02000427246</v>
      </c>
      <c r="F7085">
        <v>225.02000427246</v>
      </c>
      <c r="G7085">
        <v>50518300</v>
      </c>
      <c r="H7085">
        <f t="shared" si="440"/>
        <v>2025</v>
      </c>
      <c r="I7085">
        <f t="shared" si="441"/>
        <v>7</v>
      </c>
      <c r="J7085" t="str">
        <f t="shared" si="442"/>
        <v>Jul</v>
      </c>
      <c r="K7085" t="str">
        <f t="shared" si="443"/>
        <v>Fri</v>
      </c>
    </row>
    <row r="7086" spans="1:11" x14ac:dyDescent="0.35">
      <c r="A7086" s="1">
        <v>45852</v>
      </c>
      <c r="B7086">
        <v>225.07000732421801</v>
      </c>
      <c r="C7086">
        <v>226.66000366210901</v>
      </c>
      <c r="D7086">
        <v>224.24000549316401</v>
      </c>
      <c r="E7086">
        <v>225.69000244140599</v>
      </c>
      <c r="F7086">
        <v>225.69000244140599</v>
      </c>
      <c r="G7086">
        <v>35702600</v>
      </c>
      <c r="H7086">
        <f t="shared" si="440"/>
        <v>2025</v>
      </c>
      <c r="I7086">
        <f t="shared" si="441"/>
        <v>7</v>
      </c>
      <c r="J7086" t="str">
        <f t="shared" si="442"/>
        <v>Jul</v>
      </c>
      <c r="K7086" t="str">
        <f t="shared" si="443"/>
        <v>Mon</v>
      </c>
    </row>
    <row r="7087" spans="1:11" x14ac:dyDescent="0.35">
      <c r="A7087" s="1">
        <v>45853</v>
      </c>
      <c r="B7087">
        <v>226.19999694824199</v>
      </c>
      <c r="C7087">
        <v>227.27000427246</v>
      </c>
      <c r="D7087">
        <v>225.46000671386699</v>
      </c>
      <c r="E7087">
        <v>226.350006103515</v>
      </c>
      <c r="F7087">
        <v>226.350006103515</v>
      </c>
      <c r="G7087">
        <v>34907300</v>
      </c>
      <c r="H7087">
        <f t="shared" si="440"/>
        <v>2025</v>
      </c>
      <c r="I7087">
        <f t="shared" si="441"/>
        <v>7</v>
      </c>
      <c r="J7087" t="str">
        <f t="shared" si="442"/>
        <v>Jul</v>
      </c>
      <c r="K7087" t="str">
        <f t="shared" si="443"/>
        <v>Tue</v>
      </c>
    </row>
    <row r="7088" spans="1:11" x14ac:dyDescent="0.35">
      <c r="A7088" s="1">
        <v>45854</v>
      </c>
      <c r="B7088">
        <v>225.88000488281199</v>
      </c>
      <c r="C7088">
        <v>226.100006103515</v>
      </c>
      <c r="D7088">
        <v>222.17999267578099</v>
      </c>
      <c r="E7088">
        <v>223.19000244140599</v>
      </c>
      <c r="F7088">
        <v>223.19000244140599</v>
      </c>
      <c r="G7088">
        <v>39535900</v>
      </c>
      <c r="H7088">
        <f t="shared" si="440"/>
        <v>2025</v>
      </c>
      <c r="I7088">
        <f t="shared" si="441"/>
        <v>7</v>
      </c>
      <c r="J7088" t="str">
        <f t="shared" si="442"/>
        <v>Jul</v>
      </c>
      <c r="K7088" t="str">
        <f t="shared" si="443"/>
        <v>Wed</v>
      </c>
    </row>
    <row r="7089" spans="1:11" x14ac:dyDescent="0.35">
      <c r="A7089" s="1">
        <v>45855</v>
      </c>
      <c r="B7089">
        <v>223.32000732421801</v>
      </c>
      <c r="C7089">
        <v>224.5</v>
      </c>
      <c r="D7089">
        <v>222.509994506835</v>
      </c>
      <c r="E7089">
        <v>223.88000488281199</v>
      </c>
      <c r="F7089">
        <v>223.88000488281199</v>
      </c>
      <c r="G7089">
        <v>31855800</v>
      </c>
      <c r="H7089">
        <f t="shared" si="440"/>
        <v>2025</v>
      </c>
      <c r="I7089">
        <f t="shared" si="441"/>
        <v>7</v>
      </c>
      <c r="J7089" t="str">
        <f t="shared" si="442"/>
        <v>Jul</v>
      </c>
      <c r="K7089" t="str">
        <f t="shared" si="443"/>
        <v>Thu</v>
      </c>
    </row>
    <row r="7090" spans="1:11" x14ac:dyDescent="0.35">
      <c r="A7090" s="1">
        <v>45856</v>
      </c>
      <c r="B7090">
        <v>225.13999938964801</v>
      </c>
      <c r="C7090">
        <v>226.39999389648401</v>
      </c>
      <c r="D7090">
        <v>222.97999572753901</v>
      </c>
      <c r="E7090">
        <v>226.13000488281199</v>
      </c>
      <c r="F7090">
        <v>226.13000488281199</v>
      </c>
      <c r="G7090">
        <v>37833800</v>
      </c>
      <c r="H7090">
        <f t="shared" si="440"/>
        <v>2025</v>
      </c>
      <c r="I7090">
        <f t="shared" si="441"/>
        <v>7</v>
      </c>
      <c r="J7090" t="str">
        <f t="shared" si="442"/>
        <v>Jul</v>
      </c>
      <c r="K7090" t="str">
        <f t="shared" si="443"/>
        <v>Fri</v>
      </c>
    </row>
    <row r="7091" spans="1:11" x14ac:dyDescent="0.35">
      <c r="A7091" s="1">
        <v>45859</v>
      </c>
      <c r="B7091">
        <v>225.83999633789</v>
      </c>
      <c r="C7091">
        <v>229.69000244140599</v>
      </c>
      <c r="D7091">
        <v>225.64999389648401</v>
      </c>
      <c r="E7091">
        <v>229.30000305175699</v>
      </c>
      <c r="F7091">
        <v>229.30000305175699</v>
      </c>
      <c r="G7091">
        <v>40297600</v>
      </c>
      <c r="H7091">
        <f t="shared" si="440"/>
        <v>2025</v>
      </c>
      <c r="I7091">
        <f t="shared" si="441"/>
        <v>7</v>
      </c>
      <c r="J7091" t="str">
        <f t="shared" si="442"/>
        <v>Jul</v>
      </c>
      <c r="K7091" t="str">
        <f t="shared" si="443"/>
        <v>Mon</v>
      </c>
    </row>
    <row r="7092" spans="1:11" x14ac:dyDescent="0.35">
      <c r="A7092" s="1">
        <v>45860</v>
      </c>
      <c r="B7092">
        <v>229.67999267578099</v>
      </c>
      <c r="C7092">
        <v>230</v>
      </c>
      <c r="D7092">
        <v>226.350006103515</v>
      </c>
      <c r="E7092">
        <v>227.47000122070301</v>
      </c>
      <c r="F7092">
        <v>227.47000122070301</v>
      </c>
      <c r="G7092">
        <v>37483700</v>
      </c>
      <c r="H7092">
        <f t="shared" si="440"/>
        <v>2025</v>
      </c>
      <c r="I7092">
        <f t="shared" si="441"/>
        <v>7</v>
      </c>
      <c r="J7092" t="str">
        <f t="shared" si="442"/>
        <v>Jul</v>
      </c>
      <c r="K7092" t="str">
        <f t="shared" si="443"/>
        <v>Tue</v>
      </c>
    </row>
    <row r="7093" spans="1:11" x14ac:dyDescent="0.35">
      <c r="A7093" s="1">
        <v>45861</v>
      </c>
      <c r="B7093">
        <v>228.47000122070301</v>
      </c>
      <c r="C7093">
        <v>228.78999328613199</v>
      </c>
      <c r="D7093">
        <v>227.08999633789</v>
      </c>
      <c r="E7093">
        <v>228.28999328613199</v>
      </c>
      <c r="F7093">
        <v>228.28999328613199</v>
      </c>
      <c r="G7093">
        <v>28294900</v>
      </c>
      <c r="H7093">
        <f t="shared" si="440"/>
        <v>2025</v>
      </c>
      <c r="I7093">
        <f t="shared" si="441"/>
        <v>7</v>
      </c>
      <c r="J7093" t="str">
        <f t="shared" si="442"/>
        <v>Jul</v>
      </c>
      <c r="K7093" t="str">
        <f t="shared" si="443"/>
        <v>Wed</v>
      </c>
    </row>
    <row r="7094" spans="1:11" x14ac:dyDescent="0.35">
      <c r="A7094" s="1">
        <v>45862</v>
      </c>
      <c r="B7094">
        <v>229.169998168945</v>
      </c>
      <c r="C7094">
        <v>236</v>
      </c>
      <c r="D7094">
        <v>228.63999938964801</v>
      </c>
      <c r="E7094">
        <v>232.22999572753901</v>
      </c>
      <c r="F7094">
        <v>232.22999572753901</v>
      </c>
      <c r="G7094">
        <v>42902300</v>
      </c>
      <c r="H7094">
        <f t="shared" si="440"/>
        <v>2025</v>
      </c>
      <c r="I7094">
        <f t="shared" si="441"/>
        <v>7</v>
      </c>
      <c r="J7094" t="str">
        <f t="shared" si="442"/>
        <v>Jul</v>
      </c>
      <c r="K7094" t="str">
        <f t="shared" si="443"/>
        <v>Thu</v>
      </c>
    </row>
    <row r="7095" spans="1:11" x14ac:dyDescent="0.35">
      <c r="A7095" s="1">
        <v>45863</v>
      </c>
      <c r="B7095">
        <v>232.22000122070301</v>
      </c>
      <c r="C7095">
        <v>232.47999572753901</v>
      </c>
      <c r="D7095">
        <v>231.17999267578099</v>
      </c>
      <c r="E7095">
        <v>231.44000244140599</v>
      </c>
      <c r="F7095">
        <v>231.44000244140599</v>
      </c>
      <c r="G7095">
        <v>28712100</v>
      </c>
      <c r="H7095">
        <f t="shared" si="440"/>
        <v>2025</v>
      </c>
      <c r="I7095">
        <f t="shared" si="441"/>
        <v>7</v>
      </c>
      <c r="J7095" t="str">
        <f t="shared" si="442"/>
        <v>Jul</v>
      </c>
      <c r="K7095" t="str">
        <f t="shared" si="443"/>
        <v>Fri</v>
      </c>
    </row>
    <row r="7096" spans="1:11" x14ac:dyDescent="0.35">
      <c r="A7096" s="1">
        <v>45866</v>
      </c>
      <c r="B7096">
        <v>233.350006103515</v>
      </c>
      <c r="C7096">
        <v>234.28999328613199</v>
      </c>
      <c r="D7096">
        <v>232.25</v>
      </c>
      <c r="E7096">
        <v>232.78999328613199</v>
      </c>
      <c r="F7096">
        <v>232.78999328613199</v>
      </c>
      <c r="G7096">
        <v>26300100</v>
      </c>
      <c r="H7096">
        <f t="shared" si="440"/>
        <v>2025</v>
      </c>
      <c r="I7096">
        <f t="shared" si="441"/>
        <v>7</v>
      </c>
      <c r="J7096" t="str">
        <f t="shared" si="442"/>
        <v>Jul</v>
      </c>
      <c r="K7096" t="str">
        <f t="shared" si="443"/>
        <v>Mon</v>
      </c>
    </row>
    <row r="7097" spans="1:11" x14ac:dyDescent="0.35">
      <c r="A7097" s="1">
        <v>45867</v>
      </c>
      <c r="B7097">
        <v>234.14999389648401</v>
      </c>
      <c r="C7097">
        <v>234.72000122070301</v>
      </c>
      <c r="D7097">
        <v>230.30999755859301</v>
      </c>
      <c r="E7097">
        <v>231.009994506835</v>
      </c>
      <c r="F7097">
        <v>231.009994506835</v>
      </c>
      <c r="G7097">
        <v>33716200</v>
      </c>
      <c r="H7097">
        <f t="shared" si="440"/>
        <v>2025</v>
      </c>
      <c r="I7097">
        <f t="shared" si="441"/>
        <v>7</v>
      </c>
      <c r="J7097" t="str">
        <f t="shared" si="442"/>
        <v>Jul</v>
      </c>
      <c r="K7097" t="str">
        <f t="shared" si="443"/>
        <v>Tue</v>
      </c>
    </row>
    <row r="7098" spans="1:11" x14ac:dyDescent="0.35">
      <c r="A7098" s="1">
        <v>45868</v>
      </c>
      <c r="B7098">
        <v>231.63999938964801</v>
      </c>
      <c r="C7098">
        <v>231.80000305175699</v>
      </c>
      <c r="D7098">
        <v>229.28999328613199</v>
      </c>
      <c r="E7098">
        <v>230.19000244140599</v>
      </c>
      <c r="F7098">
        <v>230.19000244140599</v>
      </c>
      <c r="G7098">
        <v>32993300</v>
      </c>
      <c r="H7098">
        <f t="shared" si="440"/>
        <v>2025</v>
      </c>
      <c r="I7098">
        <f t="shared" si="441"/>
        <v>7</v>
      </c>
      <c r="J7098" t="str">
        <f t="shared" si="442"/>
        <v>Jul</v>
      </c>
      <c r="K7098" t="str">
        <f t="shared" si="443"/>
        <v>Wed</v>
      </c>
    </row>
    <row r="7099" spans="1:11" x14ac:dyDescent="0.35">
      <c r="A7099" s="1">
        <v>45869</v>
      </c>
      <c r="B7099">
        <v>235.77000427246</v>
      </c>
      <c r="C7099">
        <v>236.52999877929599</v>
      </c>
      <c r="D7099">
        <v>231.39999389648401</v>
      </c>
      <c r="E7099">
        <v>234.11000061035099</v>
      </c>
      <c r="F7099">
        <v>234.11000061035099</v>
      </c>
      <c r="G7099">
        <v>104357300</v>
      </c>
      <c r="H7099">
        <f t="shared" si="440"/>
        <v>2025</v>
      </c>
      <c r="I7099">
        <f t="shared" si="441"/>
        <v>7</v>
      </c>
      <c r="J7099" t="str">
        <f t="shared" si="442"/>
        <v>Jul</v>
      </c>
      <c r="K7099" t="str">
        <f t="shared" si="443"/>
        <v>Thu</v>
      </c>
    </row>
    <row r="7100" spans="1:11" x14ac:dyDescent="0.35">
      <c r="A7100" s="1">
        <v>45870</v>
      </c>
      <c r="B7100">
        <v>217.21000671386699</v>
      </c>
      <c r="C7100">
        <v>220.44000244140599</v>
      </c>
      <c r="D7100">
        <v>212.80000305175699</v>
      </c>
      <c r="E7100">
        <v>214.75</v>
      </c>
      <c r="F7100">
        <v>214.75</v>
      </c>
      <c r="G7100">
        <v>122258800</v>
      </c>
      <c r="H7100">
        <f t="shared" si="440"/>
        <v>2025</v>
      </c>
      <c r="I7100">
        <f t="shared" si="441"/>
        <v>8</v>
      </c>
      <c r="J7100" t="str">
        <f t="shared" si="442"/>
        <v>Aug</v>
      </c>
      <c r="K7100" t="str">
        <f t="shared" si="443"/>
        <v>Fri</v>
      </c>
    </row>
    <row r="7101" spans="1:11" x14ac:dyDescent="0.35">
      <c r="A7101" s="1">
        <v>45873</v>
      </c>
      <c r="B7101">
        <v>217.39999389648401</v>
      </c>
      <c r="C7101">
        <v>217.44000244140599</v>
      </c>
      <c r="D7101">
        <v>211.419998168945</v>
      </c>
      <c r="E7101">
        <v>211.64999389648401</v>
      </c>
      <c r="F7101">
        <v>211.64999389648401</v>
      </c>
      <c r="G7101">
        <v>77890100</v>
      </c>
      <c r="H7101">
        <f t="shared" si="440"/>
        <v>2025</v>
      </c>
      <c r="I7101">
        <f t="shared" si="441"/>
        <v>8</v>
      </c>
      <c r="J7101" t="str">
        <f t="shared" si="442"/>
        <v>Aug</v>
      </c>
      <c r="K7101" t="str">
        <f t="shared" si="443"/>
        <v>Mon</v>
      </c>
    </row>
    <row r="7102" spans="1:11" x14ac:dyDescent="0.35">
      <c r="A7102" s="1">
        <v>45874</v>
      </c>
      <c r="B7102">
        <v>213.05000305175699</v>
      </c>
      <c r="C7102">
        <v>216.30000305175699</v>
      </c>
      <c r="D7102">
        <v>212.86999511718699</v>
      </c>
      <c r="E7102">
        <v>213.75</v>
      </c>
      <c r="F7102">
        <v>213.75</v>
      </c>
      <c r="G7102">
        <v>51505100</v>
      </c>
      <c r="H7102">
        <f t="shared" si="440"/>
        <v>2025</v>
      </c>
      <c r="I7102">
        <f t="shared" si="441"/>
        <v>8</v>
      </c>
      <c r="J7102" t="str">
        <f t="shared" si="442"/>
        <v>Aug</v>
      </c>
      <c r="K7102" t="str">
        <f t="shared" si="443"/>
        <v>Tue</v>
      </c>
    </row>
    <row r="7103" spans="1:11" x14ac:dyDescent="0.35">
      <c r="A7103" s="1">
        <v>45875</v>
      </c>
      <c r="B7103">
        <v>214.69999694824199</v>
      </c>
      <c r="C7103">
        <v>222.64999389648401</v>
      </c>
      <c r="D7103">
        <v>213.74000549316401</v>
      </c>
      <c r="E7103">
        <v>222.30999755859301</v>
      </c>
      <c r="F7103">
        <v>222.30999755859301</v>
      </c>
      <c r="G7103">
        <v>54823000</v>
      </c>
      <c r="H7103">
        <f t="shared" si="440"/>
        <v>2025</v>
      </c>
      <c r="I7103">
        <f t="shared" si="441"/>
        <v>8</v>
      </c>
      <c r="J7103" t="str">
        <f t="shared" si="442"/>
        <v>Aug</v>
      </c>
      <c r="K7103" t="str">
        <f t="shared" si="443"/>
        <v>Wed</v>
      </c>
    </row>
    <row r="7104" spans="1:11" x14ac:dyDescent="0.35">
      <c r="A7104" s="1">
        <v>45876</v>
      </c>
      <c r="B7104">
        <v>221</v>
      </c>
      <c r="C7104">
        <v>226.22000122070301</v>
      </c>
      <c r="D7104">
        <v>220.82000732421801</v>
      </c>
      <c r="E7104">
        <v>223.13000488281199</v>
      </c>
      <c r="F7104">
        <v>223.13000488281199</v>
      </c>
      <c r="G7104">
        <v>40603500</v>
      </c>
      <c r="H7104">
        <f t="shared" si="440"/>
        <v>2025</v>
      </c>
      <c r="I7104">
        <f t="shared" si="441"/>
        <v>8</v>
      </c>
      <c r="J7104" t="str">
        <f t="shared" si="442"/>
        <v>Aug</v>
      </c>
      <c r="K7104" t="str">
        <f t="shared" si="443"/>
        <v>Thu</v>
      </c>
    </row>
    <row r="7105" spans="1:11" x14ac:dyDescent="0.35">
      <c r="A7105" s="1">
        <v>45877</v>
      </c>
      <c r="B7105">
        <v>223.13999938964801</v>
      </c>
      <c r="C7105">
        <v>223.80000305175699</v>
      </c>
      <c r="D7105">
        <v>221.88000488281199</v>
      </c>
      <c r="E7105">
        <v>222.69000244140599</v>
      </c>
      <c r="F7105">
        <v>222.69000244140599</v>
      </c>
      <c r="G7105">
        <v>32970500</v>
      </c>
      <c r="H7105">
        <f t="shared" si="440"/>
        <v>2025</v>
      </c>
      <c r="I7105">
        <f t="shared" si="441"/>
        <v>8</v>
      </c>
      <c r="J7105" t="str">
        <f t="shared" si="442"/>
        <v>Aug</v>
      </c>
      <c r="K7105" t="str">
        <f t="shared" si="443"/>
        <v>Fri</v>
      </c>
    </row>
    <row r="7106" spans="1:11" x14ac:dyDescent="0.35">
      <c r="A7106" s="1">
        <v>45880</v>
      </c>
      <c r="B7106">
        <v>221.77999877929599</v>
      </c>
      <c r="C7106">
        <v>223.05000305175699</v>
      </c>
      <c r="D7106">
        <v>220.39999389648401</v>
      </c>
      <c r="E7106">
        <v>221.30000305175699</v>
      </c>
      <c r="F7106">
        <v>221.30000305175699</v>
      </c>
      <c r="G7106">
        <v>31646200</v>
      </c>
      <c r="H7106">
        <f t="shared" si="440"/>
        <v>2025</v>
      </c>
      <c r="I7106">
        <f t="shared" si="441"/>
        <v>8</v>
      </c>
      <c r="J7106" t="str">
        <f t="shared" si="442"/>
        <v>Aug</v>
      </c>
      <c r="K7106" t="str">
        <f t="shared" si="443"/>
        <v>Mon</v>
      </c>
    </row>
    <row r="7107" spans="1:11" x14ac:dyDescent="0.35">
      <c r="A7107" s="1">
        <v>45881</v>
      </c>
      <c r="B7107">
        <v>222.22999572753901</v>
      </c>
      <c r="C7107">
        <v>223.5</v>
      </c>
      <c r="D7107">
        <v>219.05000305175699</v>
      </c>
      <c r="E7107">
        <v>221.47000122070301</v>
      </c>
      <c r="F7107">
        <v>221.47000122070301</v>
      </c>
      <c r="G7107">
        <v>37185800</v>
      </c>
      <c r="H7107">
        <f t="shared" si="440"/>
        <v>2025</v>
      </c>
      <c r="I7107">
        <f t="shared" si="441"/>
        <v>8</v>
      </c>
      <c r="J7107" t="str">
        <f t="shared" si="442"/>
        <v>Aug</v>
      </c>
      <c r="K7107" t="str">
        <f t="shared" si="443"/>
        <v>Tue</v>
      </c>
    </row>
    <row r="7108" spans="1:11" x14ac:dyDescent="0.35">
      <c r="A7108" s="1">
        <v>45882</v>
      </c>
      <c r="B7108">
        <v>222</v>
      </c>
      <c r="C7108">
        <v>224.919998168945</v>
      </c>
      <c r="D7108">
        <v>222</v>
      </c>
      <c r="E7108">
        <v>224.55999755859301</v>
      </c>
      <c r="F7108">
        <v>224.55999755859301</v>
      </c>
      <c r="G7108">
        <v>36508300</v>
      </c>
      <c r="H7108">
        <f t="shared" ref="H7108:H7129" si="444">YEAR($A7108)</f>
        <v>2025</v>
      </c>
      <c r="I7108">
        <f t="shared" ref="I7108:I7129" si="445">MONTH($A7108)</f>
        <v>8</v>
      </c>
      <c r="J7108" t="str">
        <f t="shared" ref="J7108:J7129" si="446">TEXT($A7108,"mmm")</f>
        <v>Aug</v>
      </c>
      <c r="K7108" t="str">
        <f t="shared" ref="K7108:K7129" si="447">TEXT($A7108,"ddd")</f>
        <v>Wed</v>
      </c>
    </row>
    <row r="7109" spans="1:11" x14ac:dyDescent="0.35">
      <c r="A7109" s="1">
        <v>45883</v>
      </c>
      <c r="B7109">
        <v>227.39999389648401</v>
      </c>
      <c r="C7109">
        <v>233.11000061035099</v>
      </c>
      <c r="D7109">
        <v>227.02000427246</v>
      </c>
      <c r="E7109">
        <v>230.97999572753901</v>
      </c>
      <c r="F7109">
        <v>230.97999572753901</v>
      </c>
      <c r="G7109">
        <v>61545800</v>
      </c>
      <c r="H7109">
        <f t="shared" si="444"/>
        <v>2025</v>
      </c>
      <c r="I7109">
        <f t="shared" si="445"/>
        <v>8</v>
      </c>
      <c r="J7109" t="str">
        <f t="shared" si="446"/>
        <v>Aug</v>
      </c>
      <c r="K7109" t="str">
        <f t="shared" si="447"/>
        <v>Thu</v>
      </c>
    </row>
    <row r="7110" spans="1:11" x14ac:dyDescent="0.35">
      <c r="A7110" s="1">
        <v>45884</v>
      </c>
      <c r="B7110">
        <v>232.58000183105401</v>
      </c>
      <c r="C7110">
        <v>234.08000183105401</v>
      </c>
      <c r="D7110">
        <v>229.80999755859301</v>
      </c>
      <c r="E7110">
        <v>231.02999877929599</v>
      </c>
      <c r="F7110">
        <v>231.02999877929599</v>
      </c>
      <c r="G7110">
        <v>39649200</v>
      </c>
      <c r="H7110">
        <f t="shared" si="444"/>
        <v>2025</v>
      </c>
      <c r="I7110">
        <f t="shared" si="445"/>
        <v>8</v>
      </c>
      <c r="J7110" t="str">
        <f t="shared" si="446"/>
        <v>Aug</v>
      </c>
      <c r="K7110" t="str">
        <f t="shared" si="447"/>
        <v>Fri</v>
      </c>
    </row>
    <row r="7111" spans="1:11" x14ac:dyDescent="0.35">
      <c r="A7111" s="1">
        <v>45887</v>
      </c>
      <c r="B7111">
        <v>230.22999572753901</v>
      </c>
      <c r="C7111">
        <v>231.91000366210901</v>
      </c>
      <c r="D7111">
        <v>228.33000183105401</v>
      </c>
      <c r="E7111">
        <v>231.49000549316401</v>
      </c>
      <c r="F7111">
        <v>231.49000549316401</v>
      </c>
      <c r="G7111">
        <v>25248900</v>
      </c>
      <c r="H7111">
        <f t="shared" si="444"/>
        <v>2025</v>
      </c>
      <c r="I7111">
        <f t="shared" si="445"/>
        <v>8</v>
      </c>
      <c r="J7111" t="str">
        <f t="shared" si="446"/>
        <v>Aug</v>
      </c>
      <c r="K7111" t="str">
        <f t="shared" si="447"/>
        <v>Mon</v>
      </c>
    </row>
    <row r="7112" spans="1:11" x14ac:dyDescent="0.35">
      <c r="A7112" s="1">
        <v>45888</v>
      </c>
      <c r="B7112">
        <v>230.08999633789</v>
      </c>
      <c r="C7112">
        <v>230.52999877929599</v>
      </c>
      <c r="D7112">
        <v>227.11999511718699</v>
      </c>
      <c r="E7112">
        <v>228.009994506835</v>
      </c>
      <c r="F7112">
        <v>228.009994506835</v>
      </c>
      <c r="G7112">
        <v>29891000</v>
      </c>
      <c r="H7112">
        <f t="shared" si="444"/>
        <v>2025</v>
      </c>
      <c r="I7112">
        <f t="shared" si="445"/>
        <v>8</v>
      </c>
      <c r="J7112" t="str">
        <f t="shared" si="446"/>
        <v>Aug</v>
      </c>
      <c r="K7112" t="str">
        <f t="shared" si="447"/>
        <v>Tue</v>
      </c>
    </row>
    <row r="7113" spans="1:11" x14ac:dyDescent="0.35">
      <c r="A7113" s="1">
        <v>45889</v>
      </c>
      <c r="B7113">
        <v>227.11999511718699</v>
      </c>
      <c r="C7113">
        <v>227.27000427246</v>
      </c>
      <c r="D7113">
        <v>220.919998168945</v>
      </c>
      <c r="E7113">
        <v>223.80999755859301</v>
      </c>
      <c r="F7113">
        <v>223.80999755859301</v>
      </c>
      <c r="G7113">
        <v>36604300</v>
      </c>
      <c r="H7113">
        <f t="shared" si="444"/>
        <v>2025</v>
      </c>
      <c r="I7113">
        <f t="shared" si="445"/>
        <v>8</v>
      </c>
      <c r="J7113" t="str">
        <f t="shared" si="446"/>
        <v>Aug</v>
      </c>
      <c r="K7113" t="str">
        <f t="shared" si="447"/>
        <v>Wed</v>
      </c>
    </row>
    <row r="7114" spans="1:11" x14ac:dyDescent="0.35">
      <c r="A7114" s="1">
        <v>45890</v>
      </c>
      <c r="B7114">
        <v>222.64999389648401</v>
      </c>
      <c r="C7114">
        <v>222.77999877929599</v>
      </c>
      <c r="D7114">
        <v>220.5</v>
      </c>
      <c r="E7114">
        <v>221.94999694824199</v>
      </c>
      <c r="F7114">
        <v>221.94999694824199</v>
      </c>
      <c r="G7114">
        <v>32140500</v>
      </c>
      <c r="H7114">
        <f t="shared" si="444"/>
        <v>2025</v>
      </c>
      <c r="I7114">
        <f t="shared" si="445"/>
        <v>8</v>
      </c>
      <c r="J7114" t="str">
        <f t="shared" si="446"/>
        <v>Aug</v>
      </c>
      <c r="K7114" t="str">
        <f t="shared" si="447"/>
        <v>Thu</v>
      </c>
    </row>
    <row r="7115" spans="1:11" x14ac:dyDescent="0.35">
      <c r="A7115" s="1">
        <v>45891</v>
      </c>
      <c r="B7115">
        <v>222.78999328613199</v>
      </c>
      <c r="C7115">
        <v>229.13999938964801</v>
      </c>
      <c r="D7115">
        <v>220.82000732421801</v>
      </c>
      <c r="E7115">
        <v>228.83999633789</v>
      </c>
      <c r="F7115">
        <v>228.83999633789</v>
      </c>
      <c r="G7115">
        <v>37315300</v>
      </c>
      <c r="H7115">
        <f t="shared" si="444"/>
        <v>2025</v>
      </c>
      <c r="I7115">
        <f t="shared" si="445"/>
        <v>8</v>
      </c>
      <c r="J7115" t="str">
        <f t="shared" si="446"/>
        <v>Aug</v>
      </c>
      <c r="K7115" t="str">
        <f t="shared" si="447"/>
        <v>Fri</v>
      </c>
    </row>
    <row r="7116" spans="1:11" x14ac:dyDescent="0.35">
      <c r="A7116" s="1">
        <v>45894</v>
      </c>
      <c r="B7116">
        <v>227.350006103515</v>
      </c>
      <c r="C7116">
        <v>229.600006103515</v>
      </c>
      <c r="D7116">
        <v>227.30999755859301</v>
      </c>
      <c r="E7116">
        <v>227.94000244140599</v>
      </c>
      <c r="F7116">
        <v>227.94000244140599</v>
      </c>
      <c r="G7116">
        <v>22633700</v>
      </c>
      <c r="H7116">
        <f t="shared" si="444"/>
        <v>2025</v>
      </c>
      <c r="I7116">
        <f t="shared" si="445"/>
        <v>8</v>
      </c>
      <c r="J7116" t="str">
        <f t="shared" si="446"/>
        <v>Aug</v>
      </c>
      <c r="K7116" t="str">
        <f t="shared" si="447"/>
        <v>Mon</v>
      </c>
    </row>
    <row r="7117" spans="1:11" x14ac:dyDescent="0.35">
      <c r="A7117" s="1">
        <v>45895</v>
      </c>
      <c r="B7117">
        <v>227.11000061035099</v>
      </c>
      <c r="C7117">
        <v>229</v>
      </c>
      <c r="D7117">
        <v>226.02000427246</v>
      </c>
      <c r="E7117">
        <v>228.71000671386699</v>
      </c>
      <c r="F7117">
        <v>228.71000671386699</v>
      </c>
      <c r="G7117">
        <v>26105400</v>
      </c>
      <c r="H7117">
        <f t="shared" si="444"/>
        <v>2025</v>
      </c>
      <c r="I7117">
        <f t="shared" si="445"/>
        <v>8</v>
      </c>
      <c r="J7117" t="str">
        <f t="shared" si="446"/>
        <v>Aug</v>
      </c>
      <c r="K7117" t="str">
        <f t="shared" si="447"/>
        <v>Tue</v>
      </c>
    </row>
    <row r="7118" spans="1:11" x14ac:dyDescent="0.35">
      <c r="A7118" s="1">
        <v>45896</v>
      </c>
      <c r="B7118">
        <v>228.57000732421801</v>
      </c>
      <c r="C7118">
        <v>229.86999511718699</v>
      </c>
      <c r="D7118">
        <v>227.80999755859301</v>
      </c>
      <c r="E7118">
        <v>229.11999511718699</v>
      </c>
      <c r="F7118">
        <v>229.11999511718699</v>
      </c>
      <c r="G7118">
        <v>21254500</v>
      </c>
      <c r="H7118">
        <f t="shared" si="444"/>
        <v>2025</v>
      </c>
      <c r="I7118">
        <f t="shared" si="445"/>
        <v>8</v>
      </c>
      <c r="J7118" t="str">
        <f t="shared" si="446"/>
        <v>Aug</v>
      </c>
      <c r="K7118" t="str">
        <f t="shared" si="447"/>
        <v>Wed</v>
      </c>
    </row>
    <row r="7119" spans="1:11" x14ac:dyDescent="0.35">
      <c r="A7119" s="1">
        <v>45897</v>
      </c>
      <c r="B7119">
        <v>229.009994506835</v>
      </c>
      <c r="C7119">
        <v>232.71000671386699</v>
      </c>
      <c r="D7119">
        <v>228.02000427246</v>
      </c>
      <c r="E7119">
        <v>231.600006103515</v>
      </c>
      <c r="F7119">
        <v>231.600006103515</v>
      </c>
      <c r="G7119">
        <v>33679600</v>
      </c>
      <c r="H7119">
        <f t="shared" si="444"/>
        <v>2025</v>
      </c>
      <c r="I7119">
        <f t="shared" si="445"/>
        <v>8</v>
      </c>
      <c r="J7119" t="str">
        <f t="shared" si="446"/>
        <v>Aug</v>
      </c>
      <c r="K7119" t="str">
        <f t="shared" si="447"/>
        <v>Thu</v>
      </c>
    </row>
    <row r="7120" spans="1:11" x14ac:dyDescent="0.35">
      <c r="A7120" s="1">
        <v>45898</v>
      </c>
      <c r="B7120">
        <v>231.32000732421801</v>
      </c>
      <c r="C7120">
        <v>231.80999755859301</v>
      </c>
      <c r="D7120">
        <v>228.16000366210901</v>
      </c>
      <c r="E7120">
        <v>229</v>
      </c>
      <c r="F7120">
        <v>229</v>
      </c>
      <c r="G7120">
        <v>26199200</v>
      </c>
      <c r="H7120">
        <f t="shared" si="444"/>
        <v>2025</v>
      </c>
      <c r="I7120">
        <f t="shared" si="445"/>
        <v>8</v>
      </c>
      <c r="J7120" t="str">
        <f t="shared" si="446"/>
        <v>Aug</v>
      </c>
      <c r="K7120" t="str">
        <f t="shared" si="447"/>
        <v>Fri</v>
      </c>
    </row>
    <row r="7121" spans="1:11" x14ac:dyDescent="0.35">
      <c r="A7121" s="1">
        <v>45902</v>
      </c>
      <c r="B7121">
        <v>223.52000427246</v>
      </c>
      <c r="C7121">
        <v>226.169998168945</v>
      </c>
      <c r="D7121">
        <v>221.83000183105401</v>
      </c>
      <c r="E7121">
        <v>225.33999633789</v>
      </c>
      <c r="F7121">
        <v>225.33999633789</v>
      </c>
      <c r="G7121">
        <v>38843900</v>
      </c>
      <c r="H7121">
        <f t="shared" si="444"/>
        <v>2025</v>
      </c>
      <c r="I7121">
        <f t="shared" si="445"/>
        <v>9</v>
      </c>
      <c r="J7121" t="str">
        <f t="shared" si="446"/>
        <v>Sep</v>
      </c>
      <c r="K7121" t="str">
        <f t="shared" si="447"/>
        <v>Tue</v>
      </c>
    </row>
    <row r="7122" spans="1:11" x14ac:dyDescent="0.35">
      <c r="A7122" s="1">
        <v>45903</v>
      </c>
      <c r="B7122">
        <v>225.21000671386699</v>
      </c>
      <c r="C7122">
        <v>227.169998168945</v>
      </c>
      <c r="D7122">
        <v>224.36000061035099</v>
      </c>
      <c r="E7122">
        <v>225.99000549316401</v>
      </c>
      <c r="F7122">
        <v>225.99000549316401</v>
      </c>
      <c r="G7122">
        <v>29223100</v>
      </c>
      <c r="H7122">
        <f t="shared" si="444"/>
        <v>2025</v>
      </c>
      <c r="I7122">
        <f t="shared" si="445"/>
        <v>9</v>
      </c>
      <c r="J7122" t="str">
        <f t="shared" si="446"/>
        <v>Sep</v>
      </c>
      <c r="K7122" t="str">
        <f t="shared" si="447"/>
        <v>Wed</v>
      </c>
    </row>
    <row r="7123" spans="1:11" x14ac:dyDescent="0.35">
      <c r="A7123" s="1">
        <v>45904</v>
      </c>
      <c r="B7123">
        <v>231.19000244140599</v>
      </c>
      <c r="C7123">
        <v>235.77000427246</v>
      </c>
      <c r="D7123">
        <v>230.77999877929599</v>
      </c>
      <c r="E7123">
        <v>235.67999267578099</v>
      </c>
      <c r="F7123">
        <v>235.67999267578099</v>
      </c>
      <c r="G7123">
        <v>59391800</v>
      </c>
      <c r="H7123">
        <f t="shared" si="444"/>
        <v>2025</v>
      </c>
      <c r="I7123">
        <f t="shared" si="445"/>
        <v>9</v>
      </c>
      <c r="J7123" t="str">
        <f t="shared" si="446"/>
        <v>Sep</v>
      </c>
      <c r="K7123" t="str">
        <f t="shared" si="447"/>
        <v>Thu</v>
      </c>
    </row>
    <row r="7124" spans="1:11" x14ac:dyDescent="0.35">
      <c r="A7124" s="1">
        <v>45905</v>
      </c>
      <c r="B7124">
        <v>235.19000244140599</v>
      </c>
      <c r="C7124">
        <v>236</v>
      </c>
      <c r="D7124">
        <v>231.92999267578099</v>
      </c>
      <c r="E7124">
        <v>232.33000183105401</v>
      </c>
      <c r="F7124">
        <v>232.33000183105401</v>
      </c>
      <c r="G7124">
        <v>36721800</v>
      </c>
      <c r="H7124">
        <f t="shared" si="444"/>
        <v>2025</v>
      </c>
      <c r="I7124">
        <f t="shared" si="445"/>
        <v>9</v>
      </c>
      <c r="J7124" t="str">
        <f t="shared" si="446"/>
        <v>Sep</v>
      </c>
      <c r="K7124" t="str">
        <f t="shared" si="447"/>
        <v>Fri</v>
      </c>
    </row>
    <row r="7125" spans="1:11" x14ac:dyDescent="0.35">
      <c r="A7125" s="1">
        <v>45908</v>
      </c>
      <c r="B7125">
        <v>234.94000244140599</v>
      </c>
      <c r="C7125">
        <v>237.600006103515</v>
      </c>
      <c r="D7125">
        <v>233.75</v>
      </c>
      <c r="E7125">
        <v>235.83999633789</v>
      </c>
      <c r="F7125">
        <v>235.83999633789</v>
      </c>
      <c r="G7125">
        <v>33947100</v>
      </c>
      <c r="H7125">
        <f t="shared" si="444"/>
        <v>2025</v>
      </c>
      <c r="I7125">
        <f t="shared" si="445"/>
        <v>9</v>
      </c>
      <c r="J7125" t="str">
        <f t="shared" si="446"/>
        <v>Sep</v>
      </c>
      <c r="K7125" t="str">
        <f t="shared" si="447"/>
        <v>Mon</v>
      </c>
    </row>
    <row r="7126" spans="1:11" x14ac:dyDescent="0.35">
      <c r="A7126" s="1">
        <v>45909</v>
      </c>
      <c r="B7126">
        <v>236.36000061035099</v>
      </c>
      <c r="C7126">
        <v>238.850006103515</v>
      </c>
      <c r="D7126">
        <v>235.08000183105401</v>
      </c>
      <c r="E7126">
        <v>238.24000549316401</v>
      </c>
      <c r="F7126">
        <v>238.24000549316401</v>
      </c>
      <c r="G7126">
        <v>27033800</v>
      </c>
      <c r="H7126">
        <f t="shared" si="444"/>
        <v>2025</v>
      </c>
      <c r="I7126">
        <f t="shared" si="445"/>
        <v>9</v>
      </c>
      <c r="J7126" t="str">
        <f t="shared" si="446"/>
        <v>Sep</v>
      </c>
      <c r="K7126" t="str">
        <f t="shared" si="447"/>
        <v>Tue</v>
      </c>
    </row>
    <row r="7127" spans="1:11" x14ac:dyDescent="0.35">
      <c r="A7127" s="1">
        <v>45910</v>
      </c>
      <c r="B7127">
        <v>237.52000427246</v>
      </c>
      <c r="C7127">
        <v>237.67999267578099</v>
      </c>
      <c r="D7127">
        <v>229.100006103515</v>
      </c>
      <c r="E7127">
        <v>230.33000183105401</v>
      </c>
      <c r="F7127">
        <v>230.33000183105401</v>
      </c>
      <c r="G7127">
        <v>60907700</v>
      </c>
      <c r="H7127">
        <f t="shared" si="444"/>
        <v>2025</v>
      </c>
      <c r="I7127">
        <f t="shared" si="445"/>
        <v>9</v>
      </c>
      <c r="J7127" t="str">
        <f t="shared" si="446"/>
        <v>Sep</v>
      </c>
      <c r="K7127" t="str">
        <f t="shared" si="447"/>
        <v>Wed</v>
      </c>
    </row>
    <row r="7128" spans="1:11" x14ac:dyDescent="0.35">
      <c r="A7128" s="1">
        <v>45911</v>
      </c>
      <c r="B7128">
        <v>231.49000549316401</v>
      </c>
      <c r="C7128">
        <v>231.52999877929599</v>
      </c>
      <c r="D7128">
        <v>229.33999633789</v>
      </c>
      <c r="E7128">
        <v>229.94999694824199</v>
      </c>
      <c r="F7128">
        <v>229.94999694824199</v>
      </c>
      <c r="G7128">
        <v>37485600</v>
      </c>
      <c r="H7128">
        <f t="shared" si="444"/>
        <v>2025</v>
      </c>
      <c r="I7128">
        <f t="shared" si="445"/>
        <v>9</v>
      </c>
      <c r="J7128" t="str">
        <f t="shared" si="446"/>
        <v>Sep</v>
      </c>
      <c r="K7128" t="str">
        <f t="shared" si="447"/>
        <v>Thu</v>
      </c>
    </row>
    <row r="7129" spans="1:11" x14ac:dyDescent="0.35">
      <c r="A7129" s="1">
        <v>45912</v>
      </c>
      <c r="B7129">
        <v>230.350006103515</v>
      </c>
      <c r="C7129">
        <v>230.78999328613199</v>
      </c>
      <c r="D7129">
        <v>226.28999328613199</v>
      </c>
      <c r="E7129">
        <v>228.14999389648401</v>
      </c>
      <c r="F7129">
        <v>228.14999389648401</v>
      </c>
      <c r="G7129">
        <v>38447500</v>
      </c>
      <c r="H7129">
        <f t="shared" si="444"/>
        <v>2025</v>
      </c>
      <c r="I7129">
        <f t="shared" si="445"/>
        <v>9</v>
      </c>
      <c r="J7129" t="str">
        <f t="shared" si="446"/>
        <v>Sep</v>
      </c>
      <c r="K7129" t="str">
        <f t="shared" si="447"/>
        <v>Fri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4F57-9EB3-4602-A662-2155A65ECF7F}">
  <sheetPr>
    <tabColor rgb="FFE65100"/>
  </sheetPr>
  <dimension ref="A1:X30"/>
  <sheetViews>
    <sheetView workbookViewId="0">
      <selection activeCell="E10" sqref="E10"/>
    </sheetView>
  </sheetViews>
  <sheetFormatPr defaultRowHeight="14.5" x14ac:dyDescent="0.35"/>
  <cols>
    <col min="10" max="10" width="12.36328125" customWidth="1"/>
    <col min="17" max="17" width="14.36328125" customWidth="1"/>
  </cols>
  <sheetData>
    <row r="1" spans="1:24" x14ac:dyDescent="0.3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/>
      <c r="H1" s="2" t="s">
        <v>10</v>
      </c>
      <c r="I1" s="2" t="s">
        <v>22</v>
      </c>
      <c r="J1" s="2" t="s">
        <v>23</v>
      </c>
      <c r="K1" s="2"/>
      <c r="L1" s="2" t="s">
        <v>8</v>
      </c>
      <c r="M1" s="2" t="s">
        <v>22</v>
      </c>
      <c r="N1" s="2"/>
      <c r="O1" s="2"/>
      <c r="P1" s="2" t="s">
        <v>11</v>
      </c>
      <c r="Q1" s="2" t="s">
        <v>16</v>
      </c>
      <c r="R1" s="2"/>
      <c r="S1" s="2" t="s">
        <v>11</v>
      </c>
      <c r="T1" s="2" t="s">
        <v>14</v>
      </c>
      <c r="U1" s="2" t="s">
        <v>15</v>
      </c>
      <c r="V1" s="2"/>
      <c r="W1" s="2" t="s">
        <v>10</v>
      </c>
      <c r="X1" s="2" t="s">
        <v>23</v>
      </c>
    </row>
    <row r="2" spans="1:24" x14ac:dyDescent="0.35">
      <c r="A2" t="s">
        <v>17</v>
      </c>
      <c r="B2" s="3">
        <f>AVERAGEIF('Amazon Dataset'!$K$3:$K$7129,$A2,'Amazon Dataset'!$B$3:$B$7129)</f>
        <v>43.773803634236081</v>
      </c>
      <c r="C2" s="3">
        <f>AVERAGEIF('Amazon Dataset'!$K$3:$K$7129,$A2,'Amazon Dataset'!$E$3:$E$7129)</f>
        <v>43.811167323882437</v>
      </c>
      <c r="D2" s="3">
        <f>AVERAGEIF('Amazon Dataset'!$K$3:$K$7129,$A2,'Amazon Dataset'!$C$3:$C$7129)</f>
        <v>44.317684120783497</v>
      </c>
      <c r="E2" s="3">
        <f>AVERAGEIF('Amazon Dataset'!$K$3:$K$7129,$A2,'Amazon Dataset'!$D$3:$D$7129)</f>
        <v>43.222788774307389</v>
      </c>
      <c r="F2" s="4">
        <f>SUMIF('Amazon Dataset'!$K$3:$K$7129,$A2,'Amazon Dataset'!$G$3:$G$7129)</f>
        <v>168559175600</v>
      </c>
      <c r="H2" t="s">
        <v>24</v>
      </c>
      <c r="I2" s="3">
        <f>AVERAGEIF('Amazon Dataset'!$J$3:$J$7129,$H2,'Amazon Dataset'!$F$3:$F$7129)</f>
        <v>42.878782776424607</v>
      </c>
      <c r="J2" s="4">
        <f>AVERAGEIF('Amazon Dataset'!$J$3:$J$7129,$H2,'Amazon Dataset'!$G$3:$G$7129)</f>
        <v>156383605.30035335</v>
      </c>
      <c r="L2">
        <v>1997</v>
      </c>
      <c r="M2" s="3">
        <f>AVERAGEIF('Amazon Dataset'!$H$3:$H$7129,$L2,'Amazon Dataset'!$F$3:$F$7129)</f>
        <v>0.15632001231424492</v>
      </c>
      <c r="P2" t="str">
        <f>$A2</f>
        <v>Mon</v>
      </c>
      <c r="Q2" s="4">
        <f>$F2</f>
        <v>168559175600</v>
      </c>
      <c r="S2" t="str">
        <f>$A2</f>
        <v>Mon</v>
      </c>
      <c r="T2" s="3">
        <f>$D2</f>
        <v>44.317684120783497</v>
      </c>
      <c r="U2" s="3">
        <f>$E2</f>
        <v>43.222788774307389</v>
      </c>
      <c r="W2" t="str">
        <f>$H2</f>
        <v>Jan</v>
      </c>
      <c r="X2" s="4">
        <f>$J2</f>
        <v>156383605.30035335</v>
      </c>
    </row>
    <row r="3" spans="1:24" x14ac:dyDescent="0.35">
      <c r="A3" t="s">
        <v>18</v>
      </c>
      <c r="B3" s="3">
        <f>AVERAGEIF('Amazon Dataset'!$K$3:$K$7129,$A3,'Amazon Dataset'!$B$3:$B$7129)</f>
        <v>44.194495943449404</v>
      </c>
      <c r="C3" s="3">
        <f>AVERAGEIF('Amazon Dataset'!$K$3:$K$7129,$A3,'Amazon Dataset'!$E$3:$E$7129)</f>
        <v>44.222246970423704</v>
      </c>
      <c r="D3" s="3">
        <f>AVERAGEIF('Amazon Dataset'!$K$3:$K$7129,$A3,'Amazon Dataset'!$C$3:$C$7129)</f>
        <v>44.718791266851078</v>
      </c>
      <c r="E3" s="3">
        <f>AVERAGEIF('Amazon Dataset'!$K$3:$K$7129,$A3,'Amazon Dataset'!$D$3:$D$7129)</f>
        <v>43.659736827204306</v>
      </c>
      <c r="F3" s="4">
        <f>SUMIF('Amazon Dataset'!$K$3:$K$7129,$A3,'Amazon Dataset'!$G$3:$G$7129)</f>
        <v>195065106800</v>
      </c>
      <c r="H3" t="s">
        <v>25</v>
      </c>
      <c r="I3" s="3">
        <f>AVERAGEIF('Amazon Dataset'!$J$3:$J$7129,$H3,'Amazon Dataset'!$F$3:$F$7129)</f>
        <v>44.120956367787016</v>
      </c>
      <c r="J3" s="4">
        <f>AVERAGEIF('Amazon Dataset'!$J$3:$J$7129,$H3,'Amazon Dataset'!$G$3:$G$7129)</f>
        <v>138838636.68528864</v>
      </c>
      <c r="L3">
        <v>1998</v>
      </c>
      <c r="M3" s="3">
        <f>AVERAGEIF('Amazon Dataset'!$H$3:$H$7129,$L3,'Amazon Dataset'!$F$3:$F$7129)</f>
        <v>0.78305568634754052</v>
      </c>
      <c r="P3" t="str">
        <f t="shared" ref="P3:P6" si="0">$A3</f>
        <v>Tue</v>
      </c>
      <c r="Q3" s="4">
        <f t="shared" ref="Q3:Q6" si="1">$F3</f>
        <v>195065106800</v>
      </c>
      <c r="S3" t="str">
        <f t="shared" ref="S3:S6" si="2">$A3</f>
        <v>Tue</v>
      </c>
      <c r="T3" s="3">
        <f t="shared" ref="T3:T6" si="3">$D3</f>
        <v>44.718791266851078</v>
      </c>
      <c r="U3" s="3">
        <f t="shared" ref="U3:U6" si="4">$E3</f>
        <v>43.659736827204306</v>
      </c>
      <c r="W3" t="str">
        <f t="shared" ref="W3:W13" si="5">$H3</f>
        <v>Feb</v>
      </c>
      <c r="X3" s="4">
        <f t="shared" ref="X3:X13" si="6">$J3</f>
        <v>138838636.68528864</v>
      </c>
    </row>
    <row r="4" spans="1:24" x14ac:dyDescent="0.35">
      <c r="A4" t="s">
        <v>19</v>
      </c>
      <c r="B4" s="3">
        <f>AVERAGEIF('Amazon Dataset'!$K$3:$K$7129,$A4,'Amazon Dataset'!$B$3:$B$7129)</f>
        <v>43.830163205904412</v>
      </c>
      <c r="C4" s="3">
        <f>AVERAGEIF('Amazon Dataset'!$K$3:$K$7129,$A4,'Amazon Dataset'!$E$3:$E$7129)</f>
        <v>43.827638021282603</v>
      </c>
      <c r="D4" s="3">
        <f>AVERAGEIF('Amazon Dataset'!$K$3:$K$7129,$A4,'Amazon Dataset'!$C$3:$C$7129)</f>
        <v>44.352553381960803</v>
      </c>
      <c r="E4" s="3">
        <f>AVERAGEIF('Amazon Dataset'!$K$3:$K$7129,$A4,'Amazon Dataset'!$D$3:$D$7129)</f>
        <v>43.29456012418477</v>
      </c>
      <c r="F4" s="4">
        <f>SUMIF('Amazon Dataset'!$K$3:$K$7129,$A4,'Amazon Dataset'!$G$3:$G$7129)</f>
        <v>204974900300</v>
      </c>
      <c r="H4" t="s">
        <v>26</v>
      </c>
      <c r="I4" s="3">
        <f>AVERAGEIF('Amazon Dataset'!$J$3:$J$7129,$H4,'Amazon Dataset'!$F$3:$F$7129)</f>
        <v>42.810522230861615</v>
      </c>
      <c r="J4" s="4">
        <f>AVERAGEIF('Amazon Dataset'!$J$3:$J$7129,$H4,'Amazon Dataset'!$G$3:$G$7129)</f>
        <v>117113231.48450245</v>
      </c>
      <c r="L4">
        <v>1999</v>
      </c>
      <c r="M4" s="3">
        <f>AVERAGEIF('Amazon Dataset'!$H$3:$H$7129,$L4,'Amazon Dataset'!$F$3:$F$7129)</f>
        <v>3.4531158237230204</v>
      </c>
      <c r="P4" t="str">
        <f t="shared" si="0"/>
        <v>Wed</v>
      </c>
      <c r="Q4" s="4">
        <f t="shared" si="1"/>
        <v>204974900300</v>
      </c>
      <c r="S4" t="str">
        <f t="shared" si="2"/>
        <v>Wed</v>
      </c>
      <c r="T4" s="3">
        <f t="shared" si="3"/>
        <v>44.352553381960803</v>
      </c>
      <c r="U4" s="3">
        <f t="shared" si="4"/>
        <v>43.29456012418477</v>
      </c>
      <c r="W4" t="str">
        <f t="shared" si="5"/>
        <v>Mar</v>
      </c>
      <c r="X4" s="4">
        <f t="shared" si="6"/>
        <v>117113231.48450245</v>
      </c>
    </row>
    <row r="5" spans="1:24" x14ac:dyDescent="0.35">
      <c r="A5" t="s">
        <v>20</v>
      </c>
      <c r="B5" s="3">
        <f>AVERAGEIF('Amazon Dataset'!$K$3:$K$7129,$A5,'Amazon Dataset'!$B$3:$B$7129)</f>
        <v>44.0574961282977</v>
      </c>
      <c r="C5" s="3">
        <f>AVERAGEIF('Amazon Dataset'!$K$3:$K$7129,$A5,'Amazon Dataset'!$E$3:$E$7129)</f>
        <v>44.032012371481251</v>
      </c>
      <c r="D5" s="3">
        <f>AVERAGEIF('Amazon Dataset'!$K$3:$K$7129,$A5,'Amazon Dataset'!$C$3:$C$7129)</f>
        <v>44.578022459257276</v>
      </c>
      <c r="E5" s="3">
        <f>AVERAGEIF('Amazon Dataset'!$K$3:$K$7129,$A5,'Amazon Dataset'!$D$3:$D$7129)</f>
        <v>43.489066255623918</v>
      </c>
      <c r="F5" s="4">
        <f>SUMIF('Amazon Dataset'!$K$3:$K$7129,$A5,'Amazon Dataset'!$G$3:$G$7129)</f>
        <v>200199662400</v>
      </c>
      <c r="H5" t="s">
        <v>27</v>
      </c>
      <c r="I5" s="3">
        <f>AVERAGEIF('Amazon Dataset'!$J$3:$J$7129,$H5,'Amazon Dataset'!$F$3:$F$7129)</f>
        <v>44.491011656215967</v>
      </c>
      <c r="J5" s="4">
        <f>AVERAGEIF('Amazon Dataset'!$J$3:$J$7129,$H5,'Amazon Dataset'!$G$3:$G$7129)</f>
        <v>142317799.82728842</v>
      </c>
      <c r="L5">
        <v>2000</v>
      </c>
      <c r="M5" s="3">
        <f>AVERAGEIF('Amazon Dataset'!$H$3:$H$7129,$L5,'Amazon Dataset'!$F$3:$F$7129)</f>
        <v>2.3266834079746208</v>
      </c>
      <c r="P5" t="str">
        <f t="shared" si="0"/>
        <v>Thu</v>
      </c>
      <c r="Q5" s="4">
        <f t="shared" si="1"/>
        <v>200199662400</v>
      </c>
      <c r="S5" t="str">
        <f t="shared" si="2"/>
        <v>Thu</v>
      </c>
      <c r="T5" s="3">
        <f t="shared" si="3"/>
        <v>44.578022459257276</v>
      </c>
      <c r="U5" s="3">
        <f t="shared" si="4"/>
        <v>43.489066255623918</v>
      </c>
      <c r="W5" t="str">
        <f t="shared" si="5"/>
        <v>Apr</v>
      </c>
      <c r="X5" s="4">
        <f t="shared" si="6"/>
        <v>142317799.82728842</v>
      </c>
    </row>
    <row r="6" spans="1:24" x14ac:dyDescent="0.35">
      <c r="A6" t="s">
        <v>21</v>
      </c>
      <c r="B6" s="3">
        <f>AVERAGEIF('Amazon Dataset'!$K$3:$K$7129,$A6,'Amazon Dataset'!$B$3:$B$7129)</f>
        <v>44.12407652555811</v>
      </c>
      <c r="C6" s="3">
        <f>AVERAGEIF('Amazon Dataset'!$K$3:$K$7129,$A6,'Amazon Dataset'!$E$3:$E$7129)</f>
        <v>44.062479815135397</v>
      </c>
      <c r="D6" s="3">
        <f>AVERAGEIF('Amazon Dataset'!$K$3:$K$7129,$A6,'Amazon Dataset'!$C$3:$C$7129)</f>
        <v>44.589775365070338</v>
      </c>
      <c r="E6" s="3">
        <f>AVERAGEIF('Amazon Dataset'!$K$3:$K$7129,$A6,'Amazon Dataset'!$D$3:$D$7129)</f>
        <v>43.528207250111613</v>
      </c>
      <c r="F6" s="4">
        <f>SUMIF('Amazon Dataset'!$K$3:$K$7129,$A6,'Amazon Dataset'!$G$3:$G$7129)</f>
        <v>188234568200</v>
      </c>
      <c r="H6" t="s">
        <v>28</v>
      </c>
      <c r="I6" s="3">
        <f>AVERAGEIF('Amazon Dataset'!$J$3:$J$7129,$H6,'Amazon Dataset'!$F$3:$F$7129)</f>
        <v>43.924223740500167</v>
      </c>
      <c r="J6" s="4">
        <f>AVERAGEIF('Amazon Dataset'!$J$3:$J$7129,$H6,'Amazon Dataset'!$G$3:$G$7129)</f>
        <v>119353957.71144278</v>
      </c>
      <c r="L6">
        <v>2001</v>
      </c>
      <c r="M6" s="3">
        <f>AVERAGEIF('Amazon Dataset'!$H$3:$H$7129,$L6,'Amazon Dataset'!$F$3:$F$7129)</f>
        <v>0.6100212932834701</v>
      </c>
      <c r="P6" t="str">
        <f t="shared" si="0"/>
        <v>Fri</v>
      </c>
      <c r="Q6" s="4">
        <f t="shared" si="1"/>
        <v>188234568200</v>
      </c>
      <c r="S6" t="str">
        <f t="shared" si="2"/>
        <v>Fri</v>
      </c>
      <c r="T6" s="3">
        <f t="shared" si="3"/>
        <v>44.589775365070338</v>
      </c>
      <c r="U6" s="3">
        <f t="shared" si="4"/>
        <v>43.528207250111613</v>
      </c>
      <c r="W6" t="str">
        <f t="shared" si="5"/>
        <v>May</v>
      </c>
      <c r="X6" s="4">
        <f t="shared" si="6"/>
        <v>119353957.71144278</v>
      </c>
    </row>
    <row r="7" spans="1:24" x14ac:dyDescent="0.35">
      <c r="H7" t="s">
        <v>29</v>
      </c>
      <c r="I7" s="3">
        <f>AVERAGEIF('Amazon Dataset'!$J$3:$J$7129,$H7,'Amazon Dataset'!$F$3:$F$7129)</f>
        <v>44.081855045389617</v>
      </c>
      <c r="J7" s="4">
        <f>AVERAGEIF('Amazon Dataset'!$J$3:$J$7129,$H7,'Amazon Dataset'!$G$3:$G$7129)</f>
        <v>122977618.01948053</v>
      </c>
      <c r="L7">
        <v>2002</v>
      </c>
      <c r="M7" s="3">
        <f>AVERAGEIF('Amazon Dataset'!$H$3:$H$7129,$L7,'Amazon Dataset'!$F$3:$F$7129)</f>
        <v>0.82420634868599119</v>
      </c>
      <c r="W7" t="str">
        <f t="shared" si="5"/>
        <v>Jun</v>
      </c>
      <c r="X7" s="4">
        <f t="shared" si="6"/>
        <v>122977618.01948053</v>
      </c>
    </row>
    <row r="8" spans="1:24" x14ac:dyDescent="0.35">
      <c r="H8" t="s">
        <v>30</v>
      </c>
      <c r="I8" s="3">
        <f>AVERAGEIF('Amazon Dataset'!$J$3:$J$7129,$H8,'Amazon Dataset'!$F$3:$F$7129)</f>
        <v>47.940870368361743</v>
      </c>
      <c r="J8" s="4">
        <f>AVERAGEIF('Amazon Dataset'!$J$3:$J$7129,$H8,'Amazon Dataset'!$G$3:$G$7129)</f>
        <v>148447807.16612378</v>
      </c>
      <c r="L8">
        <v>2003</v>
      </c>
      <c r="M8" s="3">
        <f>AVERAGEIF('Amazon Dataset'!$H$3:$H$7129,$L8,'Amazon Dataset'!$F$3:$F$7129)</f>
        <v>1.8870694462269053</v>
      </c>
      <c r="W8" t="str">
        <f t="shared" si="5"/>
        <v>Jul</v>
      </c>
      <c r="X8" s="4">
        <f t="shared" si="6"/>
        <v>148447807.16612378</v>
      </c>
    </row>
    <row r="9" spans="1:24" x14ac:dyDescent="0.35">
      <c r="A9" s="2" t="s">
        <v>41</v>
      </c>
      <c r="H9" t="s">
        <v>31</v>
      </c>
      <c r="I9" s="3">
        <f>AVERAGEIF('Amazon Dataset'!$J$3:$J$7129,$H9,'Amazon Dataset'!$F$3:$F$7129)</f>
        <v>47.47444632003161</v>
      </c>
      <c r="J9" s="4">
        <f>AVERAGEIF('Amazon Dataset'!$J$3:$J$7129,$H9,'Amazon Dataset'!$G$3:$G$7129)</f>
        <v>109610764.27457099</v>
      </c>
      <c r="L9">
        <v>2004</v>
      </c>
      <c r="M9" s="3">
        <f>AVERAGEIF('Amazon Dataset'!$H$3:$H$7129,$L9,'Amazon Dataset'!$F$3:$F$7129)</f>
        <v>2.1782619087468995</v>
      </c>
      <c r="W9" t="str">
        <f t="shared" si="5"/>
        <v>Aug</v>
      </c>
      <c r="X9" s="4">
        <f t="shared" si="6"/>
        <v>109610764.27457099</v>
      </c>
    </row>
    <row r="10" spans="1:24" x14ac:dyDescent="0.35">
      <c r="A10" t="s">
        <v>42</v>
      </c>
      <c r="B10" s="4">
        <f>COUNT('Amazon Dataset'!$F$3:$F$7129)</f>
        <v>7127</v>
      </c>
      <c r="H10" t="s">
        <v>32</v>
      </c>
      <c r="I10" s="3">
        <f>AVERAGEIF('Amazon Dataset'!$J$3:$J$7129,$H10,'Amazon Dataset'!$F$3:$F$7129)</f>
        <v>44.823981394284296</v>
      </c>
      <c r="J10" s="4">
        <f>AVERAGEIF('Amazon Dataset'!$J$3:$J$7129,$H10,'Amazon Dataset'!$G$3:$G$7129)</f>
        <v>129978190.12131716</v>
      </c>
      <c r="L10">
        <v>2005</v>
      </c>
      <c r="M10" s="3">
        <f>AVERAGEIF('Amazon Dataset'!$H$3:$H$7129,$L10,'Amazon Dataset'!$F$3:$F$7129)</f>
        <v>1.9948551640624079</v>
      </c>
      <c r="W10" t="str">
        <f t="shared" si="5"/>
        <v>Sep</v>
      </c>
      <c r="X10" s="4">
        <f t="shared" si="6"/>
        <v>129978190.12131716</v>
      </c>
    </row>
    <row r="11" spans="1:24" x14ac:dyDescent="0.35">
      <c r="A11" t="s">
        <v>43</v>
      </c>
      <c r="B11" s="1">
        <f>MIN('Amazon Dataset'!$A$3:$A$7129)</f>
        <v>35565</v>
      </c>
      <c r="H11" t="s">
        <v>33</v>
      </c>
      <c r="I11" s="3">
        <f>AVERAGEIF('Amazon Dataset'!$J$3:$J$7129,$H11,'Amazon Dataset'!$F$3:$F$7129)</f>
        <v>40.883790195808032</v>
      </c>
      <c r="J11" s="4">
        <f>AVERAGEIF('Amazon Dataset'!$J$3:$J$7129,$H11,'Amazon Dataset'!$G$3:$G$7129)</f>
        <v>148995299.1909385</v>
      </c>
      <c r="L11">
        <v>2006</v>
      </c>
      <c r="M11" s="3">
        <f>AVERAGEIF('Amazon Dataset'!$H$3:$H$7129,$L11,'Amazon Dataset'!$F$3:$F$7129)</f>
        <v>1.7954661371223466</v>
      </c>
      <c r="W11" t="str">
        <f t="shared" si="5"/>
        <v>Oct</v>
      </c>
      <c r="X11" s="4">
        <f t="shared" si="6"/>
        <v>148995299.1909385</v>
      </c>
    </row>
    <row r="12" spans="1:24" x14ac:dyDescent="0.35">
      <c r="A12" t="s">
        <v>44</v>
      </c>
      <c r="B12" s="1">
        <f>MAX('Amazon Dataset'!$A$3:$A$7129)</f>
        <v>45912</v>
      </c>
      <c r="H12" t="s">
        <v>34</v>
      </c>
      <c r="I12" s="3">
        <f>AVERAGEIF('Amazon Dataset'!$J$3:$J$7129,$H12,'Amazon Dataset'!$F$3:$F$7129)</f>
        <v>41.896076402672499</v>
      </c>
      <c r="J12" s="4">
        <f>AVERAGEIF('Amazon Dataset'!$J$3:$J$7129,$H12,'Amazon Dataset'!$G$3:$G$7129)</f>
        <v>148547185.31468531</v>
      </c>
      <c r="L12">
        <v>2007</v>
      </c>
      <c r="M12" s="3">
        <f>AVERAGEIF('Amazon Dataset'!$H$3:$H$7129,$L12,'Amazon Dataset'!$F$3:$F$7129)</f>
        <v>3.361474098912272</v>
      </c>
      <c r="W12" t="str">
        <f t="shared" si="5"/>
        <v>Nov</v>
      </c>
      <c r="X12" s="4">
        <f t="shared" si="6"/>
        <v>148547185.31468531</v>
      </c>
    </row>
    <row r="13" spans="1:24" x14ac:dyDescent="0.35">
      <c r="A13" t="s">
        <v>45</v>
      </c>
      <c r="B13" s="19">
        <f>INDEX('Amazon Dataset'!$F$3:$F$7129,MATCH(MIN('Amazon Dataset'!$A$3:$A$7129),'Amazon Dataset'!$A$3:$A$7129,0))</f>
        <v>9.7916997969150502E-2</v>
      </c>
      <c r="H13" t="s">
        <v>35</v>
      </c>
      <c r="I13" s="3">
        <f>AVERAGEIF('Amazon Dataset'!$J$3:$J$7129,$H13,'Amazon Dataset'!$F$3:$F$7129)</f>
        <v>42.261410271228861</v>
      </c>
      <c r="J13" s="4">
        <f>AVERAGEIF('Amazon Dataset'!$J$3:$J$7129,$H13,'Amazon Dataset'!$G$3:$G$7129)</f>
        <v>132984643.82402708</v>
      </c>
      <c r="L13">
        <v>2008</v>
      </c>
      <c r="M13" s="3">
        <f>AVERAGEIF('Amazon Dataset'!$H$3:$H$7129,$L13,'Amazon Dataset'!$F$3:$F$7129)</f>
        <v>3.4940019747014093</v>
      </c>
      <c r="W13" t="str">
        <f t="shared" si="5"/>
        <v>Dec</v>
      </c>
      <c r="X13" s="4">
        <f t="shared" si="6"/>
        <v>132984643.82402708</v>
      </c>
    </row>
    <row r="14" spans="1:24" x14ac:dyDescent="0.35">
      <c r="A14" t="s">
        <v>46</v>
      </c>
      <c r="B14" s="3">
        <f>INDEX('Amazon Dataset'!$F$3:$F$7129,MATCH(MAX('Amazon Dataset'!$A$3:$A$7129),'Amazon Dataset'!$A$3:$A$7129,0))</f>
        <v>228.14999389648401</v>
      </c>
      <c r="L14">
        <v>2009</v>
      </c>
      <c r="M14" s="3">
        <f>AVERAGEIF('Amazon Dataset'!$H$3:$H$7129,$L14,'Amazon Dataset'!$F$3:$F$7129)</f>
        <v>4.3640912667153362</v>
      </c>
    </row>
    <row r="15" spans="1:24" x14ac:dyDescent="0.35">
      <c r="A15" t="s">
        <v>47</v>
      </c>
      <c r="B15" s="20">
        <f>B14/B13</f>
        <v>2330.0346071512977</v>
      </c>
      <c r="L15">
        <v>2010</v>
      </c>
      <c r="M15" s="3">
        <f>AVERAGEIF('Amazon Dataset'!$H$3:$H$7129,$L15,'Amazon Dataset'!$F$3:$F$7129)</f>
        <v>6.9570198380757891</v>
      </c>
    </row>
    <row r="16" spans="1:24" x14ac:dyDescent="0.35">
      <c r="A16" t="s">
        <v>48</v>
      </c>
      <c r="B16" s="21">
        <f>(B12-B11)/365.25</f>
        <v>28.328542094455852</v>
      </c>
      <c r="L16">
        <v>2011</v>
      </c>
      <c r="M16" s="3">
        <f>AVERAGEIF('Amazon Dataset'!$H$3:$H$7129,$L16,'Amazon Dataset'!$F$3:$F$7129)</f>
        <v>9.8336011757926318</v>
      </c>
    </row>
    <row r="17" spans="1:13" x14ac:dyDescent="0.35">
      <c r="A17" t="s">
        <v>49</v>
      </c>
      <c r="B17" s="22">
        <f>(B14/B13)^(1/B16)-1</f>
        <v>0.31482570079459471</v>
      </c>
      <c r="L17">
        <v>2012</v>
      </c>
      <c r="M17" s="3">
        <f>AVERAGEIF('Amazon Dataset'!$H$3:$H$7129,$L17,'Amazon Dataset'!$F$3:$F$7129)</f>
        <v>11.015182003021232</v>
      </c>
    </row>
    <row r="18" spans="1:13" x14ac:dyDescent="0.35">
      <c r="A18" t="s">
        <v>50</v>
      </c>
      <c r="B18" s="3">
        <f>MAX('Amazon Dataset'!$F$3:$F$7129)</f>
        <v>242.05999755859301</v>
      </c>
      <c r="L18">
        <v>2013</v>
      </c>
      <c r="M18" s="3">
        <f>AVERAGEIF('Amazon Dataset'!$H$3:$H$7129,$L18,'Amazon Dataset'!$F$3:$F$7129)</f>
        <v>14.901579402741918</v>
      </c>
    </row>
    <row r="19" spans="1:13" x14ac:dyDescent="0.35">
      <c r="A19" t="s">
        <v>51</v>
      </c>
      <c r="B19" s="1">
        <f>INDEX('Amazon Dataset'!$A$3:$A$7129,MATCH(MAX('Amazon Dataset'!$F$3:$F$7129),'Amazon Dataset'!$F$3:$F$7129,0))</f>
        <v>45692</v>
      </c>
      <c r="L19">
        <v>2014</v>
      </c>
      <c r="M19" s="3">
        <f>AVERAGEIF('Amazon Dataset'!$H$3:$H$7129,$L19,'Amazon Dataset'!$F$3:$F$7129)</f>
        <v>16.627551608615438</v>
      </c>
    </row>
    <row r="20" spans="1:13" x14ac:dyDescent="0.35">
      <c r="A20" t="s">
        <v>52</v>
      </c>
      <c r="B20" s="4">
        <f>AVERAGE('Amazon Dataset'!$G$3:$G$7129)</f>
        <v>134282785.64613441</v>
      </c>
      <c r="L20">
        <v>2015</v>
      </c>
      <c r="M20" s="3">
        <f>AVERAGEIF('Amazon Dataset'!$H$3:$H$7129,$L20,'Amazon Dataset'!$F$3:$F$7129)</f>
        <v>23.906914639094509</v>
      </c>
    </row>
    <row r="21" spans="1:13" x14ac:dyDescent="0.35">
      <c r="A21" t="s">
        <v>53</v>
      </c>
      <c r="B21" s="4">
        <f>SUM('Amazon Dataset'!$G$3:$G$7129)</f>
        <v>957033413300</v>
      </c>
      <c r="L21">
        <v>2016</v>
      </c>
      <c r="M21" s="3">
        <f>AVERAGEIF('Amazon Dataset'!$H$3:$H$7129,$L21,'Amazon Dataset'!$F$3:$F$7129)</f>
        <v>34.976156643458765</v>
      </c>
    </row>
    <row r="22" spans="1:13" x14ac:dyDescent="0.35">
      <c r="A22" t="s">
        <v>54</v>
      </c>
      <c r="B22" s="3">
        <f>AVERAGE('Amazon Dataset'!$C$3:$C$7129)-AVERAGE('Amazon Dataset'!$D$3:$D$7129)</f>
        <v>1.0720887099967413</v>
      </c>
      <c r="L22">
        <v>2017</v>
      </c>
      <c r="M22" s="3">
        <f>AVERAGEIF('Amazon Dataset'!$H$3:$H$7129,$L22,'Amazon Dataset'!$F$3:$F$7129)</f>
        <v>48.408350560769613</v>
      </c>
    </row>
    <row r="23" spans="1:13" x14ac:dyDescent="0.35">
      <c r="A23" t="s">
        <v>55</v>
      </c>
      <c r="B23" s="22" cm="1">
        <f t="array" ref="B23">SUMPRODUCT(--('Amazon Dataset'!$E$3:$E$7129&gt;'Amazon Dataset'!$B$3:$B$7129))/COUNT('Amazon Dataset'!$E$3:$E$7129)</f>
        <v>0.50077171320331137</v>
      </c>
      <c r="L23">
        <v>2018</v>
      </c>
      <c r="M23" s="3">
        <f>AVERAGEIF('Amazon Dataset'!$H$3:$H$7129,$L23,'Amazon Dataset'!$F$3:$F$7129)</f>
        <v>82.086308528702546</v>
      </c>
    </row>
    <row r="24" spans="1:13" x14ac:dyDescent="0.35">
      <c r="L24">
        <v>2019</v>
      </c>
      <c r="M24" s="3">
        <f>AVERAGEIF('Amazon Dataset'!$H$3:$H$7129,$L24,'Amazon Dataset'!$F$3:$F$7129)</f>
        <v>89.459460243346186</v>
      </c>
    </row>
    <row r="25" spans="1:13" x14ac:dyDescent="0.35">
      <c r="L25">
        <v>2020</v>
      </c>
      <c r="M25" s="3">
        <f>AVERAGEIF('Amazon Dataset'!$H$3:$H$7129,$L25,'Amazon Dataset'!$F$3:$F$7129)</f>
        <v>134.04275452383885</v>
      </c>
    </row>
    <row r="26" spans="1:13" x14ac:dyDescent="0.35">
      <c r="L26">
        <v>2021</v>
      </c>
      <c r="M26" s="3">
        <f>AVERAGEIF('Amazon Dataset'!$H$3:$H$7129,$L26,'Amazon Dataset'!$F$3:$F$7129)</f>
        <v>167.19334932357532</v>
      </c>
    </row>
    <row r="27" spans="1:13" x14ac:dyDescent="0.35">
      <c r="L27">
        <v>2022</v>
      </c>
      <c r="M27" s="3">
        <f>AVERAGEIF('Amazon Dataset'!$H$3:$H$7129,$L27,'Amazon Dataset'!$F$3:$F$7129)</f>
        <v>126.09881880558808</v>
      </c>
    </row>
    <row r="28" spans="1:13" x14ac:dyDescent="0.35">
      <c r="L28">
        <v>2023</v>
      </c>
      <c r="M28" s="3">
        <f>AVERAGEIF('Amazon Dataset'!$H$3:$H$7129,$L28,'Amazon Dataset'!$F$3:$F$7129)</f>
        <v>121.3728003540038</v>
      </c>
    </row>
    <row r="29" spans="1:13" x14ac:dyDescent="0.35">
      <c r="L29">
        <v>2024</v>
      </c>
      <c r="M29" s="3">
        <f>AVERAGEIF('Amazon Dataset'!$H$3:$H$7129,$L29,'Amazon Dataset'!$F$3:$F$7129)</f>
        <v>184.62869050767674</v>
      </c>
    </row>
    <row r="30" spans="1:13" x14ac:dyDescent="0.35">
      <c r="L30">
        <v>2025</v>
      </c>
      <c r="M30" s="3">
        <f>AVERAGEIF('Amazon Dataset'!$H$3:$H$7129,$L30,'Amazon Dataset'!$F$3:$F$7129)</f>
        <v>213.03304624009391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22A7-EA46-41A2-86B2-0BFC1A64731B}">
  <sheetPr>
    <tabColor rgb="FFFF8C00"/>
  </sheetPr>
  <dimension ref="A1:R60"/>
  <sheetViews>
    <sheetView showGridLines="0" zoomScale="40" zoomScaleNormal="40" workbookViewId="0">
      <selection activeCell="Y10" sqref="Y10"/>
    </sheetView>
  </sheetViews>
  <sheetFormatPr defaultRowHeight="14.5" x14ac:dyDescent="0.35"/>
  <cols>
    <col min="1" max="18" width="14.1796875" customWidth="1"/>
  </cols>
  <sheetData>
    <row r="1" spans="1:18" ht="34" customHeight="1" x14ac:dyDescent="0.35">
      <c r="A1" s="7" t="s">
        <v>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34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20" customHeigh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20" customHeight="1" x14ac:dyDescent="0.4">
      <c r="A4" s="11" t="s">
        <v>37</v>
      </c>
      <c r="B4" s="9"/>
      <c r="C4" s="9"/>
      <c r="D4" s="9"/>
      <c r="E4" s="11" t="s">
        <v>38</v>
      </c>
      <c r="F4" s="9"/>
      <c r="G4" s="9"/>
      <c r="H4" s="9"/>
      <c r="I4" s="11" t="s">
        <v>39</v>
      </c>
      <c r="J4" s="9"/>
      <c r="K4" s="9"/>
      <c r="L4" s="9"/>
      <c r="M4" s="16" t="s">
        <v>40</v>
      </c>
      <c r="N4" s="17"/>
      <c r="O4" s="17"/>
      <c r="P4" s="18"/>
      <c r="Q4" s="6"/>
      <c r="R4" s="6"/>
    </row>
    <row r="5" spans="1:18" ht="20" customHeight="1" x14ac:dyDescent="0.35">
      <c r="A5" s="12">
        <f>AVERAGE('Amazon Dataset'!$C$3:$C$7129)</f>
        <v>44.514151868038901</v>
      </c>
      <c r="B5" s="8"/>
      <c r="C5" s="8"/>
      <c r="D5" s="8"/>
      <c r="E5" s="12">
        <f>AVERAGE('Amazon Dataset'!$D$3:$D$7129)</f>
        <v>43.44206315804216</v>
      </c>
      <c r="F5" s="8"/>
      <c r="G5" s="8"/>
      <c r="H5" s="8"/>
      <c r="I5" s="12">
        <f>AVERAGE('Amazon Dataset'!$B$3:$B$7129)</f>
        <v>43.999073595230911</v>
      </c>
      <c r="J5" s="8"/>
      <c r="K5" s="8"/>
      <c r="L5" s="8"/>
      <c r="M5" s="12">
        <f>AVERAGE('Amazon Dataset'!$E$3:$E$7129)</f>
        <v>43.993784677474054</v>
      </c>
      <c r="N5" s="8"/>
      <c r="O5" s="8"/>
      <c r="P5" s="14"/>
      <c r="Q5" s="6"/>
      <c r="R5" s="6"/>
    </row>
    <row r="6" spans="1:18" ht="20" customHeight="1" x14ac:dyDescent="0.35">
      <c r="A6" s="13"/>
      <c r="B6" s="10"/>
      <c r="C6" s="10"/>
      <c r="D6" s="10"/>
      <c r="E6" s="13"/>
      <c r="F6" s="10"/>
      <c r="G6" s="10"/>
      <c r="H6" s="10"/>
      <c r="I6" s="13"/>
      <c r="J6" s="10"/>
      <c r="K6" s="10"/>
      <c r="L6" s="10"/>
      <c r="M6" s="13"/>
      <c r="N6" s="10"/>
      <c r="O6" s="10"/>
      <c r="P6" s="15"/>
      <c r="Q6" s="6"/>
      <c r="R6" s="6"/>
    </row>
    <row r="7" spans="1:18" ht="20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20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20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20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20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20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20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20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20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20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20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20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20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20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20" customHeigh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ht="20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ht="20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ht="20" customHeigh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ht="20" customHeigh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ht="20" customHeigh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20" customHeigh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ht="20" customHeigh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ht="20" customHeigh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ht="20" customHeigh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20" customHeight="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ht="20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20" customHeigh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ht="20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20" customHeigh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ht="20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ht="20" customHeigh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ht="20" customHeight="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20" customHeigh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ht="20" customHeigh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20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20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20" customHeigh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ht="20" customHeigh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ht="20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ht="20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ht="20" customHeigh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ht="20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ht="20" customHeigh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ht="20" customHeight="1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20" customHeigh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ht="20" customHeigh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ht="20" customHeight="1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ht="20" customHeigh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20" customHeigh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20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20" customHeigh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ht="20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20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ht="20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</sheetData>
  <mergeCells count="9">
    <mergeCell ref="A1:R2"/>
    <mergeCell ref="A4:D4"/>
    <mergeCell ref="A5:D6"/>
    <mergeCell ref="E4:H4"/>
    <mergeCell ref="E5:H6"/>
    <mergeCell ref="I4:L4"/>
    <mergeCell ref="I5:L6"/>
    <mergeCell ref="M4:P4"/>
    <mergeCell ref="M5:P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Amazon Dataset</vt:lpstr>
      <vt:lpstr>Calc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Deeraj Nair</dc:creator>
  <cp:lastModifiedBy>Deeraj Nair</cp:lastModifiedBy>
  <dcterms:created xsi:type="dcterms:W3CDTF">2026-08-31T20:47:59Z</dcterms:created>
  <dcterms:modified xsi:type="dcterms:W3CDTF">2026-08-31T20:48:00Z</dcterms:modified>
</cp:coreProperties>
</file>